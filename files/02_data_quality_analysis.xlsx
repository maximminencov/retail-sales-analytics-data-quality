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Сводная таблица 2020" sheetId="2" r:id="rId6"/>
    <sheet state="visible" name="2020 raw" sheetId="3" r:id="rId7"/>
    <sheet state="visible" name="Сводная таблица 2020 raw" sheetId="4" r:id="rId8"/>
    <sheet state="visible" name="2021" sheetId="5" r:id="rId9"/>
    <sheet state="visible" name="Сводная таблица 2021" sheetId="6" r:id="rId10"/>
    <sheet state="visible" name="2021 raw" sheetId="7" r:id="rId11"/>
    <sheet state="visible" name="Сводная таблица 2021 raw" sheetId="8" r:id="rId12"/>
    <sheet state="visible" name="2022 txt" sheetId="9" r:id="rId13"/>
    <sheet state="visible" name="Сводная таблица 2022 txt" sheetId="10" r:id="rId14"/>
    <sheet state="visible" name="2022 xlsx" sheetId="11" r:id="rId15"/>
    <sheet state="visible" name="2022 raw" sheetId="12" r:id="rId16"/>
    <sheet state="visible" name="Сводная таблица 2022 raw" sheetId="13" r:id="rId17"/>
    <sheet state="visible" name="База данных" sheetId="14" r:id="rId18"/>
    <sheet state="visible" name="Сводная таблица База данных" sheetId="15" r:id="rId19"/>
    <sheet state="visible" name="Контроль качества" sheetId="16" r:id="rId20"/>
    <sheet state="visible" name="Пересчёт метрик" sheetId="17" r:id="rId21"/>
    <sheet state="visible" name="ТОП-5 по каналам" sheetId="18" r:id="rId22"/>
    <sheet state="visible" name="Доля рынка" sheetId="19" r:id="rId23"/>
    <sheet state="visible" name="Динамика доли" sheetId="20" r:id="rId24"/>
    <sheet state="visible" name="Каналы" sheetId="21" r:id="rId25"/>
    <sheet state="visible" name="Офтейк" sheetId="22" r:id="rId26"/>
    <sheet state="visible" name="Цена" sheetId="23" r:id="rId27"/>
    <sheet state="visible" name="Выводы" sheetId="24" r:id="rId28"/>
  </sheets>
  <definedNames>
    <definedName hidden="1" localSheetId="0" name="_xlnm._FilterDatabase">'2020'!$A$1:$L$1259</definedName>
  </definedNames>
  <calcPr/>
  <pivotCaches>
    <pivotCache cacheId="0" r:id="rId29"/>
    <pivotCache cacheId="1" r:id="rId30"/>
    <pivotCache cacheId="2" r:id="rId31"/>
    <pivotCache cacheId="3" r:id="rId32"/>
    <pivotCache cacheId="4" r:id="rId33"/>
    <pivotCache cacheId="5" r:id="rId34"/>
    <pivotCache cacheId="6" r:id="rId35"/>
  </pivotCaches>
</workbook>
</file>

<file path=xl/sharedStrings.xml><?xml version="1.0" encoding="utf-8"?>
<sst xmlns="http://schemas.openxmlformats.org/spreadsheetml/2006/main" count="40151" uniqueCount="6672">
  <si>
    <t>Year</t>
  </si>
  <si>
    <t>Month</t>
  </si>
  <si>
    <t>Channel</t>
  </si>
  <si>
    <t>Brand</t>
  </si>
  <si>
    <t>Weight range</t>
  </si>
  <si>
    <t>Units (in 1000)</t>
  </si>
  <si>
    <t>Units clean</t>
  </si>
  <si>
    <t>Value (in 1000 rub)</t>
  </si>
  <si>
    <t>Value clean</t>
  </si>
  <si>
    <t>Volume (in 1000 kg)</t>
  </si>
  <si>
    <t>Volume clean</t>
  </si>
  <si>
    <t>Number of stores</t>
  </si>
  <si>
    <t>Hypermarkets</t>
  </si>
  <si>
    <t>Green</t>
  </si>
  <si>
    <t>200-249G</t>
  </si>
  <si>
    <t>16.3202</t>
  </si>
  <si>
    <t>936.803413</t>
  </si>
  <si>
    <t>350-399G</t>
  </si>
  <si>
    <t>87.8634</t>
  </si>
  <si>
    <t>7019.116508</t>
  </si>
  <si>
    <t>30.7522</t>
  </si>
  <si>
    <t>400-599G</t>
  </si>
  <si>
    <t>35.7182</t>
  </si>
  <si>
    <t>4166.453788</t>
  </si>
  <si>
    <t>17.8592</t>
  </si>
  <si>
    <t>600-899G</t>
  </si>
  <si>
    <t>0.358</t>
  </si>
  <si>
    <t>66.38769</t>
  </si>
  <si>
    <t>0.2685</t>
  </si>
  <si>
    <t>Blue</t>
  </si>
  <si>
    <t>16.8368</t>
  </si>
  <si>
    <t>3227.992656</t>
  </si>
  <si>
    <t>Black</t>
  </si>
  <si>
    <t>10.0639</t>
  </si>
  <si>
    <t>573.128758</t>
  </si>
  <si>
    <t>5.1222</t>
  </si>
  <si>
    <t>559.444379</t>
  </si>
  <si>
    <t>2.305</t>
  </si>
  <si>
    <t>White</t>
  </si>
  <si>
    <t>&lt;200G</t>
  </si>
  <si>
    <t>328.755626</t>
  </si>
  <si>
    <t>0.6274</t>
  </si>
  <si>
    <t>Red</t>
  </si>
  <si>
    <t>253.642919</t>
  </si>
  <si>
    <t>0.6264</t>
  </si>
  <si>
    <t>Yellow</t>
  </si>
  <si>
    <t>200.763102</t>
  </si>
  <si>
    <t>1.0193</t>
  </si>
  <si>
    <t>Orange</t>
  </si>
  <si>
    <t>250-299G</t>
  </si>
  <si>
    <t>0.0068</t>
  </si>
  <si>
    <t>2.200698</t>
  </si>
  <si>
    <t>0.0019</t>
  </si>
  <si>
    <t>0.5648</t>
  </si>
  <si>
    <t>71.031833</t>
  </si>
  <si>
    <t>0.2259</t>
  </si>
  <si>
    <t>Purple</t>
  </si>
  <si>
    <t>0.242</t>
  </si>
  <si>
    <t>61.805145</t>
  </si>
  <si>
    <t>0.0968</t>
  </si>
  <si>
    <t>Pink</t>
  </si>
  <si>
    <t>0.3707</t>
  </si>
  <si>
    <t>56.153614</t>
  </si>
  <si>
    <t>0.0704</t>
  </si>
  <si>
    <t>Brown</t>
  </si>
  <si>
    <t>0.321</t>
  </si>
  <si>
    <t>50.76976</t>
  </si>
  <si>
    <t>0.1284</t>
  </si>
  <si>
    <t>Minimarkets</t>
  </si>
  <si>
    <t>66.7225</t>
  </si>
  <si>
    <t>4050.03638</t>
  </si>
  <si>
    <t>14.0117</t>
  </si>
  <si>
    <t>300-349G</t>
  </si>
  <si>
    <t>0.0013</t>
  </si>
  <si>
    <t>0.134999</t>
  </si>
  <si>
    <t>0.0004</t>
  </si>
  <si>
    <t>77.9698</t>
  </si>
  <si>
    <t>7036.255168</t>
  </si>
  <si>
    <t>27.2894</t>
  </si>
  <si>
    <t>7.861</t>
  </si>
  <si>
    <t>1087.96951</t>
  </si>
  <si>
    <t>0.6025</t>
  </si>
  <si>
    <t>109.493529</t>
  </si>
  <si>
    <t>0.4518</t>
  </si>
  <si>
    <t>52.7901</t>
  </si>
  <si>
    <t>3000.962605</t>
  </si>
  <si>
    <t>19.0044</t>
  </si>
  <si>
    <t>14.2126</t>
  </si>
  <si>
    <t>2169.309011</t>
  </si>
  <si>
    <t>319.951771</t>
  </si>
  <si>
    <t>0.9974</t>
  </si>
  <si>
    <t>234.200456</t>
  </si>
  <si>
    <t>0.7239</t>
  </si>
  <si>
    <t>207.232319</t>
  </si>
  <si>
    <t>0.4648</t>
  </si>
  <si>
    <t>2.0961</t>
  </si>
  <si>
    <t>177.535357</t>
  </si>
  <si>
    <t>0.3773</t>
  </si>
  <si>
    <t>Grey</t>
  </si>
  <si>
    <t>0.5244</t>
  </si>
  <si>
    <t>119.596253</t>
  </si>
  <si>
    <t>0.1835</t>
  </si>
  <si>
    <t>Pale</t>
  </si>
  <si>
    <t>0.0022</t>
  </si>
  <si>
    <t>0.930142</t>
  </si>
  <si>
    <t>0.3416</t>
  </si>
  <si>
    <t>108.540446</t>
  </si>
  <si>
    <t>0.1367</t>
  </si>
  <si>
    <t>Pastel</t>
  </si>
  <si>
    <t>1.0783</t>
  </si>
  <si>
    <t>51.908766</t>
  </si>
  <si>
    <t>0.302</t>
  </si>
  <si>
    <t>Mat</t>
  </si>
  <si>
    <t>0.4799</t>
  </si>
  <si>
    <t>43.137401</t>
  </si>
  <si>
    <t>0.24</t>
  </si>
  <si>
    <t>Supermarkets</t>
  </si>
  <si>
    <t>173.1694</t>
  </si>
  <si>
    <t>8930.873194</t>
  </si>
  <si>
    <t>36.3655</t>
  </si>
  <si>
    <t>109.4041</t>
  </si>
  <si>
    <t>9457.396412</t>
  </si>
  <si>
    <t>38.2914</t>
  </si>
  <si>
    <t>41.8318</t>
  </si>
  <si>
    <t>4901.080918</t>
  </si>
  <si>
    <t>20.916</t>
  </si>
  <si>
    <t>0.0807</t>
  </si>
  <si>
    <t>15.311662</t>
  </si>
  <si>
    <t>0.0605</t>
  </si>
  <si>
    <t>66.1422</t>
  </si>
  <si>
    <t>9564.403796</t>
  </si>
  <si>
    <t>26.4569</t>
  </si>
  <si>
    <t>55.3375</t>
  </si>
  <si>
    <t>3197.053251</t>
  </si>
  <si>
    <t>19.9215</t>
  </si>
  <si>
    <t>19.5669</t>
  </si>
  <si>
    <t>1090.341146</t>
  </si>
  <si>
    <t>7.0743</t>
  </si>
  <si>
    <t>918.309789</t>
  </si>
  <si>
    <t>3.1834</t>
  </si>
  <si>
    <t>811.85142</t>
  </si>
  <si>
    <t>2.0626</t>
  </si>
  <si>
    <t>0.0088</t>
  </si>
  <si>
    <t>3.021369</t>
  </si>
  <si>
    <t>0.0017</t>
  </si>
  <si>
    <t>489.019976</t>
  </si>
  <si>
    <t>0.6938</t>
  </si>
  <si>
    <t>Deep</t>
  </si>
  <si>
    <t>387.537281</t>
  </si>
  <si>
    <t>0.2563</t>
  </si>
  <si>
    <t>0.0314</t>
  </si>
  <si>
    <t>10.497775</t>
  </si>
  <si>
    <t>0.011</t>
  </si>
  <si>
    <t>0.0734</t>
  </si>
  <si>
    <t>36.070235</t>
  </si>
  <si>
    <t>0.0367</t>
  </si>
  <si>
    <t>241.683626</t>
  </si>
  <si>
    <t>0.5744</t>
  </si>
  <si>
    <t>Dim</t>
  </si>
  <si>
    <t>0.0554</t>
  </si>
  <si>
    <t>25.307236</t>
  </si>
  <si>
    <t>0.0194</t>
  </si>
  <si>
    <t>0.3194</t>
  </si>
  <si>
    <t>174.92429</t>
  </si>
  <si>
    <t>0.1341</t>
  </si>
  <si>
    <t>Vivid</t>
  </si>
  <si>
    <t>Month clean</t>
  </si>
  <si>
    <t>0.3405</t>
  </si>
  <si>
    <t>46.280242</t>
  </si>
  <si>
    <t>0.0613</t>
  </si>
  <si>
    <t>0.7489</t>
  </si>
  <si>
    <t>144.095549</t>
  </si>
  <si>
    <t>0.2622</t>
  </si>
  <si>
    <t>15.4443</t>
  </si>
  <si>
    <t>902.021306</t>
  </si>
  <si>
    <t>61.9945</t>
  </si>
  <si>
    <t>5267.687694</t>
  </si>
  <si>
    <t>21.6982</t>
  </si>
  <si>
    <t>52.0653</t>
  </si>
  <si>
    <t>5737.79897</t>
  </si>
  <si>
    <t>26.0328</t>
  </si>
  <si>
    <t>Number of stores clean</t>
  </si>
  <si>
    <t>0.327</t>
  </si>
  <si>
    <t>2020</t>
  </si>
  <si>
    <t>61.337886</t>
  </si>
  <si>
    <t>0.2453</t>
  </si>
  <si>
    <t>1</t>
  </si>
  <si>
    <t>15.7978</t>
  </si>
  <si>
    <t>3177.907308</t>
  </si>
  <si>
    <t>6.319</t>
  </si>
  <si>
    <t>16.1499</t>
  </si>
  <si>
    <t>874.324135</t>
  </si>
  <si>
    <t>443.556823</t>
  </si>
  <si>
    <t>3.1436</t>
  </si>
  <si>
    <t>306.878801</t>
  </si>
  <si>
    <t>0.5659</t>
  </si>
  <si>
    <t>281.485434</t>
  </si>
  <si>
    <t>0.6855</t>
  </si>
  <si>
    <t>3.4272</t>
  </si>
  <si>
    <t>SUM из Number of stores</t>
  </si>
  <si>
    <t>477</t>
  </si>
  <si>
    <t>Итого</t>
  </si>
  <si>
    <t>754</t>
  </si>
  <si>
    <t>2.481</t>
  </si>
  <si>
    <t>184.941745</t>
  </si>
  <si>
    <t>629</t>
  </si>
  <si>
    <t>0.8931</t>
  </si>
  <si>
    <t>0.0062</t>
  </si>
  <si>
    <t>2.004698</t>
  </si>
  <si>
    <t>0.8744</t>
  </si>
  <si>
    <t>106.299765</t>
  </si>
  <si>
    <t>29</t>
  </si>
  <si>
    <t>0.3498</t>
  </si>
  <si>
    <t>0.2345</t>
  </si>
  <si>
    <t>57.967151</t>
  </si>
  <si>
    <t>0.0938</t>
  </si>
  <si>
    <t>0.3319</t>
  </si>
  <si>
    <t>50.762267</t>
  </si>
  <si>
    <t>6.7346</t>
  </si>
  <si>
    <t>0.0631</t>
  </si>
  <si>
    <t>663</t>
  </si>
  <si>
    <t>0.2888</t>
  </si>
  <si>
    <t>46.506611</t>
  </si>
  <si>
    <t>0.1155</t>
  </si>
  <si>
    <t>67.5195</t>
  </si>
  <si>
    <t>3973.243146</t>
  </si>
  <si>
    <t>14.1791</t>
  </si>
  <si>
    <t>0.0326</t>
  </si>
  <si>
    <t>2.3147</t>
  </si>
  <si>
    <t>2.724914</t>
  </si>
  <si>
    <t>0.0104</t>
  </si>
  <si>
    <t>547</t>
  </si>
  <si>
    <t>74.3137</t>
  </si>
  <si>
    <t>6994.827867</t>
  </si>
  <si>
    <t>26.0097</t>
  </si>
  <si>
    <t>6.0307</t>
  </si>
  <si>
    <t>839.264868</t>
  </si>
  <si>
    <t>3.0153</t>
  </si>
  <si>
    <t>325</t>
  </si>
  <si>
    <t>0.4328</t>
  </si>
  <si>
    <t>79.266848</t>
  </si>
  <si>
    <t>0.3246</t>
  </si>
  <si>
    <t>3.4856</t>
  </si>
  <si>
    <t>39.9546</t>
  </si>
  <si>
    <t>2210.363738</t>
  </si>
  <si>
    <t>14.3836</t>
  </si>
  <si>
    <t>11.616</t>
  </si>
  <si>
    <t>1969.556878</t>
  </si>
  <si>
    <t>96</t>
  </si>
  <si>
    <t>195.339862</t>
  </si>
  <si>
    <t>0.6204</t>
  </si>
  <si>
    <t>1.6929</t>
  </si>
  <si>
    <t>1.1557</t>
  </si>
  <si>
    <t>203.567716</t>
  </si>
  <si>
    <t>0.5201</t>
  </si>
  <si>
    <t>1.045</t>
  </si>
  <si>
    <t>178.409536</t>
  </si>
  <si>
    <t>0.3866</t>
  </si>
  <si>
    <t>95</t>
  </si>
  <si>
    <t>0.067</t>
  </si>
  <si>
    <t>22.854508</t>
  </si>
  <si>
    <t>0.0127</t>
  </si>
  <si>
    <t>2.8313</t>
  </si>
  <si>
    <t>0.4186</t>
  </si>
  <si>
    <t>131.38103</t>
  </si>
  <si>
    <t>0.1674</t>
  </si>
  <si>
    <t>191</t>
  </si>
  <si>
    <t>1.0259</t>
  </si>
  <si>
    <t>91.413191</t>
  </si>
  <si>
    <t>0.1847</t>
  </si>
  <si>
    <t>0.3508</t>
  </si>
  <si>
    <t>40.453398</t>
  </si>
  <si>
    <t>0.1403</t>
  </si>
  <si>
    <t>4</t>
  </si>
  <si>
    <t>0.0227</t>
  </si>
  <si>
    <t>3.238388</t>
  </si>
  <si>
    <t>0.0041</t>
  </si>
  <si>
    <t>78</t>
  </si>
  <si>
    <t>0.1831</t>
  </si>
  <si>
    <t>36.294018</t>
  </si>
  <si>
    <t>0.0641</t>
  </si>
  <si>
    <t>Virulent</t>
  </si>
  <si>
    <t>0.1532</t>
  </si>
  <si>
    <t>27.976055</t>
  </si>
  <si>
    <t>0.0491</t>
  </si>
  <si>
    <t>0.0295</t>
  </si>
  <si>
    <t>2.716891</t>
  </si>
  <si>
    <t>0.0118</t>
  </si>
  <si>
    <t>124.2706</t>
  </si>
  <si>
    <t>6261.83286</t>
  </si>
  <si>
    <t>26.0969</t>
  </si>
  <si>
    <t>0</t>
  </si>
  <si>
    <t>112.8185</t>
  </si>
  <si>
    <t>10193.829322</t>
  </si>
  <si>
    <t>39.4865</t>
  </si>
  <si>
    <t>25.1908</t>
  </si>
  <si>
    <t>3303.863573</t>
  </si>
  <si>
    <t>0.0843</t>
  </si>
  <si>
    <t>16.051771</t>
  </si>
  <si>
    <t>0.0633</t>
  </si>
  <si>
    <t>7561</t>
  </si>
  <si>
    <t>30.8669</t>
  </si>
  <si>
    <t>5580.485107</t>
  </si>
  <si>
    <t>43.3914</t>
  </si>
  <si>
    <t>2388.342617</t>
  </si>
  <si>
    <t>15.6209</t>
  </si>
  <si>
    <t>9.44</t>
  </si>
  <si>
    <t>564.161924</t>
  </si>
  <si>
    <t>2.1712</t>
  </si>
  <si>
    <t>824.082768</t>
  </si>
  <si>
    <t>1386.735499</t>
  </si>
  <si>
    <t>8754</t>
  </si>
  <si>
    <t>4.064</t>
  </si>
  <si>
    <t>0.0175</t>
  </si>
  <si>
    <t>6.433346</t>
  </si>
  <si>
    <t>0.0033</t>
  </si>
  <si>
    <t>3.9304</t>
  </si>
  <si>
    <t>1.803</t>
  </si>
  <si>
    <t>520.283287</t>
  </si>
  <si>
    <t>1426</t>
  </si>
  <si>
    <t>0.7211</t>
  </si>
  <si>
    <t>457.743868</t>
  </si>
  <si>
    <t>0.3303</t>
  </si>
  <si>
    <t>0.0397</t>
  </si>
  <si>
    <t>13.110632</t>
  </si>
  <si>
    <t>0.014</t>
  </si>
  <si>
    <t>277</t>
  </si>
  <si>
    <t>0.0685</t>
  </si>
  <si>
    <t>33.706557</t>
  </si>
  <si>
    <t>0.0342</t>
  </si>
  <si>
    <t>Moderate</t>
  </si>
  <si>
    <t>0.0016</t>
  </si>
  <si>
    <t>0.21092</t>
  </si>
  <si>
    <t>0.0003</t>
  </si>
  <si>
    <t>5948</t>
  </si>
  <si>
    <t>287.868454</t>
  </si>
  <si>
    <t>0.7815</t>
  </si>
  <si>
    <t>0.0526</t>
  </si>
  <si>
    <t>24.106433</t>
  </si>
  <si>
    <t>0.0184</t>
  </si>
  <si>
    <t>0.3976</t>
  </si>
  <si>
    <t>5.6849</t>
  </si>
  <si>
    <t>205.549007</t>
  </si>
  <si>
    <t>0.167</t>
  </si>
  <si>
    <t>1776</t>
  </si>
  <si>
    <t>Glossy</t>
  </si>
  <si>
    <t>0.1842</t>
  </si>
  <si>
    <t>34.832102</t>
  </si>
  <si>
    <t>0.0608</t>
  </si>
  <si>
    <t>4.3366</t>
  </si>
  <si>
    <t>0.3193</t>
  </si>
  <si>
    <t>146.807534</t>
  </si>
  <si>
    <t>0.1597</t>
  </si>
  <si>
    <t>15.7516</t>
  </si>
  <si>
    <t>928.92665</t>
  </si>
  <si>
    <t>1627</t>
  </si>
  <si>
    <t>116.7506</t>
  </si>
  <si>
    <t>9105.207427</t>
  </si>
  <si>
    <t>40.8628</t>
  </si>
  <si>
    <t>1.6089</t>
  </si>
  <si>
    <t>44.6502</t>
  </si>
  <si>
    <t>5049.820876</t>
  </si>
  <si>
    <t>22.3251</t>
  </si>
  <si>
    <t>514</t>
  </si>
  <si>
    <t>0.3076</t>
  </si>
  <si>
    <t>58.307367</t>
  </si>
  <si>
    <t>Value (in rub)</t>
  </si>
  <si>
    <t>0.2307</t>
  </si>
  <si>
    <t>1.2559</t>
  </si>
  <si>
    <t>17.3306</t>
  </si>
  <si>
    <t>3529.609076</t>
  </si>
  <si>
    <t>677.017966</t>
  </si>
  <si>
    <t>355</t>
  </si>
  <si>
    <t>0.0006</t>
  </si>
  <si>
    <t>0.042303</t>
  </si>
  <si>
    <t>817789.128</t>
  </si>
  <si>
    <t>0.0002</t>
  </si>
  <si>
    <t>433.006136</t>
  </si>
  <si>
    <t>298</t>
  </si>
  <si>
    <t>0.096674</t>
  </si>
  <si>
    <t>329.873082</t>
  </si>
  <si>
    <t>0.6114</t>
  </si>
  <si>
    <t>2.1223</t>
  </si>
  <si>
    <t>317.591342</t>
  </si>
  <si>
    <t>0.7853</t>
  </si>
  <si>
    <t>61.6034</t>
  </si>
  <si>
    <t>71</t>
  </si>
  <si>
    <t>5598975.814</t>
  </si>
  <si>
    <t>197.90962</t>
  </si>
  <si>
    <t>21.5612</t>
  </si>
  <si>
    <t>0.9423</t>
  </si>
  <si>
    <t>47.7524</t>
  </si>
  <si>
    <t>4638537.271</t>
  </si>
  <si>
    <t>0.0099</t>
  </si>
  <si>
    <t>3.203644</t>
  </si>
  <si>
    <t>23.8763</t>
  </si>
  <si>
    <t>0.0027</t>
  </si>
  <si>
    <t>2</t>
  </si>
  <si>
    <t>123.992</t>
  </si>
  <si>
    <t>121.778651</t>
  </si>
  <si>
    <t>0.4029</t>
  </si>
  <si>
    <t>0.3357</t>
  </si>
  <si>
    <t>0.0509</t>
  </si>
  <si>
    <t>5628.921</t>
  </si>
  <si>
    <t>78.294403</t>
  </si>
  <si>
    <t>0.1343</t>
  </si>
  <si>
    <t>0.0101</t>
  </si>
  <si>
    <t>0.3775</t>
  </si>
  <si>
    <t>32.5492</t>
  </si>
  <si>
    <t>58.161958</t>
  </si>
  <si>
    <t>49</t>
  </si>
  <si>
    <t>5589670.023</t>
  </si>
  <si>
    <t>0.0717</t>
  </si>
  <si>
    <t>13.0196</t>
  </si>
  <si>
    <t>0.0007</t>
  </si>
  <si>
    <t>0.094486</t>
  </si>
  <si>
    <t>224651.122</t>
  </si>
  <si>
    <t>0.2882</t>
  </si>
  <si>
    <t>0.7731</t>
  </si>
  <si>
    <t>45.010945</t>
  </si>
  <si>
    <t>0.1152</t>
  </si>
  <si>
    <t>613</t>
  </si>
  <si>
    <t>172739.041</t>
  </si>
  <si>
    <t>59.9181</t>
  </si>
  <si>
    <t>3925.894315</t>
  </si>
  <si>
    <t>0.6367</t>
  </si>
  <si>
    <t>0.0025</t>
  </si>
  <si>
    <t>295583.894</t>
  </si>
  <si>
    <t>0.239033</t>
  </si>
  <si>
    <t>0.0008</t>
  </si>
  <si>
    <t>69.8611</t>
  </si>
  <si>
    <t>6958.625881</t>
  </si>
  <si>
    <t>2.563</t>
  </si>
  <si>
    <t>286247.337</t>
  </si>
  <si>
    <t>24.4513</t>
  </si>
  <si>
    <t>0.4614</t>
  </si>
  <si>
    <t>1088.468861</t>
  </si>
  <si>
    <t>0.9379999999999999</t>
  </si>
  <si>
    <t>4.1283</t>
  </si>
  <si>
    <t>144051.522</t>
  </si>
  <si>
    <t>0.347</t>
  </si>
  <si>
    <t>0.3656</t>
  </si>
  <si>
    <t>62.655918</t>
  </si>
  <si>
    <t>10568</t>
  </si>
  <si>
    <t>0.2742</t>
  </si>
  <si>
    <t>0.0066</t>
  </si>
  <si>
    <t>2099.316</t>
  </si>
  <si>
    <t>1949.093433</t>
  </si>
  <si>
    <t>0.0018</t>
  </si>
  <si>
    <t>15.8856</t>
  </si>
  <si>
    <t>128384.194</t>
  </si>
  <si>
    <t>1072.220825</t>
  </si>
  <si>
    <t>0.4004</t>
  </si>
  <si>
    <t>8553</t>
  </si>
  <si>
    <t>0.3449</t>
  </si>
  <si>
    <t>285.332048</t>
  </si>
  <si>
    <t>72269.303</t>
  </si>
  <si>
    <t>0.9673</t>
  </si>
  <si>
    <t>0.1379</t>
  </si>
  <si>
    <t>1.0539</t>
  </si>
  <si>
    <t>0.3859</t>
  </si>
  <si>
    <t>177.547756</t>
  </si>
  <si>
    <t>35374.751</t>
  </si>
  <si>
    <t>0.4744</t>
  </si>
  <si>
    <t>0.06950000000000001</t>
  </si>
  <si>
    <t>Delicate</t>
  </si>
  <si>
    <t>321.675</t>
  </si>
  <si>
    <t>0.0197</t>
  </si>
  <si>
    <t>2638</t>
  </si>
  <si>
    <t>3081.309</t>
  </si>
  <si>
    <t>0.007900000000000001</t>
  </si>
  <si>
    <t>0.7486</t>
  </si>
  <si>
    <t>124.803203</t>
  </si>
  <si>
    <t>0.2111</t>
  </si>
  <si>
    <t>37134.448</t>
  </si>
  <si>
    <t>0.277</t>
  </si>
  <si>
    <t>0.0401</t>
  </si>
  <si>
    <t>0.5124</t>
  </si>
  <si>
    <t>123.330744</t>
  </si>
  <si>
    <t>0.0011</t>
  </si>
  <si>
    <t>156.283</t>
  </si>
  <si>
    <t>0.1794</t>
  </si>
  <si>
    <t>53</t>
  </si>
  <si>
    <t>108.865611</t>
  </si>
  <si>
    <t>0.2156</t>
  </si>
  <si>
    <t>60.7356</t>
  </si>
  <si>
    <t>3633450.875</t>
  </si>
  <si>
    <t>0.0058</t>
  </si>
  <si>
    <t>1.605336</t>
  </si>
  <si>
    <t>53.4502</t>
  </si>
  <si>
    <t>5188030.767999999</t>
  </si>
  <si>
    <t>0.3065</t>
  </si>
  <si>
    <t>93.23621</t>
  </si>
  <si>
    <t>18.7075</t>
  </si>
  <si>
    <t>5157</t>
  </si>
  <si>
    <t>0.1226</t>
  </si>
  <si>
    <t>698288.024</t>
  </si>
  <si>
    <t>0.42</t>
  </si>
  <si>
    <t>48.423851</t>
  </si>
  <si>
    <t>0.168</t>
  </si>
  <si>
    <t>0.2761</t>
  </si>
  <si>
    <t>44558.407</t>
  </si>
  <si>
    <t>80.8349</t>
  </si>
  <si>
    <t>4860.261843</t>
  </si>
  <si>
    <t>0.2071</t>
  </si>
  <si>
    <t>16.9753</t>
  </si>
  <si>
    <t>6724</t>
  </si>
  <si>
    <t>0.0109</t>
  </si>
  <si>
    <t>976.688</t>
  </si>
  <si>
    <t>98.0553</t>
  </si>
  <si>
    <t>9525.273204</t>
  </si>
  <si>
    <t>34.3194</t>
  </si>
  <si>
    <t>6.601</t>
  </si>
  <si>
    <t>1395983.538</t>
  </si>
  <si>
    <t>41.2775</t>
  </si>
  <si>
    <t>5053.812038</t>
  </si>
  <si>
    <t>20.6387</t>
  </si>
  <si>
    <t>4.5003</t>
  </si>
  <si>
    <t>22.0065</t>
  </si>
  <si>
    <t>1012001.19</t>
  </si>
  <si>
    <t>0.0844</t>
  </si>
  <si>
    <t>3312</t>
  </si>
  <si>
    <t>13.352451</t>
  </si>
  <si>
    <t>3.368</t>
  </si>
  <si>
    <t>22.7859</t>
  </si>
  <si>
    <t>248807.815</t>
  </si>
  <si>
    <t>4874.68381</t>
  </si>
  <si>
    <t>0.7747000000000001</t>
  </si>
  <si>
    <t>9.1144</t>
  </si>
  <si>
    <t>0.6442</t>
  </si>
  <si>
    <t>518.473264</t>
  </si>
  <si>
    <t>121949.721</t>
  </si>
  <si>
    <t>0.2899</t>
  </si>
  <si>
    <t>855.17176</t>
  </si>
  <si>
    <t>1018</t>
  </si>
  <si>
    <t>144102.644</t>
  </si>
  <si>
    <t>0.2804</t>
  </si>
  <si>
    <t>20.996</t>
  </si>
  <si>
    <t>1306.620265</t>
  </si>
  <si>
    <t>5.5746</t>
  </si>
  <si>
    <t>0.9092</t>
  </si>
  <si>
    <t>139276.358</t>
  </si>
  <si>
    <t>0.3364</t>
  </si>
  <si>
    <t>1124.589953</t>
  </si>
  <si>
    <t>Golden</t>
  </si>
  <si>
    <t>709</t>
  </si>
  <si>
    <t>0.7546</t>
  </si>
  <si>
    <t>3.1477</t>
  </si>
  <si>
    <t>69099.011</t>
  </si>
  <si>
    <t>0.2641</t>
  </si>
  <si>
    <t>811.186105</t>
  </si>
  <si>
    <t>68459.95299999999</t>
  </si>
  <si>
    <t>700.968116</t>
  </si>
  <si>
    <t>0.1117</t>
  </si>
  <si>
    <t>0.4859</t>
  </si>
  <si>
    <t>0.0203</t>
  </si>
  <si>
    <t>0.0412</t>
  </si>
  <si>
    <t>10</t>
  </si>
  <si>
    <t>3688.142</t>
  </si>
  <si>
    <t>13.251864</t>
  </si>
  <si>
    <t>0.0145</t>
  </si>
  <si>
    <t>0.0036</t>
  </si>
  <si>
    <t>0.0818</t>
  </si>
  <si>
    <t>39.988526</t>
  </si>
  <si>
    <t>1.7347</t>
  </si>
  <si>
    <t>0.2341</t>
  </si>
  <si>
    <t>52410.371</t>
  </si>
  <si>
    <t>0.0408</t>
  </si>
  <si>
    <t>0.082</t>
  </si>
  <si>
    <t>0.0322</t>
  </si>
  <si>
    <t>7.884587</t>
  </si>
  <si>
    <t>1317.17</t>
  </si>
  <si>
    <t>0.0061</t>
  </si>
  <si>
    <t>223</t>
  </si>
  <si>
    <t>0.0009</t>
  </si>
  <si>
    <t>2.1445</t>
  </si>
  <si>
    <t>603.625107</t>
  </si>
  <si>
    <t>0.8577</t>
  </si>
  <si>
    <t>0.4005</t>
  </si>
  <si>
    <t>44008.199</t>
  </si>
  <si>
    <t>1.3486</t>
  </si>
  <si>
    <t>0.1602</t>
  </si>
  <si>
    <t>0.0577</t>
  </si>
  <si>
    <t>25.981502</t>
  </si>
  <si>
    <t>97.1922</t>
  </si>
  <si>
    <t>0.0202</t>
  </si>
  <si>
    <t>5815674.717</t>
  </si>
  <si>
    <t>100</t>
  </si>
  <si>
    <t>20.4104</t>
  </si>
  <si>
    <t>0.5458</t>
  </si>
  <si>
    <t>290.24294</t>
  </si>
  <si>
    <t>147.9807</t>
  </si>
  <si>
    <t>0.2292</t>
  </si>
  <si>
    <t>13070828.16</t>
  </si>
  <si>
    <t>51.7931</t>
  </si>
  <si>
    <t>0.049663</t>
  </si>
  <si>
    <t>0.0001</t>
  </si>
  <si>
    <t>9.352499999999999</t>
  </si>
  <si>
    <t>1152899.461</t>
  </si>
  <si>
    <t>238.904142</t>
  </si>
  <si>
    <t>7</t>
  </si>
  <si>
    <t>0.4844</t>
  </si>
  <si>
    <t>0.0646</t>
  </si>
  <si>
    <t>9090.562</t>
  </si>
  <si>
    <t>13.1809</t>
  </si>
  <si>
    <t>0.0485</t>
  </si>
  <si>
    <t>819.698677</t>
  </si>
  <si>
    <t>2.768</t>
  </si>
  <si>
    <t>0.0052</t>
  </si>
  <si>
    <t>655.369</t>
  </si>
  <si>
    <t>54.8537</t>
  </si>
  <si>
    <t>4806.202042</t>
  </si>
  <si>
    <t>50</t>
  </si>
  <si>
    <t>19.1989</t>
  </si>
  <si>
    <t>49.6951</t>
  </si>
  <si>
    <t>8107083.433</t>
  </si>
  <si>
    <t>48.5498</t>
  </si>
  <si>
    <t>19.878</t>
  </si>
  <si>
    <t>5104.909681</t>
  </si>
  <si>
    <t>3.1912</t>
  </si>
  <si>
    <t>24.2748</t>
  </si>
  <si>
    <t>36.8688</t>
  </si>
  <si>
    <t>2073765.747</t>
  </si>
  <si>
    <t>13.2728</t>
  </si>
  <si>
    <t>1.082</t>
  </si>
  <si>
    <t>129.175226</t>
  </si>
  <si>
    <t>179</t>
  </si>
  <si>
    <t>0.8115</t>
  </si>
  <si>
    <t>190909.025</t>
  </si>
  <si>
    <t>0.6397</t>
  </si>
  <si>
    <t>14.6887</t>
  </si>
  <si>
    <t>3008.328546</t>
  </si>
  <si>
    <t>807009.751</t>
  </si>
  <si>
    <t>634.098977</t>
  </si>
  <si>
    <t>496770.161</t>
  </si>
  <si>
    <t>0.3421</t>
  </si>
  <si>
    <t>0.007028</t>
  </si>
  <si>
    <t>0.0343</t>
  </si>
  <si>
    <t>10777.786</t>
  </si>
  <si>
    <t>0.0121</t>
  </si>
  <si>
    <t>2.0152</t>
  </si>
  <si>
    <t>0.0712</t>
  </si>
  <si>
    <t>337.342593</t>
  </si>
  <si>
    <t>35072.661</t>
  </si>
  <si>
    <t>0.9069</t>
  </si>
  <si>
    <t>0.0356</t>
  </si>
  <si>
    <t>0.016112</t>
  </si>
  <si>
    <t>2.1642</t>
  </si>
  <si>
    <t>341345.026</t>
  </si>
  <si>
    <t>0.8008</t>
  </si>
  <si>
    <t>285.831332</t>
  </si>
  <si>
    <t>0.5272</t>
  </si>
  <si>
    <t>0.3247</t>
  </si>
  <si>
    <t>59056.692</t>
  </si>
  <si>
    <t>0.0585</t>
  </si>
  <si>
    <t>283.721208</t>
  </si>
  <si>
    <t>0.6717</t>
  </si>
  <si>
    <t>1.147</t>
  </si>
  <si>
    <t>63</t>
  </si>
  <si>
    <t>246981.215</t>
  </si>
  <si>
    <t>172.71895</t>
  </si>
  <si>
    <t>0.4015</t>
  </si>
  <si>
    <t>0.8341</t>
  </si>
  <si>
    <t>233906.123</t>
  </si>
  <si>
    <t>0.0111</t>
  </si>
  <si>
    <t>3.648823</t>
  </si>
  <si>
    <t>0.0031</t>
  </si>
  <si>
    <t>0.4505</t>
  </si>
  <si>
    <t>0.8561</t>
  </si>
  <si>
    <t>102.900452</t>
  </si>
  <si>
    <t>67</t>
  </si>
  <si>
    <t>0.3424</t>
  </si>
  <si>
    <t>511.883</t>
  </si>
  <si>
    <t>0.3016</t>
  </si>
  <si>
    <t>0.0005</t>
  </si>
  <si>
    <t>68.126832</t>
  </si>
  <si>
    <t>0.1206</t>
  </si>
  <si>
    <t>0.6515</t>
  </si>
  <si>
    <t>221027.694</t>
  </si>
  <si>
    <t>0.2712</t>
  </si>
  <si>
    <t>41.763937</t>
  </si>
  <si>
    <t>0.2605</t>
  </si>
  <si>
    <t>0.0515</t>
  </si>
  <si>
    <t>3.2433</t>
  </si>
  <si>
    <t>0.2237</t>
  </si>
  <si>
    <t>30.341988</t>
  </si>
  <si>
    <t>479</t>
  </si>
  <si>
    <t>330.204</t>
  </si>
  <si>
    <t>0.0895</t>
  </si>
  <si>
    <t>65.925</t>
  </si>
  <si>
    <t>4037.903364</t>
  </si>
  <si>
    <t>27053.737</t>
  </si>
  <si>
    <t>13.8442</t>
  </si>
  <si>
    <t>0.0015</t>
  </si>
  <si>
    <t>0.171467</t>
  </si>
  <si>
    <t>0.2991</t>
  </si>
  <si>
    <t>771</t>
  </si>
  <si>
    <t>167434.489</t>
  </si>
  <si>
    <t>62.98</t>
  </si>
  <si>
    <t>6338.200409</t>
  </si>
  <si>
    <t>0.1256</t>
  </si>
  <si>
    <t>22.043</t>
  </si>
  <si>
    <t>880.140635</t>
  </si>
  <si>
    <t>3.0959</t>
  </si>
  <si>
    <t>648</t>
  </si>
  <si>
    <t>0.5044</t>
  </si>
  <si>
    <t>80.219931</t>
  </si>
  <si>
    <t>0.3783</t>
  </si>
  <si>
    <t>1553.383466</t>
  </si>
  <si>
    <t>17.1067</t>
  </si>
  <si>
    <t>1076.441935</t>
  </si>
  <si>
    <t>23</t>
  </si>
  <si>
    <t>6.1584</t>
  </si>
  <si>
    <t>3.1584</t>
  </si>
  <si>
    <t>225.61309</t>
  </si>
  <si>
    <t>0.7264</t>
  </si>
  <si>
    <t>242.389454</t>
  </si>
  <si>
    <t>0.5621</t>
  </si>
  <si>
    <t>668</t>
  </si>
  <si>
    <t>258.553945</t>
  </si>
  <si>
    <t>1.1697</t>
  </si>
  <si>
    <t>1.1033</t>
  </si>
  <si>
    <t>186.019152</t>
  </si>
  <si>
    <t>0.4082</t>
  </si>
  <si>
    <t>1.1104</t>
  </si>
  <si>
    <t>98.75062</t>
  </si>
  <si>
    <t>3.7145</t>
  </si>
  <si>
    <t>0.1999</t>
  </si>
  <si>
    <t>525</t>
  </si>
  <si>
    <t>Silver</t>
  </si>
  <si>
    <t>0.3346</t>
  </si>
  <si>
    <t>58.388659</t>
  </si>
  <si>
    <t>0.1673</t>
  </si>
  <si>
    <t>3.4374</t>
  </si>
  <si>
    <t>0.2126</t>
  </si>
  <si>
    <t>55.786411</t>
  </si>
  <si>
    <t>0.0851</t>
  </si>
  <si>
    <t>1.5468</t>
  </si>
  <si>
    <t>0.259456</t>
  </si>
  <si>
    <t>319</t>
  </si>
  <si>
    <t>0.4675</t>
  </si>
  <si>
    <t>50.164253</t>
  </si>
  <si>
    <t>0.187</t>
  </si>
  <si>
    <t>156.6125</t>
  </si>
  <si>
    <t>8413.267214</t>
  </si>
  <si>
    <t>32.8887</t>
  </si>
  <si>
    <t>89</t>
  </si>
  <si>
    <t>95.5966</t>
  </si>
  <si>
    <t>8971.843249</t>
  </si>
  <si>
    <t>33.4589</t>
  </si>
  <si>
    <t>1.8528</t>
  </si>
  <si>
    <t>20.3404</t>
  </si>
  <si>
    <t>2762.443039</t>
  </si>
  <si>
    <t>10.1702</t>
  </si>
  <si>
    <t>0.2203</t>
  </si>
  <si>
    <t>33.022278</t>
  </si>
  <si>
    <t>93</t>
  </si>
  <si>
    <t>0.1653</t>
  </si>
  <si>
    <t>32.7492</t>
  </si>
  <si>
    <t>5927.9104</t>
  </si>
  <si>
    <t>13.0998</t>
  </si>
  <si>
    <t>18.3218</t>
  </si>
  <si>
    <t>1168.584361</t>
  </si>
  <si>
    <t>11.0802</t>
  </si>
  <si>
    <t>343.430485</t>
  </si>
  <si>
    <t>168</t>
  </si>
  <si>
    <t>740731.002</t>
  </si>
  <si>
    <t>1.1096</t>
  </si>
  <si>
    <t>654.637547</t>
  </si>
  <si>
    <t>71.5818</t>
  </si>
  <si>
    <t>722.763649</t>
  </si>
  <si>
    <t>6362673.845000001</t>
  </si>
  <si>
    <t>25.0535</t>
  </si>
  <si>
    <t>649.040983</t>
  </si>
  <si>
    <t>30.1637</t>
  </si>
  <si>
    <t>3418376.272</t>
  </si>
  <si>
    <t>1.692</t>
  </si>
  <si>
    <t>457.457559</t>
  </si>
  <si>
    <t>15.082</t>
  </si>
  <si>
    <t>0.3215</t>
  </si>
  <si>
    <t>0.07530000000000001</t>
  </si>
  <si>
    <t>8411.521000000001</t>
  </si>
  <si>
    <t>0.0232</t>
  </si>
  <si>
    <t>7.416068</t>
  </si>
  <si>
    <t>0.0151</t>
  </si>
  <si>
    <t>0.0082</t>
  </si>
  <si>
    <t>21.9409</t>
  </si>
  <si>
    <t>4399865.797999999</t>
  </si>
  <si>
    <t>0.0639</t>
  </si>
  <si>
    <t>31.154171</t>
  </si>
  <si>
    <t>8.776300000000001</t>
  </si>
  <si>
    <t>0.0319</t>
  </si>
  <si>
    <t>4.788</t>
  </si>
  <si>
    <t>0.0877</t>
  </si>
  <si>
    <t>323528.652</t>
  </si>
  <si>
    <t>10.94554</t>
  </si>
  <si>
    <t>0.0166</t>
  </si>
  <si>
    <t>0.250637</t>
  </si>
  <si>
    <t>284872.613</t>
  </si>
  <si>
    <t>0.4643</t>
  </si>
  <si>
    <t>455.096599</t>
  </si>
  <si>
    <t>182747.544</t>
  </si>
  <si>
    <t>0.7166</t>
  </si>
  <si>
    <t>0.5584</t>
  </si>
  <si>
    <t>0.0597</t>
  </si>
  <si>
    <t>27.19477</t>
  </si>
  <si>
    <t>0.0209</t>
  </si>
  <si>
    <t>0.7081</t>
  </si>
  <si>
    <t>89899.09199999999</t>
  </si>
  <si>
    <t>0.7026</t>
  </si>
  <si>
    <t>360.11203</t>
  </si>
  <si>
    <t>0.3186</t>
  </si>
  <si>
    <t>0.2951</t>
  </si>
  <si>
    <t>0.9907</t>
  </si>
  <si>
    <t>0.3512</t>
  </si>
  <si>
    <t>147664.938</t>
  </si>
  <si>
    <t>54.916409</t>
  </si>
  <si>
    <t>0.0632</t>
  </si>
  <si>
    <t>0.3666</t>
  </si>
  <si>
    <t>0.6254</t>
  </si>
  <si>
    <t>129.905255</t>
  </si>
  <si>
    <t>1908.023</t>
  </si>
  <si>
    <t>0.2188</t>
  </si>
  <si>
    <t>22.3576</t>
  </si>
  <si>
    <t>1261.464109</t>
  </si>
  <si>
    <t>1.0523</t>
  </si>
  <si>
    <t>136397.282</t>
  </si>
  <si>
    <t>57.154</t>
  </si>
  <si>
    <t>5056.081495</t>
  </si>
  <si>
    <t>0.4209</t>
  </si>
  <si>
    <t>20.0039</t>
  </si>
  <si>
    <t>0.3763</t>
  </si>
  <si>
    <t>59318.734</t>
  </si>
  <si>
    <t>29.5413</t>
  </si>
  <si>
    <t>3514.288662</t>
  </si>
  <si>
    <t>0.1505</t>
  </si>
  <si>
    <t>14.7706</t>
  </si>
  <si>
    <t>0.5313</t>
  </si>
  <si>
    <t>46850.674</t>
  </si>
  <si>
    <t>0.3545</t>
  </si>
  <si>
    <t>67.328507</t>
  </si>
  <si>
    <t>0.0956</t>
  </si>
  <si>
    <t>0.2658</t>
  </si>
  <si>
    <t>17.0951</t>
  </si>
  <si>
    <t>3209.643513</t>
  </si>
  <si>
    <t>0.0106</t>
  </si>
  <si>
    <t>1650.026</t>
  </si>
  <si>
    <t>0.0042</t>
  </si>
  <si>
    <t>Lime</t>
  </si>
  <si>
    <t>12.0351</t>
  </si>
  <si>
    <t>665.216812</t>
  </si>
  <si>
    <t>0.2056</t>
  </si>
  <si>
    <t>41075.017</t>
  </si>
  <si>
    <t>0.0823</t>
  </si>
  <si>
    <t>280.366585</t>
  </si>
  <si>
    <t>0.8117</t>
  </si>
  <si>
    <t>54.9092</t>
  </si>
  <si>
    <t>2.1726</t>
  </si>
  <si>
    <t>3357609.547</t>
  </si>
  <si>
    <t>330.982913</t>
  </si>
  <si>
    <t>0.8038</t>
  </si>
  <si>
    <t>11.531</t>
  </si>
  <si>
    <t>39.3809</t>
  </si>
  <si>
    <t>305.898532</t>
  </si>
  <si>
    <t>4194076.763</t>
  </si>
  <si>
    <t>0.5798</t>
  </si>
  <si>
    <t>13.7834</t>
  </si>
  <si>
    <t>140.871749</t>
  </si>
  <si>
    <t>735410.338</t>
  </si>
  <si>
    <t>0.6692</t>
  </si>
  <si>
    <t>0.6509</t>
  </si>
  <si>
    <t>0.3959</t>
  </si>
  <si>
    <t>126.123622</t>
  </si>
  <si>
    <t>66646.87999999999</t>
  </si>
  <si>
    <t>0.2604</t>
  </si>
  <si>
    <t>0.2969</t>
  </si>
  <si>
    <t>0.0081</t>
  </si>
  <si>
    <t>2.613454</t>
  </si>
  <si>
    <t>0.0044</t>
  </si>
  <si>
    <t>385.702</t>
  </si>
  <si>
    <t>0.0023</t>
  </si>
  <si>
    <t>0.7626</t>
  </si>
  <si>
    <t>92.107813</t>
  </si>
  <si>
    <t>0.305</t>
  </si>
  <si>
    <t>1552946.177</t>
  </si>
  <si>
    <t>0.2396</t>
  </si>
  <si>
    <t>37.023186</t>
  </si>
  <si>
    <t>7.646</t>
  </si>
  <si>
    <t>547562.863</t>
  </si>
  <si>
    <t>0.0455</t>
  </si>
  <si>
    <t>0.119351</t>
  </si>
  <si>
    <t>4.0811</t>
  </si>
  <si>
    <t>299708.529</t>
  </si>
  <si>
    <t>0.9387</t>
  </si>
  <si>
    <t>0.1731</t>
  </si>
  <si>
    <t>35.477459</t>
  </si>
  <si>
    <t>0.0693</t>
  </si>
  <si>
    <t>0.5181</t>
  </si>
  <si>
    <t>82924.092</t>
  </si>
  <si>
    <t>0.2331</t>
  </si>
  <si>
    <t>62.2945</t>
  </si>
  <si>
    <t>3886.490741</t>
  </si>
  <si>
    <t>13.0819</t>
  </si>
  <si>
    <t>132623.274</t>
  </si>
  <si>
    <t>0.2537</t>
  </si>
  <si>
    <t>0.07665</t>
  </si>
  <si>
    <t>0.5252</t>
  </si>
  <si>
    <t>82262.954</t>
  </si>
  <si>
    <t>65.0353</t>
  </si>
  <si>
    <t>0.1943</t>
  </si>
  <si>
    <t>6461.604885</t>
  </si>
  <si>
    <t>22.7624</t>
  </si>
  <si>
    <t>0.8628</t>
  </si>
  <si>
    <t>77771.447</t>
  </si>
  <si>
    <t>7.079</t>
  </si>
  <si>
    <t>978.03047</t>
  </si>
  <si>
    <t>0.0235</t>
  </si>
  <si>
    <t>4290.931</t>
  </si>
  <si>
    <t>0.4188</t>
  </si>
  <si>
    <t>71.137857</t>
  </si>
  <si>
    <t>0.3141</t>
  </si>
  <si>
    <t>0.2102</t>
  </si>
  <si>
    <t>48938.784</t>
  </si>
  <si>
    <t>1704.141979</t>
  </si>
  <si>
    <t>0.0735</t>
  </si>
  <si>
    <t>1308.484</t>
  </si>
  <si>
    <t>14.6881</t>
  </si>
  <si>
    <t>881.70831</t>
  </si>
  <si>
    <t>0.0159</t>
  </si>
  <si>
    <t>3317.889</t>
  </si>
  <si>
    <t>283.989748</t>
  </si>
  <si>
    <t>0.0048</t>
  </si>
  <si>
    <t>0.8736</t>
  </si>
  <si>
    <t>0.3496</t>
  </si>
  <si>
    <t>38380.471</t>
  </si>
  <si>
    <t>0.6053</t>
  </si>
  <si>
    <t>112.811286</t>
  </si>
  <si>
    <t>0.1398</t>
  </si>
  <si>
    <t>0.2724</t>
  </si>
  <si>
    <t>1.528</t>
  </si>
  <si>
    <t>60.471</t>
  </si>
  <si>
    <t>224.946184</t>
  </si>
  <si>
    <t>0.5654</t>
  </si>
  <si>
    <t>0.0954</t>
  </si>
  <si>
    <t>1.291</t>
  </si>
  <si>
    <t>37051.83</t>
  </si>
  <si>
    <t>137.342741</t>
  </si>
  <si>
    <t>0.0381</t>
  </si>
  <si>
    <t>0.6456</t>
  </si>
  <si>
    <t>158.1197</t>
  </si>
  <si>
    <t>128.123744</t>
  </si>
  <si>
    <t>8438527.040000001</t>
  </si>
  <si>
    <t>33.2051</t>
  </si>
  <si>
    <t>0.2457</t>
  </si>
  <si>
    <t>110.5001</t>
  </si>
  <si>
    <t>10562128.693</t>
  </si>
  <si>
    <t>38.6751</t>
  </si>
  <si>
    <t>0.429929</t>
  </si>
  <si>
    <t>912741.2070000001</t>
  </si>
  <si>
    <t>0.5541</t>
  </si>
  <si>
    <t>65.790073</t>
  </si>
  <si>
    <t>0.2217</t>
  </si>
  <si>
    <t>Teal</t>
  </si>
  <si>
    <t>0.7088</t>
  </si>
  <si>
    <t>42.52785</t>
  </si>
  <si>
    <t>0.2481</t>
  </si>
  <si>
    <t>0.1453</t>
  </si>
  <si>
    <t>41.459526</t>
  </si>
  <si>
    <t>0.0581</t>
  </si>
  <si>
    <t>5509.437</t>
  </si>
  <si>
    <t>126.6888</t>
  </si>
  <si>
    <t>6964.641234</t>
  </si>
  <si>
    <t>0.0306</t>
  </si>
  <si>
    <t>26.6046</t>
  </si>
  <si>
    <t>0.0165</t>
  </si>
  <si>
    <t>2359.302</t>
  </si>
  <si>
    <t>87.3889</t>
  </si>
  <si>
    <t>7894.581306</t>
  </si>
  <si>
    <t>30.5861</t>
  </si>
  <si>
    <t>SUM из Units clean</t>
  </si>
  <si>
    <t>SUM из Value clean</t>
  </si>
  <si>
    <t>SUM из Volume clean</t>
  </si>
  <si>
    <t>20.2505</t>
  </si>
  <si>
    <t>4419943.142</t>
  </si>
  <si>
    <t>17.5314</t>
  </si>
  <si>
    <t>SUM из Number of stores clean</t>
  </si>
  <si>
    <t>2313.44746</t>
  </si>
  <si>
    <t>8.100199999999999</t>
  </si>
  <si>
    <t>19.6373</t>
  </si>
  <si>
    <t>0.0754</t>
  </si>
  <si>
    <t>1418480.059</t>
  </si>
  <si>
    <t>10.34063</t>
  </si>
  <si>
    <t>0.0566</t>
  </si>
  <si>
    <t>23.8464</t>
  </si>
  <si>
    <t>4815.378802</t>
  </si>
  <si>
    <t>493.352945</t>
  </si>
  <si>
    <t>655.264603</t>
  </si>
  <si>
    <t>16.1501</t>
  </si>
  <si>
    <t>985.101548</t>
  </si>
  <si>
    <t>5.814</t>
  </si>
  <si>
    <t>868.844336</t>
  </si>
  <si>
    <t>2.34</t>
  </si>
  <si>
    <t>1.477</t>
  </si>
  <si>
    <t>390.842837</t>
  </si>
  <si>
    <t>0.2805</t>
  </si>
  <si>
    <t>0.0267</t>
  </si>
  <si>
    <t>8.962127</t>
  </si>
  <si>
    <t>0.0093</t>
  </si>
  <si>
    <t>0.079</t>
  </si>
  <si>
    <t>38.584694</t>
  </si>
  <si>
    <t>0.0395</t>
  </si>
  <si>
    <t>0.0357</t>
  </si>
  <si>
    <t>5.718368</t>
  </si>
  <si>
    <t>365.607411</t>
  </si>
  <si>
    <t>0.5491</t>
  </si>
  <si>
    <t>358.536068</t>
  </si>
  <si>
    <t>0.2498</t>
  </si>
  <si>
    <t>46.870565</t>
  </si>
  <si>
    <t>0.0825</t>
  </si>
  <si>
    <t>0.4852</t>
  </si>
  <si>
    <t>215.208807</t>
  </si>
  <si>
    <t>0.2426</t>
  </si>
  <si>
    <t>0.0654</t>
  </si>
  <si>
    <t>29.755378</t>
  </si>
  <si>
    <t>0.0229</t>
  </si>
  <si>
    <t>0.313</t>
  </si>
  <si>
    <t>173.026412</t>
  </si>
  <si>
    <t>0.1314</t>
  </si>
  <si>
    <t>17.4455</t>
  </si>
  <si>
    <t>1029.598821</t>
  </si>
  <si>
    <t>45.0632</t>
  </si>
  <si>
    <t>4036.583675</t>
  </si>
  <si>
    <t>15.7722</t>
  </si>
  <si>
    <t>50.0413</t>
  </si>
  <si>
    <t>5268.299434</t>
  </si>
  <si>
    <t>25.0206</t>
  </si>
  <si>
    <t>2.063</t>
  </si>
  <si>
    <t>213.294153</t>
  </si>
  <si>
    <t>13.2913</t>
  </si>
  <si>
    <t>2643.416951</t>
  </si>
  <si>
    <t>622.228998</t>
  </si>
  <si>
    <t>1.0215</t>
  </si>
  <si>
    <t>160.392984</t>
  </si>
  <si>
    <t>0.4597</t>
  </si>
  <si>
    <t>391.482226</t>
  </si>
  <si>
    <t>1.0235</t>
  </si>
  <si>
    <t>3.937</t>
  </si>
  <si>
    <t>360.477244</t>
  </si>
  <si>
    <t>0.7087</t>
  </si>
  <si>
    <t>2.1413</t>
  </si>
  <si>
    <t>156.110209</t>
  </si>
  <si>
    <t>0.7709</t>
  </si>
  <si>
    <t>0.5585</t>
  </si>
  <si>
    <t>117.64838</t>
  </si>
  <si>
    <t>0.2234</t>
  </si>
  <si>
    <t>1.560646</t>
  </si>
  <si>
    <t>0.0014</t>
  </si>
  <si>
    <t>0.7672</t>
  </si>
  <si>
    <t>92.905343</t>
  </si>
  <si>
    <t>0.3069</t>
  </si>
  <si>
    <t>1.1305</t>
  </si>
  <si>
    <t>55.474507</t>
  </si>
  <si>
    <t>0.2148</t>
  </si>
  <si>
    <t>0.425287</t>
  </si>
  <si>
    <t>0.211</t>
  </si>
  <si>
    <t>44.131594</t>
  </si>
  <si>
    <t>45.3431</t>
  </si>
  <si>
    <t>3056.350782</t>
  </si>
  <si>
    <t>9.522</t>
  </si>
  <si>
    <t>0.142293</t>
  </si>
  <si>
    <t>76.6523</t>
  </si>
  <si>
    <t>6777.613965</t>
  </si>
  <si>
    <t>26.8282</t>
  </si>
  <si>
    <t>822.030462</t>
  </si>
  <si>
    <t>0.4157</t>
  </si>
  <si>
    <t>66.62911</t>
  </si>
  <si>
    <t>0.3118</t>
  </si>
  <si>
    <t>1161.256081</t>
  </si>
  <si>
    <t>18.7903</t>
  </si>
  <si>
    <t>1016.720657</t>
  </si>
  <si>
    <t>262.774193</t>
  </si>
  <si>
    <t>0.7646</t>
  </si>
  <si>
    <t>0.5825</t>
  </si>
  <si>
    <t>119.821694</t>
  </si>
  <si>
    <t>0.2621</t>
  </si>
  <si>
    <t>236.517256</t>
  </si>
  <si>
    <t>0.5123</t>
  </si>
  <si>
    <t>1.34</t>
  </si>
  <si>
    <t>120.12206</t>
  </si>
  <si>
    <t>0.2412</t>
  </si>
  <si>
    <t>0.8894</t>
  </si>
  <si>
    <t>92.652783</t>
  </si>
  <si>
    <t>0.4446</t>
  </si>
  <si>
    <t>1.081717</t>
  </si>
  <si>
    <t>0.5157</t>
  </si>
  <si>
    <t>56.30877</t>
  </si>
  <si>
    <t>0.2063</t>
  </si>
  <si>
    <t>1.0837</t>
  </si>
  <si>
    <t>49.519426</t>
  </si>
  <si>
    <t>0.3034</t>
  </si>
  <si>
    <t>0.5387</t>
  </si>
  <si>
    <t>47.024197</t>
  </si>
  <si>
    <t>0.2693</t>
  </si>
  <si>
    <t>75.9334</t>
  </si>
  <si>
    <t>4901.720639</t>
  </si>
  <si>
    <t>15.946</t>
  </si>
  <si>
    <t>96.8199</t>
  </si>
  <si>
    <t>7862.024497</t>
  </si>
  <si>
    <t>33.887</t>
  </si>
  <si>
    <t>14.8417</t>
  </si>
  <si>
    <t>1864.033093</t>
  </si>
  <si>
    <t>0.1094</t>
  </si>
  <si>
    <t>15.912793</t>
  </si>
  <si>
    <t>20.4412</t>
  </si>
  <si>
    <t>4241.478373</t>
  </si>
  <si>
    <t>8.1765</t>
  </si>
  <si>
    <t>31.2794</t>
  </si>
  <si>
    <t>1824.296596</t>
  </si>
  <si>
    <t>8.0562</t>
  </si>
  <si>
    <t>1209.394551</t>
  </si>
  <si>
    <t>302.101449</t>
  </si>
  <si>
    <t>0.9919</t>
  </si>
  <si>
    <t>3.1105</t>
  </si>
  <si>
    <t>565.056658</t>
  </si>
  <si>
    <t>476.183387</t>
  </si>
  <si>
    <t>0.3342</t>
  </si>
  <si>
    <t>0.0245</t>
  </si>
  <si>
    <t>7.848517</t>
  </si>
  <si>
    <t>0.0087</t>
  </si>
  <si>
    <t>0.0558</t>
  </si>
  <si>
    <t>27.373598</t>
  </si>
  <si>
    <t>0.0279</t>
  </si>
  <si>
    <t>0.0135</t>
  </si>
  <si>
    <t>3.280559</t>
  </si>
  <si>
    <t>0.0026</t>
  </si>
  <si>
    <t>371.495588</t>
  </si>
  <si>
    <t>2.1193</t>
  </si>
  <si>
    <t>223.758046</t>
  </si>
  <si>
    <t>1.0596</t>
  </si>
  <si>
    <t>0.3927</t>
  </si>
  <si>
    <t>60.613095</t>
  </si>
  <si>
    <t>0.0707</t>
  </si>
  <si>
    <t>0.5521</t>
  </si>
  <si>
    <t>120.995908</t>
  </si>
  <si>
    <t>0.1933</t>
  </si>
  <si>
    <t>0.1282</t>
  </si>
  <si>
    <t>24.489549</t>
  </si>
  <si>
    <t>0.0423</t>
  </si>
  <si>
    <t>0.3336</t>
  </si>
  <si>
    <t>149.109018</t>
  </si>
  <si>
    <t>0.1667</t>
  </si>
  <si>
    <t>15.1169</t>
  </si>
  <si>
    <t>870.325083</t>
  </si>
  <si>
    <t>3.1746</t>
  </si>
  <si>
    <t>87.8911</t>
  </si>
  <si>
    <t>7403.354863</t>
  </si>
  <si>
    <t>30.7618</t>
  </si>
  <si>
    <t>21.0883</t>
  </si>
  <si>
    <t>2552.483087</t>
  </si>
  <si>
    <t>7.0695</t>
  </si>
  <si>
    <t>6.283229</t>
  </si>
  <si>
    <t>14.4919</t>
  </si>
  <si>
    <t>2822.831024</t>
  </si>
  <si>
    <t>2.978</t>
  </si>
  <si>
    <t>170088.854</t>
  </si>
  <si>
    <t>472.153171</t>
  </si>
  <si>
    <t>0.6849</t>
  </si>
  <si>
    <t>0.7098</t>
  </si>
  <si>
    <t>116.373314</t>
  </si>
  <si>
    <t>503776.524</t>
  </si>
  <si>
    <t>382.445638</t>
  </si>
  <si>
    <t>1.541</t>
  </si>
  <si>
    <t>1.0267</t>
  </si>
  <si>
    <t>407293.637</t>
  </si>
  <si>
    <t>0.2928</t>
  </si>
  <si>
    <t>290.430785</t>
  </si>
  <si>
    <t>0.0206</t>
  </si>
  <si>
    <t>0.5413</t>
  </si>
  <si>
    <t>6792.724999999999</t>
  </si>
  <si>
    <t>0.0073</t>
  </si>
  <si>
    <t>3.0332</t>
  </si>
  <si>
    <t>201.709554</t>
  </si>
  <si>
    <t>0.0738</t>
  </si>
  <si>
    <t>36475.166</t>
  </si>
  <si>
    <t>1.0919</t>
  </si>
  <si>
    <t>0.0369</t>
  </si>
  <si>
    <t>0.5598</t>
  </si>
  <si>
    <t>112.794113</t>
  </si>
  <si>
    <t>660.408</t>
  </si>
  <si>
    <t>0.2239</t>
  </si>
  <si>
    <t>1.986265</t>
  </si>
  <si>
    <t>0.0551</t>
  </si>
  <si>
    <t>25322.154</t>
  </si>
  <si>
    <t>0.0193</t>
  </si>
  <si>
    <t>0.7859</t>
  </si>
  <si>
    <t>93.897746</t>
  </si>
  <si>
    <t>0.4099</t>
  </si>
  <si>
    <t>222275.641</t>
  </si>
  <si>
    <t>0.3144</t>
  </si>
  <si>
    <t>0.1721</t>
  </si>
  <si>
    <t>0.2265</t>
  </si>
  <si>
    <t>47.412949</t>
  </si>
  <si>
    <t>0.2964</t>
  </si>
  <si>
    <t>0.0906</t>
  </si>
  <si>
    <t>53936.471</t>
  </si>
  <si>
    <t>0.0533</t>
  </si>
  <si>
    <t>0.2089</t>
  </si>
  <si>
    <t>35.509419</t>
  </si>
  <si>
    <t>0.8342000000000001</t>
  </si>
  <si>
    <t>187833.551</t>
  </si>
  <si>
    <t>0.292</t>
  </si>
  <si>
    <t>0.149852</t>
  </si>
  <si>
    <t>1.403</t>
  </si>
  <si>
    <t>229581.509</t>
  </si>
  <si>
    <t>0.519</t>
  </si>
  <si>
    <t>50.7063</t>
  </si>
  <si>
    <t>3398.473048</t>
  </si>
  <si>
    <t>1.0795</t>
  </si>
  <si>
    <t>201002.334</t>
  </si>
  <si>
    <t>0.010941</t>
  </si>
  <si>
    <t>0.3777</t>
  </si>
  <si>
    <t>513.01</t>
  </si>
  <si>
    <t>63.5335</t>
  </si>
  <si>
    <t>5999.003434</t>
  </si>
  <si>
    <t>22.2367</t>
  </si>
  <si>
    <t>0.5091</t>
  </si>
  <si>
    <t>184811.387</t>
  </si>
  <si>
    <t>6.463</t>
  </si>
  <si>
    <t>909.795361</t>
  </si>
  <si>
    <t>0.2036</t>
  </si>
  <si>
    <t>0.4626</t>
  </si>
  <si>
    <t>79.825211</t>
  </si>
  <si>
    <t>883869.49</t>
  </si>
  <si>
    <t>2.673</t>
  </si>
  <si>
    <t>1518.623836</t>
  </si>
  <si>
    <t>71.5553</t>
  </si>
  <si>
    <t>6611277.901000001</t>
  </si>
  <si>
    <t>25.0443</t>
  </si>
  <si>
    <t>8.89</t>
  </si>
  <si>
    <t>612.199476</t>
  </si>
  <si>
    <t>36.161</t>
  </si>
  <si>
    <t>4368402.84</t>
  </si>
  <si>
    <t>18.0803</t>
  </si>
  <si>
    <t>235.936746</t>
  </si>
  <si>
    <t>0.0728</t>
  </si>
  <si>
    <t>0.6564</t>
  </si>
  <si>
    <t>8987.190999999999</t>
  </si>
  <si>
    <t>0.0146</t>
  </si>
  <si>
    <t>193.56644</t>
  </si>
  <si>
    <t>0.5366</t>
  </si>
  <si>
    <t>25.6654</t>
  </si>
  <si>
    <t>5080932.744</t>
  </si>
  <si>
    <t>0.7997</t>
  </si>
  <si>
    <t>132.964286</t>
  </si>
  <si>
    <t>0.2959</t>
  </si>
  <si>
    <t>381379.502</t>
  </si>
  <si>
    <t>0.651</t>
  </si>
  <si>
    <t>119.129525</t>
  </si>
  <si>
    <t>326445.788</t>
  </si>
  <si>
    <t>Khaki</t>
  </si>
  <si>
    <t>0.4297</t>
  </si>
  <si>
    <t>86.020452</t>
  </si>
  <si>
    <t>194223.798</t>
  </si>
  <si>
    <t>0.1504</t>
  </si>
  <si>
    <t>0.5931999999999999</t>
  </si>
  <si>
    <t>0.0053</t>
  </si>
  <si>
    <t>1.922279</t>
  </si>
  <si>
    <t>0.4134</t>
  </si>
  <si>
    <t>59907.001</t>
  </si>
  <si>
    <t>0.186</t>
  </si>
  <si>
    <t>0.6454</t>
  </si>
  <si>
    <t>70.732262</t>
  </si>
  <si>
    <t>0.008200000000000001</t>
  </si>
  <si>
    <t>2719.411</t>
  </si>
  <si>
    <t>0.2581</t>
  </si>
  <si>
    <t>0.0299</t>
  </si>
  <si>
    <t>10.112935</t>
  </si>
  <si>
    <t>1.0868</t>
  </si>
  <si>
    <t>140990.37</t>
  </si>
  <si>
    <t>0.0057</t>
  </si>
  <si>
    <t>0.4347</t>
  </si>
  <si>
    <t>0.1454</t>
  </si>
  <si>
    <t>46.945756</t>
  </si>
  <si>
    <t>0.7852</t>
  </si>
  <si>
    <t>112194.176</t>
  </si>
  <si>
    <t>0.0582</t>
  </si>
  <si>
    <t>0.2905</t>
  </si>
  <si>
    <t>0.4858</t>
  </si>
  <si>
    <t>51.738094</t>
  </si>
  <si>
    <t>0.2595</t>
  </si>
  <si>
    <t>45093.43</t>
  </si>
  <si>
    <t>0.2429</t>
  </si>
  <si>
    <t>0.0493</t>
  </si>
  <si>
    <t>86.1022</t>
  </si>
  <si>
    <t>69.55500000000001</t>
  </si>
  <si>
    <t>5422.054982</t>
  </si>
  <si>
    <t>18.0815</t>
  </si>
  <si>
    <t>0.2084</t>
  </si>
  <si>
    <t>42177.223</t>
  </si>
  <si>
    <t>67.7327</t>
  </si>
  <si>
    <t>5977.697769</t>
  </si>
  <si>
    <t>0.0833</t>
  </si>
  <si>
    <t>23.7064</t>
  </si>
  <si>
    <t>0.3992</t>
  </si>
  <si>
    <t>38224.321</t>
  </si>
  <si>
    <t>11.1159</t>
  </si>
  <si>
    <t>1411.179164</t>
  </si>
  <si>
    <t>0.07190000000000001</t>
  </si>
  <si>
    <t>5.558</t>
  </si>
  <si>
    <t>1612.696</t>
  </si>
  <si>
    <t>1.0494</t>
  </si>
  <si>
    <t>147.300122</t>
  </si>
  <si>
    <t>0.7871</t>
  </si>
  <si>
    <t>58.9925</t>
  </si>
  <si>
    <t>3420009.855</t>
  </si>
  <si>
    <t>36.3771</t>
  </si>
  <si>
    <t>6144.165251</t>
  </si>
  <si>
    <t>14.5509</t>
  </si>
  <si>
    <t>55.1167</t>
  </si>
  <si>
    <t>5533045.968</t>
  </si>
  <si>
    <t>21.8827</t>
  </si>
  <si>
    <t>19.2909</t>
  </si>
  <si>
    <t>1520.411846</t>
  </si>
  <si>
    <t>5.0973</t>
  </si>
  <si>
    <t>751429.353</t>
  </si>
  <si>
    <t>521.917002</t>
  </si>
  <si>
    <t>1.916</t>
  </si>
  <si>
    <t>0.3926</t>
  </si>
  <si>
    <t>67253.647</t>
  </si>
  <si>
    <t>0.2945</t>
  </si>
  <si>
    <t>499.183237</t>
  </si>
  <si>
    <t>0.004</t>
  </si>
  <si>
    <t>587.074</t>
  </si>
  <si>
    <t>411.200988</t>
  </si>
  <si>
    <t>5.984</t>
  </si>
  <si>
    <t>1257186.042</t>
  </si>
  <si>
    <t>0.9427</t>
  </si>
  <si>
    <t>0.02</t>
  </si>
  <si>
    <t>3.348456</t>
  </si>
  <si>
    <t>16.7714</t>
  </si>
  <si>
    <t>957650.1070000001</t>
  </si>
  <si>
    <t>0.0038</t>
  </si>
  <si>
    <t>6.0377</t>
  </si>
  <si>
    <t>0.242017</t>
  </si>
  <si>
    <t>461544.797</t>
  </si>
  <si>
    <t>374.905378</t>
  </si>
  <si>
    <t>0.5295</t>
  </si>
  <si>
    <t>85414.349</t>
  </si>
  <si>
    <t>0.5448</t>
  </si>
  <si>
    <t>0.2383</t>
  </si>
  <si>
    <t>1.0443</t>
  </si>
  <si>
    <t>298.579602</t>
  </si>
  <si>
    <t>193421.163</t>
  </si>
  <si>
    <t>0.1984</t>
  </si>
  <si>
    <t>0.4778</t>
  </si>
  <si>
    <t>0.045</t>
  </si>
  <si>
    <t>9.620347</t>
  </si>
  <si>
    <t>0.0158</t>
  </si>
  <si>
    <t>162790.081</t>
  </si>
  <si>
    <t>0.31</t>
  </si>
  <si>
    <t>0.0452</t>
  </si>
  <si>
    <t>22.065598</t>
  </si>
  <si>
    <t>0.0226</t>
  </si>
  <si>
    <t>1.0598</t>
  </si>
  <si>
    <t>97765.70999999999</t>
  </si>
  <si>
    <t>0.291</t>
  </si>
  <si>
    <t>0.371</t>
  </si>
  <si>
    <t>49.084923</t>
  </si>
  <si>
    <t>0.0524</t>
  </si>
  <si>
    <t>0.2531</t>
  </si>
  <si>
    <t>0.6584</t>
  </si>
  <si>
    <t>50093.305</t>
  </si>
  <si>
    <t>140.649292</t>
  </si>
  <si>
    <t>0.081</t>
  </si>
  <si>
    <t>0.2304</t>
  </si>
  <si>
    <t>274.441</t>
  </si>
  <si>
    <t>0.424558</t>
  </si>
  <si>
    <t>138.314</t>
  </si>
  <si>
    <t>0.0458</t>
  </si>
  <si>
    <t>20.850142</t>
  </si>
  <si>
    <t>0.016</t>
  </si>
  <si>
    <t>0.4348</t>
  </si>
  <si>
    <t>47505.247</t>
  </si>
  <si>
    <t>0.2691</t>
  </si>
  <si>
    <t>140.824207</t>
  </si>
  <si>
    <t>0.1739</t>
  </si>
  <si>
    <t>0.1131</t>
  </si>
  <si>
    <t>0.038</t>
  </si>
  <si>
    <t>6911.678</t>
  </si>
  <si>
    <t>154.4753</t>
  </si>
  <si>
    <t>0.2822</t>
  </si>
  <si>
    <t>0.1571</t>
  </si>
  <si>
    <t>35343.786</t>
  </si>
  <si>
    <t>14.4989</t>
  </si>
  <si>
    <t>0.055</t>
  </si>
  <si>
    <t>839.675037</t>
  </si>
  <si>
    <t>160.7599</t>
  </si>
  <si>
    <t>3.0448</t>
  </si>
  <si>
    <t>8375874.438000001</t>
  </si>
  <si>
    <t>33.7595</t>
  </si>
  <si>
    <t>52.6967</t>
  </si>
  <si>
    <t>4545.647378</t>
  </si>
  <si>
    <t>128.3013</t>
  </si>
  <si>
    <t>18.4438</t>
  </si>
  <si>
    <t>12122702.853</t>
  </si>
  <si>
    <t>44.9054</t>
  </si>
  <si>
    <t>27.0943</t>
  </si>
  <si>
    <t>2912.236932</t>
  </si>
  <si>
    <t>1390042.249</t>
  </si>
  <si>
    <t>13.5471</t>
  </si>
  <si>
    <t>2.343986</t>
  </si>
  <si>
    <t>0.008</t>
  </si>
  <si>
    <t>1284.879</t>
  </si>
  <si>
    <t>0.006</t>
  </si>
  <si>
    <t>15.9888</t>
  </si>
  <si>
    <t>3144.032997</t>
  </si>
  <si>
    <t>0.08400000000000001</t>
  </si>
  <si>
    <t>12614.995</t>
  </si>
  <si>
    <t>0.0168</t>
  </si>
  <si>
    <t>6.511</t>
  </si>
  <si>
    <t>386.054146</t>
  </si>
  <si>
    <t>36.1689</t>
  </si>
  <si>
    <t>6994548.254000001</t>
  </si>
  <si>
    <t>14.4676</t>
  </si>
  <si>
    <t>152.672372</t>
  </si>
  <si>
    <t>26.1577</t>
  </si>
  <si>
    <t>1774121.005</t>
  </si>
  <si>
    <t>0.9025</t>
  </si>
  <si>
    <t>418.475559</t>
  </si>
  <si>
    <t>504261.818</t>
  </si>
  <si>
    <t>3.0662</t>
  </si>
  <si>
    <t>0.3373</t>
  </si>
  <si>
    <t>2.522</t>
  </si>
  <si>
    <t>373.798464</t>
  </si>
  <si>
    <t>0.019</t>
  </si>
  <si>
    <t>6121.244</t>
  </si>
  <si>
    <t>0.9331</t>
  </si>
  <si>
    <t>0.0067</t>
  </si>
  <si>
    <t>284.902185</t>
  </si>
  <si>
    <t>0.0965</t>
  </si>
  <si>
    <t>47773.322</t>
  </si>
  <si>
    <t>0.512</t>
  </si>
  <si>
    <t>0.0483</t>
  </si>
  <si>
    <t>0.6974</t>
  </si>
  <si>
    <t>127.709397</t>
  </si>
  <si>
    <t>3.219</t>
  </si>
  <si>
    <t>151434.106</t>
  </si>
  <si>
    <t>0.2789</t>
  </si>
  <si>
    <t>0.7403999999999999</t>
  </si>
  <si>
    <t>0.0076</t>
  </si>
  <si>
    <t>2.463735</t>
  </si>
  <si>
    <t>395922.213</t>
  </si>
  <si>
    <t>1.1678</t>
  </si>
  <si>
    <t>0.7316</t>
  </si>
  <si>
    <t>88.74046</t>
  </si>
  <si>
    <t>481704.229</t>
  </si>
  <si>
    <t>0.2927</t>
  </si>
  <si>
    <t>1.014</t>
  </si>
  <si>
    <t>0.2518</t>
  </si>
  <si>
    <t>52.956799</t>
  </si>
  <si>
    <t>0.002</t>
  </si>
  <si>
    <t>0.1007</t>
  </si>
  <si>
    <t>990.6129999999999</t>
  </si>
  <si>
    <t>0.2349</t>
  </si>
  <si>
    <t>24.720427</t>
  </si>
  <si>
    <t>0.0619</t>
  </si>
  <si>
    <t>28385.296</t>
  </si>
  <si>
    <t>0.0216</t>
  </si>
  <si>
    <t>0.0802</t>
  </si>
  <si>
    <t>9.577978</t>
  </si>
  <si>
    <t>0.4613</t>
  </si>
  <si>
    <t>255430.531</t>
  </si>
  <si>
    <t>0.0321</t>
  </si>
  <si>
    <t>0.1937</t>
  </si>
  <si>
    <t>61.301</t>
  </si>
  <si>
    <t>3827.928427</t>
  </si>
  <si>
    <t>0.3527</t>
  </si>
  <si>
    <t>64167.69700000001</t>
  </si>
  <si>
    <t>0.0635</t>
  </si>
  <si>
    <t>0.0047</t>
  </si>
  <si>
    <t>0.54729</t>
  </si>
  <si>
    <t>1.0126</t>
  </si>
  <si>
    <t>211265.253</t>
  </si>
  <si>
    <t>0.3544</t>
  </si>
  <si>
    <t>70.3388</t>
  </si>
  <si>
    <t>6359.161149</t>
  </si>
  <si>
    <t>0.5241</t>
  </si>
  <si>
    <t>198851.962</t>
  </si>
  <si>
    <t>24.6186</t>
  </si>
  <si>
    <t>0.2097</t>
  </si>
  <si>
    <t>836.630462</t>
  </si>
  <si>
    <t>197967.969</t>
  </si>
  <si>
    <t>0.3504</t>
  </si>
  <si>
    <t>58.669398</t>
  </si>
  <si>
    <t>14.3286</t>
  </si>
  <si>
    <t>961059.632</t>
  </si>
  <si>
    <t>3.009</t>
  </si>
  <si>
    <t>1734.232667</t>
  </si>
  <si>
    <t>14.2728</t>
  </si>
  <si>
    <t>797.208189</t>
  </si>
  <si>
    <t>5.1383</t>
  </si>
  <si>
    <t>258.942763</t>
  </si>
  <si>
    <t>0.7538</t>
  </si>
  <si>
    <t>129.596335</t>
  </si>
  <si>
    <t>0.5604</t>
  </si>
  <si>
    <t>1.1263</t>
  </si>
  <si>
    <t>178.452502</t>
  </si>
  <si>
    <t>0.4167</t>
  </si>
  <si>
    <t>0.5196</t>
  </si>
  <si>
    <t>112.748627</t>
  </si>
  <si>
    <t>108</t>
  </si>
  <si>
    <t>0.1818</t>
  </si>
  <si>
    <t>1.1651</t>
  </si>
  <si>
    <t>103.196774</t>
  </si>
  <si>
    <t>0.0091</t>
  </si>
  <si>
    <t>3.297931</t>
  </si>
  <si>
    <t>0.7014</t>
  </si>
  <si>
    <t>85.608891</t>
  </si>
  <si>
    <t>1.589</t>
  </si>
  <si>
    <t>84.815141</t>
  </si>
  <si>
    <t>0.5562</t>
  </si>
  <si>
    <t>0.0665</t>
  </si>
  <si>
    <t>22.486045</t>
  </si>
  <si>
    <t>0.0126</t>
  </si>
  <si>
    <t>0.1584</t>
  </si>
  <si>
    <t>50.11333</t>
  </si>
  <si>
    <t>119.2838</t>
  </si>
  <si>
    <t>6709.745395</t>
  </si>
  <si>
    <t>25.0496</t>
  </si>
  <si>
    <t>88.3211</t>
  </si>
  <si>
    <t>7205.293469</t>
  </si>
  <si>
    <t>30.9124</t>
  </si>
  <si>
    <t>1220.229029</t>
  </si>
  <si>
    <t>70</t>
  </si>
  <si>
    <t>66.266284</t>
  </si>
  <si>
    <t>34.6937</t>
  </si>
  <si>
    <t>6101.673406</t>
  </si>
  <si>
    <t>13.8775</t>
  </si>
  <si>
    <t>31.6173</t>
  </si>
  <si>
    <t>1907.523043</t>
  </si>
  <si>
    <t>363.135918</t>
  </si>
  <si>
    <t>436.589117</t>
  </si>
  <si>
    <t>415.783864</t>
  </si>
  <si>
    <t>0.9317</t>
  </si>
  <si>
    <t>347.719692</t>
  </si>
  <si>
    <t>0.2374</t>
  </si>
  <si>
    <t>0.0308</t>
  </si>
  <si>
    <t>9.360229</t>
  </si>
  <si>
    <t>0.054</t>
  </si>
  <si>
    <t>26.511486</t>
  </si>
  <si>
    <t>0.027</t>
  </si>
  <si>
    <t>0.0164</t>
  </si>
  <si>
    <t>2.915876</t>
  </si>
  <si>
    <t>0.183668</t>
  </si>
  <si>
    <t>345.456599</t>
  </si>
  <si>
    <t>0.4792</t>
  </si>
  <si>
    <t>0.235851</t>
  </si>
  <si>
    <t>21.17829</t>
  </si>
  <si>
    <t>0.0172</t>
  </si>
  <si>
    <t>0.3095</t>
  </si>
  <si>
    <t>161.393145</t>
  </si>
  <si>
    <t>0.13</t>
  </si>
  <si>
    <t>0.2466</t>
  </si>
  <si>
    <t>41.636364</t>
  </si>
  <si>
    <t>0.0444</t>
  </si>
  <si>
    <t>128.825793</t>
  </si>
  <si>
    <t>0.1959</t>
  </si>
  <si>
    <t>1.442</t>
  </si>
  <si>
    <t>152.140199</t>
  </si>
  <si>
    <t>0.2596</t>
  </si>
  <si>
    <t>692.956619</t>
  </si>
  <si>
    <t>83.769</t>
  </si>
  <si>
    <t>6512.425501</t>
  </si>
  <si>
    <t>29.3192</t>
  </si>
  <si>
    <t>17.6986</t>
  </si>
  <si>
    <t>2124.543597</t>
  </si>
  <si>
    <t>1.028076</t>
  </si>
  <si>
    <t>28.8596</t>
  </si>
  <si>
    <t>4467.334807</t>
  </si>
  <si>
    <t>372.043144</t>
  </si>
  <si>
    <t>0.5486</t>
  </si>
  <si>
    <t>60.611304</t>
  </si>
  <si>
    <t>0.2469</t>
  </si>
  <si>
    <t>369.873609</t>
  </si>
  <si>
    <t>0.9113</t>
  </si>
  <si>
    <t>335.499881</t>
  </si>
  <si>
    <t>2.0364</t>
  </si>
  <si>
    <t>291.057245</t>
  </si>
  <si>
    <t>0.5015</t>
  </si>
  <si>
    <t>0.0043</t>
  </si>
  <si>
    <t>1.373928</t>
  </si>
  <si>
    <t>0.7638</t>
  </si>
  <si>
    <t>92.426348</t>
  </si>
  <si>
    <t>0.3055</t>
  </si>
  <si>
    <t>0.4745</t>
  </si>
  <si>
    <t>93.170169</t>
  </si>
  <si>
    <t>0.1898</t>
  </si>
  <si>
    <t>51.531351</t>
  </si>
  <si>
    <t>0.0967</t>
  </si>
  <si>
    <t>0.2164</t>
  </si>
  <si>
    <t>35.386023</t>
  </si>
  <si>
    <t>0.0411</t>
  </si>
  <si>
    <t>0.175645</t>
  </si>
  <si>
    <t>53.5782</t>
  </si>
  <si>
    <t>3386.327367</t>
  </si>
  <si>
    <t>0.0086</t>
  </si>
  <si>
    <t>0.985176</t>
  </si>
  <si>
    <t>68.3218</t>
  </si>
  <si>
    <t>6367.316132</t>
  </si>
  <si>
    <t>23.9125</t>
  </si>
  <si>
    <t>825.612183</t>
  </si>
  <si>
    <t>0.3981</t>
  </si>
  <si>
    <t>68.190552</t>
  </si>
  <si>
    <t>0.2986</t>
  </si>
  <si>
    <t>1951.666573</t>
  </si>
  <si>
    <t>8.1878</t>
  </si>
  <si>
    <t>600.12229</t>
  </si>
  <si>
    <t>180.630856</t>
  </si>
  <si>
    <t>0.5409</t>
  </si>
  <si>
    <t>0.87</t>
  </si>
  <si>
    <t>156.616257</t>
  </si>
  <si>
    <t>0.3915</t>
  </si>
  <si>
    <t>1.1543</t>
  </si>
  <si>
    <t>102.778449</t>
  </si>
  <si>
    <t>0.2078</t>
  </si>
  <si>
    <t>0.6243</t>
  </si>
  <si>
    <t>99.389678</t>
  </si>
  <si>
    <t>0.231</t>
  </si>
  <si>
    <t>8031</t>
  </si>
  <si>
    <t>0.0622</t>
  </si>
  <si>
    <t>20.959746</t>
  </si>
  <si>
    <t>0.1746</t>
  </si>
  <si>
    <t>59.082552</t>
  </si>
  <si>
    <t>0.0698</t>
  </si>
  <si>
    <t>0.2874</t>
  </si>
  <si>
    <t>65.509333</t>
  </si>
  <si>
    <t>0.1005</t>
  </si>
  <si>
    <t>62.586761</t>
  </si>
  <si>
    <t>16</t>
  </si>
  <si>
    <t>0.3697</t>
  </si>
  <si>
    <t>0.854022</t>
  </si>
  <si>
    <t>0.4761</t>
  </si>
  <si>
    <t>55.913785</t>
  </si>
  <si>
    <t>0.1904</t>
  </si>
  <si>
    <t>137.4557</t>
  </si>
  <si>
    <t>7628.51873</t>
  </si>
  <si>
    <t>9400</t>
  </si>
  <si>
    <t>28.8657</t>
  </si>
  <si>
    <t>150.4766</t>
  </si>
  <si>
    <t>11344.359734</t>
  </si>
  <si>
    <t>52.6668</t>
  </si>
  <si>
    <t>1138.447524</t>
  </si>
  <si>
    <t>0.199</t>
  </si>
  <si>
    <t>33.195005</t>
  </si>
  <si>
    <t>0.1493</t>
  </si>
  <si>
    <t>27.316</t>
  </si>
  <si>
    <t>5429.497506</t>
  </si>
  <si>
    <t>26.433</t>
  </si>
  <si>
    <t>1826.391006</t>
  </si>
  <si>
    <t>1291</t>
  </si>
  <si>
    <t>372.513254</t>
  </si>
  <si>
    <t>1.856</t>
  </si>
  <si>
    <t>283.975691</t>
  </si>
  <si>
    <t>0.8352</t>
  </si>
  <si>
    <t>496.055713</t>
  </si>
  <si>
    <t>279</t>
  </si>
  <si>
    <t>1.1074</t>
  </si>
  <si>
    <t>1.0918</t>
  </si>
  <si>
    <t>304.052439</t>
  </si>
  <si>
    <t>0.2073</t>
  </si>
  <si>
    <t>9.524402</t>
  </si>
  <si>
    <t>0.0125</t>
  </si>
  <si>
    <t>0.066</t>
  </si>
  <si>
    <t>5524</t>
  </si>
  <si>
    <t>32.461528</t>
  </si>
  <si>
    <t>4.6465</t>
  </si>
  <si>
    <t>1919</t>
  </si>
  <si>
    <t>0.033</t>
  </si>
  <si>
    <t>2.6972</t>
  </si>
  <si>
    <t>0.0163</t>
  </si>
  <si>
    <t>2.042558</t>
  </si>
  <si>
    <t>1549</t>
  </si>
  <si>
    <t>0.255941</t>
  </si>
  <si>
    <t>1.0473</t>
  </si>
  <si>
    <t>309.440934</t>
  </si>
  <si>
    <t>0.4189</t>
  </si>
  <si>
    <t>518</t>
  </si>
  <si>
    <t>0.3415</t>
  </si>
  <si>
    <t>57.675272</t>
  </si>
  <si>
    <t>0.0615</t>
  </si>
  <si>
    <t>0.6851</t>
  </si>
  <si>
    <t>159.264256</t>
  </si>
  <si>
    <t>0.2398</t>
  </si>
  <si>
    <t>0.330204</t>
  </si>
  <si>
    <t>253</t>
  </si>
  <si>
    <t>28.234317</t>
  </si>
  <si>
    <t>0.2886</t>
  </si>
  <si>
    <t>156.94971</t>
  </si>
  <si>
    <t>0.1213</t>
  </si>
  <si>
    <t>51</t>
  </si>
  <si>
    <t>0.024798</t>
  </si>
  <si>
    <t>0.7629</t>
  </si>
  <si>
    <t>151.892613</t>
  </si>
  <si>
    <t>0.267</t>
  </si>
  <si>
    <t>714.140479</t>
  </si>
  <si>
    <t>58.0894</t>
  </si>
  <si>
    <t>2.485</t>
  </si>
  <si>
    <t>5859277.454</t>
  </si>
  <si>
    <t>60.0832</t>
  </si>
  <si>
    <t>5107.393573</t>
  </si>
  <si>
    <t>20.3312</t>
  </si>
  <si>
    <t>21.0291</t>
  </si>
  <si>
    <t>49.1396</t>
  </si>
  <si>
    <t>4853.057025</t>
  </si>
  <si>
    <t>21.5185</t>
  </si>
  <si>
    <t>24.5699</t>
  </si>
  <si>
    <t>2930864.958</t>
  </si>
  <si>
    <t>0.0046</t>
  </si>
  <si>
    <t>1.010239</t>
  </si>
  <si>
    <t>0.0035</t>
  </si>
  <si>
    <t>0.0835</t>
  </si>
  <si>
    <t>10429.016</t>
  </si>
  <si>
    <t>0.155886</t>
  </si>
  <si>
    <t>0.0167</t>
  </si>
  <si>
    <t>33.0503</t>
  </si>
  <si>
    <t>5290.42563599999</t>
  </si>
  <si>
    <t>15.4084</t>
  </si>
  <si>
    <t>3419515.013</t>
  </si>
  <si>
    <t>13.2201</t>
  </si>
  <si>
    <t>6.1634</t>
  </si>
  <si>
    <t>414.764541</t>
  </si>
  <si>
    <t>4.0397</t>
  </si>
  <si>
    <t>308450.321</t>
  </si>
  <si>
    <t>0.9903</t>
  </si>
  <si>
    <t>126.79139</t>
  </si>
  <si>
    <t>2.769</t>
  </si>
  <si>
    <t>0.4456</t>
  </si>
  <si>
    <t>305049.151</t>
  </si>
  <si>
    <t>0.4984</t>
  </si>
  <si>
    <t>458.541928</t>
  </si>
  <si>
    <t>2.1124</t>
  </si>
  <si>
    <t>138822.56</t>
  </si>
  <si>
    <t>367.066608</t>
  </si>
  <si>
    <t>59119.02</t>
  </si>
  <si>
    <t>0.2493</t>
  </si>
  <si>
    <t>285.144203</t>
  </si>
  <si>
    <t>0.0478</t>
  </si>
  <si>
    <t>17027.862</t>
  </si>
  <si>
    <t>0.4869</t>
  </si>
  <si>
    <t>0.0134</t>
  </si>
  <si>
    <t>0.5902</t>
  </si>
  <si>
    <t>116.502147</t>
  </si>
  <si>
    <t>0.2361</t>
  </si>
  <si>
    <t>0.9464</t>
  </si>
  <si>
    <t>122809.512</t>
  </si>
  <si>
    <t>0.0085</t>
  </si>
  <si>
    <t>0.3785</t>
  </si>
  <si>
    <t>2.76735</t>
  </si>
  <si>
    <t>0.0024</t>
  </si>
  <si>
    <t>0.6534</t>
  </si>
  <si>
    <t>91436.46400000001</t>
  </si>
  <si>
    <t>0.866</t>
  </si>
  <si>
    <t>0.2418</t>
  </si>
  <si>
    <t>105.254914</t>
  </si>
  <si>
    <t>0.3464</t>
  </si>
  <si>
    <t>0.5382</t>
  </si>
  <si>
    <t>46874.411</t>
  </si>
  <si>
    <t>0.3019</t>
  </si>
  <si>
    <t>0.0969</t>
  </si>
  <si>
    <t>52.337633</t>
  </si>
  <si>
    <t>0.1207</t>
  </si>
  <si>
    <t>0.0174</t>
  </si>
  <si>
    <t>2096.333</t>
  </si>
  <si>
    <t>0.2288</t>
  </si>
  <si>
    <t>36.775135</t>
  </si>
  <si>
    <t>0.0435</t>
  </si>
  <si>
    <t>0.185591</t>
  </si>
  <si>
    <t>0.007</t>
  </si>
  <si>
    <t>63.946</t>
  </si>
  <si>
    <t>3988.521059</t>
  </si>
  <si>
    <t>0.2546</t>
  </si>
  <si>
    <t>45806.486</t>
  </si>
  <si>
    <t>13.4286</t>
  </si>
  <si>
    <t>0.1018</t>
  </si>
  <si>
    <t>68.5442</t>
  </si>
  <si>
    <t>6497.563792</t>
  </si>
  <si>
    <t>23.9904</t>
  </si>
  <si>
    <t>42238.225</t>
  </si>
  <si>
    <t>0.08500000000000001</t>
  </si>
  <si>
    <t>1051.550903</t>
  </si>
  <si>
    <t>37.3693</t>
  </si>
  <si>
    <t>2655292.965</t>
  </si>
  <si>
    <t>0.3737</t>
  </si>
  <si>
    <t>60.48214</t>
  </si>
  <si>
    <t>0.2803</t>
  </si>
  <si>
    <t>56.9814</t>
  </si>
  <si>
    <t>5564252.255</t>
  </si>
  <si>
    <t>2087.819981</t>
  </si>
  <si>
    <t>19.9434</t>
  </si>
  <si>
    <t>3.978</t>
  </si>
  <si>
    <t>4.012</t>
  </si>
  <si>
    <t>594287.953</t>
  </si>
  <si>
    <t>18.3968</t>
  </si>
  <si>
    <t>987.116457</t>
  </si>
  <si>
    <t>0.3882</t>
  </si>
  <si>
    <t>65343.70099999999</t>
  </si>
  <si>
    <t>194.282214</t>
  </si>
  <si>
    <t>0.2912</t>
  </si>
  <si>
    <t>0.5718</t>
  </si>
  <si>
    <t>0.0059</t>
  </si>
  <si>
    <t>770.477</t>
  </si>
  <si>
    <t>0.6058</t>
  </si>
  <si>
    <t>109.808417</t>
  </si>
  <si>
    <t>0.0012</t>
  </si>
  <si>
    <t>0.2726</t>
  </si>
  <si>
    <t>1136385.272</t>
  </si>
  <si>
    <t>165.082083</t>
  </si>
  <si>
    <t>1.0379</t>
  </si>
  <si>
    <t>16.906</t>
  </si>
  <si>
    <t>993906.198</t>
  </si>
  <si>
    <t>6.0862</t>
  </si>
  <si>
    <t>0.768</t>
  </si>
  <si>
    <t>129.934828</t>
  </si>
  <si>
    <t>0.2841</t>
  </si>
  <si>
    <t>360733.782</t>
  </si>
  <si>
    <t>0.703</t>
  </si>
  <si>
    <t>79828.06200000001</t>
  </si>
  <si>
    <t>100.544796</t>
  </si>
  <si>
    <t>0.3163</t>
  </si>
  <si>
    <t>0.2034</t>
  </si>
  <si>
    <t>Magenta</t>
  </si>
  <si>
    <t>300151.785</t>
  </si>
  <si>
    <t>0.0634</t>
  </si>
  <si>
    <t>21.322639</t>
  </si>
  <si>
    <t>1.075</t>
  </si>
  <si>
    <t>133116.458</t>
  </si>
  <si>
    <t>0.1881</t>
  </si>
  <si>
    <t>65.471207</t>
  </si>
  <si>
    <t>0.2608</t>
  </si>
  <si>
    <t>0.0753</t>
  </si>
  <si>
    <t>0.6772</t>
  </si>
  <si>
    <t>112223.814</t>
  </si>
  <si>
    <t>0.3189</t>
  </si>
  <si>
    <t>70.952597</t>
  </si>
  <si>
    <t>0.2506</t>
  </si>
  <si>
    <t>0.643301</t>
  </si>
  <si>
    <t>1.0269</t>
  </si>
  <si>
    <t>93809.29299999999</t>
  </si>
  <si>
    <t>0.3594</t>
  </si>
  <si>
    <t>0.5194</t>
  </si>
  <si>
    <t>68.15899</t>
  </si>
  <si>
    <t>Rosy</t>
  </si>
  <si>
    <t>0.9615</t>
  </si>
  <si>
    <t>73015.91</t>
  </si>
  <si>
    <t>0.2077</t>
  </si>
  <si>
    <t>0.3702</t>
  </si>
  <si>
    <t>131.0205</t>
  </si>
  <si>
    <t>7190.91765</t>
  </si>
  <si>
    <t>27.5144</t>
  </si>
  <si>
    <t>0.3359</t>
  </si>
  <si>
    <t>66834.19499999999</t>
  </si>
  <si>
    <t>124.6685</t>
  </si>
  <si>
    <t>10831.853884</t>
  </si>
  <si>
    <t>0.1176</t>
  </si>
  <si>
    <t>43.634</t>
  </si>
  <si>
    <t>85.8107</t>
  </si>
  <si>
    <t>5634594.107</t>
  </si>
  <si>
    <t>14.8151</t>
  </si>
  <si>
    <t>1659.957871</t>
  </si>
  <si>
    <t>18.0203</t>
  </si>
  <si>
    <t>0.1368</t>
  </si>
  <si>
    <t>143.6183</t>
  </si>
  <si>
    <t>24.417541</t>
  </si>
  <si>
    <t>13515363.595</t>
  </si>
  <si>
    <t>0.1026</t>
  </si>
  <si>
    <t>50.2664</t>
  </si>
  <si>
    <t>37.4777</t>
  </si>
  <si>
    <t>6614.209094</t>
  </si>
  <si>
    <t>6.1445</t>
  </si>
  <si>
    <t>921747.4939999999</t>
  </si>
  <si>
    <t>14.9911</t>
  </si>
  <si>
    <t>3.0722</t>
  </si>
  <si>
    <t>28.3202</t>
  </si>
  <si>
    <t>1773.875739</t>
  </si>
  <si>
    <t>0.0037</t>
  </si>
  <si>
    <t>769.6809999999999</t>
  </si>
  <si>
    <t>0.0028</t>
  </si>
  <si>
    <t>7.1822</t>
  </si>
  <si>
    <t>465.369331</t>
  </si>
  <si>
    <t>130732.092</t>
  </si>
  <si>
    <t>0.2432</t>
  </si>
  <si>
    <t>433.62192</t>
  </si>
  <si>
    <t>20.3542</t>
  </si>
  <si>
    <t>4574937.022</t>
  </si>
  <si>
    <t>1.1595</t>
  </si>
  <si>
    <t>8.1417</t>
  </si>
  <si>
    <t>472.904088</t>
  </si>
  <si>
    <t>35.1475</t>
  </si>
  <si>
    <t>2209359.4</t>
  </si>
  <si>
    <t>0.3148</t>
  </si>
  <si>
    <t>5.671158</t>
  </si>
  <si>
    <t>590075.329</t>
  </si>
  <si>
    <t>0.368</t>
  </si>
  <si>
    <t>0.0571</t>
  </si>
  <si>
    <t>27.713615</t>
  </si>
  <si>
    <t>0.0307</t>
  </si>
  <si>
    <t>11345.499</t>
  </si>
  <si>
    <t>0.0286</t>
  </si>
  <si>
    <t>381.161355</t>
  </si>
  <si>
    <t>0.07290000000000001</t>
  </si>
  <si>
    <t>36270.745</t>
  </si>
  <si>
    <t>0.9097</t>
  </si>
  <si>
    <t>0.0365</t>
  </si>
  <si>
    <t>0.563204</t>
  </si>
  <si>
    <t>2.075</t>
  </si>
  <si>
    <t>96486.401</t>
  </si>
  <si>
    <t>0.4773</t>
  </si>
  <si>
    <t>1.279707</t>
  </si>
  <si>
    <t>374999.533</t>
  </si>
  <si>
    <t>318.321438</t>
  </si>
  <si>
    <t>5.1391</t>
  </si>
  <si>
    <t>458184.074</t>
  </si>
  <si>
    <t>0.4013</t>
  </si>
  <si>
    <t>0.3611</t>
  </si>
  <si>
    <t>62.499038</t>
  </si>
  <si>
    <t>283173.52</t>
  </si>
  <si>
    <t>0.065</t>
  </si>
  <si>
    <t>0.5639</t>
  </si>
  <si>
    <t>0.6881</t>
  </si>
  <si>
    <t>160.841014</t>
  </si>
  <si>
    <t>0.2408</t>
  </si>
  <si>
    <t>0.0674</t>
  </si>
  <si>
    <t>31.004518</t>
  </si>
  <si>
    <t>0.0837</t>
  </si>
  <si>
    <t>38515.669</t>
  </si>
  <si>
    <t>0.0293</t>
  </si>
  <si>
    <t>0.3391</t>
  </si>
  <si>
    <t>0.3279</t>
  </si>
  <si>
    <t>184.796269</t>
  </si>
  <si>
    <t>191166.691</t>
  </si>
  <si>
    <t>0.1377</t>
  </si>
  <si>
    <t>0.1424</t>
  </si>
  <si>
    <t>0.8681</t>
  </si>
  <si>
    <t>172.280999</t>
  </si>
  <si>
    <t>213325.979</t>
  </si>
  <si>
    <t>0.3039</t>
  </si>
  <si>
    <t>0.404</t>
  </si>
  <si>
    <t>11.162</t>
  </si>
  <si>
    <t>693.523204</t>
  </si>
  <si>
    <t>Beige</t>
  </si>
  <si>
    <t>0.1671</t>
  </si>
  <si>
    <t>83729.70999999999</t>
  </si>
  <si>
    <t>101.5784</t>
  </si>
  <si>
    <t>8077.51338</t>
  </si>
  <si>
    <t>35.5525</t>
  </si>
  <si>
    <t>33.7729</t>
  </si>
  <si>
    <t>3444.500996</t>
  </si>
  <si>
    <t>0.0334</t>
  </si>
  <si>
    <t>16.8864</t>
  </si>
  <si>
    <t>0.2441</t>
  </si>
  <si>
    <t>124685.178</t>
  </si>
  <si>
    <t>0.284586</t>
  </si>
  <si>
    <t>0.001</t>
  </si>
  <si>
    <t>0.08550000000000001</t>
  </si>
  <si>
    <t>0.0276</t>
  </si>
  <si>
    <t>3.023822</t>
  </si>
  <si>
    <t>13.5576</t>
  </si>
  <si>
    <t>911409.8470000001</t>
  </si>
  <si>
    <t>0.0055</t>
  </si>
  <si>
    <t>26.7345</t>
  </si>
  <si>
    <t>47.7186</t>
  </si>
  <si>
    <t>4384.797147</t>
  </si>
  <si>
    <t>4885222.894</t>
  </si>
  <si>
    <t>10.694</t>
  </si>
  <si>
    <t>16.7014</t>
  </si>
  <si>
    <t>319.938974</t>
  </si>
  <si>
    <t>44.885</t>
  </si>
  <si>
    <t>4601925.382</t>
  </si>
  <si>
    <t>1.107</t>
  </si>
  <si>
    <t>22.4425</t>
  </si>
  <si>
    <t>1.108</t>
  </si>
  <si>
    <t>174.651043</t>
  </si>
  <si>
    <t>0.08740000000000001</t>
  </si>
  <si>
    <t>10906.751</t>
  </si>
  <si>
    <t>0.4987</t>
  </si>
  <si>
    <t>300.082495</t>
  </si>
  <si>
    <t>30.9377</t>
  </si>
  <si>
    <t>5422175.792</t>
  </si>
  <si>
    <t>283.880144</t>
  </si>
  <si>
    <t>0.4881</t>
  </si>
  <si>
    <t>266134.121</t>
  </si>
  <si>
    <t>0.4383</t>
  </si>
  <si>
    <t>249.376456</t>
  </si>
  <si>
    <t>0.6694</t>
  </si>
  <si>
    <t>254339.266</t>
  </si>
  <si>
    <t>2.947238</t>
  </si>
  <si>
    <t>0.9145</t>
  </si>
  <si>
    <t>111.772602</t>
  </si>
  <si>
    <t>0.3658</t>
  </si>
  <si>
    <t>0.4599</t>
  </si>
  <si>
    <t>98.216326</t>
  </si>
  <si>
    <t>0.1839</t>
  </si>
  <si>
    <t>50.607907</t>
  </si>
  <si>
    <t>0.1222</t>
  </si>
  <si>
    <t>0.2297</t>
  </si>
  <si>
    <t>39.360475</t>
  </si>
  <si>
    <t>0.0436</t>
  </si>
  <si>
    <t>0.327685</t>
  </si>
  <si>
    <t>57.4102</t>
  </si>
  <si>
    <t>3619.51712</t>
  </si>
  <si>
    <t>12.0561</t>
  </si>
  <si>
    <t>66.7912</t>
  </si>
  <si>
    <t>6207.010473</t>
  </si>
  <si>
    <t>23.3769</t>
  </si>
  <si>
    <t>718.497848</t>
  </si>
  <si>
    <t>0.3836</t>
  </si>
  <si>
    <t>63.470422</t>
  </si>
  <si>
    <t>0.2877</t>
  </si>
  <si>
    <t>0.441797</t>
  </si>
  <si>
    <t>1891.763815</t>
  </si>
  <si>
    <t>646.056945</t>
  </si>
  <si>
    <t>198.720344</t>
  </si>
  <si>
    <t>0.5557</t>
  </si>
  <si>
    <t>0.6422</t>
  </si>
  <si>
    <t>111.463019</t>
  </si>
  <si>
    <t>0.289</t>
  </si>
  <si>
    <t>304.455579</t>
  </si>
  <si>
    <t>0.5041</t>
  </si>
  <si>
    <t>0.0925</t>
  </si>
  <si>
    <t>30.896572</t>
  </si>
  <si>
    <t>0.0176</t>
  </si>
  <si>
    <t>0.3198</t>
  </si>
  <si>
    <t>103.77125</t>
  </si>
  <si>
    <t>0.128</t>
  </si>
  <si>
    <t>0.7291</t>
  </si>
  <si>
    <t>122.897301</t>
  </si>
  <si>
    <t>0.2697</t>
  </si>
  <si>
    <t>96.602635</t>
  </si>
  <si>
    <t>0.5288</t>
  </si>
  <si>
    <t>1.544666</t>
  </si>
  <si>
    <t>0.4997</t>
  </si>
  <si>
    <t>65.708517</t>
  </si>
  <si>
    <t>0.0325</t>
  </si>
  <si>
    <t>5.813849</t>
  </si>
  <si>
    <t>0.2228</t>
  </si>
  <si>
    <t>51.098505</t>
  </si>
  <si>
    <t>0.078</t>
  </si>
  <si>
    <t>79.3713</t>
  </si>
  <si>
    <t>5005.155319</t>
  </si>
  <si>
    <t>16.668</t>
  </si>
  <si>
    <t>157.7923</t>
  </si>
  <si>
    <t>13396.308067</t>
  </si>
  <si>
    <t>55.2272</t>
  </si>
  <si>
    <t>11.558</t>
  </si>
  <si>
    <t>1290.956385</t>
  </si>
  <si>
    <t>5.779</t>
  </si>
  <si>
    <t>0.0867</t>
  </si>
  <si>
    <t>15.436583</t>
  </si>
  <si>
    <t>41.1747</t>
  </si>
  <si>
    <t>7167.156142</t>
  </si>
  <si>
    <t>16.47</t>
  </si>
  <si>
    <t>18.7049</t>
  </si>
  <si>
    <t>1373.506643</t>
  </si>
  <si>
    <t>347.846203</t>
  </si>
  <si>
    <t>537.942316</t>
  </si>
  <si>
    <t>471.874421</t>
  </si>
  <si>
    <t>0.3317</t>
  </si>
  <si>
    <t>0.0338</t>
  </si>
  <si>
    <t>7.738316</t>
  </si>
  <si>
    <t>0.0119</t>
  </si>
  <si>
    <t>35.070207</t>
  </si>
  <si>
    <t>3.1013</t>
  </si>
  <si>
    <t>405.385216</t>
  </si>
  <si>
    <t>1.1475</t>
  </si>
  <si>
    <t>COUNTA из Year</t>
  </si>
  <si>
    <t>0.694689</t>
  </si>
  <si>
    <t>0.9728</t>
  </si>
  <si>
    <t>287.265068</t>
  </si>
  <si>
    <t>0.3892</t>
  </si>
  <si>
    <t>0.3825</t>
  </si>
  <si>
    <t>68.448018</t>
  </si>
  <si>
    <t>0.0688</t>
  </si>
  <si>
    <t>Cotton</t>
  </si>
  <si>
    <t>Cream</t>
  </si>
  <si>
    <t>1.0277</t>
  </si>
  <si>
    <t>215.005711</t>
  </si>
  <si>
    <t>0.3597</t>
  </si>
  <si>
    <t>1.226463</t>
  </si>
  <si>
    <t>Lilac</t>
  </si>
  <si>
    <t>0.0711</t>
  </si>
  <si>
    <t>30.765021</t>
  </si>
  <si>
    <t>0.0249</t>
  </si>
  <si>
    <t>0.3586</t>
  </si>
  <si>
    <t>194.894285</t>
  </si>
  <si>
    <t>0.1506</t>
  </si>
  <si>
    <t>0.143</t>
  </si>
  <si>
    <t>65.889532</t>
  </si>
  <si>
    <t>0.3131</t>
  </si>
  <si>
    <t>155.941725</t>
  </si>
  <si>
    <t>0.1096</t>
  </si>
  <si>
    <t>789.227923</t>
  </si>
  <si>
    <t>2.667</t>
  </si>
  <si>
    <t>69.8036</t>
  </si>
  <si>
    <t>5995.252831</t>
  </si>
  <si>
    <t>Snow</t>
  </si>
  <si>
    <t>24.4312</t>
  </si>
  <si>
    <t>40.6086</t>
  </si>
  <si>
    <t>3857.811179</t>
  </si>
  <si>
    <t>20.3044</t>
  </si>
  <si>
    <t>0.0029</t>
  </si>
  <si>
    <t>0.233663</t>
  </si>
  <si>
    <t>0.0399</t>
  </si>
  <si>
    <t>4.374675</t>
  </si>
  <si>
    <t>40.6675</t>
  </si>
  <si>
    <t>5995.073407</t>
  </si>
  <si>
    <t>16.2671</t>
  </si>
  <si>
    <t>542.253537</t>
  </si>
  <si>
    <t>208.699739</t>
  </si>
  <si>
    <t>0.6727</t>
  </si>
  <si>
    <t>0.125915</t>
  </si>
  <si>
    <t>306.535534</t>
  </si>
  <si>
    <t>0.5092</t>
  </si>
  <si>
    <t>282.294567</t>
  </si>
  <si>
    <t>162.468894</t>
  </si>
  <si>
    <t>0.4419</t>
  </si>
  <si>
    <t>1.588229</t>
  </si>
  <si>
    <t>0.9457</t>
  </si>
  <si>
    <t>117.209566</t>
  </si>
  <si>
    <t>0.4026</t>
  </si>
  <si>
    <t>87.407708</t>
  </si>
  <si>
    <t>0.1611</t>
  </si>
  <si>
    <t>0.2968</t>
  </si>
  <si>
    <t>50.525289</t>
  </si>
  <si>
    <t>0.0564</t>
  </si>
  <si>
    <t>0.005</t>
  </si>
  <si>
    <t>0.61837</t>
  </si>
  <si>
    <t>0.2248</t>
  </si>
  <si>
    <t>41.788139</t>
  </si>
  <si>
    <t>0.0899</t>
  </si>
  <si>
    <t>74.8629</t>
  </si>
  <si>
    <t>4235.577133</t>
  </si>
  <si>
    <t>15.7212</t>
  </si>
  <si>
    <t>44.2276</t>
  </si>
  <si>
    <t>4566.001749</t>
  </si>
  <si>
    <t>15.4797</t>
  </si>
  <si>
    <t>5.0658</t>
  </si>
  <si>
    <t>764.229077</t>
  </si>
  <si>
    <t>2.533</t>
  </si>
  <si>
    <t>0.2796</t>
  </si>
  <si>
    <t>45.269075</t>
  </si>
  <si>
    <t>1.127402</t>
  </si>
  <si>
    <t>1391.71104</t>
  </si>
  <si>
    <t>7.557</t>
  </si>
  <si>
    <t>574.505007</t>
  </si>
  <si>
    <t>3.0648</t>
  </si>
  <si>
    <t>238.161845</t>
  </si>
  <si>
    <t>0.7049</t>
  </si>
  <si>
    <t>0.667</t>
  </si>
  <si>
    <t>117.184238</t>
  </si>
  <si>
    <t>0.3002</t>
  </si>
  <si>
    <t>159.756048</t>
  </si>
  <si>
    <t>0.3714</t>
  </si>
  <si>
    <t>134.403459</t>
  </si>
  <si>
    <t>0.2866</t>
  </si>
  <si>
    <t>0.6812</t>
  </si>
  <si>
    <t>60.933021</t>
  </si>
  <si>
    <t>0.2384</t>
  </si>
  <si>
    <t>0.0372</t>
  </si>
  <si>
    <t>6.713224</t>
  </si>
  <si>
    <t>0.1953</t>
  </si>
  <si>
    <t>45.258333</t>
  </si>
  <si>
    <t>0.0684</t>
  </si>
  <si>
    <t>1.11613</t>
  </si>
  <si>
    <t>0.3372</t>
  </si>
  <si>
    <t>35.861902</t>
  </si>
  <si>
    <t>0.1349</t>
  </si>
  <si>
    <t>Salmon</t>
  </si>
  <si>
    <t>0.5115</t>
  </si>
  <si>
    <t>35.519099</t>
  </si>
  <si>
    <t>0.1867</t>
  </si>
  <si>
    <t>124.8704</t>
  </si>
  <si>
    <t>7039.56404</t>
  </si>
  <si>
    <t>26.2228</t>
  </si>
  <si>
    <t>110.6414</t>
  </si>
  <si>
    <t>10476.185686</t>
  </si>
  <si>
    <t>38.7245</t>
  </si>
  <si>
    <t>1248.6311</t>
  </si>
  <si>
    <t>0.0755</t>
  </si>
  <si>
    <t>12.065848</t>
  </si>
  <si>
    <t>0.49345</t>
  </si>
  <si>
    <t>24.9785</t>
  </si>
  <si>
    <t>4973.572214</t>
  </si>
  <si>
    <t>18.1118</t>
  </si>
  <si>
    <t>1362.937588</t>
  </si>
  <si>
    <t>5.1247</t>
  </si>
  <si>
    <t>297.628508</t>
  </si>
  <si>
    <t>1.1787</t>
  </si>
  <si>
    <t>0.0078</t>
  </si>
  <si>
    <t>0.852696</t>
  </si>
  <si>
    <t>923.409919</t>
  </si>
  <si>
    <t>365.322427</t>
  </si>
  <si>
    <t>0.2448</t>
  </si>
  <si>
    <t>0.0215</t>
  </si>
  <si>
    <t>5.839443</t>
  </si>
  <si>
    <t>0.0075</t>
  </si>
  <si>
    <t>0.0856</t>
  </si>
  <si>
    <t>42.079687</t>
  </si>
  <si>
    <t>0.0428</t>
  </si>
  <si>
    <t>309.219405</t>
  </si>
  <si>
    <t>0.8134</t>
  </si>
  <si>
    <t>0.094354</t>
  </si>
  <si>
    <t>0.084</t>
  </si>
  <si>
    <t>33.376419</t>
  </si>
  <si>
    <t>0.0294</t>
  </si>
  <si>
    <t>0.4299</t>
  </si>
  <si>
    <t>232.877716</t>
  </si>
  <si>
    <t>0.1805</t>
  </si>
  <si>
    <t>84</t>
  </si>
  <si>
    <t>63.560267</t>
  </si>
  <si>
    <t>0.7694</t>
  </si>
  <si>
    <t>174.461142</t>
  </si>
  <si>
    <t>0.073136</t>
  </si>
  <si>
    <t>191.647874</t>
  </si>
  <si>
    <t>0.0765</t>
  </si>
  <si>
    <t>35.958112</t>
  </si>
  <si>
    <t>0.0153</t>
  </si>
  <si>
    <t>0.2849</t>
  </si>
  <si>
    <t>140.160417</t>
  </si>
  <si>
    <t>0.0997</t>
  </si>
  <si>
    <t>233</t>
  </si>
  <si>
    <t>100-199G</t>
  </si>
  <si>
    <t>0.7753</t>
  </si>
  <si>
    <t>41.856</t>
  </si>
  <si>
    <t>0.155</t>
  </si>
  <si>
    <t>76.9093</t>
  </si>
  <si>
    <t>151.083</t>
  </si>
  <si>
    <t>282</t>
  </si>
  <si>
    <t>0.4921</t>
  </si>
  <si>
    <t>173.9148</t>
  </si>
  <si>
    <t>0.4943</t>
  </si>
  <si>
    <t>17.7682</t>
  </si>
  <si>
    <t>1109.3931</t>
  </si>
  <si>
    <t>18.8734</t>
  </si>
  <si>
    <t>1317.4916</t>
  </si>
  <si>
    <t>36.9079</t>
  </si>
  <si>
    <t>2267.3183</t>
  </si>
  <si>
    <t>20.2285</t>
  </si>
  <si>
    <t>1371.255</t>
  </si>
  <si>
    <t>4.0456</t>
  </si>
  <si>
    <t>40.6617</t>
  </si>
  <si>
    <t>2642.1648</t>
  </si>
  <si>
    <t>8.1324</t>
  </si>
  <si>
    <t>N/A</t>
  </si>
  <si>
    <t>9957</t>
  </si>
  <si>
    <t>8768</t>
  </si>
  <si>
    <t>12.5954</t>
  </si>
  <si>
    <t>2630</t>
  </si>
  <si>
    <t>12.3467</t>
  </si>
  <si>
    <t>3891</t>
  </si>
  <si>
    <t>6043</t>
  </si>
  <si>
    <t>1.083</t>
  </si>
  <si>
    <t>82654.955</t>
  </si>
  <si>
    <t>0.2862</t>
  </si>
  <si>
    <t>1.368</t>
  </si>
  <si>
    <t>98160.894</t>
  </si>
  <si>
    <t>0.6156</t>
  </si>
  <si>
    <t>1.068</t>
  </si>
  <si>
    <t>168193.23</t>
  </si>
  <si>
    <t>0.4272</t>
  </si>
  <si>
    <t>0.0445</t>
  </si>
  <si>
    <t>14372.702</t>
  </si>
  <si>
    <t>1.1576</t>
  </si>
  <si>
    <t>149289.834</t>
  </si>
  <si>
    <t>0.4631</t>
  </si>
  <si>
    <t>0.4292</t>
  </si>
  <si>
    <t>74998.66</t>
  </si>
  <si>
    <t>0.1587</t>
  </si>
  <si>
    <t>73446.70000000001</t>
  </si>
  <si>
    <t>0.4171</t>
  </si>
  <si>
    <t>0.2538</t>
  </si>
  <si>
    <t>44394.432</t>
  </si>
  <si>
    <t>0.1015</t>
  </si>
  <si>
    <t>50.3357</t>
  </si>
  <si>
    <t>3091481.526</t>
  </si>
  <si>
    <t>47.7021</t>
  </si>
  <si>
    <t>4930199.558999999</t>
  </si>
  <si>
    <t>16.6957</t>
  </si>
  <si>
    <t>627314.7390000001</t>
  </si>
  <si>
    <t>2.1724</t>
  </si>
  <si>
    <t>0.3834</t>
  </si>
  <si>
    <t>61923.17</t>
  </si>
  <si>
    <t>0.2876</t>
  </si>
  <si>
    <t>1590.881</t>
  </si>
  <si>
    <t>1154483.978</t>
  </si>
  <si>
    <t>729855.6800000001</t>
  </si>
  <si>
    <t>4.1037</t>
  </si>
  <si>
    <t>616157.152</t>
  </si>
  <si>
    <t>0.0893</t>
  </si>
  <si>
    <t>8514.561</t>
  </si>
  <si>
    <t>0.0438</t>
  </si>
  <si>
    <t>8.739000000000001</t>
  </si>
  <si>
    <t>530799.296</t>
  </si>
  <si>
    <t>3.0586</t>
  </si>
  <si>
    <t>4.1646</t>
  </si>
  <si>
    <t>281724.6</t>
  </si>
  <si>
    <t>0.9579</t>
  </si>
  <si>
    <t>1.0117</t>
  </si>
  <si>
    <t>87100.71100000001</t>
  </si>
  <si>
    <t>0.4553</t>
  </si>
  <si>
    <t>334688.03</t>
  </si>
  <si>
    <t>136563.048</t>
  </si>
  <si>
    <t>0.2747</t>
  </si>
  <si>
    <t>0.6706</t>
  </si>
  <si>
    <t>111212.183</t>
  </si>
  <si>
    <t>1.0727</t>
  </si>
  <si>
    <t>91027.754</t>
  </si>
  <si>
    <t>0.4291</t>
  </si>
  <si>
    <t>135.3355</t>
  </si>
  <si>
    <t>7220074.814999999</t>
  </si>
  <si>
    <t>28.4204</t>
  </si>
  <si>
    <t>94.34229999999999</t>
  </si>
  <si>
    <t>9661265.621000001</t>
  </si>
  <si>
    <t>33.0196</t>
  </si>
  <si>
    <t>1041996.994</t>
  </si>
  <si>
    <t>866.289</t>
  </si>
  <si>
    <t>111543.779</t>
  </si>
  <si>
    <t>0.2016</t>
  </si>
  <si>
    <t>39.3356</t>
  </si>
  <si>
    <t>7424948.825999999</t>
  </si>
  <si>
    <t>15.7343</t>
  </si>
  <si>
    <t>34.9286</t>
  </si>
  <si>
    <t>2329209.672</t>
  </si>
  <si>
    <t>13.4475</t>
  </si>
  <si>
    <t>0.044</t>
  </si>
  <si>
    <t>4999.411</t>
  </si>
  <si>
    <t>21.7396</t>
  </si>
  <si>
    <t>1515283.204</t>
  </si>
  <si>
    <t>13.6827</t>
  </si>
  <si>
    <t>829925.924</t>
  </si>
  <si>
    <t>4.789</t>
  </si>
  <si>
    <t>60751.409</t>
  </si>
  <si>
    <t>0.4416</t>
  </si>
  <si>
    <t>4.582</t>
  </si>
  <si>
    <t>432962.44</t>
  </si>
  <si>
    <t>2.0619</t>
  </si>
  <si>
    <t>411484.91</t>
  </si>
  <si>
    <t>382599.6</t>
  </si>
  <si>
    <t>0.0113</t>
  </si>
  <si>
    <t>4805.201</t>
  </si>
  <si>
    <t>24562.618</t>
  </si>
  <si>
    <t>0.0246</t>
  </si>
  <si>
    <t>316395.114</t>
  </si>
  <si>
    <t>0.6166</t>
  </si>
  <si>
    <t>0.0853</t>
  </si>
  <si>
    <t>39231.244</t>
  </si>
  <si>
    <t>0.0298</t>
  </si>
  <si>
    <t>0.398</t>
  </si>
  <si>
    <t>222563.144</t>
  </si>
  <si>
    <t>0.1672</t>
  </si>
  <si>
    <t>14.4889</t>
  </si>
  <si>
    <t>916589.147</t>
  </si>
  <si>
    <t>3.0427</t>
  </si>
  <si>
    <t>48.4585</t>
  </si>
  <si>
    <t>4782541.053</t>
  </si>
  <si>
    <t>16.9604</t>
  </si>
  <si>
    <t>22.4112</t>
  </si>
  <si>
    <t>2572258.208</t>
  </si>
  <si>
    <t>10520.85</t>
  </si>
  <si>
    <t>0.017</t>
  </si>
  <si>
    <t>27.6087</t>
  </si>
  <si>
    <t>4729630.734999999</t>
  </si>
  <si>
    <t>11.0434</t>
  </si>
  <si>
    <t>271404.79</t>
  </si>
  <si>
    <t>0.436</t>
  </si>
  <si>
    <t>230718.658</t>
  </si>
  <si>
    <t>0.0324</t>
  </si>
  <si>
    <t>10521.911</t>
  </si>
  <si>
    <t>1.024</t>
  </si>
  <si>
    <t>132086.592</t>
  </si>
  <si>
    <t>0.4096</t>
  </si>
  <si>
    <t>0.9643</t>
  </si>
  <si>
    <t>67866.183</t>
  </si>
  <si>
    <t>0.2218</t>
  </si>
  <si>
    <t>0.7189</t>
  </si>
  <si>
    <t>59064.649</t>
  </si>
  <si>
    <t>0.3235</t>
  </si>
  <si>
    <t>0.5625</t>
  </si>
  <si>
    <t>97748.139</t>
  </si>
  <si>
    <t>0.2081</t>
  </si>
  <si>
    <t>0.6822</t>
  </si>
  <si>
    <t>88235.473</t>
  </si>
  <si>
    <t>0.2729</t>
  </si>
  <si>
    <t>79551.433</t>
  </si>
  <si>
    <t>0.1271</t>
  </si>
  <si>
    <t>9602.312</t>
  </si>
  <si>
    <t>0.0489</t>
  </si>
  <si>
    <t>0.6677999999999999</t>
  </si>
  <si>
    <t>49925.816</t>
  </si>
  <si>
    <t>0.3272</t>
  </si>
  <si>
    <t>48.83</t>
  </si>
  <si>
    <t>3039185.931</t>
  </si>
  <si>
    <t>41.0978</t>
  </si>
  <si>
    <t>4352489.251</t>
  </si>
  <si>
    <t>14.3842</t>
  </si>
  <si>
    <t>2.357</t>
  </si>
  <si>
    <t>331185.942</t>
  </si>
  <si>
    <t>1.1785</t>
  </si>
  <si>
    <t>0.3502</t>
  </si>
  <si>
    <t>56559.075</t>
  </si>
  <si>
    <t>0.2626</t>
  </si>
  <si>
    <t>1925.396</t>
  </si>
  <si>
    <t>0.0034</t>
  </si>
  <si>
    <t>5.1814</t>
  </si>
  <si>
    <t>1062609.031</t>
  </si>
  <si>
    <t>2.0726</t>
  </si>
  <si>
    <t>371374.58</t>
  </si>
  <si>
    <t>2.1727</t>
  </si>
  <si>
    <t>395901.459</t>
  </si>
  <si>
    <t>12.1151</t>
  </si>
  <si>
    <t>684569.6309999999</t>
  </si>
  <si>
    <t>9.098699999999999</t>
  </si>
  <si>
    <t>522367.552</t>
  </si>
  <si>
    <t>3.1845</t>
  </si>
  <si>
    <t>315497.197</t>
  </si>
  <si>
    <t>1.0754</t>
  </si>
  <si>
    <t>0.6269</t>
  </si>
  <si>
    <t>75852.48300000001</t>
  </si>
  <si>
    <t>0.282</t>
  </si>
  <si>
    <t>271431.71</t>
  </si>
  <si>
    <t>1.193</t>
  </si>
  <si>
    <t>152936.8</t>
  </si>
  <si>
    <t>0.649</t>
  </si>
  <si>
    <t>133872.281</t>
  </si>
  <si>
    <t>0.2638</t>
  </si>
  <si>
    <t>0.5764</t>
  </si>
  <si>
    <t>94428.791</t>
  </si>
  <si>
    <t>0.2133</t>
  </si>
  <si>
    <t>122.9401</t>
  </si>
  <si>
    <t>7248969.408</t>
  </si>
  <si>
    <t>25.8174</t>
  </si>
  <si>
    <t>99.0564</t>
  </si>
  <si>
    <t>9724902.538000001</t>
  </si>
  <si>
    <t>34.6697</t>
  </si>
  <si>
    <t>784023.162</t>
  </si>
  <si>
    <t>0.0115</t>
  </si>
  <si>
    <t>2374.221</t>
  </si>
  <si>
    <t>114790.323</t>
  </si>
  <si>
    <t>0.2053</t>
  </si>
  <si>
    <t>20.5077</t>
  </si>
  <si>
    <t>4603976.229</t>
  </si>
  <si>
    <t>8.202999999999999</t>
  </si>
  <si>
    <t>20.6032</t>
  </si>
  <si>
    <t>1369136.41</t>
  </si>
  <si>
    <t>11.262</t>
  </si>
  <si>
    <t>844109.7200000001</t>
  </si>
  <si>
    <t>17.8589</t>
  </si>
  <si>
    <t>1193713.564</t>
  </si>
  <si>
    <t>17.6534</t>
  </si>
  <si>
    <t>960914.753</t>
  </si>
  <si>
    <t>6.1787</t>
  </si>
  <si>
    <t>441059.538</t>
  </si>
  <si>
    <t>0.2671</t>
  </si>
  <si>
    <t>7454.791</t>
  </si>
  <si>
    <t>0.0502</t>
  </si>
  <si>
    <t>25818.787</t>
  </si>
  <si>
    <t>0.0251</t>
  </si>
  <si>
    <t>54751.506</t>
  </si>
  <si>
    <t>0.2895</t>
  </si>
  <si>
    <t>304731.678</t>
  </si>
  <si>
    <t>4.563</t>
  </si>
  <si>
    <t>345881.953</t>
  </si>
  <si>
    <t>318983.902</t>
  </si>
  <si>
    <t>2546</t>
  </si>
  <si>
    <t>0.5971</t>
  </si>
  <si>
    <t>0.4992</t>
  </si>
  <si>
    <t>183333.69</t>
  </si>
  <si>
    <t>0.1249</t>
  </si>
  <si>
    <t>5.2153</t>
  </si>
  <si>
    <t>0.1664</t>
  </si>
  <si>
    <t>87983.64200000001</t>
  </si>
  <si>
    <t>0.0832</t>
  </si>
  <si>
    <t>14.4344</t>
  </si>
  <si>
    <t>898672.3859999999</t>
  </si>
  <si>
    <t>3.0312</t>
  </si>
  <si>
    <t>50.3687</t>
  </si>
  <si>
    <t>4814733.113</t>
  </si>
  <si>
    <t>17.6291</t>
  </si>
  <si>
    <t>Brand clean</t>
  </si>
  <si>
    <t>2021</t>
  </si>
  <si>
    <t>12.7583</t>
  </si>
  <si>
    <t>2.6792</t>
  </si>
  <si>
    <t>545</t>
  </si>
  <si>
    <t>28.8776</t>
  </si>
  <si>
    <t>3543020.208</t>
  </si>
  <si>
    <t>14.4389</t>
  </si>
  <si>
    <t>0.0822</t>
  </si>
  <si>
    <t>10547.372</t>
  </si>
  <si>
    <t>Greennn#!</t>
  </si>
  <si>
    <t>31.1485</t>
  </si>
  <si>
    <t>5644685.427</t>
  </si>
  <si>
    <t>276893.473</t>
  </si>
  <si>
    <t>0.4471</t>
  </si>
  <si>
    <t>798</t>
  </si>
  <si>
    <t>238596.017</t>
  </si>
  <si>
    <t>1.0298</t>
  </si>
  <si>
    <t>0.06809999999999999</t>
  </si>
  <si>
    <t>17309.398</t>
  </si>
  <si>
    <t>0.0191</t>
  </si>
  <si>
    <t>1.0635</t>
  </si>
  <si>
    <t>569</t>
  </si>
  <si>
    <t>137117.698</t>
  </si>
  <si>
    <t>0.4254</t>
  </si>
  <si>
    <t>141873.434</t>
  </si>
  <si>
    <t>0.5673</t>
  </si>
  <si>
    <t>0.724</t>
  </si>
  <si>
    <t>94276.287</t>
  </si>
  <si>
    <t>0.2679</t>
  </si>
  <si>
    <t>0.5674</t>
  </si>
  <si>
    <t>36606.651</t>
  </si>
  <si>
    <t>0.1305</t>
  </si>
  <si>
    <t>51047.383</t>
  </si>
  <si>
    <t>6</t>
  </si>
  <si>
    <t>18507.283</t>
  </si>
  <si>
    <t>0.096</t>
  </si>
  <si>
    <t>1.0944</t>
  </si>
  <si>
    <t>66562.141</t>
  </si>
  <si>
    <t>0.5362</t>
  </si>
  <si>
    <t>1.1017</t>
  </si>
  <si>
    <t>60192.714</t>
  </si>
  <si>
    <t>0.3856</t>
  </si>
  <si>
    <t>54.0753</t>
  </si>
  <si>
    <t>3221262.657</t>
  </si>
  <si>
    <t>658</t>
  </si>
  <si>
    <t>48.9732</t>
  </si>
  <si>
    <t>4884351.699</t>
  </si>
  <si>
    <t>17.1406</t>
  </si>
  <si>
    <t>361062.196</t>
  </si>
  <si>
    <t>3.3615</t>
  </si>
  <si>
    <t>0.4027</t>
  </si>
  <si>
    <t>65041.67700000001</t>
  </si>
  <si>
    <t>366</t>
  </si>
  <si>
    <t>1649.032</t>
  </si>
  <si>
    <t>1.4148</t>
  </si>
  <si>
    <t>1229614.719</t>
  </si>
  <si>
    <t>281</t>
  </si>
  <si>
    <t>2.508</t>
  </si>
  <si>
    <t>4.3779</t>
  </si>
  <si>
    <t>253928.765</t>
  </si>
  <si>
    <t>1.23</t>
  </si>
  <si>
    <t>1.5761</t>
  </si>
  <si>
    <t>777136.9449999999</t>
  </si>
  <si>
    <t>234</t>
  </si>
  <si>
    <t>11.1022</t>
  </si>
  <si>
    <t>627354.39</t>
  </si>
  <si>
    <t>10.392</t>
  </si>
  <si>
    <t>102</t>
  </si>
  <si>
    <t>8.413500000000001</t>
  </si>
  <si>
    <t>442433.333</t>
  </si>
  <si>
    <t>287874.421</t>
  </si>
  <si>
    <t>0.9946</t>
  </si>
  <si>
    <t>0.5631</t>
  </si>
  <si>
    <t>42496.089</t>
  </si>
  <si>
    <t>0.2534</t>
  </si>
  <si>
    <t>180530.733</t>
  </si>
  <si>
    <t>0.7117</t>
  </si>
  <si>
    <t>139357.318</t>
  </si>
  <si>
    <t>0.2829</t>
  </si>
  <si>
    <t>0.7097</t>
  </si>
  <si>
    <t>1.0009</t>
  </si>
  <si>
    <t>124258.366</t>
  </si>
  <si>
    <t>126.3103</t>
  </si>
  <si>
    <t>122</t>
  </si>
  <si>
    <t>7576229.368000001</t>
  </si>
  <si>
    <t>26.5251</t>
  </si>
  <si>
    <t>108.4761</t>
  </si>
  <si>
    <t>10606008.457</t>
  </si>
  <si>
    <t>37.9666</t>
  </si>
  <si>
    <t>968999.916</t>
  </si>
  <si>
    <t>167</t>
  </si>
  <si>
    <t>2466.652</t>
  </si>
  <si>
    <t>0.008999999999999999</t>
  </si>
  <si>
    <t>1.023</t>
  </si>
  <si>
    <t>116463.955</t>
  </si>
  <si>
    <t>0.2046</t>
  </si>
  <si>
    <t>88</t>
  </si>
  <si>
    <t>38.8084</t>
  </si>
  <si>
    <t>6837957.26</t>
  </si>
  <si>
    <t>15.5233</t>
  </si>
  <si>
    <t>10.1316</t>
  </si>
  <si>
    <t>816482.17</t>
  </si>
  <si>
    <t>19.1341</t>
  </si>
  <si>
    <t>11</t>
  </si>
  <si>
    <t>1313909.49</t>
  </si>
  <si>
    <t>27.9902</t>
  </si>
  <si>
    <t>1759860.028</t>
  </si>
  <si>
    <t>10.0765</t>
  </si>
  <si>
    <t>19.0495</t>
  </si>
  <si>
    <t>959116.532</t>
  </si>
  <si>
    <t>412478.904</t>
  </si>
  <si>
    <t>0.9288999999999999</t>
  </si>
  <si>
    <t>27907.627</t>
  </si>
  <si>
    <t>0.2136</t>
  </si>
  <si>
    <t>346083.656</t>
  </si>
  <si>
    <t>0.9298999999999999</t>
  </si>
  <si>
    <t>287866.199</t>
  </si>
  <si>
    <t>0.1766</t>
  </si>
  <si>
    <t>12.7544</t>
  </si>
  <si>
    <t>8174</t>
  </si>
  <si>
    <t>6943.837</t>
  </si>
  <si>
    <t>25549.584</t>
  </si>
  <si>
    <t>8539</t>
  </si>
  <si>
    <t>1.1897</t>
  </si>
  <si>
    <t>225064.341</t>
  </si>
  <si>
    <t>0.4402</t>
  </si>
  <si>
    <t>0.0741</t>
  </si>
  <si>
    <t>4.7236</t>
  </si>
  <si>
    <t>34415.037</t>
  </si>
  <si>
    <t>0.0259</t>
  </si>
  <si>
    <t>2.3618</t>
  </si>
  <si>
    <t>0.2776</t>
  </si>
  <si>
    <t>161844.556</t>
  </si>
  <si>
    <t>791</t>
  </si>
  <si>
    <t>0.1166</t>
  </si>
  <si>
    <t>694009.9569999999</t>
  </si>
  <si>
    <t>2.1522</t>
  </si>
  <si>
    <t>57.8795</t>
  </si>
  <si>
    <t>5266284.194</t>
  </si>
  <si>
    <t>174</t>
  </si>
  <si>
    <t>20.2578</t>
  </si>
  <si>
    <t>36.1477</t>
  </si>
  <si>
    <t>4297374.918000001</t>
  </si>
  <si>
    <t>18.0739</t>
  </si>
  <si>
    <t>0.0756</t>
  </si>
  <si>
    <t>10129.644</t>
  </si>
  <si>
    <t>19.8438</t>
  </si>
  <si>
    <t>4048512.6</t>
  </si>
  <si>
    <t>3.1254</t>
  </si>
  <si>
    <t>2.6403</t>
  </si>
  <si>
    <t>349836.778</t>
  </si>
  <si>
    <t>704</t>
  </si>
  <si>
    <t>0.5626</t>
  </si>
  <si>
    <t>220183.552</t>
  </si>
  <si>
    <t>0.0507</t>
  </si>
  <si>
    <t>14072.999</t>
  </si>
  <si>
    <t>7.9223</t>
  </si>
  <si>
    <t>0.0142</t>
  </si>
  <si>
    <t>1738</t>
  </si>
  <si>
    <t>0.9781</t>
  </si>
  <si>
    <t>127683.803</t>
  </si>
  <si>
    <t>0.3913</t>
  </si>
  <si>
    <t>137103.641</t>
  </si>
  <si>
    <t>0.6273</t>
  </si>
  <si>
    <t>1602</t>
  </si>
  <si>
    <t>48341.632</t>
  </si>
  <si>
    <t>0.1182</t>
  </si>
  <si>
    <t>0.1727</t>
  </si>
  <si>
    <t>10632.907</t>
  </si>
  <si>
    <t>498</t>
  </si>
  <si>
    <t>0.2233</t>
  </si>
  <si>
    <t>29563.621</t>
  </si>
  <si>
    <t>1.5582</t>
  </si>
  <si>
    <t>254</t>
  </si>
  <si>
    <t>390</t>
  </si>
  <si>
    <t>222</t>
  </si>
  <si>
    <t>121</t>
  </si>
  <si>
    <t>2.3468</t>
  </si>
  <si>
    <t>1093</t>
  </si>
  <si>
    <t>10.9837</t>
  </si>
  <si>
    <t>919</t>
  </si>
  <si>
    <t>13</t>
  </si>
  <si>
    <t>238</t>
  </si>
  <si>
    <t>1.7385</t>
  </si>
  <si>
    <t>8</t>
  </si>
  <si>
    <t>40</t>
  </si>
  <si>
    <t>2.2326</t>
  </si>
  <si>
    <t>150</t>
  </si>
  <si>
    <t>280</t>
  </si>
  <si>
    <t>3</t>
  </si>
  <si>
    <t>11628</t>
  </si>
  <si>
    <t>3.3079</t>
  </si>
  <si>
    <t>480</t>
  </si>
  <si>
    <t>15787</t>
  </si>
  <si>
    <t>776</t>
  </si>
  <si>
    <t>4.6763</t>
  </si>
  <si>
    <t>796</t>
  </si>
  <si>
    <t>664</t>
  </si>
  <si>
    <t>34</t>
  </si>
  <si>
    <t>6.9322</t>
  </si>
  <si>
    <t>1820</t>
  </si>
  <si>
    <t>11.6185</t>
  </si>
  <si>
    <t>2.6723</t>
  </si>
  <si>
    <t>503</t>
  </si>
  <si>
    <t>2184</t>
  </si>
  <si>
    <t>2.7811</t>
  </si>
  <si>
    <t>842</t>
  </si>
  <si>
    <t>2.8369</t>
  </si>
  <si>
    <t>5.3559</t>
  </si>
  <si>
    <t>1.2766</t>
  </si>
  <si>
    <t>301</t>
  </si>
  <si>
    <t>2.4102</t>
  </si>
  <si>
    <t>1879</t>
  </si>
  <si>
    <t>1.8007</t>
  </si>
  <si>
    <t>3.3968</t>
  </si>
  <si>
    <t>2.6176</t>
  </si>
  <si>
    <t>48</t>
  </si>
  <si>
    <t>128</t>
  </si>
  <si>
    <t>289</t>
  </si>
  <si>
    <t>1.0074</t>
  </si>
  <si>
    <t>75</t>
  </si>
  <si>
    <t>114</t>
  </si>
  <si>
    <t>1.2875</t>
  </si>
  <si>
    <t>12.5828</t>
  </si>
  <si>
    <t>7797</t>
  </si>
  <si>
    <t>8564</t>
  </si>
  <si>
    <t>8.2565</t>
  </si>
  <si>
    <t>0.5568</t>
  </si>
  <si>
    <t>37274.619</t>
  </si>
  <si>
    <t>1297</t>
  </si>
  <si>
    <t>2.3268</t>
  </si>
  <si>
    <t>0.1002</t>
  </si>
  <si>
    <t>558</t>
  </si>
  <si>
    <t>144.415</t>
  </si>
  <si>
    <t>0.2014</t>
  </si>
  <si>
    <t>14455.452</t>
  </si>
  <si>
    <t>0.0775</t>
  </si>
  <si>
    <t>810</t>
  </si>
  <si>
    <t>20786.09</t>
  </si>
  <si>
    <t>0.1975</t>
  </si>
  <si>
    <t>29.2669</t>
  </si>
  <si>
    <t>2051053.798</t>
  </si>
  <si>
    <t>587</t>
  </si>
  <si>
    <t>6.146</t>
  </si>
  <si>
    <t>61.1062</t>
  </si>
  <si>
    <t>5927694.242</t>
  </si>
  <si>
    <t>21.3872</t>
  </si>
  <si>
    <t>354733.746</t>
  </si>
  <si>
    <t>1.1806</t>
  </si>
  <si>
    <t>270114.209</t>
  </si>
  <si>
    <t>621280.0919999999</t>
  </si>
  <si>
    <t>1.7237</t>
  </si>
  <si>
    <t>237</t>
  </si>
  <si>
    <t>1380.758</t>
  </si>
  <si>
    <t>2.5794</t>
  </si>
  <si>
    <t>891778.743</t>
  </si>
  <si>
    <t>105</t>
  </si>
  <si>
    <t>520899.138</t>
  </si>
  <si>
    <t>399155.297</t>
  </si>
  <si>
    <t>2.4279</t>
  </si>
  <si>
    <t>317758.765</t>
  </si>
  <si>
    <t>343</t>
  </si>
  <si>
    <t>208893.286</t>
  </si>
  <si>
    <t>0.6879999999999999</t>
  </si>
  <si>
    <t>0.788</t>
  </si>
  <si>
    <t>59614.591</t>
  </si>
  <si>
    <t>208</t>
  </si>
  <si>
    <t>0.3546</t>
  </si>
  <si>
    <t>153400.214</t>
  </si>
  <si>
    <t>0.5600000000000001</t>
  </si>
  <si>
    <t>77</t>
  </si>
  <si>
    <t>140020.312</t>
  </si>
  <si>
    <t>0.2845</t>
  </si>
  <si>
    <t>283</t>
  </si>
  <si>
    <t>692.633</t>
  </si>
  <si>
    <t>0.5135999999999999</t>
  </si>
  <si>
    <t>55714.8</t>
  </si>
  <si>
    <t>10.6065</t>
  </si>
  <si>
    <t>0.2055</t>
  </si>
  <si>
    <t>124</t>
  </si>
  <si>
    <t>165</t>
  </si>
  <si>
    <t>87</t>
  </si>
  <si>
    <t>62</t>
  </si>
  <si>
    <t>8226</t>
  </si>
  <si>
    <t>8143</t>
  </si>
  <si>
    <t>4.9295</t>
  </si>
  <si>
    <t>2.4647</t>
  </si>
  <si>
    <t>777</t>
  </si>
  <si>
    <t>273</t>
  </si>
  <si>
    <t>7.3705</t>
  </si>
  <si>
    <t>2.9482</t>
  </si>
  <si>
    <t>941</t>
  </si>
  <si>
    <t>2.7526</t>
  </si>
  <si>
    <t>1592</t>
  </si>
  <si>
    <t>1955</t>
  </si>
  <si>
    <t>507</t>
  </si>
  <si>
    <t>1.4093</t>
  </si>
  <si>
    <t>213</t>
  </si>
  <si>
    <t>206</t>
  </si>
  <si>
    <t>11647</t>
  </si>
  <si>
    <t>15152</t>
  </si>
  <si>
    <t>6.4026</t>
  </si>
  <si>
    <t>3.2013</t>
  </si>
  <si>
    <t>780</t>
  </si>
  <si>
    <t>30</t>
  </si>
  <si>
    <t>12</t>
  </si>
  <si>
    <t>1675</t>
  </si>
  <si>
    <t>61.6987</t>
  </si>
  <si>
    <t>4338377.596</t>
  </si>
  <si>
    <t>142.7044</t>
  </si>
  <si>
    <t>13377295.863</t>
  </si>
  <si>
    <t>49.9466</t>
  </si>
  <si>
    <t>1017649.208</t>
  </si>
  <si>
    <t>0.013</t>
  </si>
  <si>
    <t>2686.656</t>
  </si>
  <si>
    <t>0.0097</t>
  </si>
  <si>
    <t>1.1187</t>
  </si>
  <si>
    <t>129450.263</t>
  </si>
  <si>
    <t>0.2238</t>
  </si>
  <si>
    <t>30.8815</t>
  </si>
  <si>
    <t>6111299.986</t>
  </si>
  <si>
    <t>809177.296</t>
  </si>
  <si>
    <t>14.9868</t>
  </si>
  <si>
    <t>949280.491</t>
  </si>
  <si>
    <t>0.0005999999999999999</t>
  </si>
  <si>
    <t>35.739</t>
  </si>
  <si>
    <t>16.8968</t>
  </si>
  <si>
    <t>1229762.913</t>
  </si>
  <si>
    <t>6.0829</t>
  </si>
  <si>
    <t>549425.267</t>
  </si>
  <si>
    <t>350572.709</t>
  </si>
  <si>
    <t>264766.226</t>
  </si>
  <si>
    <t>0.4962</t>
  </si>
  <si>
    <t>0.6592</t>
  </si>
  <si>
    <t>215468.992</t>
  </si>
  <si>
    <t>0.1253</t>
  </si>
  <si>
    <t>5401.491</t>
  </si>
  <si>
    <t>0.06519999999999999</t>
  </si>
  <si>
    <t>33784.533</t>
  </si>
  <si>
    <t>28180.941</t>
  </si>
  <si>
    <t>0.3045</t>
  </si>
  <si>
    <t>177715.245</t>
  </si>
  <si>
    <t>0.1279</t>
  </si>
  <si>
    <t>0.8461</t>
  </si>
  <si>
    <t>20953.447</t>
  </si>
  <si>
    <t>0.1946</t>
  </si>
  <si>
    <t>170727.381</t>
  </si>
  <si>
    <t>808533.398</t>
  </si>
  <si>
    <t>42.4045</t>
  </si>
  <si>
    <t>4132658.514</t>
  </si>
  <si>
    <t>36.7903</t>
  </si>
  <si>
    <t>4342297.08</t>
  </si>
  <si>
    <t>18.3952</t>
  </si>
  <si>
    <t>0.0863</t>
  </si>
  <si>
    <t>11195.581</t>
  </si>
  <si>
    <t>24.176</t>
  </si>
  <si>
    <t>4509229.168</t>
  </si>
  <si>
    <t>9.670500000000001</t>
  </si>
  <si>
    <t>356615.048</t>
  </si>
  <si>
    <t>0.5881999999999999</t>
  </si>
  <si>
    <t>210144.614</t>
  </si>
  <si>
    <t>0.9056999999999999</t>
  </si>
  <si>
    <t>0.0495</t>
  </si>
  <si>
    <t>12375.298</t>
  </si>
  <si>
    <t>0.0139</t>
  </si>
  <si>
    <t>1.0822</t>
  </si>
  <si>
    <t>139409.435</t>
  </si>
  <si>
    <t>0.4329</t>
  </si>
  <si>
    <t>1.0285</t>
  </si>
  <si>
    <t>75752.228</t>
  </si>
  <si>
    <t>0.3291</t>
  </si>
  <si>
    <t>0.2884</t>
  </si>
  <si>
    <t>45792.495</t>
  </si>
  <si>
    <t>2062</t>
  </si>
  <si>
    <t>0.1067</t>
  </si>
  <si>
    <t>0.1827</t>
  </si>
  <si>
    <t>41747.626</t>
  </si>
  <si>
    <t>0.08309999999999999</t>
  </si>
  <si>
    <t>0.1928</t>
  </si>
  <si>
    <t>34859.685</t>
  </si>
  <si>
    <t>0.0964</t>
  </si>
  <si>
    <t>0.4988</t>
  </si>
  <si>
    <t>33539.598</t>
  </si>
  <si>
    <t>800</t>
  </si>
  <si>
    <t>0.0898</t>
  </si>
  <si>
    <t>449.29</t>
  </si>
  <si>
    <t>3.2412</t>
  </si>
  <si>
    <t>25.5023</t>
  </si>
  <si>
    <t>1767308.918</t>
  </si>
  <si>
    <t>1.4585</t>
  </si>
  <si>
    <t>2043</t>
  </si>
  <si>
    <t>68.0994</t>
  </si>
  <si>
    <t>6535292.475000001</t>
  </si>
  <si>
    <t>23.8348</t>
  </si>
  <si>
    <t>417719.272</t>
  </si>
  <si>
    <t>1.387</t>
  </si>
  <si>
    <t>0.3897</t>
  </si>
  <si>
    <t>62943.62</t>
  </si>
  <si>
    <t>101</t>
  </si>
  <si>
    <t>0.2923</t>
  </si>
  <si>
    <t>0.3083</t>
  </si>
  <si>
    <t>41966.569</t>
  </si>
  <si>
    <t>0.0617</t>
  </si>
  <si>
    <t>1037091.87</t>
  </si>
  <si>
    <t>2.1854</t>
  </si>
  <si>
    <t>0.2701</t>
  </si>
  <si>
    <t>17012.744</t>
  </si>
  <si>
    <t>0.0702</t>
  </si>
  <si>
    <t>14.3274</t>
  </si>
  <si>
    <t>736024.929</t>
  </si>
  <si>
    <t>54</t>
  </si>
  <si>
    <t>5.1579</t>
  </si>
  <si>
    <t>171655.003</t>
  </si>
  <si>
    <t>0.9287</t>
  </si>
  <si>
    <t>5.213</t>
  </si>
  <si>
    <t>342313.426</t>
  </si>
  <si>
    <t>414705.064</t>
  </si>
  <si>
    <t>0.8179999999999999</t>
  </si>
  <si>
    <t>2.592</t>
  </si>
  <si>
    <t>240023.454</t>
  </si>
  <si>
    <t>0.8294</t>
  </si>
  <si>
    <t>224597.878</t>
  </si>
  <si>
    <t>1.1199</t>
  </si>
  <si>
    <t>2.1857</t>
  </si>
  <si>
    <t>149312.643</t>
  </si>
  <si>
    <t>0.5027</t>
  </si>
  <si>
    <t>0.4275</t>
  </si>
  <si>
    <t>35983.109</t>
  </si>
  <si>
    <t>0.1924</t>
  </si>
  <si>
    <t>183715.546</t>
  </si>
  <si>
    <t>0.8146</t>
  </si>
  <si>
    <t>68770.531</t>
  </si>
  <si>
    <t>0.6032999999999999</t>
  </si>
  <si>
    <t>79.0532</t>
  </si>
  <si>
    <t>5065711.125</t>
  </si>
  <si>
    <t>16.6012</t>
  </si>
  <si>
    <t>167.6062</t>
  </si>
  <si>
    <t>14523496.622</t>
  </si>
  <si>
    <t>58.6622</t>
  </si>
  <si>
    <t>266</t>
  </si>
  <si>
    <t>10.1737</t>
  </si>
  <si>
    <t>1340434.37</t>
  </si>
  <si>
    <t>5.0869</t>
  </si>
  <si>
    <t>2599.994</t>
  </si>
  <si>
    <t>117</t>
  </si>
  <si>
    <t>0.0094</t>
  </si>
  <si>
    <t>0.9683</t>
  </si>
  <si>
    <t>114957.614</t>
  </si>
  <si>
    <t>37.5212</t>
  </si>
  <si>
    <t>7067477.966</t>
  </si>
  <si>
    <t>15.0084</t>
  </si>
  <si>
    <t>0.6296</t>
  </si>
  <si>
    <t>39270.829</t>
  </si>
  <si>
    <t>0.1637</t>
  </si>
  <si>
    <t>43.5059</t>
  </si>
  <si>
    <t>2370885.489</t>
  </si>
  <si>
    <t>15.6621</t>
  </si>
  <si>
    <t>12.7284</t>
  </si>
  <si>
    <t>6.0694</t>
  </si>
  <si>
    <t>471930.847</t>
  </si>
  <si>
    <t>565</t>
  </si>
  <si>
    <t>7.0549</t>
  </si>
  <si>
    <t>458486.496</t>
  </si>
  <si>
    <t>676658.057</t>
  </si>
  <si>
    <t>794</t>
  </si>
  <si>
    <t>388654.14</t>
  </si>
  <si>
    <t>0.249</t>
  </si>
  <si>
    <t>4972.093</t>
  </si>
  <si>
    <t>580</t>
  </si>
  <si>
    <t>29526.423</t>
  </si>
  <si>
    <t>0.0283</t>
  </si>
  <si>
    <t>381290.719</t>
  </si>
  <si>
    <t>0.712</t>
  </si>
  <si>
    <t>0.0021</t>
  </si>
  <si>
    <t>767.2280000000001</t>
  </si>
  <si>
    <t>10.2662</t>
  </si>
  <si>
    <t>0.1255</t>
  </si>
  <si>
    <t>54314.748</t>
  </si>
  <si>
    <t>0.0439</t>
  </si>
  <si>
    <t>3.6165</t>
  </si>
  <si>
    <t>0.4036</t>
  </si>
  <si>
    <t>228474.595</t>
  </si>
  <si>
    <t>0.1695</t>
  </si>
  <si>
    <t>4.2427</t>
  </si>
  <si>
    <t>1612</t>
  </si>
  <si>
    <t>5.7188</t>
  </si>
  <si>
    <t>3521</t>
  </si>
  <si>
    <t>4.2058</t>
  </si>
  <si>
    <t>1440</t>
  </si>
  <si>
    <t>434</t>
  </si>
  <si>
    <t>2.5053</t>
  </si>
  <si>
    <t>1.2527</t>
  </si>
  <si>
    <t>976</t>
  </si>
  <si>
    <t>72</t>
  </si>
  <si>
    <t>1.1978</t>
  </si>
  <si>
    <t>239</t>
  </si>
  <si>
    <t>292</t>
  </si>
  <si>
    <t>10268</t>
  </si>
  <si>
    <t>8169</t>
  </si>
  <si>
    <t>2632</t>
  </si>
  <si>
    <t>65</t>
  </si>
  <si>
    <t>2764</t>
  </si>
  <si>
    <t>8.6386</t>
  </si>
  <si>
    <t>1.9869</t>
  </si>
  <si>
    <t>1801</t>
  </si>
  <si>
    <t>4.9757</t>
  </si>
  <si>
    <t>2.2391</t>
  </si>
  <si>
    <t>1471</t>
  </si>
  <si>
    <t>7.5586</t>
  </si>
  <si>
    <t>3778</t>
  </si>
  <si>
    <t>8.5074</t>
  </si>
  <si>
    <t>869</t>
  </si>
  <si>
    <t>6.3937</t>
  </si>
  <si>
    <t>3.1969</t>
  </si>
  <si>
    <t>2485</t>
  </si>
  <si>
    <t>2.5576</t>
  </si>
  <si>
    <t>111</t>
  </si>
  <si>
    <t>277617.801</t>
  </si>
  <si>
    <t>221405.838</t>
  </si>
  <si>
    <t>0.8548</t>
  </si>
  <si>
    <t>13.7742</t>
  </si>
  <si>
    <t>838316.4920000001</t>
  </si>
  <si>
    <t>74.1972</t>
  </si>
  <si>
    <t>6333926.85</t>
  </si>
  <si>
    <t>25.9689</t>
  </si>
  <si>
    <t>23.3262</t>
  </si>
  <si>
    <t>2967550.514</t>
  </si>
  <si>
    <t>0.1159</t>
  </si>
  <si>
    <t>13984.016</t>
  </si>
  <si>
    <t>4.7589</t>
  </si>
  <si>
    <t>40.4568</t>
  </si>
  <si>
    <t>6789887.018999999</t>
  </si>
  <si>
    <t>1.7132</t>
  </si>
  <si>
    <t>16.1827</t>
  </si>
  <si>
    <t>236</t>
  </si>
  <si>
    <t>3.0682</t>
  </si>
  <si>
    <t>342041.969</t>
  </si>
  <si>
    <t>0.5522</t>
  </si>
  <si>
    <t>2.5793</t>
  </si>
  <si>
    <t>12090.182</t>
  </si>
  <si>
    <t>310</t>
  </si>
  <si>
    <t>170329.412</t>
  </si>
  <si>
    <t>0.5464</t>
  </si>
  <si>
    <t>2.0815</t>
  </si>
  <si>
    <t>170158.144</t>
  </si>
  <si>
    <t>0.7494</t>
  </si>
  <si>
    <t>0.849</t>
  </si>
  <si>
    <t>89076.101</t>
  </si>
  <si>
    <t>0.2717</t>
  </si>
  <si>
    <t>0.2565</t>
  </si>
  <si>
    <t>46124.092</t>
  </si>
  <si>
    <t>0.0949</t>
  </si>
  <si>
    <t>0.1803</t>
  </si>
  <si>
    <t>33354.405</t>
  </si>
  <si>
    <t>0.0721</t>
  </si>
  <si>
    <t>0.1788</t>
  </si>
  <si>
    <t>30823.635</t>
  </si>
  <si>
    <t>0.08939999999999999</t>
  </si>
  <si>
    <t>0.4067</t>
  </si>
  <si>
    <t>24997.52</t>
  </si>
  <si>
    <t>0.0732</t>
  </si>
  <si>
    <t>57.62</t>
  </si>
  <si>
    <t>38.1815</t>
  </si>
  <si>
    <t>2459423.384</t>
  </si>
  <si>
    <t>8.0181</t>
  </si>
  <si>
    <t>85.807</t>
  </si>
  <si>
    <t>7416654.6</t>
  </si>
  <si>
    <t>30.0325</t>
  </si>
  <si>
    <t>266124.44</t>
  </si>
  <si>
    <t>0.8596</t>
  </si>
  <si>
    <t>0.0827</t>
  </si>
  <si>
    <t>10970.206</t>
  </si>
  <si>
    <t>7.987</t>
  </si>
  <si>
    <t>1451274.377</t>
  </si>
  <si>
    <t>14.5779</t>
  </si>
  <si>
    <t>1306824.554</t>
  </si>
  <si>
    <t>2.624</t>
  </si>
  <si>
    <t>18151.684</t>
  </si>
  <si>
    <t>0.07489999999999999</t>
  </si>
  <si>
    <t>434429.395</t>
  </si>
  <si>
    <t>2.0211</t>
  </si>
  <si>
    <t>2.415</t>
  </si>
  <si>
    <t>163867.488</t>
  </si>
  <si>
    <t>0.9297</t>
  </si>
  <si>
    <t>155758.256</t>
  </si>
  <si>
    <t>1.0809</t>
  </si>
  <si>
    <t>198280.602</t>
  </si>
  <si>
    <t>1.0742</t>
  </si>
  <si>
    <t>156285.721</t>
  </si>
  <si>
    <t>0.5044999999999999</t>
  </si>
  <si>
    <t>0.209</t>
  </si>
  <si>
    <t>18574.319</t>
  </si>
  <si>
    <t>0.094</t>
  </si>
  <si>
    <t>162592.157</t>
  </si>
  <si>
    <t>0.5594</t>
  </si>
  <si>
    <t>140600.756</t>
  </si>
  <si>
    <t>0.6566</t>
  </si>
  <si>
    <t>1482.14</t>
  </si>
  <si>
    <t>0.5566</t>
  </si>
  <si>
    <t>67058.508</t>
  </si>
  <si>
    <t>0.2226</t>
  </si>
  <si>
    <t>126.6332</t>
  </si>
  <si>
    <t>7484281.153</t>
  </si>
  <si>
    <t>26.593</t>
  </si>
  <si>
    <t>188.8145</t>
  </si>
  <si>
    <t>15760805.762</t>
  </si>
  <si>
    <t>66.0851</t>
  </si>
  <si>
    <t>7.1569</t>
  </si>
  <si>
    <t>1051793.848</t>
  </si>
  <si>
    <t>1881.435</t>
  </si>
  <si>
    <t>112165.929</t>
  </si>
  <si>
    <t>0.2002</t>
  </si>
  <si>
    <t>55.9615</t>
  </si>
  <si>
    <t>9577518.937000001</t>
  </si>
  <si>
    <t>22.3846</t>
  </si>
  <si>
    <t>23.2374</t>
  </si>
  <si>
    <t>2101853.462</t>
  </si>
  <si>
    <t>4.1827</t>
  </si>
  <si>
    <t>0.7115</t>
  </si>
  <si>
    <t>44767.403</t>
  </si>
  <si>
    <t>0.185</t>
  </si>
  <si>
    <t>14.6753</t>
  </si>
  <si>
    <t>1156387.558</t>
  </si>
  <si>
    <t>8.625299999999999</t>
  </si>
  <si>
    <t>595802.7150000001</t>
  </si>
  <si>
    <t>275085.705</t>
  </si>
  <si>
    <t>2.1044</t>
  </si>
  <si>
    <t>449283.347</t>
  </si>
  <si>
    <t>0.7786</t>
  </si>
  <si>
    <t>378995.335</t>
  </si>
  <si>
    <t>0.2311</t>
  </si>
  <si>
    <t>7460.162</t>
  </si>
  <si>
    <t>0.0467</t>
  </si>
  <si>
    <t>23810.641</t>
  </si>
  <si>
    <t>0.0233</t>
  </si>
  <si>
    <t>1273.673</t>
  </si>
  <si>
    <t>0.1336</t>
  </si>
  <si>
    <t>58314.52800000001</t>
  </si>
  <si>
    <t>0.5234</t>
  </si>
  <si>
    <t>283693.426</t>
  </si>
  <si>
    <t>0.2199</t>
  </si>
  <si>
    <t>235037.437</t>
  </si>
  <si>
    <t>191259.121</t>
  </si>
  <si>
    <t>0.9404</t>
  </si>
  <si>
    <t>632659.4720000001</t>
  </si>
  <si>
    <t>49.5129</t>
  </si>
  <si>
    <t>4733228.103999999</t>
  </si>
  <si>
    <t>17.3296</t>
  </si>
  <si>
    <t>48.8577</t>
  </si>
  <si>
    <t>5155983.123</t>
  </si>
  <si>
    <t>24.4289</t>
  </si>
  <si>
    <t>0.1204</t>
  </si>
  <si>
    <t>15142.913</t>
  </si>
  <si>
    <t>0.0241</t>
  </si>
  <si>
    <t>57.1231</t>
  </si>
  <si>
    <t>7939393.997</t>
  </si>
  <si>
    <t>22.8493</t>
  </si>
  <si>
    <t>322443.487</t>
  </si>
  <si>
    <t>0.5326</t>
  </si>
  <si>
    <t>8828.718999999999</t>
  </si>
  <si>
    <t>0.008399999999999999</t>
  </si>
  <si>
    <t>180083.167</t>
  </si>
  <si>
    <t>0.5093</t>
  </si>
  <si>
    <t>504.9209999999999</t>
  </si>
  <si>
    <t>158905.209</t>
  </si>
  <si>
    <t>0.3746</t>
  </si>
  <si>
    <t>70102.819</t>
  </si>
  <si>
    <t>0.1386</t>
  </si>
  <si>
    <t>0.6834</t>
  </si>
  <si>
    <t>69379.22100000001</t>
  </si>
  <si>
    <t>0.2187</t>
  </si>
  <si>
    <t>0.1553</t>
  </si>
  <si>
    <t>31865.635</t>
  </si>
  <si>
    <t>0.1443</t>
  </si>
  <si>
    <t>26838.243</t>
  </si>
  <si>
    <t>0.1516</t>
  </si>
  <si>
    <t>25916.124</t>
  </si>
  <si>
    <t>0.0288</t>
  </si>
  <si>
    <t>69.62100000000001</t>
  </si>
  <si>
    <t>26.6778</t>
  </si>
  <si>
    <t>1862527.017</t>
  </si>
  <si>
    <t>148</t>
  </si>
  <si>
    <t>65.9601</t>
  </si>
  <si>
    <t>6276647.956</t>
  </si>
  <si>
    <t>23.0859</t>
  </si>
  <si>
    <t>303855.443</t>
  </si>
  <si>
    <t>0.9749</t>
  </si>
  <si>
    <t>0.2765</t>
  </si>
  <si>
    <t>44648.981</t>
  </si>
  <si>
    <t>3119.435</t>
  </si>
  <si>
    <t>0.0054</t>
  </si>
  <si>
    <t>123</t>
  </si>
  <si>
    <t>8.1549</t>
  </si>
  <si>
    <t>1411382.657</t>
  </si>
  <si>
    <t>10.259</t>
  </si>
  <si>
    <t>911959.193</t>
  </si>
  <si>
    <t>73</t>
  </si>
  <si>
    <t>0.6860000000000001</t>
  </si>
  <si>
    <t>42920.05</t>
  </si>
  <si>
    <t>0.1784</t>
  </si>
  <si>
    <t>12.0641</t>
  </si>
  <si>
    <t>709762.952</t>
  </si>
  <si>
    <t>4.343</t>
  </si>
  <si>
    <t>167301.944</t>
  </si>
  <si>
    <t>1.0306</t>
  </si>
  <si>
    <t>91374.932</t>
  </si>
  <si>
    <t>0.6327</t>
  </si>
  <si>
    <t>170223.986</t>
  </si>
  <si>
    <t>0.6203</t>
  </si>
  <si>
    <t>2.0573</t>
  </si>
  <si>
    <t>141777.357</t>
  </si>
  <si>
    <t>0.4732</t>
  </si>
  <si>
    <t>0.1111</t>
  </si>
  <si>
    <t>9832.527</t>
  </si>
  <si>
    <t>0.05</t>
  </si>
  <si>
    <t>56</t>
  </si>
  <si>
    <t>2.0803</t>
  </si>
  <si>
    <t>150476.249</t>
  </si>
  <si>
    <t>0.8321</t>
  </si>
  <si>
    <t>116172.805</t>
  </si>
  <si>
    <t>0.5754</t>
  </si>
  <si>
    <t>91</t>
  </si>
  <si>
    <t>0.521</t>
  </si>
  <si>
    <t>103764.818</t>
  </si>
  <si>
    <t>91.0282</t>
  </si>
  <si>
    <t>5751850.419000001</t>
  </si>
  <si>
    <t>19.116</t>
  </si>
  <si>
    <t>148.5251</t>
  </si>
  <si>
    <t>13843010.251</t>
  </si>
  <si>
    <t>51.9838</t>
  </si>
  <si>
    <t>13.1242</t>
  </si>
  <si>
    <t>1613783.187</t>
  </si>
  <si>
    <t>0.0116</t>
  </si>
  <si>
    <t>1818.643</t>
  </si>
  <si>
    <t>0.008699999999999999</t>
  </si>
  <si>
    <t>0.9913</t>
  </si>
  <si>
    <t>116186.596</t>
  </si>
  <si>
    <t>0.1983</t>
  </si>
  <si>
    <t>49.3487</t>
  </si>
  <si>
    <t>8723807.700999999</t>
  </si>
  <si>
    <t>19.7395</t>
  </si>
  <si>
    <t>94162.77100000001</t>
  </si>
  <si>
    <t>0.3905</t>
  </si>
  <si>
    <t>31.1936</t>
  </si>
  <si>
    <t>1961295.407</t>
  </si>
  <si>
    <t>16.482</t>
  </si>
  <si>
    <t>1502999.939</t>
  </si>
  <si>
    <t>8.0768</t>
  </si>
  <si>
    <t>479585.418</t>
  </si>
  <si>
    <t>3.1096</t>
  </si>
  <si>
    <t>119786.021</t>
  </si>
  <si>
    <t>0.8399</t>
  </si>
  <si>
    <t>1.827</t>
  </si>
  <si>
    <t>378372.655</t>
  </si>
  <si>
    <t>0.676</t>
  </si>
  <si>
    <t>1.0677</t>
  </si>
  <si>
    <t>12.3884</t>
  </si>
  <si>
    <t>321767.696</t>
  </si>
  <si>
    <t>7304</t>
  </si>
  <si>
    <t>0.2027</t>
  </si>
  <si>
    <t>7170.603</t>
  </si>
  <si>
    <t>0.0466</t>
  </si>
  <si>
    <t>24183.679</t>
  </si>
  <si>
    <t>311613.187</t>
  </si>
  <si>
    <t>8857</t>
  </si>
  <si>
    <t>1.232</t>
  </si>
  <si>
    <t>0.3133</t>
  </si>
  <si>
    <t>119615.482</t>
  </si>
  <si>
    <t>526.5360000000001</t>
  </si>
  <si>
    <t>2.5487</t>
  </si>
  <si>
    <t>568</t>
  </si>
  <si>
    <t>1.1007</t>
  </si>
  <si>
    <t>150343.04</t>
  </si>
  <si>
    <t>0.4403</t>
  </si>
  <si>
    <t>0.2777</t>
  </si>
  <si>
    <t>139085.529</t>
  </si>
  <si>
    <t>0.0556</t>
  </si>
  <si>
    <t>0.2557</t>
  </si>
  <si>
    <t>129399.208</t>
  </si>
  <si>
    <t>203</t>
  </si>
  <si>
    <t>584439.645</t>
  </si>
  <si>
    <t>58.9269</t>
  </si>
  <si>
    <t>5261899.307</t>
  </si>
  <si>
    <t>20.6244</t>
  </si>
  <si>
    <t>40.0693</t>
  </si>
  <si>
    <t>4483308.138</t>
  </si>
  <si>
    <t>20.0346</t>
  </si>
  <si>
    <t>0.126</t>
  </si>
  <si>
    <t>15565.614</t>
  </si>
  <si>
    <t>0.0252</t>
  </si>
  <si>
    <t>2.3936</t>
  </si>
  <si>
    <t>874</t>
  </si>
  <si>
    <t>48.5318</t>
  </si>
  <si>
    <t>7688316.923</t>
  </si>
  <si>
    <t>19.4127</t>
  </si>
  <si>
    <t>3.0142</t>
  </si>
  <si>
    <t>325022.263</t>
  </si>
  <si>
    <t>0.5425</t>
  </si>
  <si>
    <t>0.0374</t>
  </si>
  <si>
    <t>10424.574</t>
  </si>
  <si>
    <t>0.0105</t>
  </si>
  <si>
    <t>1817</t>
  </si>
  <si>
    <t>1.381</t>
  </si>
  <si>
    <t>191527.329</t>
  </si>
  <si>
    <t>0.5524</t>
  </si>
  <si>
    <t>0.0071</t>
  </si>
  <si>
    <t>6.6417</t>
  </si>
  <si>
    <t>403.671</t>
  </si>
  <si>
    <t>1.5276</t>
  </si>
  <si>
    <t>129878.468</t>
  </si>
  <si>
    <t>2390</t>
  </si>
  <si>
    <t>0.5687</t>
  </si>
  <si>
    <t>0.7599</t>
  </si>
  <si>
    <t>127894.06</t>
  </si>
  <si>
    <t>0.2812</t>
  </si>
  <si>
    <t>0.5868</t>
  </si>
  <si>
    <t>63073.779</t>
  </si>
  <si>
    <t>0.1878</t>
  </si>
  <si>
    <t>446</t>
  </si>
  <si>
    <t>0.3817</t>
  </si>
  <si>
    <t>61491.981</t>
  </si>
  <si>
    <t>0.1737</t>
  </si>
  <si>
    <t>1.2914</t>
  </si>
  <si>
    <t>36021.5</t>
  </si>
  <si>
    <t>0.0731</t>
  </si>
  <si>
    <t>475</t>
  </si>
  <si>
    <t>0.1949</t>
  </si>
  <si>
    <t>33214.698</t>
  </si>
  <si>
    <t>0.037</t>
  </si>
  <si>
    <t>1.7221</t>
  </si>
  <si>
    <t>86.13200000000001</t>
  </si>
  <si>
    <t>26.8384</t>
  </si>
  <si>
    <t>1831470.979</t>
  </si>
  <si>
    <t>232</t>
  </si>
  <si>
    <t>69.70959999999999</t>
  </si>
  <si>
    <t>6746230.11</t>
  </si>
  <si>
    <t>24.3984</t>
  </si>
  <si>
    <t>346235.894</t>
  </si>
  <si>
    <t>1.1352</t>
  </si>
  <si>
    <t>221</t>
  </si>
  <si>
    <t>0.2856</t>
  </si>
  <si>
    <t>46137.22</t>
  </si>
  <si>
    <t>0.2142</t>
  </si>
  <si>
    <t>9829.012000000001</t>
  </si>
  <si>
    <t>0.0129</t>
  </si>
  <si>
    <t>7.1892</t>
  </si>
  <si>
    <t>1308781.975</t>
  </si>
  <si>
    <t>785239.745</t>
  </si>
  <si>
    <t>1.021</t>
  </si>
  <si>
    <t>58981.037</t>
  </si>
  <si>
    <t>0.2654</t>
  </si>
  <si>
    <t>10.0487</t>
  </si>
  <si>
    <t>606253.28</t>
  </si>
  <si>
    <t>2.361</t>
  </si>
  <si>
    <t>171533.862</t>
  </si>
  <si>
    <t>0.909</t>
  </si>
  <si>
    <t>0.6965</t>
  </si>
  <si>
    <t>55380.153</t>
  </si>
  <si>
    <t>0.3413</t>
  </si>
  <si>
    <t>177160.661</t>
  </si>
  <si>
    <t>0.6225000000000001</t>
  </si>
  <si>
    <t>134078.957</t>
  </si>
  <si>
    <t>0.4413</t>
  </si>
  <si>
    <t>0.0887</t>
  </si>
  <si>
    <t>7754.097</t>
  </si>
  <si>
    <t>0.0398</t>
  </si>
  <si>
    <t>0.6647</t>
  </si>
  <si>
    <t>133355.757</t>
  </si>
  <si>
    <t>0.2459</t>
  </si>
  <si>
    <t>121583.181</t>
  </si>
  <si>
    <t>0.8663</t>
  </si>
  <si>
    <t>108666.096</t>
  </si>
  <si>
    <t>0.5895</t>
  </si>
  <si>
    <t>92.24850000000001</t>
  </si>
  <si>
    <t>5816404.614</t>
  </si>
  <si>
    <t>19.3721</t>
  </si>
  <si>
    <t>158.1712</t>
  </si>
  <si>
    <t>14410525.472</t>
  </si>
  <si>
    <t>55.3599</t>
  </si>
  <si>
    <t>9.202299999999999</t>
  </si>
  <si>
    <t>1260909.194</t>
  </si>
  <si>
    <t>1791.126</t>
  </si>
  <si>
    <t>0.0065</t>
  </si>
  <si>
    <t>160195.657</t>
  </si>
  <si>
    <t>38.9478</t>
  </si>
  <si>
    <t>7508403.564999999</t>
  </si>
  <si>
    <t>15.5791</t>
  </si>
  <si>
    <t>2.0282</t>
  </si>
  <si>
    <t>122270.841</t>
  </si>
  <si>
    <t>0.5273</t>
  </si>
  <si>
    <t>19.925</t>
  </si>
  <si>
    <t>1349544.558</t>
  </si>
  <si>
    <t>7.173</t>
  </si>
  <si>
    <t>17.0671</t>
  </si>
  <si>
    <t>1470941.751</t>
  </si>
  <si>
    <t>3.0721</t>
  </si>
  <si>
    <t>385360.054</t>
  </si>
  <si>
    <t>0.2478</t>
  </si>
  <si>
    <t>0.0201</t>
  </si>
  <si>
    <t>8773.221</t>
  </si>
  <si>
    <t>0.0072</t>
  </si>
  <si>
    <t>28912.296</t>
  </si>
  <si>
    <t>303537.24</t>
  </si>
  <si>
    <t>0.5836</t>
  </si>
  <si>
    <t>45059.481</t>
  </si>
  <si>
    <t>0.286</t>
  </si>
  <si>
    <t>309041.97</t>
  </si>
  <si>
    <t>1.141</t>
  </si>
  <si>
    <t>1.341</t>
  </si>
  <si>
    <t>266459.087</t>
  </si>
  <si>
    <t>1651.021</t>
  </si>
  <si>
    <t>0.104</t>
  </si>
  <si>
    <t>49401.866</t>
  </si>
  <si>
    <t>0.0364</t>
  </si>
  <si>
    <t>0.2762</t>
  </si>
  <si>
    <t>154514.089</t>
  </si>
  <si>
    <t>0.116</t>
  </si>
  <si>
    <t>0.0391</t>
  </si>
  <si>
    <t>14953.212</t>
  </si>
  <si>
    <t>960.8409999999999</t>
  </si>
  <si>
    <t>173679.195</t>
  </si>
  <si>
    <t>0.5780999999999999</t>
  </si>
  <si>
    <t>31.182</t>
  </si>
  <si>
    <t>2078583.3</t>
  </si>
  <si>
    <t>18.0189</t>
  </si>
  <si>
    <t>1233555.4</t>
  </si>
  <si>
    <t>26.234</t>
  </si>
  <si>
    <t>1891463.7</t>
  </si>
  <si>
    <t>27.5444</t>
  </si>
  <si>
    <t>15.2089</t>
  </si>
  <si>
    <t>999127.4</t>
  </si>
  <si>
    <t>3.0419</t>
  </si>
  <si>
    <t>23.4901</t>
  </si>
  <si>
    <t>1653579.9</t>
  </si>
  <si>
    <t>24.9705</t>
  </si>
  <si>
    <t>1670221.4</t>
  </si>
  <si>
    <t>14.6105</t>
  </si>
  <si>
    <t>876252.6</t>
  </si>
  <si>
    <t>18.2471</t>
  </si>
  <si>
    <t>1287240.7</t>
  </si>
  <si>
    <t>19.3133</t>
  </si>
  <si>
    <t>1358936.3</t>
  </si>
  <si>
    <t>9.376899999999999</t>
  </si>
  <si>
    <t>759386.2000000001</t>
  </si>
  <si>
    <t>62.7087</t>
  </si>
  <si>
    <t>2991207.2</t>
  </si>
  <si>
    <t>22.617</t>
  </si>
  <si>
    <t>1451139.6</t>
  </si>
  <si>
    <t>8.864100000000001</t>
  </si>
  <si>
    <t>751663.1</t>
  </si>
  <si>
    <t>17.6217</t>
  </si>
  <si>
    <t>1321720.7</t>
  </si>
  <si>
    <t>47</t>
  </si>
  <si>
    <t>20.1482</t>
  </si>
  <si>
    <t>1271748.3</t>
  </si>
  <si>
    <t>4.0296</t>
  </si>
  <si>
    <t>15.7034</t>
  </si>
  <si>
    <t>1119430.7</t>
  </si>
  <si>
    <t>3.1407</t>
  </si>
  <si>
    <t>36.2357</t>
  </si>
  <si>
    <t>2409268.2</t>
  </si>
  <si>
    <t>21</t>
  </si>
  <si>
    <t>25.8357</t>
  </si>
  <si>
    <t>1472910.5</t>
  </si>
  <si>
    <t>5.1671</t>
  </si>
  <si>
    <t>21.2905</t>
  </si>
  <si>
    <t>1292415.9</t>
  </si>
  <si>
    <t>44.1025</t>
  </si>
  <si>
    <t>2610535.8</t>
  </si>
  <si>
    <t>8.820399999999999</t>
  </si>
  <si>
    <t>257</t>
  </si>
  <si>
    <t>19.4161</t>
  </si>
  <si>
    <t>1174415.3</t>
  </si>
  <si>
    <t>22.1025</t>
  </si>
  <si>
    <t>1298084.1</t>
  </si>
  <si>
    <t>49.0676</t>
  </si>
  <si>
    <t>2683119.3</t>
  </si>
  <si>
    <t>9.813599999999999</t>
  </si>
  <si>
    <t>17.6166</t>
  </si>
  <si>
    <t>1100457.9</t>
  </si>
  <si>
    <t>19.039</t>
  </si>
  <si>
    <t>1265202.6</t>
  </si>
  <si>
    <t>29.4026</t>
  </si>
  <si>
    <t>1831285.9</t>
  </si>
  <si>
    <t>833893.8</t>
  </si>
  <si>
    <t>13.6879</t>
  </si>
  <si>
    <t>867911.5</t>
  </si>
  <si>
    <t>27.9039</t>
  </si>
  <si>
    <t>1875175.1</t>
  </si>
  <si>
    <t>1.3841</t>
  </si>
  <si>
    <t>13.2139</t>
  </si>
  <si>
    <t>894754.9</t>
  </si>
  <si>
    <t>749057.6</t>
  </si>
  <si>
    <t>158</t>
  </si>
  <si>
    <t>17.9486</t>
  </si>
  <si>
    <t>1339453.1</t>
  </si>
  <si>
    <t>748857.9</t>
  </si>
  <si>
    <t>2.118</t>
  </si>
  <si>
    <t>549344.2999999999</t>
  </si>
  <si>
    <t>478</t>
  </si>
  <si>
    <t>25.2956</t>
  </si>
  <si>
    <t>1721988.6</t>
  </si>
  <si>
    <t>5.0591</t>
  </si>
  <si>
    <t>786</t>
  </si>
  <si>
    <t>5.8755</t>
  </si>
  <si>
    <t>671</t>
  </si>
  <si>
    <t>10.8278</t>
  </si>
  <si>
    <t>2.4904</t>
  </si>
  <si>
    <t>482</t>
  </si>
  <si>
    <t>302</t>
  </si>
  <si>
    <t>2.9288</t>
  </si>
  <si>
    <t>94</t>
  </si>
  <si>
    <t>1.8156</t>
  </si>
  <si>
    <t>115</t>
  </si>
  <si>
    <t>2.3171</t>
  </si>
  <si>
    <t>119</t>
  </si>
  <si>
    <t>113</t>
  </si>
  <si>
    <t>8093</t>
  </si>
  <si>
    <t>8792</t>
  </si>
  <si>
    <t>6.1918</t>
  </si>
  <si>
    <t>1462</t>
  </si>
  <si>
    <t>323</t>
  </si>
  <si>
    <t>8.3434</t>
  </si>
  <si>
    <t>3.3374</t>
  </si>
  <si>
    <t>1496</t>
  </si>
  <si>
    <t>256</t>
  </si>
  <si>
    <t>2626</t>
  </si>
  <si>
    <t>1774</t>
  </si>
  <si>
    <t>1.2491</t>
  </si>
  <si>
    <t>2.3394</t>
  </si>
  <si>
    <t>11876</t>
  </si>
  <si>
    <t>996</t>
  </si>
  <si>
    <t>15756</t>
  </si>
  <si>
    <t>406</t>
  </si>
  <si>
    <t>10.4898</t>
  </si>
  <si>
    <t>5.2449</t>
  </si>
  <si>
    <t>762</t>
  </si>
  <si>
    <t>243</t>
  </si>
  <si>
    <t>104</t>
  </si>
  <si>
    <t>1692</t>
  </si>
  <si>
    <t>9.4168</t>
  </si>
  <si>
    <t>1981</t>
  </si>
  <si>
    <t>1.7753</t>
  </si>
  <si>
    <t>307</t>
  </si>
  <si>
    <t>11160</t>
  </si>
  <si>
    <t>8304</t>
  </si>
  <si>
    <t>2421</t>
  </si>
  <si>
    <t>2316</t>
  </si>
  <si>
    <t>6.5958</t>
  </si>
  <si>
    <t>2651</t>
  </si>
  <si>
    <t>4.8246</t>
  </si>
  <si>
    <t>1399</t>
  </si>
  <si>
    <t>3.4998</t>
  </si>
  <si>
    <t>1.5748</t>
  </si>
  <si>
    <t>1473</t>
  </si>
  <si>
    <t>4.6311</t>
  </si>
  <si>
    <t>1.7135</t>
  </si>
  <si>
    <t>743</t>
  </si>
  <si>
    <t>5.7053</t>
  </si>
  <si>
    <t>2.8527</t>
  </si>
  <si>
    <t>2566</t>
  </si>
  <si>
    <t>28</t>
  </si>
  <si>
    <t>1.7914</t>
  </si>
  <si>
    <t>262</t>
  </si>
  <si>
    <t>5</t>
  </si>
  <si>
    <t>4.6951</t>
  </si>
  <si>
    <t>572</t>
  </si>
  <si>
    <t>778</t>
  </si>
  <si>
    <t>640</t>
  </si>
  <si>
    <t>22</t>
  </si>
  <si>
    <t>6.8381</t>
  </si>
  <si>
    <t>633</t>
  </si>
  <si>
    <t>2.7681</t>
  </si>
  <si>
    <t>1.8037</t>
  </si>
  <si>
    <t>285</t>
  </si>
  <si>
    <t>138</t>
  </si>
  <si>
    <t>3.2213</t>
  </si>
  <si>
    <t>1.8592</t>
  </si>
  <si>
    <t>46</t>
  </si>
  <si>
    <t>7742</t>
  </si>
  <si>
    <t>8213</t>
  </si>
  <si>
    <t>3.5394</t>
  </si>
  <si>
    <t>1256</t>
  </si>
  <si>
    <t>337</t>
  </si>
  <si>
    <t>9.4711</t>
  </si>
  <si>
    <t>3.7885</t>
  </si>
  <si>
    <t>1342</t>
  </si>
  <si>
    <t>5.2878</t>
  </si>
  <si>
    <t>2350</t>
  </si>
  <si>
    <t>3.7982</t>
  </si>
  <si>
    <t>1569</t>
  </si>
  <si>
    <t>330</t>
  </si>
  <si>
    <t>327</t>
  </si>
  <si>
    <t>1.3652</t>
  </si>
  <si>
    <t>245</t>
  </si>
  <si>
    <t>334</t>
  </si>
  <si>
    <t>188</t>
  </si>
  <si>
    <t>11236</t>
  </si>
  <si>
    <t>7935</t>
  </si>
  <si>
    <t>8.7657</t>
  </si>
  <si>
    <t>2129</t>
  </si>
  <si>
    <t>9.5385</t>
  </si>
  <si>
    <t>2262</t>
  </si>
  <si>
    <t>8.3302</t>
  </si>
  <si>
    <t>1.9159</t>
  </si>
  <si>
    <t>1621</t>
  </si>
  <si>
    <t>3.6336</t>
  </si>
  <si>
    <t>1.6351</t>
  </si>
  <si>
    <t>1225</t>
  </si>
  <si>
    <t>2207</t>
  </si>
  <si>
    <t>6.3243</t>
  </si>
  <si>
    <t>827</t>
  </si>
  <si>
    <t>106</t>
  </si>
  <si>
    <t>14</t>
  </si>
  <si>
    <t>1.3731</t>
  </si>
  <si>
    <t>202</t>
  </si>
  <si>
    <t>3.2629</t>
  </si>
  <si>
    <t>1.6315</t>
  </si>
  <si>
    <t>1966</t>
  </si>
  <si>
    <t>707</t>
  </si>
  <si>
    <t>2.5952</t>
  </si>
  <si>
    <t>1904</t>
  </si>
  <si>
    <t>2.7406</t>
  </si>
  <si>
    <t>353</t>
  </si>
  <si>
    <t>3.6635</t>
  </si>
  <si>
    <t>598</t>
  </si>
  <si>
    <t>719</t>
  </si>
  <si>
    <t>620</t>
  </si>
  <si>
    <t>1.5473</t>
  </si>
  <si>
    <t>5.3166</t>
  </si>
  <si>
    <t>10.7218</t>
  </si>
  <si>
    <t>2.4661</t>
  </si>
  <si>
    <t>490</t>
  </si>
  <si>
    <t>1.0016</t>
  </si>
  <si>
    <t>2.7663</t>
  </si>
  <si>
    <t>118</t>
  </si>
  <si>
    <t>98</t>
  </si>
  <si>
    <t>10.7593</t>
  </si>
  <si>
    <t>164</t>
  </si>
  <si>
    <t>570</t>
  </si>
  <si>
    <t>628</t>
  </si>
  <si>
    <t>82</t>
  </si>
  <si>
    <t>1.4542</t>
  </si>
  <si>
    <t>7767</t>
  </si>
  <si>
    <t>260</t>
  </si>
  <si>
    <t>8911</t>
  </si>
  <si>
    <t>5.9658</t>
  </si>
  <si>
    <t>2.9829</t>
  </si>
  <si>
    <t>1480</t>
  </si>
  <si>
    <t>131</t>
  </si>
  <si>
    <t>308</t>
  </si>
  <si>
    <t>60</t>
  </si>
  <si>
    <t>5.8056</t>
  </si>
  <si>
    <t>2.3222</t>
  </si>
  <si>
    <t>1295</t>
  </si>
  <si>
    <t>6.7645</t>
  </si>
  <si>
    <t>2074</t>
  </si>
  <si>
    <t>3.3244</t>
  </si>
  <si>
    <t>1783</t>
  </si>
  <si>
    <t>154</t>
  </si>
  <si>
    <t>235</t>
  </si>
  <si>
    <t>1.3844</t>
  </si>
  <si>
    <t>320</t>
  </si>
  <si>
    <t>367</t>
  </si>
  <si>
    <t>608</t>
  </si>
  <si>
    <t>338</t>
  </si>
  <si>
    <t>701</t>
  </si>
  <si>
    <t>10036</t>
  </si>
  <si>
    <t>8203</t>
  </si>
  <si>
    <t>7.4208</t>
  </si>
  <si>
    <t>1810</t>
  </si>
  <si>
    <t>2246</t>
  </si>
  <si>
    <t>11.2606</t>
  </si>
  <si>
    <t>2090</t>
  </si>
  <si>
    <t>2.9808</t>
  </si>
  <si>
    <t>630</t>
  </si>
  <si>
    <t>4.3128</t>
  </si>
  <si>
    <t>1587</t>
  </si>
  <si>
    <t>1.3997</t>
  </si>
  <si>
    <t>1088</t>
  </si>
  <si>
    <t>1.7589</t>
  </si>
  <si>
    <t>97</t>
  </si>
  <si>
    <t>43</t>
  </si>
  <si>
    <t>1.3282</t>
  </si>
  <si>
    <t>220</t>
  </si>
  <si>
    <t>1456</t>
  </si>
  <si>
    <t>714</t>
  </si>
  <si>
    <t>10.5441</t>
  </si>
  <si>
    <t>578</t>
  </si>
  <si>
    <t>5.7967</t>
  </si>
  <si>
    <t>575</t>
  </si>
  <si>
    <t>7.9988</t>
  </si>
  <si>
    <t>1.8397</t>
  </si>
  <si>
    <t>166</t>
  </si>
  <si>
    <t>2.7746</t>
  </si>
  <si>
    <t>151</t>
  </si>
  <si>
    <t>3.0071</t>
  </si>
  <si>
    <t>7.8476</t>
  </si>
  <si>
    <t>6542</t>
  </si>
  <si>
    <t>15.2249</t>
  </si>
  <si>
    <t>899.265493</t>
  </si>
  <si>
    <t>9222</t>
  </si>
  <si>
    <t>58.2443</t>
  </si>
  <si>
    <t>5622.580442</t>
  </si>
  <si>
    <t>20.3855</t>
  </si>
  <si>
    <t>38.4102</t>
  </si>
  <si>
    <t>2.0058</t>
  </si>
  <si>
    <t>4457.22479</t>
  </si>
  <si>
    <t>625</t>
  </si>
  <si>
    <t>19.2051</t>
  </si>
  <si>
    <t>0.1327</t>
  </si>
  <si>
    <t>15.948333</t>
  </si>
  <si>
    <t>0.0265</t>
  </si>
  <si>
    <t>44.9287</t>
  </si>
  <si>
    <t>7611.563208</t>
  </si>
  <si>
    <t>17.9715</t>
  </si>
  <si>
    <t>307.946992</t>
  </si>
  <si>
    <t>0.5153</t>
  </si>
  <si>
    <t>0.0225</t>
  </si>
  <si>
    <t>6.422605</t>
  </si>
  <si>
    <t>0.0063</t>
  </si>
  <si>
    <t>212.469968</t>
  </si>
  <si>
    <t>0.6237</t>
  </si>
  <si>
    <t>5.9628</t>
  </si>
  <si>
    <t>1.0881</t>
  </si>
  <si>
    <t>171.236944</t>
  </si>
  <si>
    <t>2.3852</t>
  </si>
  <si>
    <t>846</t>
  </si>
  <si>
    <t>0.029771</t>
  </si>
  <si>
    <t>116.992414</t>
  </si>
  <si>
    <t>0.5242</t>
  </si>
  <si>
    <t>0.8941</t>
  </si>
  <si>
    <t>95.339903</t>
  </si>
  <si>
    <t>1853</t>
  </si>
  <si>
    <t>0.2861</t>
  </si>
  <si>
    <t>0.1668</t>
  </si>
  <si>
    <t>38.969667</t>
  </si>
  <si>
    <t>5.1908</t>
  </si>
  <si>
    <t>0.0667</t>
  </si>
  <si>
    <t>0.2026</t>
  </si>
  <si>
    <t>1.1939</t>
  </si>
  <si>
    <t>34.905171</t>
  </si>
  <si>
    <t>1868</t>
  </si>
  <si>
    <t>0.0385</t>
  </si>
  <si>
    <t>0.142028</t>
  </si>
  <si>
    <t>0.1902</t>
  </si>
  <si>
    <t>32.450189</t>
  </si>
  <si>
    <t>0.0865</t>
  </si>
  <si>
    <t>461</t>
  </si>
  <si>
    <t>88.4917</t>
  </si>
  <si>
    <t>4389.809554</t>
  </si>
  <si>
    <t>18.5833</t>
  </si>
  <si>
    <t>3.3595</t>
  </si>
  <si>
    <t>57.6908</t>
  </si>
  <si>
    <t>5967.119432</t>
  </si>
  <si>
    <t>20.1918</t>
  </si>
  <si>
    <t>3105</t>
  </si>
  <si>
    <t>2.834</t>
  </si>
  <si>
    <t>485.822233</t>
  </si>
  <si>
    <t>1.4491</t>
  </si>
  <si>
    <t>46.13722</t>
  </si>
  <si>
    <t>0.0974</t>
  </si>
  <si>
    <t>14.795735</t>
  </si>
  <si>
    <t>0.0195</t>
  </si>
  <si>
    <t>8.1112</t>
  </si>
  <si>
    <t>1609.072208</t>
  </si>
  <si>
    <t>0.6235</t>
  </si>
  <si>
    <t>38.73859</t>
  </si>
  <si>
    <t>0.1621</t>
  </si>
  <si>
    <t>701.603394</t>
  </si>
  <si>
    <t>8.1162</t>
  </si>
  <si>
    <t>700.442242</t>
  </si>
  <si>
    <t>193.181003</t>
  </si>
  <si>
    <t>164.704934</t>
  </si>
  <si>
    <t>0.8496</t>
  </si>
  <si>
    <t>0.1416</t>
  </si>
  <si>
    <t>12.006769</t>
  </si>
  <si>
    <t>0.0694</t>
  </si>
  <si>
    <t>1.1685</t>
  </si>
  <si>
    <t>135.056441</t>
  </si>
  <si>
    <t>1065</t>
  </si>
  <si>
    <t>0.4674</t>
  </si>
  <si>
    <t>1.59307</t>
  </si>
  <si>
    <t>0.95189</t>
  </si>
  <si>
    <t>0.871</t>
  </si>
  <si>
    <t>127.584278</t>
  </si>
  <si>
    <t>0.3483</t>
  </si>
  <si>
    <t>98.695255</t>
  </si>
  <si>
    <t>0.0795</t>
  </si>
  <si>
    <t>7.20621</t>
  </si>
  <si>
    <t>0.0358</t>
  </si>
  <si>
    <t>1.0835</t>
  </si>
  <si>
    <t>96.79121</t>
  </si>
  <si>
    <t>0.3467</t>
  </si>
  <si>
    <t>200.7302</t>
  </si>
  <si>
    <t>10271.13988</t>
  </si>
  <si>
    <t>10675</t>
  </si>
  <si>
    <t>42.1534</t>
  </si>
  <si>
    <t>159.5171</t>
  </si>
  <si>
    <t>14567.6979</t>
  </si>
  <si>
    <t>55.8309</t>
  </si>
  <si>
    <t>1323.619549</t>
  </si>
  <si>
    <t>15822</t>
  </si>
  <si>
    <t>1.791126</t>
  </si>
  <si>
    <t>147.988777</t>
  </si>
  <si>
    <t>0.2461</t>
  </si>
  <si>
    <t>56.187</t>
  </si>
  <si>
    <t>9934.412537</t>
  </si>
  <si>
    <t>22.4747</t>
  </si>
  <si>
    <t>644</t>
  </si>
  <si>
    <t>96.490976</t>
  </si>
  <si>
    <t>0.4084</t>
  </si>
  <si>
    <t>19.0162</t>
  </si>
  <si>
    <t>1335.566377</t>
  </si>
  <si>
    <t>14.6676</t>
  </si>
  <si>
    <t>1288.467984</t>
  </si>
  <si>
    <t>1.2159</t>
  </si>
  <si>
    <t>403.571082</t>
  </si>
  <si>
    <t>190</t>
  </si>
  <si>
    <t>2.0731</t>
  </si>
  <si>
    <t>0.4175</t>
  </si>
  <si>
    <t>34.83502</t>
  </si>
  <si>
    <t>1.1421</t>
  </si>
  <si>
    <t>359.109615</t>
  </si>
  <si>
    <t>0.217</t>
  </si>
  <si>
    <t>5.171741</t>
  </si>
  <si>
    <t>0.0603</t>
  </si>
  <si>
    <t>31.900512</t>
  </si>
  <si>
    <t>0.0302</t>
  </si>
  <si>
    <t>12.6531</t>
  </si>
  <si>
    <t>282.59374</t>
  </si>
  <si>
    <t>1975</t>
  </si>
  <si>
    <t>0.504</t>
  </si>
  <si>
    <t>280.300213</t>
  </si>
  <si>
    <t>0.9618</t>
  </si>
  <si>
    <t>0.0084</t>
  </si>
  <si>
    <t>3.230365</t>
  </si>
  <si>
    <t>6.086698</t>
  </si>
  <si>
    <t>261.313471</t>
  </si>
  <si>
    <t>0.5861</t>
  </si>
  <si>
    <t>0.2676</t>
  </si>
  <si>
    <t>46.087756</t>
  </si>
  <si>
    <t>0.0481</t>
  </si>
  <si>
    <t>0.5965</t>
  </si>
  <si>
    <t>145.866054</t>
  </si>
  <si>
    <t>1.9363</t>
  </si>
  <si>
    <t>0.2087</t>
  </si>
  <si>
    <t>11.1079</t>
  </si>
  <si>
    <t>107</t>
  </si>
  <si>
    <t>729.821201+</t>
  </si>
  <si>
    <t>47.1109</t>
  </si>
  <si>
    <t>4702.004113+</t>
  </si>
  <si>
    <t>16.4889</t>
  </si>
  <si>
    <t>32.4152</t>
  </si>
  <si>
    <t>3969.19894+</t>
  </si>
  <si>
    <t>16.2075</t>
  </si>
  <si>
    <t>11.329055+</t>
  </si>
  <si>
    <t>0.0178</t>
  </si>
  <si>
    <t>35.8498</t>
  </si>
  <si>
    <t>5962.643043+</t>
  </si>
  <si>
    <t>14.3399</t>
  </si>
  <si>
    <t>284.824342</t>
  </si>
  <si>
    <t>0.4525</t>
  </si>
  <si>
    <t>2.950686</t>
  </si>
  <si>
    <t>421</t>
  </si>
  <si>
    <t>234.198798</t>
  </si>
  <si>
    <t>Date</t>
  </si>
  <si>
    <t>0.0039</t>
  </si>
  <si>
    <t>3.1939</t>
  </si>
  <si>
    <t>0.20893</t>
  </si>
  <si>
    <t>MonthNum</t>
  </si>
  <si>
    <t>1.4373</t>
  </si>
  <si>
    <t>WeekDayNum</t>
  </si>
  <si>
    <t>WeekYearNum</t>
  </si>
  <si>
    <t>1777</t>
  </si>
  <si>
    <t>124.996153</t>
  </si>
  <si>
    <t>MonthDayNum</t>
  </si>
  <si>
    <t>0.5445</t>
  </si>
  <si>
    <t>0.413</t>
  </si>
  <si>
    <t>75.322764</t>
  </si>
  <si>
    <t>0.1528</t>
  </si>
  <si>
    <t>0.7527</t>
  </si>
  <si>
    <t>74.063678</t>
  </si>
  <si>
    <t>0.2409</t>
  </si>
  <si>
    <t>1.6445</t>
  </si>
  <si>
    <t>0.157</t>
  </si>
  <si>
    <t>34.985402</t>
  </si>
  <si>
    <t>3919</t>
  </si>
  <si>
    <t>0.0628</t>
  </si>
  <si>
    <t>1.5242</t>
  </si>
  <si>
    <t>0.202</t>
  </si>
  <si>
    <t>33.859989</t>
  </si>
  <si>
    <t>0.0808</t>
  </si>
  <si>
    <t>201</t>
  </si>
  <si>
    <t>0.1907</t>
  </si>
  <si>
    <t>32.362732</t>
  </si>
  <si>
    <t>0.0362</t>
  </si>
  <si>
    <t>0.405462</t>
  </si>
  <si>
    <t>82.455</t>
  </si>
  <si>
    <t>4483.615135+</t>
  </si>
  <si>
    <t>17.3156</t>
  </si>
  <si>
    <t>54.6811</t>
  </si>
  <si>
    <t>5765.421415+</t>
  </si>
  <si>
    <t>19.1384</t>
  </si>
  <si>
    <t>555.281552+</t>
  </si>
  <si>
    <t>0.2929</t>
  </si>
  <si>
    <t>47.309114+</t>
  </si>
  <si>
    <t>0.2197</t>
  </si>
  <si>
    <t>13.461723+</t>
  </si>
  <si>
    <t>1608.789744+</t>
  </si>
  <si>
    <t>3.0688</t>
  </si>
  <si>
    <t>0.9638</t>
  </si>
  <si>
    <t>54.697267</t>
  </si>
  <si>
    <t>116</t>
  </si>
  <si>
    <t>7.0538</t>
  </si>
  <si>
    <t>530.288474</t>
  </si>
  <si>
    <t>515.438104</t>
  </si>
  <si>
    <t>192.427103</t>
  </si>
  <si>
    <t>0.2556</t>
  </si>
  <si>
    <t>21.533492</t>
  </si>
  <si>
    <t>0.908857</t>
  </si>
  <si>
    <t>1.373464</t>
  </si>
  <si>
    <t>2.8471</t>
  </si>
  <si>
    <t>1.0493</t>
  </si>
  <si>
    <t>156.258602</t>
  </si>
  <si>
    <t>0.4197</t>
  </si>
  <si>
    <t>121.201788</t>
  </si>
  <si>
    <t>0.5133</t>
  </si>
  <si>
    <t>106.804421</t>
  </si>
  <si>
    <t>788</t>
  </si>
  <si>
    <t>0.7821</t>
  </si>
  <si>
    <t>1.1353</t>
  </si>
  <si>
    <t>79.158238</t>
  </si>
  <si>
    <t>0.2611</t>
  </si>
  <si>
    <t>0.0531</t>
  </si>
  <si>
    <t>573</t>
  </si>
  <si>
    <t>5.084217</t>
  </si>
  <si>
    <t>0.0239</t>
  </si>
  <si>
    <t>83.905488</t>
  </si>
  <si>
    <t>9</t>
  </si>
  <si>
    <t>211.8291</t>
  </si>
  <si>
    <t>11127.30868+</t>
  </si>
  <si>
    <t>44.4841</t>
  </si>
  <si>
    <t>129.5281</t>
  </si>
  <si>
    <t>12.3752</t>
  </si>
  <si>
    <t>12648.513944+</t>
  </si>
  <si>
    <t>645</t>
  </si>
  <si>
    <t>45.3348</t>
  </si>
  <si>
    <t>1108.961017+</t>
  </si>
  <si>
    <t>0.0152</t>
  </si>
  <si>
    <t>3.141648+</t>
  </si>
  <si>
    <t>0.0114</t>
  </si>
  <si>
    <t>0.9859</t>
  </si>
  <si>
    <t>118.79017+</t>
  </si>
  <si>
    <t>0.1972</t>
  </si>
  <si>
    <t>29.5518</t>
  </si>
  <si>
    <t>6283.969207+</t>
  </si>
  <si>
    <t>130.569642</t>
  </si>
  <si>
    <t>0.5952</t>
  </si>
  <si>
    <t>26.0692</t>
  </si>
  <si>
    <t>1788.133068</t>
  </si>
  <si>
    <t>10.0157</t>
  </si>
  <si>
    <t>953.289157</t>
  </si>
  <si>
    <t>4.713831</t>
  </si>
  <si>
    <t>0.0032</t>
  </si>
  <si>
    <t>0.0077</t>
  </si>
  <si>
    <t>2.390466</t>
  </si>
  <si>
    <t>756.533329</t>
  </si>
  <si>
    <t>401.388021</t>
  </si>
  <si>
    <t>0.0144</t>
  </si>
  <si>
    <t>6.543679</t>
  </si>
  <si>
    <t>0.0051</t>
  </si>
  <si>
    <t>0.0869</t>
  </si>
  <si>
    <t>46.111162</t>
  </si>
  <si>
    <t>Pearl</t>
  </si>
  <si>
    <t>410.970309</t>
  </si>
  <si>
    <t>342.937167</t>
  </si>
  <si>
    <t>1.878</t>
  </si>
  <si>
    <t>0.2908</t>
  </si>
  <si>
    <t>28.097594</t>
  </si>
  <si>
    <t>0.1425</t>
  </si>
  <si>
    <t>298.288386</t>
  </si>
  <si>
    <t>256.508867</t>
  </si>
  <si>
    <t>0.4414</t>
  </si>
  <si>
    <t>14.1119</t>
  </si>
  <si>
    <t>1000.988615</t>
  </si>
  <si>
    <t>73.7461</t>
  </si>
  <si>
    <t>7356.761192</t>
  </si>
  <si>
    <t>25.8113</t>
  </si>
  <si>
    <t>55.5542</t>
  </si>
  <si>
    <t>6568.246391</t>
  </si>
  <si>
    <t>27.7771</t>
  </si>
  <si>
    <t>3.0953</t>
  </si>
  <si>
    <t>327.837154</t>
  </si>
  <si>
    <t>0.6191</t>
  </si>
  <si>
    <t>45.207</t>
  </si>
  <si>
    <t>9020.890311</t>
  </si>
  <si>
    <t>18.0827</t>
  </si>
  <si>
    <t>424.69898</t>
  </si>
  <si>
    <t>4.180465</t>
  </si>
  <si>
    <t>2.299</t>
  </si>
  <si>
    <t>346.640958</t>
  </si>
  <si>
    <t>0.9196</t>
  </si>
  <si>
    <t>0.209196</t>
  </si>
  <si>
    <t>225.403033</t>
  </si>
  <si>
    <t>0.9944</t>
  </si>
  <si>
    <t>0.7931</t>
  </si>
  <si>
    <t>146.810783</t>
  </si>
  <si>
    <t>0.2935</t>
  </si>
  <si>
    <t>117.282172</t>
  </si>
  <si>
    <t>0.3999</t>
  </si>
  <si>
    <t>0.4511</t>
  </si>
  <si>
    <t>82.92376</t>
  </si>
  <si>
    <t>0.1804</t>
  </si>
  <si>
    <t>0.8319</t>
  </si>
  <si>
    <t>75.031017</t>
  </si>
  <si>
    <t>0.2911</t>
  </si>
  <si>
    <t>0.2807</t>
  </si>
  <si>
    <t>64.890698</t>
  </si>
  <si>
    <t>0.1123</t>
  </si>
  <si>
    <t>52.4857</t>
  </si>
  <si>
    <t>3593.978608</t>
  </si>
  <si>
    <t>11.022</t>
  </si>
  <si>
    <t>62.9831</t>
  </si>
  <si>
    <t>6762.738663</t>
  </si>
  <si>
    <t>22.0441</t>
  </si>
  <si>
    <t>602.117373</t>
  </si>
  <si>
    <t>0.3132</t>
  </si>
  <si>
    <t>50.571637</t>
  </si>
  <si>
    <t>0.6268</t>
  </si>
  <si>
    <t>67.629072</t>
  </si>
  <si>
    <t>0.1254</t>
  </si>
  <si>
    <t>19.7052</t>
  </si>
  <si>
    <t>3567.870595</t>
  </si>
  <si>
    <t>1.1108</t>
  </si>
  <si>
    <t>68.207659</t>
  </si>
  <si>
    <t>762.579249</t>
  </si>
  <si>
    <t>4.1756</t>
  </si>
  <si>
    <t>5.496</t>
  </si>
  <si>
    <t>517.770552</t>
  </si>
  <si>
    <t>0.9893</t>
  </si>
  <si>
    <t>227.97836</t>
  </si>
  <si>
    <t>0.1235</t>
  </si>
  <si>
    <t>10.237458</t>
  </si>
  <si>
    <t>0.489206</t>
  </si>
  <si>
    <t>191.383313</t>
  </si>
  <si>
    <t>0.4904</t>
  </si>
  <si>
    <t>163.897989</t>
  </si>
  <si>
    <t>0.7257</t>
  </si>
  <si>
    <t>136.057994</t>
  </si>
  <si>
    <t>0.5331</t>
  </si>
  <si>
    <t>0.6503</t>
  </si>
  <si>
    <t>131.263071</t>
  </si>
  <si>
    <t>0.2406</t>
  </si>
  <si>
    <t>2.1043</t>
  </si>
  <si>
    <t>172</t>
  </si>
  <si>
    <t>110.584264</t>
  </si>
  <si>
    <t>0.7365</t>
  </si>
  <si>
    <t>161.9302</t>
  </si>
  <si>
    <t>10159.89176</t>
  </si>
  <si>
    <t>34.0053</t>
  </si>
  <si>
    <t>159.762</t>
  </si>
  <si>
    <t>16676.61422</t>
  </si>
  <si>
    <t>55.9166</t>
  </si>
  <si>
    <t>183</t>
  </si>
  <si>
    <t>26.5525</t>
  </si>
  <si>
    <t>3433.774729</t>
  </si>
  <si>
    <t>13.2763</t>
  </si>
  <si>
    <t>0.0162</t>
  </si>
  <si>
    <t>3.358336</t>
  </si>
  <si>
    <t>0.0122</t>
  </si>
  <si>
    <t>186.268794</t>
  </si>
  <si>
    <t>0.2925</t>
  </si>
  <si>
    <t>73.7656</t>
  </si>
  <si>
    <t>14237.19253</t>
  </si>
  <si>
    <t>29.5063</t>
  </si>
  <si>
    <t>160.448018</t>
  </si>
  <si>
    <t>0.6877</t>
  </si>
  <si>
    <t>32.6474</t>
  </si>
  <si>
    <t>2284.922391</t>
  </si>
  <si>
    <t>11.753</t>
  </si>
  <si>
    <t>3.930093</t>
  </si>
  <si>
    <t>0.043</t>
  </si>
  <si>
    <t>13.459402</t>
  </si>
  <si>
    <t>57</t>
  </si>
  <si>
    <t>1072.683641</t>
  </si>
  <si>
    <t>1.809</t>
  </si>
  <si>
    <t>982.058829</t>
  </si>
  <si>
    <t>947.040142</t>
  </si>
  <si>
    <t>709.715146</t>
  </si>
  <si>
    <t>0.4248</t>
  </si>
  <si>
    <t>0.051</t>
  </si>
  <si>
    <t>22.146691</t>
  </si>
  <si>
    <t>0.018</t>
  </si>
  <si>
    <t>0.1688</t>
  </si>
  <si>
    <t>88.881426</t>
  </si>
  <si>
    <t>521.416723</t>
  </si>
  <si>
    <t>0.4466</t>
  </si>
  <si>
    <t>200.891934</t>
  </si>
  <si>
    <t>0.1563</t>
  </si>
  <si>
    <t>0.5306</t>
  </si>
  <si>
    <t>290.884253</t>
  </si>
  <si>
    <t>0.2229</t>
  </si>
  <si>
    <t>10.6483</t>
  </si>
  <si>
    <t>395.156842</t>
  </si>
  <si>
    <t>8349</t>
  </si>
  <si>
    <t>2.0892</t>
  </si>
  <si>
    <t>0.2713</t>
  </si>
  <si>
    <t>25.76972</t>
  </si>
  <si>
    <t>0.1329</t>
  </si>
  <si>
    <t>820.416108+</t>
  </si>
  <si>
    <t>54.2457</t>
  </si>
  <si>
    <t>5684.181431+</t>
  </si>
  <si>
    <t>18.986</t>
  </si>
  <si>
    <t>25.783</t>
  </si>
  <si>
    <t>3564.350803+</t>
  </si>
  <si>
    <t>3.0257</t>
  </si>
  <si>
    <t>318.203811+</t>
  </si>
  <si>
    <t>8630</t>
  </si>
  <si>
    <t>0.6051</t>
  </si>
  <si>
    <t>29.1363</t>
  </si>
  <si>
    <t>6304.313433+</t>
  </si>
  <si>
    <t>3.818633</t>
  </si>
  <si>
    <t>3.2316</t>
  </si>
  <si>
    <t>1457</t>
  </si>
  <si>
    <t>2.839</t>
  </si>
  <si>
    <t>475.48094</t>
  </si>
  <si>
    <t>1.1356</t>
  </si>
  <si>
    <t>203.671087</t>
  </si>
  <si>
    <t>0.3061</t>
  </si>
  <si>
    <t>0.27464</t>
  </si>
  <si>
    <t>195.828471</t>
  </si>
  <si>
    <t>7.2124</t>
  </si>
  <si>
    <t>0.8379</t>
  </si>
  <si>
    <t>0.541</t>
  </si>
  <si>
    <t>104.952492</t>
  </si>
  <si>
    <t>2.8849</t>
  </si>
  <si>
    <t>0.2001</t>
  </si>
  <si>
    <t>1343</t>
  </si>
  <si>
    <t>Macaroon</t>
  </si>
  <si>
    <t>92.093955</t>
  </si>
  <si>
    <t>0.5076</t>
  </si>
  <si>
    <t>0.7924</t>
  </si>
  <si>
    <t>73.897714</t>
  </si>
  <si>
    <t>3.2004</t>
  </si>
  <si>
    <t>0.2774</t>
  </si>
  <si>
    <t>1973</t>
  </si>
  <si>
    <t>0.4853</t>
  </si>
  <si>
    <t>55.820227</t>
  </si>
  <si>
    <t>0.2207</t>
  </si>
  <si>
    <t>52.923911</t>
  </si>
  <si>
    <t>2.8537</t>
  </si>
  <si>
    <t>0.0883</t>
  </si>
  <si>
    <t>41.0183</t>
  </si>
  <si>
    <t>2841.10438+</t>
  </si>
  <si>
    <t>1216</t>
  </si>
  <si>
    <t>61.0993</t>
  </si>
  <si>
    <t>6623.000018+</t>
  </si>
  <si>
    <t>21.3847</t>
  </si>
  <si>
    <t>1.1924</t>
  </si>
  <si>
    <t>525.96028+</t>
  </si>
  <si>
    <t>0.303</t>
  </si>
  <si>
    <t>48.940376+</t>
  </si>
  <si>
    <t>0.2273</t>
  </si>
  <si>
    <t>113.266212+</t>
  </si>
  <si>
    <t>0.2146</t>
  </si>
  <si>
    <t>3527.423164+</t>
  </si>
  <si>
    <t>7.1437</t>
  </si>
  <si>
    <t>1.096</t>
  </si>
  <si>
    <t>63.418239</t>
  </si>
  <si>
    <t>484</t>
  </si>
  <si>
    <t>0.285</t>
  </si>
  <si>
    <t>10.1778</t>
  </si>
  <si>
    <t>634.861232</t>
  </si>
  <si>
    <t>1.3448</t>
  </si>
  <si>
    <t>416.924196</t>
  </si>
  <si>
    <t>0.8014</t>
  </si>
  <si>
    <t>2.022</t>
  </si>
  <si>
    <t>142.501286</t>
  </si>
  <si>
    <t>394</t>
  </si>
  <si>
    <t>0.7784</t>
  </si>
  <si>
    <t>141.081872</t>
  </si>
  <si>
    <t>0.8314</t>
  </si>
  <si>
    <t>0.895596</t>
  </si>
  <si>
    <t>0.238702</t>
  </si>
  <si>
    <t>227.064729</t>
  </si>
  <si>
    <t>0.5152</t>
  </si>
  <si>
    <t>152.961334</t>
  </si>
  <si>
    <t>0.5864</t>
  </si>
  <si>
    <t>95.999383</t>
  </si>
  <si>
    <t>422</t>
  </si>
  <si>
    <t>1.1159</t>
  </si>
  <si>
    <t>89.912221</t>
  </si>
  <si>
    <t>83.254229</t>
  </si>
  <si>
    <t>1.029136</t>
  </si>
  <si>
    <t>94.0721</t>
  </si>
  <si>
    <t>6235.15773+</t>
  </si>
  <si>
    <t>19.7551</t>
  </si>
  <si>
    <t>400</t>
  </si>
  <si>
    <t>150.4402</t>
  </si>
  <si>
    <t>15700.382104+</t>
  </si>
  <si>
    <t>52.6541</t>
  </si>
  <si>
    <t>1938.389976+</t>
  </si>
  <si>
    <t>6.0981</t>
  </si>
  <si>
    <t>11371</t>
  </si>
  <si>
    <t>0.0157</t>
  </si>
  <si>
    <t>3.249992+</t>
  </si>
  <si>
    <t>166.170232+</t>
  </si>
  <si>
    <t>0.2561</t>
  </si>
  <si>
    <t>41.0715</t>
  </si>
  <si>
    <t>8986.126968+</t>
  </si>
  <si>
    <t>16.4286</t>
  </si>
  <si>
    <t>152.979037</t>
  </si>
  <si>
    <t>2354</t>
  </si>
  <si>
    <t>7.8778</t>
  </si>
  <si>
    <t>2063</t>
  </si>
  <si>
    <t>8.3303</t>
  </si>
  <si>
    <t>1689</t>
  </si>
  <si>
    <t>2.7617</t>
  </si>
  <si>
    <t>1.2428</t>
  </si>
  <si>
    <t>1130</t>
  </si>
  <si>
    <t>2.5479</t>
  </si>
  <si>
    <t>718</t>
  </si>
  <si>
    <t>1.3619</t>
  </si>
  <si>
    <t>1.5679</t>
  </si>
  <si>
    <t>2.4347</t>
  </si>
  <si>
    <t>3.0084</t>
  </si>
  <si>
    <t>229</t>
  </si>
  <si>
    <t>1.2446</t>
  </si>
  <si>
    <t>205</t>
  </si>
  <si>
    <t>85</t>
  </si>
  <si>
    <t>207</t>
  </si>
  <si>
    <t>1.1917</t>
  </si>
  <si>
    <t>10.5705</t>
  </si>
  <si>
    <t>7285</t>
  </si>
  <si>
    <t>8658</t>
  </si>
  <si>
    <t>4.3447</t>
  </si>
  <si>
    <t>566</t>
  </si>
  <si>
    <t>173</t>
  </si>
  <si>
    <t>5.9219</t>
  </si>
  <si>
    <t>2.3687</t>
  </si>
  <si>
    <t>904</t>
  </si>
  <si>
    <t>11.3992</t>
  </si>
  <si>
    <t>1552</t>
  </si>
  <si>
    <t>9.2888</t>
  </si>
  <si>
    <t>3.5762</t>
  </si>
  <si>
    <t>2250</t>
  </si>
  <si>
    <t>529</t>
  </si>
  <si>
    <t>2725</t>
  </si>
  <si>
    <t>697</t>
  </si>
  <si>
    <t>1325</t>
  </si>
  <si>
    <t>386</t>
  </si>
  <si>
    <t>3.8908</t>
  </si>
  <si>
    <t>506</t>
  </si>
  <si>
    <t>1.2451</t>
  </si>
  <si>
    <t>3510</t>
  </si>
  <si>
    <t>1.5262</t>
  </si>
  <si>
    <t>212</t>
  </si>
  <si>
    <t>270</t>
  </si>
  <si>
    <t>6.3956</t>
  </si>
  <si>
    <t>1.4975</t>
  </si>
  <si>
    <t>11852</t>
  </si>
  <si>
    <t>15176</t>
  </si>
  <si>
    <t>32.6462</t>
  </si>
  <si>
    <t>2037.907029</t>
  </si>
  <si>
    <t>7.8155</t>
  </si>
  <si>
    <t>3.9077</t>
  </si>
  <si>
    <t>585</t>
  </si>
  <si>
    <t>2.054427</t>
  </si>
  <si>
    <t>0.0773</t>
  </si>
  <si>
    <t>23.693545</t>
  </si>
  <si>
    <t>1098.941175</t>
  </si>
  <si>
    <t>955.543497</t>
  </si>
  <si>
    <t>723.549708</t>
  </si>
  <si>
    <t>0.435</t>
  </si>
  <si>
    <t>0.024</t>
  </si>
  <si>
    <t>10.674282</t>
  </si>
  <si>
    <t>0.1361</t>
  </si>
  <si>
    <t>71.973048</t>
  </si>
  <si>
    <t>1.0079</t>
  </si>
  <si>
    <t>0.068</t>
  </si>
  <si>
    <t>631.506543</t>
  </si>
  <si>
    <t>249</t>
  </si>
  <si>
    <t>1.1213</t>
  </si>
  <si>
    <t>528.577778</t>
  </si>
  <si>
    <t>0.9</t>
  </si>
  <si>
    <t>0.434</t>
  </si>
  <si>
    <t>183.839274</t>
  </si>
  <si>
    <t>0.1519</t>
  </si>
  <si>
    <t>1844</t>
  </si>
  <si>
    <t>0.5333</t>
  </si>
  <si>
    <t>288.943805</t>
  </si>
  <si>
    <t>0.224</t>
  </si>
  <si>
    <t>362.237206</t>
  </si>
  <si>
    <t>2.007</t>
  </si>
  <si>
    <t>0.4653</t>
  </si>
  <si>
    <t>42.914679</t>
  </si>
  <si>
    <t>0.228</t>
  </si>
  <si>
    <t>7585</t>
  </si>
  <si>
    <t>773.766541</t>
  </si>
  <si>
    <t>2.1888</t>
  </si>
  <si>
    <t>42.728</t>
  </si>
  <si>
    <t>4568.309267</t>
  </si>
  <si>
    <t>14.9549</t>
  </si>
  <si>
    <t>38.6723</t>
  </si>
  <si>
    <t>4738.784354</t>
  </si>
  <si>
    <t>19.3361</t>
  </si>
  <si>
    <t>7.8262</t>
  </si>
  <si>
    <t>146.524473</t>
  </si>
  <si>
    <t>1670</t>
  </si>
  <si>
    <t>34.1818</t>
  </si>
  <si>
    <t>6829.434676</t>
  </si>
  <si>
    <t>13.6727</t>
  </si>
  <si>
    <t>3.743044</t>
  </si>
  <si>
    <t>4261</t>
  </si>
  <si>
    <t>760.294077</t>
  </si>
  <si>
    <t>1.9199</t>
  </si>
  <si>
    <t>200.276349</t>
  </si>
  <si>
    <t>0.3006</t>
  </si>
  <si>
    <t>247</t>
  </si>
  <si>
    <t>3.624223</t>
  </si>
  <si>
    <t>0.0161</t>
  </si>
  <si>
    <t>190.920762</t>
  </si>
  <si>
    <t>0.8343</t>
  </si>
  <si>
    <t>1403</t>
  </si>
  <si>
    <t>192.815258</t>
  </si>
  <si>
    <t>4.7963</t>
  </si>
  <si>
    <t>0.9851</t>
  </si>
  <si>
    <t>0.4574</t>
  </si>
  <si>
    <t>1.5348</t>
  </si>
  <si>
    <t>88.075675</t>
  </si>
  <si>
    <t>3969</t>
  </si>
  <si>
    <t>0.1692</t>
  </si>
  <si>
    <t>0.7986</t>
  </si>
  <si>
    <t>74.260342</t>
  </si>
  <si>
    <t>0.2795</t>
  </si>
  <si>
    <t>1.2937</t>
  </si>
  <si>
    <t>0.4573</t>
  </si>
  <si>
    <t>52.727248</t>
  </si>
  <si>
    <t>0.1463</t>
  </si>
  <si>
    <t>0.1885</t>
  </si>
  <si>
    <t>45.304416</t>
  </si>
  <si>
    <t>38.1428</t>
  </si>
  <si>
    <t>2383.271661</t>
  </si>
  <si>
    <t>62.5334</t>
  </si>
  <si>
    <t>6723.164019</t>
  </si>
  <si>
    <t>44</t>
  </si>
  <si>
    <t>21.8865</t>
  </si>
  <si>
    <t>523.029817</t>
  </si>
  <si>
    <t>1.6667</t>
  </si>
  <si>
    <t>0.2933</t>
  </si>
  <si>
    <t>47.36375</t>
  </si>
  <si>
    <t>287</t>
  </si>
  <si>
    <t>0.5615</t>
  </si>
  <si>
    <t>72.253721</t>
  </si>
  <si>
    <t>2.0056</t>
  </si>
  <si>
    <t>8.5171</t>
  </si>
  <si>
    <t>153</t>
  </si>
  <si>
    <t>2.8443</t>
  </si>
  <si>
    <t>187</t>
  </si>
  <si>
    <t>79</t>
  </si>
  <si>
    <t>12.8733</t>
  </si>
  <si>
    <t>8388</t>
  </si>
  <si>
    <t>9467</t>
  </si>
  <si>
    <t>5.8793</t>
  </si>
  <si>
    <t>2.9397</t>
  </si>
  <si>
    <t>1318</t>
  </si>
  <si>
    <t>8.3404</t>
  </si>
  <si>
    <t>3.3361</t>
  </si>
  <si>
    <t>1323</t>
  </si>
  <si>
    <t>2058</t>
  </si>
  <si>
    <t>3.2773</t>
  </si>
  <si>
    <t>1415</t>
  </si>
  <si>
    <t>250</t>
  </si>
  <si>
    <t>409</t>
  </si>
  <si>
    <t>397</t>
  </si>
  <si>
    <t>2381.702329</t>
  </si>
  <si>
    <t>1.0163</t>
  </si>
  <si>
    <t>58.583002</t>
  </si>
  <si>
    <t>0.2642</t>
  </si>
  <si>
    <t>410.251949</t>
  </si>
  <si>
    <t>382.141359</t>
  </si>
  <si>
    <t>350.53213</t>
  </si>
  <si>
    <t>0.6973</t>
  </si>
  <si>
    <t>0.296985</t>
  </si>
  <si>
    <t>0.0092</t>
  </si>
  <si>
    <t>2.811444</t>
  </si>
  <si>
    <t>246.065794</t>
  </si>
  <si>
    <t>0.5578</t>
  </si>
  <si>
    <t>3.0453</t>
  </si>
  <si>
    <t>174.863686</t>
  </si>
  <si>
    <t>1.1724</t>
  </si>
  <si>
    <t>0.3384</t>
  </si>
  <si>
    <t>24.139055</t>
  </si>
  <si>
    <t>0.1658</t>
  </si>
  <si>
    <t>129.822771</t>
  </si>
  <si>
    <t>0.4957</t>
  </si>
  <si>
    <t>107.913191</t>
  </si>
  <si>
    <t>0.4393</t>
  </si>
  <si>
    <t>76.888582</t>
  </si>
  <si>
    <t>0.5444</t>
  </si>
  <si>
    <t>11510</t>
  </si>
  <si>
    <t>83.0088</t>
  </si>
  <si>
    <t>5184.360197</t>
  </si>
  <si>
    <t>17.4319</t>
  </si>
  <si>
    <t>139.1166</t>
  </si>
  <si>
    <t>14277.08856</t>
  </si>
  <si>
    <t>48.6907</t>
  </si>
  <si>
    <t>1644.230536</t>
  </si>
  <si>
    <t>7827</t>
  </si>
  <si>
    <t>0.0173</t>
  </si>
  <si>
    <t>3.582185</t>
  </si>
  <si>
    <t>9.9844</t>
  </si>
  <si>
    <t>183.721912</t>
  </si>
  <si>
    <t>0.2582</t>
  </si>
  <si>
    <t>30.6972</t>
  </si>
  <si>
    <t>4.9923</t>
  </si>
  <si>
    <t>6818.829617</t>
  </si>
  <si>
    <t>1230</t>
  </si>
  <si>
    <t>157.761561</t>
  </si>
  <si>
    <t>23.6977</t>
  </si>
  <si>
    <t>1670.173912</t>
  </si>
  <si>
    <t>3.545319</t>
  </si>
  <si>
    <t>17.701399</t>
  </si>
  <si>
    <t>1070.070585</t>
  </si>
  <si>
    <t>2016</t>
  </si>
  <si>
    <t>934.2562</t>
  </si>
  <si>
    <t>637.886115</t>
  </si>
  <si>
    <t>1.1688</t>
  </si>
  <si>
    <t>11.3822</t>
  </si>
  <si>
    <t>489.37299</t>
  </si>
  <si>
    <t>1997</t>
  </si>
  <si>
    <t>0.2919</t>
  </si>
  <si>
    <t>0.0253</t>
  </si>
  <si>
    <t>11.949414</t>
  </si>
  <si>
    <t>0.009</t>
  </si>
  <si>
    <t>0.0909</t>
  </si>
  <si>
    <t>47.841618</t>
  </si>
  <si>
    <t>4.1804</t>
  </si>
  <si>
    <t>344.140954</t>
  </si>
  <si>
    <t>5.6584</t>
  </si>
  <si>
    <t>302.883131</t>
  </si>
  <si>
    <t>1.3014</t>
  </si>
  <si>
    <t>1584</t>
  </si>
  <si>
    <t>3.9685</t>
  </si>
  <si>
    <t>1.7858</t>
  </si>
  <si>
    <t>872</t>
  </si>
  <si>
    <t>2.5182</t>
  </si>
  <si>
    <t>0.3958</t>
  </si>
  <si>
    <t>36.618056</t>
  </si>
  <si>
    <t>0.1939</t>
  </si>
  <si>
    <t>1.2499</t>
  </si>
  <si>
    <t>0.4543</t>
  </si>
  <si>
    <t>194.672956</t>
  </si>
  <si>
    <t>0.159</t>
  </si>
  <si>
    <t>0.1734</t>
  </si>
  <si>
    <t>100.229246</t>
  </si>
  <si>
    <t>562.876647+</t>
  </si>
  <si>
    <t>56.8652</t>
  </si>
  <si>
    <t>5681.495903+</t>
  </si>
  <si>
    <t>19.9028</t>
  </si>
  <si>
    <t>22.7316</t>
  </si>
  <si>
    <t>553</t>
  </si>
  <si>
    <t>2922.396679+</t>
  </si>
  <si>
    <t>1.1255</t>
  </si>
  <si>
    <t>121.087477+</t>
  </si>
  <si>
    <t>0.2251</t>
  </si>
  <si>
    <t>27.2284</t>
  </si>
  <si>
    <t>5610.048795+</t>
  </si>
  <si>
    <t>787</t>
  </si>
  <si>
    <t>41</t>
  </si>
  <si>
    <t>0.0095</t>
  </si>
  <si>
    <t>2.881198</t>
  </si>
  <si>
    <t>3.1193</t>
  </si>
  <si>
    <t>11.2055</t>
  </si>
  <si>
    <t>536.896802</t>
  </si>
  <si>
    <t>591</t>
  </si>
  <si>
    <t>231.508429</t>
  </si>
  <si>
    <t>0.3557</t>
  </si>
  <si>
    <t>0.0432</t>
  </si>
  <si>
    <t>2.459027</t>
  </si>
  <si>
    <t>0.0112</t>
  </si>
  <si>
    <t>166.33235</t>
  </si>
  <si>
    <t>0.6971</t>
  </si>
  <si>
    <t>0.756</t>
  </si>
  <si>
    <t>130.466006</t>
  </si>
  <si>
    <t>0.2797</t>
  </si>
  <si>
    <t>654</t>
  </si>
  <si>
    <t>99.192219</t>
  </si>
  <si>
    <t>1.1977</t>
  </si>
  <si>
    <t>0.4763</t>
  </si>
  <si>
    <t>0.5159</t>
  </si>
  <si>
    <t>65.759904</t>
  </si>
  <si>
    <t>2.4222</t>
  </si>
  <si>
    <t>0.2064</t>
  </si>
  <si>
    <t>0.6942</t>
  </si>
  <si>
    <t>64.158082</t>
  </si>
  <si>
    <t>99</t>
  </si>
  <si>
    <t>0.205</t>
  </si>
  <si>
    <t>47.942005</t>
  </si>
  <si>
    <t>2.8009</t>
  </si>
  <si>
    <t>23.0084</t>
  </si>
  <si>
    <t>1685.635691+</t>
  </si>
  <si>
    <t>1.0083</t>
  </si>
  <si>
    <t>49.5326</t>
  </si>
  <si>
    <t>5592.503082+</t>
  </si>
  <si>
    <t>17.3364</t>
  </si>
  <si>
    <t>272.150799+</t>
  </si>
  <si>
    <t>0.8422</t>
  </si>
  <si>
    <t>0.2838</t>
  </si>
  <si>
    <t>45.835925+</t>
  </si>
  <si>
    <t>0.2128</t>
  </si>
  <si>
    <t>15</t>
  </si>
  <si>
    <t>0.4136</t>
  </si>
  <si>
    <t>55.049286+</t>
  </si>
  <si>
    <t>10.0684</t>
  </si>
  <si>
    <t>1936.799692+</t>
  </si>
  <si>
    <t>4.0274</t>
  </si>
  <si>
    <t>0.7601</t>
  </si>
  <si>
    <t>47.310042</t>
  </si>
  <si>
    <t>170</t>
  </si>
  <si>
    <t>0.1977</t>
  </si>
  <si>
    <t>358.479509</t>
  </si>
  <si>
    <t>338.563089</t>
  </si>
  <si>
    <t>149</t>
  </si>
  <si>
    <t>0.6737</t>
  </si>
  <si>
    <t>185.188337</t>
  </si>
  <si>
    <t>0.8061</t>
  </si>
  <si>
    <t>125.774255</t>
  </si>
  <si>
    <t>0.9208</t>
  </si>
  <si>
    <t>68</t>
  </si>
  <si>
    <t>0.3448</t>
  </si>
  <si>
    <t>24.544915</t>
  </si>
  <si>
    <t>0.1689</t>
  </si>
  <si>
    <t>0.436692</t>
  </si>
  <si>
    <t>1.798287</t>
  </si>
  <si>
    <t>11.6793</t>
  </si>
  <si>
    <t>2.4527</t>
  </si>
  <si>
    <t>532</t>
  </si>
  <si>
    <t>710</t>
  </si>
  <si>
    <t>8.8492</t>
  </si>
  <si>
    <t>508</t>
  </si>
  <si>
    <t>11.5439</t>
  </si>
  <si>
    <t>646</t>
  </si>
  <si>
    <t>6.6518</t>
  </si>
  <si>
    <t>1.5299</t>
  </si>
  <si>
    <t>454</t>
  </si>
  <si>
    <t>2.4629</t>
  </si>
  <si>
    <t>162</t>
  </si>
  <si>
    <t>5.6566</t>
  </si>
  <si>
    <t>2.7855</t>
  </si>
  <si>
    <t>181</t>
  </si>
  <si>
    <t>11.2514</t>
  </si>
  <si>
    <t>7789</t>
  </si>
  <si>
    <t>9323</t>
  </si>
  <si>
    <t>5.7032</t>
  </si>
  <si>
    <t>2.8516</t>
  </si>
  <si>
    <t>1288</t>
  </si>
  <si>
    <t>305</t>
  </si>
  <si>
    <t>9.4641</t>
  </si>
  <si>
    <t>3.7857</t>
  </si>
  <si>
    <t>1363</t>
  </si>
  <si>
    <t>2.9476</t>
  </si>
  <si>
    <t>1787</t>
  </si>
  <si>
    <t>2.3518</t>
  </si>
  <si>
    <t>1360</t>
  </si>
  <si>
    <t>259</t>
  </si>
  <si>
    <t>74</t>
  </si>
  <si>
    <t>1.3202</t>
  </si>
  <si>
    <t>830</t>
  </si>
  <si>
    <t>11267</t>
  </si>
  <si>
    <t>11891</t>
  </si>
  <si>
    <t>9.1911</t>
  </si>
  <si>
    <t>4.5955</t>
  </si>
  <si>
    <t>1076</t>
  </si>
  <si>
    <t>10.9264</t>
  </si>
  <si>
    <t>2225</t>
  </si>
  <si>
    <t>9.5158</t>
  </si>
  <si>
    <t>2081</t>
  </si>
  <si>
    <t>5.6877</t>
  </si>
  <si>
    <t>1.3082</t>
  </si>
  <si>
    <t>1505</t>
  </si>
  <si>
    <t>847</t>
  </si>
  <si>
    <t>2.9929</t>
  </si>
  <si>
    <t>574</t>
  </si>
  <si>
    <t>86</t>
  </si>
  <si>
    <t>175</t>
  </si>
  <si>
    <t>1.3839</t>
  </si>
  <si>
    <t>11.8332</t>
  </si>
  <si>
    <t>536</t>
  </si>
  <si>
    <t>18</t>
  </si>
  <si>
    <t>10.2543</t>
  </si>
  <si>
    <t>6761</t>
  </si>
  <si>
    <t>513</t>
  </si>
  <si>
    <t>7647</t>
  </si>
  <si>
    <t>504</t>
  </si>
  <si>
    <t>163</t>
  </si>
  <si>
    <t>649</t>
  </si>
  <si>
    <t>7.4771</t>
  </si>
  <si>
    <t>1.7197</t>
  </si>
  <si>
    <t>469</t>
  </si>
  <si>
    <t>803</t>
  </si>
  <si>
    <t>5.6432</t>
  </si>
  <si>
    <t>9.4438</t>
  </si>
  <si>
    <t>2335</t>
  </si>
  <si>
    <t>3.3997</t>
  </si>
  <si>
    <t>171</t>
  </si>
  <si>
    <t>5.2978</t>
  </si>
  <si>
    <t>2.7065</t>
  </si>
  <si>
    <t>2.5959</t>
  </si>
  <si>
    <t>2479</t>
  </si>
  <si>
    <t>1.0014</t>
  </si>
  <si>
    <t>2.7049</t>
  </si>
  <si>
    <t>4.3615</t>
  </si>
  <si>
    <t>1387</t>
  </si>
  <si>
    <t>3345</t>
  </si>
  <si>
    <t>4.6757</t>
  </si>
  <si>
    <t>1483</t>
  </si>
  <si>
    <t>3.7283</t>
  </si>
  <si>
    <t>3378</t>
  </si>
  <si>
    <t>1.6225</t>
  </si>
  <si>
    <t>1.4657</t>
  </si>
  <si>
    <t>265</t>
  </si>
  <si>
    <t>12120</t>
  </si>
  <si>
    <t>13797</t>
  </si>
  <si>
    <t>5.2129</t>
  </si>
  <si>
    <t>2.6066</t>
  </si>
  <si>
    <t>641</t>
  </si>
  <si>
    <t>1767</t>
  </si>
  <si>
    <t>7.9322</t>
  </si>
  <si>
    <t>7311</t>
  </si>
  <si>
    <t>5.5184</t>
  </si>
  <si>
    <t>4054</t>
  </si>
  <si>
    <t>6.4292</t>
  </si>
  <si>
    <t>1676</t>
  </si>
  <si>
    <t>5559</t>
  </si>
  <si>
    <t>1.4055</t>
  </si>
  <si>
    <t>1.2586</t>
  </si>
  <si>
    <t>356</t>
  </si>
  <si>
    <t>2.8264</t>
  </si>
  <si>
    <t>1.2719</t>
  </si>
  <si>
    <t>1133</t>
  </si>
  <si>
    <t>1.4601</t>
  </si>
  <si>
    <t>4110</t>
  </si>
  <si>
    <t>1.6138</t>
  </si>
  <si>
    <t>0.7973</t>
  </si>
  <si>
    <t>130.889304</t>
  </si>
  <si>
    <t>176</t>
  </si>
  <si>
    <t>123.076725</t>
  </si>
  <si>
    <t>0.4731</t>
  </si>
  <si>
    <t>0.7768</t>
  </si>
  <si>
    <t>77.288938</t>
  </si>
  <si>
    <t>0.2486</t>
  </si>
  <si>
    <t>1.1194</t>
  </si>
  <si>
    <t>73.262568</t>
  </si>
  <si>
    <t>0.2575</t>
  </si>
  <si>
    <t>0.424094</t>
  </si>
  <si>
    <t>51.0212</t>
  </si>
  <si>
    <t>3597.991186+</t>
  </si>
  <si>
    <t>107.7345</t>
  </si>
  <si>
    <t>12022.168798+</t>
  </si>
  <si>
    <t>37.707</t>
  </si>
  <si>
    <t>7.0644</t>
  </si>
  <si>
    <t>1132.86316+</t>
  </si>
  <si>
    <t>3.46668+</t>
  </si>
  <si>
    <t>186.218269+</t>
  </si>
  <si>
    <t>0.3106</t>
  </si>
  <si>
    <t>782</t>
  </si>
  <si>
    <t>29.5306</t>
  </si>
  <si>
    <t>6132.884335+</t>
  </si>
  <si>
    <t>135.541072</t>
  </si>
  <si>
    <t>0.5724</t>
  </si>
  <si>
    <t>998.023275</t>
  </si>
  <si>
    <t>676</t>
  </si>
  <si>
    <t>8.194</t>
  </si>
  <si>
    <t>763.411125</t>
  </si>
  <si>
    <t>1.783766</t>
  </si>
  <si>
    <t>0.0437</t>
  </si>
  <si>
    <t>12.487819</t>
  </si>
  <si>
    <t>0.0131</t>
  </si>
  <si>
    <t>2.0888</t>
  </si>
  <si>
    <t>570.032862</t>
  </si>
  <si>
    <t>0.8355</t>
  </si>
  <si>
    <t>12.4594</t>
  </si>
  <si>
    <t>528.67611</t>
  </si>
  <si>
    <t>0.9833</t>
  </si>
  <si>
    <t>378.791908</t>
  </si>
  <si>
    <t>2.4838</t>
  </si>
  <si>
    <t>0.3579</t>
  </si>
  <si>
    <t>31.427352</t>
  </si>
  <si>
    <t>0.1754</t>
  </si>
  <si>
    <t>1.1775</t>
  </si>
  <si>
    <t>383.185945</t>
  </si>
  <si>
    <t>0.0141</t>
  </si>
  <si>
    <t>6.649438</t>
  </si>
  <si>
    <t>2.8607</t>
  </si>
  <si>
    <t>0.0049</t>
  </si>
  <si>
    <t>0.0464</t>
  </si>
  <si>
    <t>24.763261</t>
  </si>
  <si>
    <t>247.163292</t>
  </si>
  <si>
    <t>0.4494</t>
  </si>
  <si>
    <t>0.2906</t>
  </si>
  <si>
    <t>122.495486</t>
  </si>
  <si>
    <t>0.1017</t>
  </si>
  <si>
    <t>0.1318</t>
  </si>
  <si>
    <t>74.971474</t>
  </si>
  <si>
    <t>19</t>
  </si>
  <si>
    <t>0.0553</t>
  </si>
  <si>
    <t>593.09146</t>
  </si>
  <si>
    <t>38.0089</t>
  </si>
  <si>
    <t>4003.448941</t>
  </si>
  <si>
    <t>13.3033</t>
  </si>
  <si>
    <t>24.3086</t>
  </si>
  <si>
    <t>3206.174313</t>
  </si>
  <si>
    <t>12.1544</t>
  </si>
  <si>
    <t>1.267</t>
  </si>
  <si>
    <t>1.7728</t>
  </si>
  <si>
    <t>121.739067</t>
  </si>
  <si>
    <t>40.5318</t>
  </si>
  <si>
    <t>7236.981536</t>
  </si>
  <si>
    <t>369</t>
  </si>
  <si>
    <t>16.2127</t>
  </si>
  <si>
    <t>1.591611</t>
  </si>
  <si>
    <t>410.215547</t>
  </si>
  <si>
    <t>2.336</t>
  </si>
  <si>
    <t>263.524314</t>
  </si>
  <si>
    <t>0.4205</t>
  </si>
  <si>
    <t>3.309734</t>
  </si>
  <si>
    <t>83</t>
  </si>
  <si>
    <t>66</t>
  </si>
  <si>
    <t>37</t>
  </si>
  <si>
    <t>109</t>
  </si>
  <si>
    <t>103</t>
  </si>
  <si>
    <t>11.3558</t>
  </si>
  <si>
    <t>7112</t>
  </si>
  <si>
    <t>9029</t>
  </si>
  <si>
    <t>2.3963</t>
  </si>
  <si>
    <t>1.1982</t>
  </si>
  <si>
    <t>6.2703</t>
  </si>
  <si>
    <t>914</t>
  </si>
  <si>
    <t>209</t>
  </si>
  <si>
    <t>3.1949</t>
  </si>
  <si>
    <t>1785</t>
  </si>
  <si>
    <t>11.3647</t>
  </si>
  <si>
    <t>5.5686</t>
  </si>
  <si>
    <t>3381</t>
  </si>
  <si>
    <t>3.9968</t>
  </si>
  <si>
    <t>1374</t>
  </si>
  <si>
    <t>539018</t>
  </si>
  <si>
    <t>3.6372</t>
  </si>
  <si>
    <t>3268</t>
  </si>
  <si>
    <t>2.6923</t>
  </si>
  <si>
    <t>4822</t>
  </si>
  <si>
    <t>4.3244</t>
  </si>
  <si>
    <t>1115</t>
  </si>
  <si>
    <t>9001</t>
  </si>
  <si>
    <t>352</t>
  </si>
  <si>
    <t>9709</t>
  </si>
  <si>
    <t>1.7793</t>
  </si>
  <si>
    <t>7.1943</t>
  </si>
  <si>
    <t>549</t>
  </si>
  <si>
    <t>3.5971</t>
  </si>
  <si>
    <t>1303</t>
  </si>
  <si>
    <t>1.5719</t>
  </si>
  <si>
    <t>252</t>
  </si>
  <si>
    <t>210</t>
  </si>
  <si>
    <t>9.9453</t>
  </si>
  <si>
    <t>1419</t>
  </si>
  <si>
    <t>12289</t>
  </si>
  <si>
    <t>6.6228</t>
  </si>
  <si>
    <t>1872</t>
  </si>
  <si>
    <t>2.4861</t>
  </si>
  <si>
    <t>15057</t>
  </si>
  <si>
    <t>6.9093</t>
  </si>
  <si>
    <t>1454</t>
  </si>
  <si>
    <t>3.4546</t>
  </si>
  <si>
    <t>693</t>
  </si>
  <si>
    <t>275</t>
  </si>
  <si>
    <t>2.9654</t>
  </si>
  <si>
    <t>2278</t>
  </si>
  <si>
    <t>3.9007</t>
  </si>
  <si>
    <t>5403</t>
  </si>
  <si>
    <t>177</t>
  </si>
  <si>
    <t>9.3757</t>
  </si>
  <si>
    <t>5075</t>
  </si>
  <si>
    <t>1629</t>
  </si>
  <si>
    <t>6.6673</t>
  </si>
  <si>
    <t>5302</t>
  </si>
  <si>
    <t>7.5702</t>
  </si>
  <si>
    <t>2.4225</t>
  </si>
  <si>
    <t>4586</t>
  </si>
  <si>
    <t>4.2949</t>
  </si>
  <si>
    <t>1.9328</t>
  </si>
  <si>
    <t>1404</t>
  </si>
  <si>
    <t>11485</t>
  </si>
  <si>
    <t>14382</t>
  </si>
  <si>
    <t>7.4076</t>
  </si>
  <si>
    <t>1165</t>
  </si>
  <si>
    <t>52</t>
  </si>
  <si>
    <t>1918</t>
  </si>
  <si>
    <t>10.1952</t>
  </si>
  <si>
    <t>10.2483</t>
  </si>
  <si>
    <t>524</t>
  </si>
  <si>
    <t>1.6519</t>
  </si>
  <si>
    <t>1585</t>
  </si>
  <si>
    <t>2.5769</t>
  </si>
  <si>
    <t>1206</t>
  </si>
  <si>
    <t>679</t>
  </si>
  <si>
    <t>1.6569</t>
  </si>
  <si>
    <t>7.9376</t>
  </si>
  <si>
    <t>737</t>
  </si>
  <si>
    <t>127</t>
  </si>
  <si>
    <t>2.6054</t>
  </si>
  <si>
    <t>2.4586</t>
  </si>
  <si>
    <t>584</t>
  </si>
  <si>
    <t>1.9602</t>
  </si>
  <si>
    <t>1.0029</t>
  </si>
  <si>
    <t>33</t>
  </si>
  <si>
    <t>32</t>
  </si>
  <si>
    <t>2.3441</t>
  </si>
  <si>
    <t>539</t>
  </si>
  <si>
    <t>6264</t>
  </si>
  <si>
    <t>551</t>
  </si>
  <si>
    <t>9804</t>
  </si>
  <si>
    <t>2.3611</t>
  </si>
  <si>
    <t>494</t>
  </si>
  <si>
    <t>4.3242</t>
  </si>
  <si>
    <t>4.8132</t>
  </si>
  <si>
    <t>1.6648</t>
  </si>
  <si>
    <t>1760</t>
  </si>
  <si>
    <t>476</t>
  </si>
  <si>
    <t>9.6874</t>
  </si>
  <si>
    <t>4.7468</t>
  </si>
  <si>
    <t>3253</t>
  </si>
  <si>
    <t>314</t>
  </si>
  <si>
    <t>4.9585</t>
  </si>
  <si>
    <t>1.7851</t>
  </si>
  <si>
    <t>2.7119</t>
  </si>
  <si>
    <t>1.8088</t>
  </si>
  <si>
    <t>160</t>
  </si>
  <si>
    <t>170.500217</t>
  </si>
  <si>
    <t>0.9608</t>
  </si>
  <si>
    <t>116.544716</t>
  </si>
  <si>
    <t>0.5466</t>
  </si>
  <si>
    <t>0.6761</t>
  </si>
  <si>
    <t>116.102321</t>
  </si>
  <si>
    <t>0.2502</t>
  </si>
  <si>
    <t>0.4468</t>
  </si>
  <si>
    <t>194</t>
  </si>
  <si>
    <t>74.509653</t>
  </si>
  <si>
    <t>0.1787</t>
  </si>
  <si>
    <t>0.8097</t>
  </si>
  <si>
    <t>70.919378</t>
  </si>
  <si>
    <t>0.2833</t>
  </si>
  <si>
    <t>Rice</t>
  </si>
  <si>
    <t>0.6055</t>
  </si>
  <si>
    <t>36.580792</t>
  </si>
  <si>
    <t>61</t>
  </si>
  <si>
    <t>0.2119</t>
  </si>
  <si>
    <t>21.6452</t>
  </si>
  <si>
    <t>1619.21498</t>
  </si>
  <si>
    <t>59.8725</t>
  </si>
  <si>
    <t>6284.66363</t>
  </si>
  <si>
    <t>20.9554</t>
  </si>
  <si>
    <t>304.384897</t>
  </si>
  <si>
    <t>0.8954</t>
  </si>
  <si>
    <t>0.486</t>
  </si>
  <si>
    <t>65.735039</t>
  </si>
  <si>
    <t>0.0972</t>
  </si>
  <si>
    <t>1980.956217</t>
  </si>
  <si>
    <t>4.1177</t>
  </si>
  <si>
    <t>8353</t>
  </si>
  <si>
    <t>1.0439</t>
  </si>
  <si>
    <t>59.966876</t>
  </si>
  <si>
    <t>0.2715</t>
  </si>
  <si>
    <t>438.452184</t>
  </si>
  <si>
    <t>348.845767</t>
  </si>
  <si>
    <t>9988</t>
  </si>
  <si>
    <t>0.6837</t>
  </si>
  <si>
    <t>4.9462</t>
  </si>
  <si>
    <t>157.555681</t>
  </si>
  <si>
    <t>2.4733</t>
  </si>
  <si>
    <t>0.3178</t>
  </si>
  <si>
    <t>22.29946</t>
  </si>
  <si>
    <t>0.1557</t>
  </si>
  <si>
    <t>0.7056</t>
  </si>
  <si>
    <t>148.367583</t>
  </si>
  <si>
    <t>115.030749</t>
  </si>
  <si>
    <t>0.4395</t>
  </si>
  <si>
    <t>1.0859</t>
  </si>
  <si>
    <t>87.554178</t>
  </si>
  <si>
    <t>0.3801</t>
  </si>
  <si>
    <t>0.279082</t>
  </si>
  <si>
    <t>1.31538</t>
  </si>
  <si>
    <t>0.5415</t>
  </si>
  <si>
    <t>82.367585</t>
  </si>
  <si>
    <t>9.3494</t>
  </si>
  <si>
    <t>0.2166</t>
  </si>
  <si>
    <t>3.7399</t>
  </si>
  <si>
    <t>80.504517</t>
  </si>
  <si>
    <t>0.2793</t>
  </si>
  <si>
    <t>1070</t>
  </si>
  <si>
    <t>0.106023</t>
  </si>
  <si>
    <t>8.8801</t>
  </si>
  <si>
    <t>40.0903</t>
  </si>
  <si>
    <t>2873.741751</t>
  </si>
  <si>
    <t>154.4919</t>
  </si>
  <si>
    <t>15221.22025</t>
  </si>
  <si>
    <t>54.0723</t>
  </si>
  <si>
    <t>1254.763085</t>
  </si>
  <si>
    <t>141.818135</t>
  </si>
  <si>
    <t>0.2012</t>
  </si>
  <si>
    <t>40.7108</t>
  </si>
  <si>
    <t>7831.706976</t>
  </si>
  <si>
    <t>16.2843</t>
  </si>
  <si>
    <t>162.031473</t>
  </si>
  <si>
    <t>0.7386</t>
  </si>
  <si>
    <t>23.9214</t>
  </si>
  <si>
    <t>1649.091699</t>
  </si>
  <si>
    <t>9.1713</t>
  </si>
  <si>
    <t>848.269895</t>
  </si>
  <si>
    <t>0.525873</t>
  </si>
  <si>
    <t>0.0231</t>
  </si>
  <si>
    <t>7.314819</t>
  </si>
  <si>
    <t>597.382523</t>
  </si>
  <si>
    <t>0.9447</t>
  </si>
  <si>
    <t>5.221</t>
  </si>
  <si>
    <t>520.676349</t>
  </si>
  <si>
    <t>0.9398</t>
  </si>
  <si>
    <t>309.182473</t>
  </si>
  <si>
    <t>0.4008</t>
  </si>
  <si>
    <t>36.390825</t>
  </si>
  <si>
    <t>0.1964</t>
  </si>
  <si>
    <t>0.9701</t>
  </si>
  <si>
    <t>318.702764</t>
  </si>
  <si>
    <t>0.1843</t>
  </si>
  <si>
    <t>3.731573</t>
  </si>
  <si>
    <t>0.0418</t>
  </si>
  <si>
    <t>22.339708</t>
  </si>
  <si>
    <t>0.021</t>
  </si>
  <si>
    <t>224.618831</t>
  </si>
  <si>
    <t>Linen</t>
  </si>
  <si>
    <t>1.0334</t>
  </si>
  <si>
    <t>198.984905</t>
  </si>
  <si>
    <t>0.4133</t>
  </si>
  <si>
    <t>8.0893</t>
  </si>
  <si>
    <t>594.588783+</t>
  </si>
  <si>
    <t>30.6216</t>
  </si>
  <si>
    <t>3368.865598+</t>
  </si>
  <si>
    <t>26.0514</t>
  </si>
  <si>
    <t>3372.173873+</t>
  </si>
  <si>
    <t>13.0236</t>
  </si>
  <si>
    <t>0.4655</t>
  </si>
  <si>
    <t>39.605675+</t>
  </si>
  <si>
    <t>0.0932</t>
  </si>
  <si>
    <t>28.0768</t>
  </si>
  <si>
    <t>5767.139737+</t>
  </si>
  <si>
    <t>0.850839</t>
  </si>
  <si>
    <t>370.523807</t>
  </si>
  <si>
    <t>0.944</t>
  </si>
  <si>
    <t>345.179241</t>
  </si>
  <si>
    <t>0.5976</t>
  </si>
  <si>
    <t>0.0414</t>
  </si>
  <si>
    <t>2.198378</t>
  </si>
  <si>
    <t>0.0107</t>
  </si>
  <si>
    <t>161.854701</t>
  </si>
  <si>
    <t>0.8689</t>
  </si>
  <si>
    <t>Bone</t>
  </si>
  <si>
    <t>2.399</t>
  </si>
  <si>
    <t>145.440369</t>
  </si>
  <si>
    <t>0.5997</t>
  </si>
  <si>
    <t>2.0727</t>
  </si>
  <si>
    <t>109.779905</t>
  </si>
  <si>
    <t>0.7254</t>
  </si>
  <si>
    <t>1.1654</t>
  </si>
  <si>
    <t>91.105465</t>
  </si>
  <si>
    <t>0.4078</t>
  </si>
  <si>
    <t>0.9713</t>
  </si>
  <si>
    <t>82.145393</t>
  </si>
  <si>
    <t>0.34</t>
  </si>
  <si>
    <t>0.3917</t>
  </si>
  <si>
    <t>67.406085</t>
  </si>
  <si>
    <t>0.1567</t>
  </si>
  <si>
    <t>17.5685</t>
  </si>
  <si>
    <t>1345.404076+</t>
  </si>
  <si>
    <t>58.144</t>
  </si>
  <si>
    <t>6175.532397+</t>
  </si>
  <si>
    <t>20.3505</t>
  </si>
  <si>
    <t>400.438319+</t>
  </si>
  <si>
    <t>47.36375+</t>
  </si>
  <si>
    <t>0.648</t>
  </si>
  <si>
    <t>79.544737+</t>
  </si>
  <si>
    <t>0.1296</t>
  </si>
  <si>
    <t>1693.249683+</t>
  </si>
  <si>
    <t>1.0464</t>
  </si>
  <si>
    <t>61.849902</t>
  </si>
  <si>
    <t>0.2721</t>
  </si>
  <si>
    <t>479.086731</t>
  </si>
  <si>
    <t>4.0219</t>
  </si>
  <si>
    <t>357.342625</t>
  </si>
  <si>
    <t>0.9334</t>
  </si>
  <si>
    <t>200.051505</t>
  </si>
  <si>
    <t>0.3454</t>
  </si>
  <si>
    <t>164.086365</t>
  </si>
  <si>
    <t>0.6684</t>
  </si>
  <si>
    <t>1.334542</t>
  </si>
  <si>
    <t>0.80237</t>
  </si>
  <si>
    <t>0.6821</t>
  </si>
  <si>
    <t>114.579603</t>
  </si>
  <si>
    <t>0.2728</t>
  </si>
  <si>
    <t>1.1354</t>
  </si>
  <si>
    <t>81.085424</t>
  </si>
  <si>
    <t>0.4371</t>
  </si>
  <si>
    <t>0.1485</t>
  </si>
  <si>
    <t>13.757581</t>
  </si>
  <si>
    <t>0.0727</t>
  </si>
  <si>
    <t>0.4802</t>
  </si>
  <si>
    <t>56.659264</t>
  </si>
  <si>
    <t>0.1921</t>
  </si>
  <si>
    <t>0.5155</t>
  </si>
  <si>
    <t>52.392999</t>
  </si>
  <si>
    <t>0.165</t>
  </si>
  <si>
    <t>2022</t>
  </si>
  <si>
    <t>43.9292</t>
  </si>
  <si>
    <t>3039.610091+</t>
  </si>
  <si>
    <t>0.046414+</t>
  </si>
  <si>
    <t>136.4948</t>
  </si>
  <si>
    <t>13934.444727+</t>
  </si>
  <si>
    <t>47.7732</t>
  </si>
  <si>
    <t>1290.311691+</t>
  </si>
  <si>
    <t>4.363</t>
  </si>
  <si>
    <t>3.582185+</t>
  </si>
  <si>
    <t>225.965176+</t>
  </si>
  <si>
    <t>0.3244</t>
  </si>
  <si>
    <t>3.1972</t>
  </si>
  <si>
    <t>35.4248</t>
  </si>
  <si>
    <t>7079.594405+</t>
  </si>
  <si>
    <t>14.1701</t>
  </si>
  <si>
    <t>160.881395</t>
  </si>
  <si>
    <t>0.7303</t>
  </si>
  <si>
    <t>13.5756</t>
  </si>
  <si>
    <t>1101.436074</t>
  </si>
  <si>
    <t>1072.241114</t>
  </si>
  <si>
    <t>1.720908</t>
  </si>
  <si>
    <t>758</t>
  </si>
  <si>
    <t>7.527529</t>
  </si>
  <si>
    <t>0.0069</t>
  </si>
  <si>
    <t>514.083471</t>
  </si>
  <si>
    <t>0.7876</t>
  </si>
  <si>
    <t>5.577</t>
  </si>
  <si>
    <t>506.792389</t>
  </si>
  <si>
    <t>1.0412</t>
  </si>
  <si>
    <t>345.818365</t>
  </si>
  <si>
    <t>0.1978</t>
  </si>
  <si>
    <t>9.199635</t>
  </si>
  <si>
    <t>728</t>
  </si>
  <si>
    <t>0.0375</t>
  </si>
  <si>
    <t>20.010375</t>
  </si>
  <si>
    <t>0.0188</t>
  </si>
  <si>
    <t>2.8629</t>
  </si>
  <si>
    <t>313.649181</t>
  </si>
  <si>
    <t>202.807384</t>
  </si>
  <si>
    <t>0.3683</t>
  </si>
  <si>
    <t>33.449024</t>
  </si>
  <si>
    <t>1.5595</t>
  </si>
  <si>
    <t>0.3288</t>
  </si>
  <si>
    <t>83.087602</t>
  </si>
  <si>
    <t>0.0592</t>
  </si>
  <si>
    <t>178</t>
  </si>
  <si>
    <t>0.3392</t>
  </si>
  <si>
    <t>98.935482</t>
  </si>
  <si>
    <t>3.1968</t>
  </si>
  <si>
    <t>0.1187</t>
  </si>
  <si>
    <t>1860</t>
  </si>
  <si>
    <t>0.2591</t>
  </si>
  <si>
    <t>21.931859</t>
  </si>
  <si>
    <t>39</t>
  </si>
  <si>
    <t>0.0518</t>
  </si>
  <si>
    <t>38.9673</t>
  </si>
  <si>
    <t>7477.973324</t>
  </si>
  <si>
    <t>2.4161</t>
  </si>
  <si>
    <t>15.587</t>
  </si>
  <si>
    <t>372.448738</t>
  </si>
  <si>
    <t>0.9392</t>
  </si>
  <si>
    <t>1520</t>
  </si>
  <si>
    <t>36.8494</t>
  </si>
  <si>
    <t>3683.346589</t>
  </si>
  <si>
    <t>1.4561</t>
  </si>
  <si>
    <t>20.1116</t>
  </si>
  <si>
    <t>2658.162426</t>
  </si>
  <si>
    <t>155</t>
  </si>
  <si>
    <t>10.0455</t>
  </si>
  <si>
    <t>1.191653</t>
  </si>
  <si>
    <t>362</t>
  </si>
  <si>
    <t>578.319131</t>
  </si>
  <si>
    <t>2.8004</t>
  </si>
  <si>
    <t>309.261377</t>
  </si>
  <si>
    <t>0.5214</t>
  </si>
  <si>
    <t>0.0538</t>
  </si>
  <si>
    <t>3.210473</t>
  </si>
  <si>
    <t>110</t>
  </si>
  <si>
    <t>168.272134</t>
  </si>
  <si>
    <t>0.8753</t>
  </si>
  <si>
    <t>0.9743</t>
  </si>
  <si>
    <t>88.223206</t>
  </si>
  <si>
    <t>0.341</t>
  </si>
  <si>
    <t>0.8491</t>
  </si>
  <si>
    <t>78.136528</t>
  </si>
  <si>
    <t>80</t>
  </si>
  <si>
    <t>0.2972</t>
  </si>
  <si>
    <t>1.1431</t>
  </si>
  <si>
    <t>75.358835</t>
  </si>
  <si>
    <t>0.2858</t>
  </si>
  <si>
    <t>1.0531</t>
  </si>
  <si>
    <t>56.502914</t>
  </si>
  <si>
    <t>0.3686</t>
  </si>
  <si>
    <t>0.2482</t>
  </si>
  <si>
    <t>47.686528</t>
  </si>
  <si>
    <t>195</t>
  </si>
  <si>
    <t>0.0918</t>
  </si>
  <si>
    <t>13.612</t>
  </si>
  <si>
    <t>1019.348168</t>
  </si>
  <si>
    <t>1.5109</t>
  </si>
  <si>
    <t>53.9114</t>
  </si>
  <si>
    <t>5939.74968</t>
  </si>
  <si>
    <t>18.869</t>
  </si>
  <si>
    <t>813.651829</t>
  </si>
  <si>
    <t>3.0511</t>
  </si>
  <si>
    <t>9100</t>
  </si>
  <si>
    <t>45.835925</t>
  </si>
  <si>
    <t>0.7031</t>
  </si>
  <si>
    <t>83.168761</t>
  </si>
  <si>
    <t>0.1406</t>
  </si>
  <si>
    <t>2009.118857</t>
  </si>
  <si>
    <t>9322</t>
  </si>
  <si>
    <t>0.7827</t>
  </si>
  <si>
    <t>48.973263</t>
  </si>
  <si>
    <t>0.2035</t>
  </si>
  <si>
    <t>272</t>
  </si>
  <si>
    <t>14.0677</t>
  </si>
  <si>
    <t>770.718584</t>
  </si>
  <si>
    <t>1.4171</t>
  </si>
  <si>
    <t>5.0643</t>
  </si>
  <si>
    <t>721</t>
  </si>
  <si>
    <t>297.966205</t>
  </si>
  <si>
    <t>0.6853</t>
  </si>
  <si>
    <t>167.379323</t>
  </si>
  <si>
    <t>0.6651</t>
  </si>
  <si>
    <t>127.422027</t>
  </si>
  <si>
    <t>0.3354</t>
  </si>
  <si>
    <t>1.132441</t>
  </si>
  <si>
    <t>0.674333</t>
  </si>
  <si>
    <t>24</t>
  </si>
  <si>
    <t>0.6277</t>
  </si>
  <si>
    <t>100.602947</t>
  </si>
  <si>
    <t>0.2511</t>
  </si>
  <si>
    <t>0.4061</t>
  </si>
  <si>
    <t>10435</t>
  </si>
  <si>
    <t>90.136534</t>
  </si>
  <si>
    <t>3.2445</t>
  </si>
  <si>
    <t>0.1502</t>
  </si>
  <si>
    <t>1351</t>
  </si>
  <si>
    <t>1.1157</t>
  </si>
  <si>
    <t>72.697707</t>
  </si>
  <si>
    <t>0.4295</t>
  </si>
  <si>
    <t>0.1582</t>
  </si>
  <si>
    <t>14.157008</t>
  </si>
  <si>
    <t>15696</t>
  </si>
  <si>
    <t>0.6077</t>
  </si>
  <si>
    <t>63.000511</t>
  </si>
  <si>
    <t>0.1945</t>
  </si>
  <si>
    <t>33.5808</t>
  </si>
  <si>
    <t>1071</t>
  </si>
  <si>
    <t>2550.810119</t>
  </si>
  <si>
    <t>7.052</t>
  </si>
  <si>
    <t>101.4127</t>
  </si>
  <si>
    <t>12097.78742</t>
  </si>
  <si>
    <t>11.9015</t>
  </si>
  <si>
    <t>35.4944</t>
  </si>
  <si>
    <t>20.624</t>
  </si>
  <si>
    <t>2737.040323</t>
  </si>
  <si>
    <t>4.2846</t>
  </si>
  <si>
    <t>1386</t>
  </si>
  <si>
    <t>3.46668</t>
  </si>
  <si>
    <t>1.0856</t>
  </si>
  <si>
    <t>141.04063</t>
  </si>
  <si>
    <t>0.2171</t>
  </si>
  <si>
    <t>1.4609</t>
  </si>
  <si>
    <t>2897</t>
  </si>
  <si>
    <t>31.0267</t>
  </si>
  <si>
    <t>6399.18243</t>
  </si>
  <si>
    <t>4.4477</t>
  </si>
  <si>
    <t>153.160915</t>
  </si>
  <si>
    <t>0.642</t>
  </si>
  <si>
    <t>1.5567</t>
  </si>
  <si>
    <t>26.1782</t>
  </si>
  <si>
    <t>1815.597704</t>
  </si>
  <si>
    <t>435</t>
  </si>
  <si>
    <t>1071.843543</t>
  </si>
  <si>
    <t>2.2066</t>
  </si>
  <si>
    <t>4.1326</t>
  </si>
  <si>
    <t>517.055043</t>
  </si>
  <si>
    <t>6.7338</t>
  </si>
  <si>
    <t>769</t>
  </si>
  <si>
    <t>2071</t>
  </si>
  <si>
    <t>0.686201</t>
  </si>
  <si>
    <t>5.5669</t>
  </si>
  <si>
    <t>1.2804</t>
  </si>
  <si>
    <t>0.0103</t>
  </si>
  <si>
    <t>3.466083</t>
  </si>
  <si>
    <t>3.2636</t>
  </si>
  <si>
    <t>477.699541</t>
  </si>
  <si>
    <t>0.7013</t>
  </si>
  <si>
    <t>1.4686</t>
  </si>
  <si>
    <t>1914</t>
  </si>
  <si>
    <t>1.1708</t>
  </si>
  <si>
    <t>382.119876</t>
  </si>
  <si>
    <t>0.2225</t>
  </si>
  <si>
    <t>1.7462</t>
  </si>
  <si>
    <t>6.924144</t>
  </si>
  <si>
    <t>20.303316</t>
  </si>
  <si>
    <t>6.0589</t>
  </si>
  <si>
    <t>357.791053</t>
  </si>
  <si>
    <t>0.1679</t>
  </si>
  <si>
    <t>19.158144</t>
  </si>
  <si>
    <t>1.0606</t>
  </si>
  <si>
    <t>220.256091</t>
  </si>
  <si>
    <t>0.3924</t>
  </si>
  <si>
    <t>0.2399</t>
  </si>
  <si>
    <t>62.670108</t>
  </si>
  <si>
    <t>1.3608</t>
  </si>
  <si>
    <t>0.4427</t>
  </si>
  <si>
    <t>128.904763</t>
  </si>
  <si>
    <t>8.1066</t>
  </si>
  <si>
    <t>618.481777+</t>
  </si>
  <si>
    <t>65.06</t>
  </si>
  <si>
    <t>5995.710542+</t>
  </si>
  <si>
    <t>432</t>
  </si>
  <si>
    <t>22.771</t>
  </si>
  <si>
    <t>34.9698</t>
  </si>
  <si>
    <t>4346.872331+</t>
  </si>
  <si>
    <t>17.4737</t>
  </si>
  <si>
    <t>17.551945+</t>
  </si>
  <si>
    <t>0.0359</t>
  </si>
  <si>
    <t>33.0304</t>
  </si>
  <si>
    <t>6797.677053+</t>
  </si>
  <si>
    <t>13.2122</t>
  </si>
  <si>
    <t>921</t>
  </si>
  <si>
    <t>0.475945</t>
  </si>
  <si>
    <t>443.897371</t>
  </si>
  <si>
    <t>1.1537</t>
  </si>
  <si>
    <t>17167</t>
  </si>
  <si>
    <t>280.43919</t>
  </si>
  <si>
    <t>0.4309</t>
  </si>
  <si>
    <t>0.0393</t>
  </si>
  <si>
    <t>2.333112</t>
  </si>
  <si>
    <t>0.0102</t>
  </si>
  <si>
    <t>168.957275</t>
  </si>
  <si>
    <t>17397</t>
  </si>
  <si>
    <t>0.8397</t>
  </si>
  <si>
    <t>1.0964</t>
  </si>
  <si>
    <t>99.10065</t>
  </si>
  <si>
    <t>9.9211</t>
  </si>
  <si>
    <t>0.3838</t>
  </si>
  <si>
    <t>0.7526</t>
  </si>
  <si>
    <t>4.9606</t>
  </si>
  <si>
    <t>68.122721</t>
  </si>
  <si>
    <t>729</t>
  </si>
  <si>
    <t>0.2634</t>
  </si>
  <si>
    <t>66.180682</t>
  </si>
  <si>
    <t>0.3408</t>
  </si>
  <si>
    <t>0.2825</t>
  </si>
  <si>
    <t>51.100826</t>
  </si>
  <si>
    <t>0.1046</t>
  </si>
  <si>
    <t>0.4912</t>
  </si>
  <si>
    <t>47.016439</t>
  </si>
  <si>
    <t>1.2303</t>
  </si>
  <si>
    <t>0.1891</t>
  </si>
  <si>
    <t>14.0729</t>
  </si>
  <si>
    <t>1104.70914+</t>
  </si>
  <si>
    <t>286</t>
  </si>
  <si>
    <t>53.1301</t>
  </si>
  <si>
    <t>5945.933384+</t>
  </si>
  <si>
    <t>18.5955</t>
  </si>
  <si>
    <t>1161.74794+</t>
  </si>
  <si>
    <t>4241</t>
  </si>
  <si>
    <t>47.929871+</t>
  </si>
  <si>
    <t>0.6789</t>
  </si>
  <si>
    <t>87.049257+</t>
  </si>
  <si>
    <t>1.5709</t>
  </si>
  <si>
    <t>0.1358</t>
  </si>
  <si>
    <t>2134.394888+</t>
  </si>
  <si>
    <t>4.969</t>
  </si>
  <si>
    <t>309</t>
  </si>
  <si>
    <t>0.848</t>
  </si>
  <si>
    <t>53.446204</t>
  </si>
  <si>
    <t>0.2205</t>
  </si>
  <si>
    <t>648.876279</t>
  </si>
  <si>
    <t>6.8459</t>
  </si>
  <si>
    <t>1751</t>
  </si>
  <si>
    <t>2.6402</t>
  </si>
  <si>
    <t>4284</t>
  </si>
  <si>
    <t>5.3848</t>
  </si>
  <si>
    <t>1598</t>
  </si>
  <si>
    <t>12.7002</t>
  </si>
  <si>
    <t>543</t>
  </si>
  <si>
    <t>112</t>
  </si>
  <si>
    <t>795</t>
  </si>
  <si>
    <t>1.3623</t>
  </si>
  <si>
    <t>3.0058</t>
  </si>
  <si>
    <t>2426</t>
  </si>
  <si>
    <t>1.4654</t>
  </si>
  <si>
    <t>4.3941</t>
  </si>
  <si>
    <t>1.7577</t>
  </si>
  <si>
    <t>8.2989</t>
  </si>
  <si>
    <t>2.9877</t>
  </si>
  <si>
    <t>7.9817</t>
  </si>
  <si>
    <t>2.7936</t>
  </si>
  <si>
    <t>2704</t>
  </si>
  <si>
    <t>5.6129</t>
  </si>
  <si>
    <t>1.7962</t>
  </si>
  <si>
    <t>3735</t>
  </si>
  <si>
    <t>2.9913</t>
  </si>
  <si>
    <t>1140</t>
  </si>
  <si>
    <t>1.4001</t>
  </si>
  <si>
    <t>410</t>
  </si>
  <si>
    <t>1.5806</t>
  </si>
  <si>
    <t>255</t>
  </si>
  <si>
    <t>12.9567</t>
  </si>
  <si>
    <t>10517</t>
  </si>
  <si>
    <t>17047</t>
  </si>
  <si>
    <t>688</t>
  </si>
  <si>
    <t>226</t>
  </si>
  <si>
    <t>12.3527</t>
  </si>
  <si>
    <t>3561</t>
  </si>
  <si>
    <t>12.6958</t>
  </si>
  <si>
    <t>4.8879</t>
  </si>
  <si>
    <t>5067</t>
  </si>
  <si>
    <t>7.3435</t>
  </si>
  <si>
    <t>4648</t>
  </si>
  <si>
    <t>9.7943</t>
  </si>
  <si>
    <t>2.2527</t>
  </si>
  <si>
    <t>466</t>
  </si>
  <si>
    <t>1.4949</t>
  </si>
  <si>
    <t>341</t>
  </si>
  <si>
    <t>2.8291</t>
  </si>
  <si>
    <t>4.4035</t>
  </si>
  <si>
    <t>1.5853</t>
  </si>
  <si>
    <t>225</t>
  </si>
  <si>
    <t>1.1942</t>
  </si>
  <si>
    <t>133</t>
  </si>
  <si>
    <t>8742</t>
  </si>
  <si>
    <t>8900</t>
  </si>
  <si>
    <t>6.5758</t>
  </si>
  <si>
    <t>2.6303</t>
  </si>
  <si>
    <t>939</t>
  </si>
  <si>
    <t>2.7206</t>
  </si>
  <si>
    <t>1595</t>
  </si>
  <si>
    <t>1181</t>
  </si>
  <si>
    <t>439</t>
  </si>
  <si>
    <t>1.0039</t>
  </si>
  <si>
    <t>460</t>
  </si>
  <si>
    <t>1.5923</t>
  </si>
  <si>
    <t>11727</t>
  </si>
  <si>
    <t>3.58</t>
  </si>
  <si>
    <t>285.062911</t>
  </si>
  <si>
    <t>0.6444</t>
  </si>
  <si>
    <t>208.763393</t>
  </si>
  <si>
    <t>0.8404</t>
  </si>
  <si>
    <t>0.8176</t>
  </si>
  <si>
    <t>160.901353</t>
  </si>
  <si>
    <t>0.3026</t>
  </si>
  <si>
    <t>2.637589</t>
  </si>
  <si>
    <t>0.673736</t>
  </si>
  <si>
    <t>0.8336</t>
  </si>
  <si>
    <t>142.366486</t>
  </si>
  <si>
    <t>1873</t>
  </si>
  <si>
    <t>0.3335</t>
  </si>
  <si>
    <t>Daisy</t>
  </si>
  <si>
    <t>0.9888</t>
  </si>
  <si>
    <t>68.042955</t>
  </si>
  <si>
    <t>0.356</t>
  </si>
  <si>
    <t>11.2305</t>
  </si>
  <si>
    <t>51.798101</t>
  </si>
  <si>
    <t>0.4646</t>
  </si>
  <si>
    <t>3.9306</t>
  </si>
  <si>
    <t>0.5887</t>
  </si>
  <si>
    <t>38.340356</t>
  </si>
  <si>
    <t>4277</t>
  </si>
  <si>
    <t>0.2266</t>
  </si>
  <si>
    <t>0.1517</t>
  </si>
  <si>
    <t>13.15267</t>
  </si>
  <si>
    <t>0.0743</t>
  </si>
  <si>
    <t>5.7121</t>
  </si>
  <si>
    <t>41.8058</t>
  </si>
  <si>
    <t>2955.440042+</t>
  </si>
  <si>
    <t>1.8279</t>
  </si>
  <si>
    <t>3911</t>
  </si>
  <si>
    <t>195.5282</t>
  </si>
  <si>
    <t>18673.789433+</t>
  </si>
  <si>
    <t>68.435</t>
  </si>
  <si>
    <t>23.9821</t>
  </si>
  <si>
    <t>3245.029801+</t>
  </si>
  <si>
    <t>1.3412</t>
  </si>
  <si>
    <t>5.149395+</t>
  </si>
  <si>
    <t>0.0187</t>
  </si>
  <si>
    <t>171.423595+</t>
  </si>
  <si>
    <t>0.2436</t>
  </si>
  <si>
    <t>51.3505</t>
  </si>
  <si>
    <t>9478.159229+</t>
  </si>
  <si>
    <t>20.5402</t>
  </si>
  <si>
    <t>170.628453</t>
  </si>
  <si>
    <t>0.7149</t>
  </si>
  <si>
    <t>16.1191</t>
  </si>
  <si>
    <t>1233.112563</t>
  </si>
  <si>
    <t>14.5781</t>
  </si>
  <si>
    <t>1298.676268</t>
  </si>
  <si>
    <t>5.1024</t>
  </si>
  <si>
    <t>0.0198</t>
  </si>
  <si>
    <t>3.019777</t>
  </si>
  <si>
    <t>0.0056</t>
  </si>
  <si>
    <t>5.180294</t>
  </si>
  <si>
    <t>724.666235</t>
  </si>
  <si>
    <t>1.1779</t>
  </si>
  <si>
    <t>5.805</t>
  </si>
  <si>
    <t>475.925125</t>
  </si>
  <si>
    <t>1.0449</t>
  </si>
  <si>
    <t>1.0774</t>
  </si>
  <si>
    <t>357.692522</t>
  </si>
  <si>
    <t>6.70971</t>
  </si>
  <si>
    <t>0.0522</t>
  </si>
  <si>
    <t>27.388981</t>
  </si>
  <si>
    <t>0.0261</t>
  </si>
  <si>
    <t>271.082675</t>
  </si>
  <si>
    <t>13.200875</t>
  </si>
  <si>
    <t>0.0513</t>
  </si>
  <si>
    <t>243.123197</t>
  </si>
  <si>
    <t>0.2158</t>
  </si>
  <si>
    <t>60.715272</t>
  </si>
  <si>
    <t>0.0389</t>
  </si>
  <si>
    <t>0.4922</t>
  </si>
  <si>
    <t>143.892056</t>
  </si>
  <si>
    <t>0.1722</t>
  </si>
  <si>
    <t>0.1601</t>
  </si>
  <si>
    <t>16.871048</t>
  </si>
  <si>
    <t>0.032</t>
  </si>
  <si>
    <t>52.8388</t>
  </si>
  <si>
    <t>9408.441847</t>
  </si>
  <si>
    <t>21.1356</t>
  </si>
  <si>
    <t>6.0646</t>
  </si>
  <si>
    <t>496.745959</t>
  </si>
  <si>
    <t>49.6322</t>
  </si>
  <si>
    <t>4540.566278</t>
  </si>
  <si>
    <t>2.2253</t>
  </si>
  <si>
    <t>17.3713</t>
  </si>
  <si>
    <t>27.4366</t>
  </si>
  <si>
    <t>3393.635887</t>
  </si>
  <si>
    <t>13.7086</t>
  </si>
  <si>
    <t>1025</t>
  </si>
  <si>
    <t>0.748993</t>
  </si>
  <si>
    <t>324.043187</t>
  </si>
  <si>
    <t>12.6184</t>
  </si>
  <si>
    <t>0.7725</t>
  </si>
  <si>
    <t>272.690067</t>
  </si>
  <si>
    <t>0.4077</t>
  </si>
  <si>
    <t>0.0347</t>
  </si>
  <si>
    <t>2.105549</t>
  </si>
  <si>
    <t>150.151548</t>
  </si>
  <si>
    <t>2.6499</t>
  </si>
  <si>
    <t>0.713</t>
  </si>
  <si>
    <t>1.1889</t>
  </si>
  <si>
    <t>106.11928</t>
  </si>
  <si>
    <t>0.4161</t>
  </si>
  <si>
    <t>1.0639</t>
  </si>
  <si>
    <t>88.332611</t>
  </si>
  <si>
    <t>0.3724</t>
  </si>
  <si>
    <t>793</t>
  </si>
  <si>
    <t>64.83573</t>
  </si>
  <si>
    <t>0.1442</t>
  </si>
  <si>
    <t>0.5391</t>
  </si>
  <si>
    <t>49.349484</t>
  </si>
  <si>
    <t>0.2075</t>
  </si>
  <si>
    <t>43.21783</t>
  </si>
  <si>
    <t>0.3389</t>
  </si>
  <si>
    <t>672</t>
  </si>
  <si>
    <t>15.3058</t>
  </si>
  <si>
    <t>1228.08464</t>
  </si>
  <si>
    <t>33.4998</t>
  </si>
  <si>
    <t>4286.652432</t>
  </si>
  <si>
    <t>1120.362013</t>
  </si>
  <si>
    <t>3.94</t>
  </si>
  <si>
    <t>88.458725</t>
  </si>
  <si>
    <t>0.1451</t>
  </si>
  <si>
    <t>16.7315</t>
  </si>
  <si>
    <t>2785.755125</t>
  </si>
  <si>
    <t>0.9453</t>
  </si>
  <si>
    <t>61.275691</t>
  </si>
  <si>
    <t>702</t>
  </si>
  <si>
    <t>688.064093</t>
  </si>
  <si>
    <t>3.76</t>
  </si>
  <si>
    <t>3.2674</t>
  </si>
  <si>
    <t>224.938493</t>
  </si>
  <si>
    <t>0.9488</t>
  </si>
  <si>
    <t>168.139456</t>
  </si>
  <si>
    <t>0.4465</t>
  </si>
  <si>
    <t>0.6578</t>
  </si>
  <si>
    <t>138.358881</t>
  </si>
  <si>
    <t>2.5159</t>
  </si>
  <si>
    <t>0.2433</t>
  </si>
  <si>
    <t>0.849911</t>
  </si>
  <si>
    <t>0.229419</t>
  </si>
  <si>
    <t>106.645087</t>
  </si>
  <si>
    <t>0.1736</t>
  </si>
  <si>
    <t>95.727793</t>
  </si>
  <si>
    <t>0.4872</t>
  </si>
  <si>
    <t>20</t>
  </si>
  <si>
    <t>1.0662</t>
  </si>
  <si>
    <t>94.908582</t>
  </si>
  <si>
    <t>0.2666</t>
  </si>
  <si>
    <t>91.942844</t>
  </si>
  <si>
    <t>0.5587</t>
  </si>
  <si>
    <t>32.9255</t>
  </si>
  <si>
    <t>2573.47519</t>
  </si>
  <si>
    <t>109.5556</t>
  </si>
  <si>
    <t>12847.27447</t>
  </si>
  <si>
    <t>38.3445</t>
  </si>
  <si>
    <t>25.0768</t>
  </si>
  <si>
    <t>3373.018281</t>
  </si>
  <si>
    <t>4.983299</t>
  </si>
  <si>
    <t>183.446344</t>
  </si>
  <si>
    <t>0.2675</t>
  </si>
  <si>
    <t>66.8762</t>
  </si>
  <si>
    <t>11510.50218</t>
  </si>
  <si>
    <t>26.7505</t>
  </si>
  <si>
    <t>186.037718</t>
  </si>
  <si>
    <t>36</t>
  </si>
  <si>
    <t>0.7373</t>
  </si>
  <si>
    <t>21.2083</t>
  </si>
  <si>
    <t>1613.689563</t>
  </si>
  <si>
    <t>16.0135</t>
  </si>
  <si>
    <t>1377.68061</t>
  </si>
  <si>
    <t>1.13821</t>
  </si>
  <si>
    <t>0.0133</t>
  </si>
  <si>
    <t>3.815782</t>
  </si>
  <si>
    <t>672.520492</t>
  </si>
  <si>
    <t>1.0467</t>
  </si>
  <si>
    <t>430.258213</t>
  </si>
  <si>
    <t>0.2431</t>
  </si>
  <si>
    <t>7.83141</t>
  </si>
  <si>
    <t>0.0546</t>
  </si>
  <si>
    <t>29.143439</t>
  </si>
  <si>
    <t>81</t>
  </si>
  <si>
    <t>0.0273</t>
  </si>
  <si>
    <t>6.0726</t>
  </si>
  <si>
    <t>460.246591</t>
  </si>
  <si>
    <t>1.0931</t>
  </si>
  <si>
    <t>0.2316</t>
  </si>
  <si>
    <t>68.187833</t>
  </si>
  <si>
    <t>0.0416</t>
  </si>
  <si>
    <t>5.3554</t>
  </si>
  <si>
    <t>0.4989</t>
  </si>
  <si>
    <t>148.325346</t>
  </si>
  <si>
    <t>5795</t>
  </si>
  <si>
    <t>0.9886</t>
  </si>
  <si>
    <t>209.659188</t>
  </si>
  <si>
    <t>177.459237</t>
  </si>
  <si>
    <t>0.8664</t>
  </si>
  <si>
    <t>9782</t>
  </si>
  <si>
    <t>16.475533</t>
  </si>
  <si>
    <t>2.7738</t>
  </si>
  <si>
    <t>12.649938+</t>
  </si>
  <si>
    <t>41.7076</t>
  </si>
  <si>
    <t>7988.045344+</t>
  </si>
  <si>
    <t>16.6831</t>
  </si>
  <si>
    <t>479.591585+</t>
  </si>
  <si>
    <t>26.398</t>
  </si>
  <si>
    <t>3098.274716+</t>
  </si>
  <si>
    <t>30.0701</t>
  </si>
  <si>
    <t>3720.114364+</t>
  </si>
  <si>
    <t>15.0265</t>
  </si>
  <si>
    <t>288.650467</t>
  </si>
  <si>
    <t>0.433</t>
  </si>
  <si>
    <t>15236</t>
  </si>
  <si>
    <t>268.38488</t>
  </si>
  <si>
    <t>0.5885</t>
  </si>
  <si>
    <t>0.0355</t>
  </si>
  <si>
    <t>2.076109</t>
  </si>
  <si>
    <t>9.7353</t>
  </si>
  <si>
    <t>5.4636</t>
  </si>
  <si>
    <t>179.241611</t>
  </si>
  <si>
    <t>0.8693</t>
  </si>
  <si>
    <t>4.8675</t>
  </si>
  <si>
    <t>1006</t>
  </si>
  <si>
    <t>1.1106</t>
  </si>
  <si>
    <t>98.254187</t>
  </si>
  <si>
    <t>0.3886</t>
  </si>
  <si>
    <t>0.9899</t>
  </si>
  <si>
    <t>81.820759</t>
  </si>
  <si>
    <t>53.44269</t>
  </si>
  <si>
    <t>0.1163</t>
  </si>
  <si>
    <t>45</t>
  </si>
  <si>
    <t>44.385878</t>
  </si>
  <si>
    <t>Powder</t>
  </si>
  <si>
    <t>0.5818</t>
  </si>
  <si>
    <t>34.264124</t>
  </si>
  <si>
    <t>14.0254</t>
  </si>
  <si>
    <t>1104.694685+</t>
  </si>
  <si>
    <t>1442</t>
  </si>
  <si>
    <t>41.9372</t>
  </si>
  <si>
    <t>5315.236504+</t>
  </si>
  <si>
    <t>14.678</t>
  </si>
  <si>
    <t>2.4123</t>
  </si>
  <si>
    <t>1180.550683+</t>
  </si>
  <si>
    <t>9.9914</t>
  </si>
  <si>
    <t>4.336</t>
  </si>
  <si>
    <t>1907</t>
  </si>
  <si>
    <t>1468</t>
  </si>
  <si>
    <t>0.5592</t>
  </si>
  <si>
    <t>70.359689+</t>
  </si>
  <si>
    <t>0.1119</t>
  </si>
  <si>
    <t>13.1007</t>
  </si>
  <si>
    <t>2332.304375+</t>
  </si>
  <si>
    <t>6.5203</t>
  </si>
  <si>
    <t>2.5544</t>
  </si>
  <si>
    <t>2078</t>
  </si>
  <si>
    <t>1.1649</t>
  </si>
  <si>
    <t>2666</t>
  </si>
  <si>
    <t>74.095638</t>
  </si>
  <si>
    <t>0.3029</t>
  </si>
  <si>
    <t>674.819854</t>
  </si>
  <si>
    <t>4.5446</t>
  </si>
  <si>
    <t>253.993082</t>
  </si>
  <si>
    <t>2241</t>
  </si>
  <si>
    <t>1031</t>
  </si>
  <si>
    <t>211.175607</t>
  </si>
  <si>
    <t>0.8324</t>
  </si>
  <si>
    <t>0.6349</t>
  </si>
  <si>
    <t>140.682445</t>
  </si>
  <si>
    <t>127.604833</t>
  </si>
  <si>
    <t>2551</t>
  </si>
  <si>
    <t>0.4561</t>
  </si>
  <si>
    <t>100.668722</t>
  </si>
  <si>
    <t>0.1824</t>
  </si>
  <si>
    <t>3.1998</t>
  </si>
  <si>
    <t>0.9816</t>
  </si>
  <si>
    <t>6.2071</t>
  </si>
  <si>
    <t>92.915289</t>
  </si>
  <si>
    <t>0.2454</t>
  </si>
  <si>
    <t>2.7931</t>
  </si>
  <si>
    <t>1723</t>
  </si>
  <si>
    <t>41.641205</t>
  </si>
  <si>
    <t>2067</t>
  </si>
  <si>
    <t>0.0778</t>
  </si>
  <si>
    <t>27.5368</t>
  </si>
  <si>
    <t>2257.732329+</t>
  </si>
  <si>
    <t>1.2878</t>
  </si>
  <si>
    <t>124.5474</t>
  </si>
  <si>
    <t>14747.014971+</t>
  </si>
  <si>
    <t>899</t>
  </si>
  <si>
    <t>43.5916</t>
  </si>
  <si>
    <t>22.1265</t>
  </si>
  <si>
    <t>2942.582832+</t>
  </si>
  <si>
    <t>182.294011+</t>
  </si>
  <si>
    <t>50.754</t>
  </si>
  <si>
    <t>9074.154704+</t>
  </si>
  <si>
    <t>20.3016</t>
  </si>
  <si>
    <t>220.706441</t>
  </si>
  <si>
    <t>0.9045</t>
  </si>
  <si>
    <t>24.7325</t>
  </si>
  <si>
    <t>1815.368418</t>
  </si>
  <si>
    <t>2.1985</t>
  </si>
  <si>
    <t>13.8492</t>
  </si>
  <si>
    <t>1260.041579</t>
  </si>
  <si>
    <t>1.7236</t>
  </si>
  <si>
    <t>511</t>
  </si>
  <si>
    <t>0.0155</t>
  </si>
  <si>
    <t>4.619411</t>
  </si>
  <si>
    <t>790.268994</t>
  </si>
  <si>
    <t>434.616644</t>
  </si>
  <si>
    <t>6.659516</t>
  </si>
  <si>
    <t>10947</t>
  </si>
  <si>
    <t>0.0045</t>
  </si>
  <si>
    <t>0.0574</t>
  </si>
  <si>
    <t>30.069205</t>
  </si>
  <si>
    <t>0.0287</t>
  </si>
  <si>
    <t>408.107014</t>
  </si>
  <si>
    <t>17799</t>
  </si>
  <si>
    <t>0.969</t>
  </si>
  <si>
    <t>308.903722</t>
  </si>
  <si>
    <t>257.234189</t>
  </si>
  <si>
    <t>0.4488</t>
  </si>
  <si>
    <t>0.2321</t>
  </si>
  <si>
    <t>71.738722</t>
  </si>
  <si>
    <t>0.4155</t>
  </si>
  <si>
    <t>138.916582</t>
  </si>
  <si>
    <t>10.0537</t>
  </si>
  <si>
    <t>732.9798</t>
  </si>
  <si>
    <t>2.0107</t>
  </si>
  <si>
    <t>6.1788</t>
  </si>
  <si>
    <t>460.2065</t>
  </si>
  <si>
    <t>17.2088</t>
  </si>
  <si>
    <t>1310.1595</t>
  </si>
  <si>
    <t>666.1454+</t>
  </si>
  <si>
    <t>367.6882+</t>
  </si>
  <si>
    <t>0.9324</t>
  </si>
  <si>
    <t>3877</t>
  </si>
  <si>
    <t>12.1234</t>
  </si>
  <si>
    <t>992.1755+</t>
  </si>
  <si>
    <t>16.2433</t>
  </si>
  <si>
    <t>1111.4856</t>
  </si>
  <si>
    <t>333.6765</t>
  </si>
  <si>
    <t>0.7989</t>
  </si>
  <si>
    <t>18.5283</t>
  </si>
  <si>
    <t>1307.2</t>
  </si>
  <si>
    <t>2108</t>
  </si>
  <si>
    <t>2.3367</t>
  </si>
  <si>
    <t>577.6599+</t>
  </si>
  <si>
    <t>4266</t>
  </si>
  <si>
    <t>348.504+</t>
  </si>
  <si>
    <t>0.8519</t>
  </si>
  <si>
    <t>28.0066</t>
  </si>
  <si>
    <t>1561.4301+</t>
  </si>
  <si>
    <t>1.2062</t>
  </si>
  <si>
    <t>3.4569</t>
  </si>
  <si>
    <t>3606</t>
  </si>
  <si>
    <t>551.1929</t>
  </si>
  <si>
    <t>7.3345</t>
  </si>
  <si>
    <t>467.6434</t>
  </si>
  <si>
    <t>1.151</t>
  </si>
  <si>
    <t>2.4604</t>
  </si>
  <si>
    <t>14.3789</t>
  </si>
  <si>
    <t>1050.2044</t>
  </si>
  <si>
    <t>3594</t>
  </si>
  <si>
    <t>5.748</t>
  </si>
  <si>
    <t>271</t>
  </si>
  <si>
    <t>460.8189+</t>
  </si>
  <si>
    <t>1.3112</t>
  </si>
  <si>
    <t>1.1496</t>
  </si>
  <si>
    <t>2.4715</t>
  </si>
  <si>
    <t>436.7045+</t>
  </si>
  <si>
    <t>1.1605</t>
  </si>
  <si>
    <t>13.5144</t>
  </si>
  <si>
    <t>1010.165+</t>
  </si>
  <si>
    <t>1.9244</t>
  </si>
  <si>
    <t>130</t>
  </si>
  <si>
    <t>4.3609</t>
  </si>
  <si>
    <t>1.5263</t>
  </si>
  <si>
    <t>3.5537</t>
  </si>
  <si>
    <t>2679</t>
  </si>
  <si>
    <t>1713</t>
  </si>
  <si>
    <t>2.6711</t>
  </si>
  <si>
    <t>2847</t>
  </si>
  <si>
    <t>3.7747</t>
  </si>
  <si>
    <t>1607</t>
  </si>
  <si>
    <t>2.8925</t>
  </si>
  <si>
    <t>7.3816</t>
  </si>
  <si>
    <t>468</t>
  </si>
  <si>
    <t>1889</t>
  </si>
  <si>
    <t>2079</t>
  </si>
  <si>
    <t>2.3326</t>
  </si>
  <si>
    <t>533</t>
  </si>
  <si>
    <t>744</t>
  </si>
  <si>
    <t>694</t>
  </si>
  <si>
    <t>2.5138</t>
  </si>
  <si>
    <t>1.6619</t>
  </si>
  <si>
    <t>1.5126</t>
  </si>
  <si>
    <t>251</t>
  </si>
  <si>
    <t>432.3733</t>
  </si>
  <si>
    <t>1.1262</t>
  </si>
  <si>
    <t>789</t>
  </si>
  <si>
    <t>311.9152</t>
  </si>
  <si>
    <t>0.7414</t>
  </si>
  <si>
    <t>894.3061</t>
  </si>
  <si>
    <t>11.6632</t>
  </si>
  <si>
    <t>652</t>
  </si>
  <si>
    <t>350.6479+</t>
  </si>
  <si>
    <t>0.9989</t>
  </si>
  <si>
    <t>312.313+</t>
  </si>
  <si>
    <t>0.7519</t>
  </si>
  <si>
    <t>9.841</t>
  </si>
  <si>
    <t>794.332+</t>
  </si>
  <si>
    <t>175.3501</t>
  </si>
  <si>
    <t>0.5601</t>
  </si>
  <si>
    <t>150.9338</t>
  </si>
  <si>
    <t>633.9507</t>
  </si>
  <si>
    <t>0.5806</t>
  </si>
  <si>
    <t>42.9389+</t>
  </si>
  <si>
    <t>196</t>
  </si>
  <si>
    <t>0.1161</t>
  </si>
  <si>
    <t>96.6346+</t>
  </si>
  <si>
    <t>0.2852</t>
  </si>
  <si>
    <t>5.1253</t>
  </si>
  <si>
    <t>461.7895+</t>
  </si>
  <si>
    <t>1.0252</t>
  </si>
  <si>
    <t>1.3659</t>
  </si>
  <si>
    <t>37.7528</t>
  </si>
  <si>
    <t>0.1054</t>
  </si>
  <si>
    <t>1.174</t>
  </si>
  <si>
    <t>97.2256</t>
  </si>
  <si>
    <t>0.2348</t>
  </si>
  <si>
    <t>353.291</t>
  </si>
  <si>
    <t>0.8473</t>
  </si>
  <si>
    <t>0.1749</t>
  </si>
  <si>
    <t>14.3406+</t>
  </si>
  <si>
    <t>0.035</t>
  </si>
  <si>
    <t>2.0995</t>
  </si>
  <si>
    <t>123.6008+</t>
  </si>
  <si>
    <t>223.1901+</t>
  </si>
  <si>
    <t>0.5018</t>
  </si>
  <si>
    <t>6076</t>
  </si>
  <si>
    <t>10542</t>
  </si>
  <si>
    <t>1.7193</t>
  </si>
  <si>
    <t>540</t>
  </si>
  <si>
    <t>31</t>
  </si>
  <si>
    <t>1257</t>
  </si>
  <si>
    <t>3555</t>
  </si>
  <si>
    <t>5.6143</t>
  </si>
  <si>
    <t>1348</t>
  </si>
  <si>
    <t>1028</t>
  </si>
  <si>
    <t>2.2058</t>
  </si>
  <si>
    <t>1367</t>
  </si>
  <si>
    <t>2.6855</t>
  </si>
  <si>
    <t>686</t>
  </si>
  <si>
    <t>2.1933</t>
  </si>
  <si>
    <t>739</t>
  </si>
  <si>
    <t>193</t>
  </si>
  <si>
    <t>1.7481</t>
  </si>
  <si>
    <t>1514</t>
  </si>
  <si>
    <t>1.8761</t>
  </si>
  <si>
    <t>1215</t>
  </si>
  <si>
    <t>11784</t>
  </si>
  <si>
    <t>17949</t>
  </si>
  <si>
    <t>SUM из Value (in 1000 rub)</t>
  </si>
  <si>
    <t>3.5785</t>
  </si>
  <si>
    <t>680</t>
  </si>
  <si>
    <t>1.0007</t>
  </si>
  <si>
    <t>4222</t>
  </si>
  <si>
    <t>5351</t>
  </si>
  <si>
    <t>9842</t>
  </si>
  <si>
    <t>268</t>
  </si>
  <si>
    <t>8884</t>
  </si>
  <si>
    <t>5.2831</t>
  </si>
  <si>
    <t>1877</t>
  </si>
  <si>
    <t>3.2303</t>
  </si>
  <si>
    <t>1.6151</t>
  </si>
  <si>
    <t>698</t>
  </si>
  <si>
    <t>3.3207</t>
  </si>
  <si>
    <t>2973</t>
  </si>
  <si>
    <t>3.7985</t>
  </si>
  <si>
    <t>1.8613</t>
  </si>
  <si>
    <t>1927</t>
  </si>
  <si>
    <t>7.6719</t>
  </si>
  <si>
    <t>1.2162</t>
  </si>
  <si>
    <t>1087</t>
  </si>
  <si>
    <t>2.5393</t>
  </si>
  <si>
    <t>1340</t>
  </si>
  <si>
    <t>5.7038</t>
  </si>
  <si>
    <t>2437</t>
  </si>
  <si>
    <t>960</t>
  </si>
  <si>
    <t>180</t>
  </si>
  <si>
    <t>2.7794</t>
  </si>
  <si>
    <t>2408</t>
  </si>
  <si>
    <t>2.6869</t>
  </si>
  <si>
    <t>1641</t>
  </si>
  <si>
    <t>9.3454</t>
  </si>
  <si>
    <t>1.9625</t>
  </si>
  <si>
    <t>445</t>
  </si>
  <si>
    <t>1.6042</t>
  </si>
  <si>
    <t>1290</t>
  </si>
  <si>
    <t>2.2345</t>
  </si>
  <si>
    <t>463</t>
  </si>
  <si>
    <t>670</t>
  </si>
  <si>
    <t>359</t>
  </si>
  <si>
    <t>766</t>
  </si>
  <si>
    <t>2.9588</t>
  </si>
  <si>
    <t>18131</t>
  </si>
  <si>
    <t>16535</t>
  </si>
  <si>
    <t>7.3785</t>
  </si>
  <si>
    <t>1.2734</t>
  </si>
  <si>
    <t>3.6893</t>
  </si>
  <si>
    <t>690</t>
  </si>
  <si>
    <t>186</t>
  </si>
  <si>
    <t>1.9763</t>
  </si>
  <si>
    <t>276</t>
  </si>
  <si>
    <t>11.8206</t>
  </si>
  <si>
    <t>3996</t>
  </si>
  <si>
    <t>2.2895</t>
  </si>
  <si>
    <t>321</t>
  </si>
  <si>
    <t>9.3849</t>
  </si>
  <si>
    <t>1739</t>
  </si>
  <si>
    <t>1.8028</t>
  </si>
  <si>
    <t>3804</t>
  </si>
  <si>
    <t>64</t>
  </si>
  <si>
    <t>5.6023</t>
  </si>
  <si>
    <t>5924</t>
  </si>
  <si>
    <t>10158</t>
  </si>
  <si>
    <t>1.9498</t>
  </si>
  <si>
    <t>3.2619</t>
  </si>
  <si>
    <t>1619</t>
  </si>
  <si>
    <t>1.8466</t>
  </si>
  <si>
    <t>3204</t>
  </si>
  <si>
    <t>1420</t>
  </si>
  <si>
    <t>2.6768</t>
  </si>
  <si>
    <t>1.2912</t>
  </si>
  <si>
    <t>1002</t>
  </si>
  <si>
    <t>1.9385</t>
  </si>
  <si>
    <t>1671</t>
  </si>
  <si>
    <t>673</t>
  </si>
  <si>
    <t>660</t>
  </si>
  <si>
    <t>1.6439</t>
  </si>
  <si>
    <t>1077</t>
  </si>
  <si>
    <t>11309</t>
  </si>
  <si>
    <t>17986</t>
  </si>
  <si>
    <t>6.5621</t>
  </si>
  <si>
    <t>4650</t>
  </si>
  <si>
    <t>1.5021</t>
  </si>
  <si>
    <t>299</t>
  </si>
  <si>
    <t>11.2297</t>
  </si>
  <si>
    <t>1922</t>
  </si>
  <si>
    <t>2.9668</t>
  </si>
  <si>
    <t>4821</t>
  </si>
  <si>
    <t>2321</t>
  </si>
  <si>
    <t>1.7141</t>
  </si>
  <si>
    <t>1202</t>
  </si>
  <si>
    <t>3.7361</t>
  </si>
  <si>
    <t>1.4945</t>
  </si>
  <si>
    <t>411</t>
  </si>
  <si>
    <t>1.3058</t>
  </si>
  <si>
    <t>42</t>
  </si>
  <si>
    <t>4.6976</t>
  </si>
  <si>
    <t>1.6441</t>
  </si>
  <si>
    <t>4.8779</t>
  </si>
  <si>
    <t>145</t>
  </si>
  <si>
    <t>3.7243</t>
  </si>
  <si>
    <t>1.1918</t>
  </si>
  <si>
    <t>2653</t>
  </si>
  <si>
    <t>2.9635</t>
  </si>
  <si>
    <t>618</t>
  </si>
  <si>
    <t>92</t>
  </si>
  <si>
    <t>675</t>
  </si>
  <si>
    <t>3.8064</t>
  </si>
  <si>
    <t>169</t>
  </si>
  <si>
    <t>2.7622</t>
  </si>
  <si>
    <t>1.2496</t>
  </si>
  <si>
    <t>291</t>
  </si>
  <si>
    <t>9221</t>
  </si>
  <si>
    <t>3.6111</t>
  </si>
  <si>
    <t>1.8055</t>
  </si>
  <si>
    <t>7.8821</t>
  </si>
  <si>
    <t>2934</t>
  </si>
  <si>
    <t>136</t>
  </si>
  <si>
    <t>11.5989</t>
  </si>
  <si>
    <t>1371</t>
  </si>
  <si>
    <t>2432</t>
  </si>
  <si>
    <t>3.3084</t>
  </si>
  <si>
    <t>1.2737</t>
  </si>
  <si>
    <t>868</t>
  </si>
  <si>
    <t>147</t>
  </si>
  <si>
    <t>Тип проблемы</t>
  </si>
  <si>
    <t>Где обнаружена</t>
  </si>
  <si>
    <t>Что обнаружено</t>
  </si>
  <si>
    <t>Решение</t>
  </si>
  <si>
    <t>Лишние данные</t>
  </si>
  <si>
    <t>2020, Year</t>
  </si>
  <si>
    <t>Исходный CSV содержит данные за 2019 и 2020 годы, хотя для анализа нужен только 2020 год</t>
  </si>
  <si>
    <t>Исключить все строки за 2019 год</t>
  </si>
  <si>
    <t>Технические / ошибочные строки</t>
  </si>
  <si>
    <t>16 строк без Month, Channel и Brand; числовые показатели имеют искусственное значение 100000</t>
  </si>
  <si>
    <t>Исключить 16 строк из анализа</t>
  </si>
  <si>
    <t>Некорректная категория</t>
  </si>
  <si>
    <t>2020, Weight range</t>
  </si>
  <si>
    <t>Обнаружены значения &lt;200G и 100-199G, которые потенциально пересекаются</t>
  </si>
  <si>
    <t>Не изменять без подтверждения методологии; учитывать как категории исходных данных</t>
  </si>
  <si>
    <t>Неверный тип данных</t>
  </si>
  <si>
    <t>2020, Month</t>
  </si>
  <si>
    <t>После импорта значения месяца распознаны как текст, из-за чего нарушалась сортировка 1–12</t>
  </si>
  <si>
    <t>Преобразовать Month в числовой формат</t>
  </si>
  <si>
    <t>2020, Units / Value / Volume / Number of stores</t>
  </si>
  <si>
    <t>Часть числовых значений при импорте Google Sheets была некорректно распознана как даты/текст</t>
  </si>
  <si>
    <t>Восстановить исходные значения и привести показатели к числовому формату</t>
  </si>
  <si>
    <t>Опечатка в категории</t>
  </si>
  <si>
    <t>2021, Brand</t>
  </si>
  <si>
    <t>Значения Green и Greennn#! относятся к одному бренду</t>
  </si>
  <si>
    <t>Заменить Greennn#! на Green</t>
  </si>
  <si>
    <t>Неверная размерность показателя</t>
  </si>
  <si>
    <t>2021, Value</t>
  </si>
  <si>
    <t>В 2021 значения указаны в рублях, тогда как в остальных данных Value указан в тыс. руб.</t>
  </si>
  <si>
    <t>Разделить значения 2021 на 1000 и привести показатель к Value (in 1000 rub)</t>
  </si>
  <si>
    <t>2021, Month</t>
  </si>
  <si>
    <t>После импорта значения месяца распознаны как текст, из-за чего нарушалась сортировка месяцев 1–12</t>
  </si>
  <si>
    <t>2021, Units / Volume / Number of stores</t>
  </si>
  <si>
    <t>При импорте часть числовых значений Google Sheets некорректно распознавалась как даты или текст</t>
  </si>
  <si>
    <t>Повторно импортировать данные без автоматического преобразования и привести показатели к числовому формату</t>
  </si>
  <si>
    <t>Влияние ошибки на результат</t>
  </si>
  <si>
    <t>2021, Brand Green</t>
  </si>
  <si>
    <t>Из-за Greennn#! почти все наблюдения Green за 2021 год не учитывались как бренд Green, что искажало расчёт динамики</t>
  </si>
  <si>
    <t>После исправления категории повторно рассчитать показатели Green</t>
  </si>
  <si>
    <t>Контроль после очистки</t>
  </si>
  <si>
    <t>После исправлений проверены 675 строк, 12 месяцев и итоговые значения основных показателей</t>
  </si>
  <si>
    <t>Проверить данные сводной таблицей по месяцам; итог Value = 792 958,3002 тыс. руб.</t>
  </si>
  <si>
    <t>2022, Month</t>
  </si>
  <si>
    <t>2022, Units / Volume / Number of stores</t>
  </si>
  <si>
    <t>После импорта числовые значения распознаны как текст, из-за чего при суммировании получался 0</t>
  </si>
  <si>
    <t>Привести значения к числовому формату</t>
  </si>
  <si>
    <t>Лишние символы / неверный тип данных</t>
  </si>
  <si>
    <t>2022, Value</t>
  </si>
  <si>
    <t>Значения содержат лишний символ + и распознаются как текст; при суммировании получался 0</t>
  </si>
  <si>
    <t>Удалить + и преобразовать значения в числовой формат</t>
  </si>
  <si>
    <t>После исправлений проверены 681 строка, 12 месяцев и итоговые значения основных показателей</t>
  </si>
  <si>
    <t>Проверить данные сводной таблицей по месяцам; итог Value = 824 990,9825 тыс. руб.</t>
  </si>
  <si>
    <t>Контроль объединённой базы</t>
  </si>
  <si>
    <t>2020–2022</t>
  </si>
  <si>
    <t>После объединения получено 2008 строк; количество строк и годовые суммы продаж совпадают с результатами контроля каждого года</t>
  </si>
  <si>
    <t>Сверить количество строк и Value по годам с очищенными исходными данными</t>
  </si>
  <si>
    <t>Показатель</t>
  </si>
  <si>
    <t>Рынок</t>
  </si>
  <si>
    <t>FY 2021</t>
  </si>
  <si>
    <t>FY 2022</t>
  </si>
  <si>
    <t>FY динамика, %</t>
  </si>
  <si>
    <t>L3M 2021</t>
  </si>
  <si>
    <t>L3M 2022</t>
  </si>
  <si>
    <t>L3M динамика, %</t>
  </si>
  <si>
    <t>Декабрь 2021</t>
  </si>
  <si>
    <t>Декабрь 2022</t>
  </si>
  <si>
    <t>Декабрь динамика, %</t>
  </si>
  <si>
    <t>Результат проверки качества данных:
При проверке данных за 2021 год была обнаружена ошибка в наименовании бренда: большая часть наблюдений Green была записана как Greennn#!. Из-за этого продажи Green за 2021 год существенно занижались, что приводило к неверной оценке динамики бренда. После исправления категории и повторного расчёта продажи Green за 2021 год составили 522 684,06 тыс. руб., а динамика 2022/2021 — −4,20%. При этом рынок за тот же период вырос на 4,04%. Таким образом, после проверки качества вывод изменился: Green не демонстрирует рост, а, напротив, показывает динамику хуже рынка. За последние три месяца снижение Green составило −15,51% против −6,36% по рынку, а в декабре — −19,62% против −7,50%. Это показывает усиление негативной динамики Green к концу 2022 года.</t>
  </si>
  <si>
    <t>1.9124</t>
  </si>
  <si>
    <t>1.2257</t>
  </si>
  <si>
    <t>385</t>
  </si>
  <si>
    <t>2.2679</t>
  </si>
  <si>
    <t>1604</t>
  </si>
  <si>
    <t>1.5232</t>
  </si>
  <si>
    <t>642</t>
  </si>
  <si>
    <t>16513</t>
  </si>
  <si>
    <t>17796</t>
  </si>
  <si>
    <t>918</t>
  </si>
  <si>
    <t>1.4626</t>
  </si>
  <si>
    <t>5015</t>
  </si>
  <si>
    <t>2.6452</t>
  </si>
  <si>
    <t>335</t>
  </si>
  <si>
    <t>1770</t>
  </si>
  <si>
    <t>4.5225</t>
  </si>
  <si>
    <t>470</t>
  </si>
  <si>
    <t>10.7233</t>
  </si>
  <si>
    <t>3.7531</t>
  </si>
  <si>
    <t>3545</t>
  </si>
  <si>
    <t>9.3746</t>
  </si>
  <si>
    <t>1.6874</t>
  </si>
  <si>
    <t>3564</t>
  </si>
  <si>
    <t>2.2362</t>
  </si>
  <si>
    <t>7.9659</t>
  </si>
  <si>
    <t>2.5491</t>
  </si>
  <si>
    <t>3499</t>
  </si>
  <si>
    <t>5.4266</t>
  </si>
  <si>
    <t>135</t>
  </si>
  <si>
    <t>11.3379</t>
  </si>
  <si>
    <t>2.3809</t>
  </si>
  <si>
    <t>442</t>
  </si>
  <si>
    <t>12.8916</t>
  </si>
  <si>
    <t>538</t>
  </si>
  <si>
    <t>11.6546</t>
  </si>
  <si>
    <t>1.7006</t>
  </si>
  <si>
    <t>2.3275</t>
  </si>
  <si>
    <t>140</t>
  </si>
  <si>
    <t>1.4503</t>
  </si>
  <si>
    <t>125</t>
  </si>
  <si>
    <t>3.8501</t>
  </si>
  <si>
    <t>2984</t>
  </si>
  <si>
    <t>8.6138</t>
  </si>
  <si>
    <t>7512</t>
  </si>
  <si>
    <t>8855</t>
  </si>
  <si>
    <t>2.8634</t>
  </si>
  <si>
    <t>1.4317</t>
  </si>
  <si>
    <t>472</t>
  </si>
  <si>
    <t>2396</t>
  </si>
  <si>
    <t>8.2873</t>
  </si>
  <si>
    <t>1.7403</t>
  </si>
  <si>
    <t>3.6641</t>
  </si>
  <si>
    <t>1409</t>
  </si>
  <si>
    <t>4.4525</t>
  </si>
  <si>
    <t>666</t>
  </si>
  <si>
    <t>883</t>
  </si>
  <si>
    <t>1.6967</t>
  </si>
  <si>
    <t>1.5797</t>
  </si>
  <si>
    <t>35</t>
  </si>
  <si>
    <t>5.6361</t>
  </si>
  <si>
    <t>5837</t>
  </si>
  <si>
    <t>10270</t>
  </si>
  <si>
    <t>2.2707</t>
  </si>
  <si>
    <t>606</t>
  </si>
  <si>
    <t>2.8757</t>
  </si>
  <si>
    <t>1638</t>
  </si>
  <si>
    <t>9.2164</t>
  </si>
  <si>
    <t>1.6589</t>
  </si>
  <si>
    <t>3027</t>
  </si>
  <si>
    <t>3.6175</t>
  </si>
  <si>
    <t>1359</t>
  </si>
  <si>
    <t>785</t>
  </si>
  <si>
    <t>408</t>
  </si>
  <si>
    <t>1.9456</t>
  </si>
  <si>
    <t>1542</t>
  </si>
  <si>
    <t>1.9184</t>
  </si>
  <si>
    <t>623</t>
  </si>
  <si>
    <t>134</t>
  </si>
  <si>
    <t>2.4751</t>
  </si>
  <si>
    <t>429</t>
  </si>
  <si>
    <t>1.6842</t>
  </si>
  <si>
    <t>956</t>
  </si>
  <si>
    <t>12028</t>
  </si>
  <si>
    <t>17750</t>
  </si>
  <si>
    <t>4.6012</t>
  </si>
  <si>
    <t>1.3881</t>
  </si>
  <si>
    <t>278</t>
  </si>
  <si>
    <t>4678</t>
  </si>
  <si>
    <t>312</t>
  </si>
  <si>
    <t>1769</t>
  </si>
  <si>
    <t>1.2879</t>
  </si>
  <si>
    <t>4837</t>
  </si>
  <si>
    <t>1.3044</t>
  </si>
  <si>
    <t>388</t>
  </si>
  <si>
    <t>1.6755</t>
  </si>
  <si>
    <t>814</t>
  </si>
  <si>
    <t>1.2133</t>
  </si>
  <si>
    <t>3.5262</t>
  </si>
  <si>
    <t>1.3576</t>
  </si>
  <si>
    <t>1026</t>
  </si>
  <si>
    <t>1857</t>
  </si>
  <si>
    <t>483</t>
  </si>
  <si>
    <t>3.5655</t>
  </si>
  <si>
    <t>1.2441</t>
  </si>
  <si>
    <t>2940</t>
  </si>
  <si>
    <t>13935</t>
  </si>
  <si>
    <t>17610</t>
  </si>
  <si>
    <t>12.1963</t>
  </si>
  <si>
    <t>971</t>
  </si>
  <si>
    <t>230</t>
  </si>
  <si>
    <t>1.4449</t>
  </si>
  <si>
    <t>4466</t>
  </si>
  <si>
    <t>2.6467</t>
  </si>
  <si>
    <t>6.2363</t>
  </si>
  <si>
    <t>11.7526</t>
  </si>
  <si>
    <t>4.3507</t>
  </si>
  <si>
    <t>1.7402</t>
  </si>
  <si>
    <t>426</t>
  </si>
  <si>
    <t>10.2876</t>
  </si>
  <si>
    <t>3.6007</t>
  </si>
  <si>
    <t>3276</t>
  </si>
  <si>
    <t>2.2897</t>
  </si>
  <si>
    <t>6.2296</t>
  </si>
  <si>
    <t>2641</t>
  </si>
  <si>
    <t>2.4324</t>
  </si>
  <si>
    <t>10.4227</t>
  </si>
  <si>
    <t>423</t>
  </si>
  <si>
    <t>677</t>
  </si>
  <si>
    <t>554</t>
  </si>
  <si>
    <t>1.3643</t>
  </si>
  <si>
    <t>4.3142</t>
  </si>
  <si>
    <t>1.7256</t>
  </si>
  <si>
    <t>1.6699</t>
  </si>
  <si>
    <t>159</t>
  </si>
  <si>
    <t>2.3174</t>
  </si>
  <si>
    <t>2.8145</t>
  </si>
  <si>
    <t>132</t>
  </si>
  <si>
    <t>8.01</t>
  </si>
  <si>
    <t>6985</t>
  </si>
  <si>
    <t>8839</t>
  </si>
  <si>
    <t>2.8616</t>
  </si>
  <si>
    <t>1.4308</t>
  </si>
  <si>
    <t>438</t>
  </si>
  <si>
    <t>11.3387</t>
  </si>
  <si>
    <t>4.5355</t>
  </si>
  <si>
    <t>5.2722</t>
  </si>
  <si>
    <t>1.8979</t>
  </si>
  <si>
    <t>1380</t>
  </si>
  <si>
    <t>4.7601</t>
  </si>
  <si>
    <t>1.6661</t>
  </si>
  <si>
    <t>870</t>
  </si>
  <si>
    <t>3.8741</t>
  </si>
  <si>
    <t>1441</t>
  </si>
  <si>
    <t>1.3945</t>
  </si>
  <si>
    <t>345</t>
  </si>
  <si>
    <t>915</t>
  </si>
  <si>
    <t>144</t>
  </si>
  <si>
    <t>1.4164</t>
  </si>
  <si>
    <t>1.3728</t>
  </si>
  <si>
    <t>1203</t>
  </si>
  <si>
    <t>1.5552</t>
  </si>
  <si>
    <t>336</t>
  </si>
  <si>
    <t>12256</t>
  </si>
  <si>
    <t>18024</t>
  </si>
  <si>
    <t>11.2546</t>
  </si>
  <si>
    <t>5.6273</t>
  </si>
  <si>
    <t>891</t>
  </si>
  <si>
    <t>1.2908</t>
  </si>
  <si>
    <t>293</t>
  </si>
  <si>
    <t>12.2789</t>
  </si>
  <si>
    <t>4051</t>
  </si>
  <si>
    <t>2.7366</t>
  </si>
  <si>
    <t>8.5312</t>
  </si>
  <si>
    <t>1669</t>
  </si>
  <si>
    <t>4.6614</t>
  </si>
  <si>
    <t>1.8646</t>
  </si>
  <si>
    <t>447</t>
  </si>
  <si>
    <t>10.0082</t>
  </si>
  <si>
    <t>3.5029</t>
  </si>
  <si>
    <t>3211</t>
  </si>
  <si>
    <t>6.4933</t>
  </si>
  <si>
    <t>2563</t>
  </si>
  <si>
    <t>1.5366</t>
  </si>
  <si>
    <t>1.4631</t>
  </si>
  <si>
    <t>4.5991</t>
  </si>
  <si>
    <t>1.7706</t>
  </si>
  <si>
    <t>1506</t>
  </si>
  <si>
    <t>7.5261</t>
  </si>
  <si>
    <t>1.5805</t>
  </si>
  <si>
    <t>403</t>
  </si>
  <si>
    <t>681</t>
  </si>
  <si>
    <t>11.3659</t>
  </si>
  <si>
    <t>10.8914</t>
  </si>
  <si>
    <t>636</t>
  </si>
  <si>
    <t>1.2478</t>
  </si>
  <si>
    <t>189</t>
  </si>
  <si>
    <t>1.9364</t>
  </si>
  <si>
    <t>156</t>
  </si>
  <si>
    <t>1.3609</t>
  </si>
  <si>
    <t>129</t>
  </si>
  <si>
    <t>4.8318</t>
  </si>
  <si>
    <t>5156</t>
  </si>
  <si>
    <t>9047</t>
  </si>
  <si>
    <t>1.6843</t>
  </si>
  <si>
    <t>405</t>
  </si>
  <si>
    <t>1724</t>
  </si>
  <si>
    <t>4.6069</t>
  </si>
  <si>
    <t>1.6584</t>
  </si>
  <si>
    <t>1378</t>
  </si>
  <si>
    <t>3.7427</t>
  </si>
  <si>
    <t>1548</t>
  </si>
  <si>
    <t>2.3031</t>
  </si>
  <si>
    <t>2.3916</t>
  </si>
  <si>
    <t>735</t>
  </si>
  <si>
    <t>139</t>
  </si>
  <si>
    <t>3.6037</t>
  </si>
  <si>
    <t>1755</t>
  </si>
  <si>
    <t>5.2468</t>
  </si>
  <si>
    <t>2038</t>
  </si>
  <si>
    <t>1726978</t>
  </si>
  <si>
    <t>5.5089</t>
  </si>
  <si>
    <t>1941</t>
  </si>
  <si>
    <t>4.6981</t>
  </si>
  <si>
    <t>1923</t>
  </si>
  <si>
    <t>4.9941</t>
  </si>
  <si>
    <t>2.9221</t>
  </si>
  <si>
    <t>1735</t>
  </si>
  <si>
    <t>3.6494</t>
  </si>
  <si>
    <t>1862</t>
  </si>
  <si>
    <t>3.8626</t>
  </si>
  <si>
    <t>1.8754</t>
  </si>
  <si>
    <t>1389</t>
  </si>
  <si>
    <t>12.5417</t>
  </si>
  <si>
    <t>1647</t>
  </si>
  <si>
    <t>4.5234</t>
  </si>
  <si>
    <t>1521</t>
  </si>
  <si>
    <t>3.5244</t>
  </si>
  <si>
    <t>1773</t>
  </si>
  <si>
    <t>588</t>
  </si>
  <si>
    <t>1986</t>
  </si>
  <si>
    <t>7.2472</t>
  </si>
  <si>
    <t>3011</t>
  </si>
  <si>
    <t>689</t>
  </si>
  <si>
    <t>Место</t>
  </si>
  <si>
    <t>Гипермаркеты</t>
  </si>
  <si>
    <t>Продажи, тыс. руб.</t>
  </si>
  <si>
    <t>Минимаркеты</t>
  </si>
  <si>
    <t>Продажи, тыс. руб. 2</t>
  </si>
  <si>
    <t>Супермаркеты</t>
  </si>
  <si>
    <t>Продажи, тыс. руб. 3</t>
  </si>
  <si>
    <t>1.3516</t>
  </si>
  <si>
    <t>548</t>
  </si>
  <si>
    <t>10.7144</t>
  </si>
  <si>
    <t>9488</t>
  </si>
  <si>
    <t>17303</t>
  </si>
  <si>
    <t>3.5321</t>
  </si>
  <si>
    <t>4.2581</t>
  </si>
  <si>
    <t>2136</t>
  </si>
  <si>
    <t>3823</t>
  </si>
  <si>
    <t>3.8833</t>
  </si>
  <si>
    <t>4.4205</t>
  </si>
  <si>
    <t>2197</t>
  </si>
  <si>
    <t>4198</t>
  </si>
  <si>
    <t>3.5234</t>
  </si>
  <si>
    <t>563</t>
  </si>
  <si>
    <t>3.8079</t>
  </si>
  <si>
    <t>2540</t>
  </si>
  <si>
    <t>5.8805</t>
  </si>
  <si>
    <t>3746</t>
  </si>
  <si>
    <t>12.0022</t>
  </si>
  <si>
    <t>2.4005</t>
  </si>
  <si>
    <t>2.7376</t>
  </si>
  <si>
    <t>1703</t>
  </si>
  <si>
    <t>5.5807</t>
  </si>
  <si>
    <t>2625</t>
  </si>
  <si>
    <t>2.6428</t>
  </si>
  <si>
    <t>11.4728</t>
  </si>
  <si>
    <t>2.2945</t>
  </si>
  <si>
    <t>1710</t>
  </si>
  <si>
    <t>3.5896</t>
  </si>
  <si>
    <t>2387</t>
  </si>
  <si>
    <t>10.5903</t>
  </si>
  <si>
    <t>428</t>
  </si>
  <si>
    <t>7.8182</t>
  </si>
  <si>
    <t>1.5636</t>
  </si>
  <si>
    <t>1053</t>
  </si>
  <si>
    <t>2407</t>
  </si>
  <si>
    <t>824</t>
  </si>
  <si>
    <t>1.5532</t>
  </si>
  <si>
    <t>11.8122</t>
  </si>
  <si>
    <t>4155</t>
  </si>
  <si>
    <t>2.2017</t>
  </si>
  <si>
    <t>11.8421</t>
  </si>
  <si>
    <t>4.2631</t>
  </si>
  <si>
    <t>1694</t>
  </si>
  <si>
    <t>2.8679</t>
  </si>
  <si>
    <t>2990</t>
  </si>
  <si>
    <t>5.4623</t>
  </si>
  <si>
    <t>2267</t>
  </si>
  <si>
    <t>6.5873</t>
  </si>
  <si>
    <t>2.5361</t>
  </si>
  <si>
    <t>1.2146</t>
  </si>
  <si>
    <t>7.9512</t>
  </si>
  <si>
    <t>1.6698</t>
  </si>
  <si>
    <t>431</t>
  </si>
  <si>
    <t>627</t>
  </si>
  <si>
    <t>2.5055</t>
  </si>
  <si>
    <t>1.0021</t>
  </si>
  <si>
    <t>2.6689</t>
  </si>
  <si>
    <t>157</t>
  </si>
  <si>
    <t>1.5616</t>
  </si>
  <si>
    <t>146</t>
  </si>
  <si>
    <t>4.5455</t>
  </si>
  <si>
    <t>4711</t>
  </si>
  <si>
    <t>9650</t>
  </si>
  <si>
    <t>1.7909</t>
  </si>
  <si>
    <t>10.2943</t>
  </si>
  <si>
    <t>1693</t>
  </si>
  <si>
    <t>6.6272</t>
  </si>
  <si>
    <t>2.3858</t>
  </si>
  <si>
    <t>1430</t>
  </si>
  <si>
    <t>3.7983</t>
  </si>
  <si>
    <t>1365</t>
  </si>
  <si>
    <t>1.2556</t>
  </si>
  <si>
    <t>1.2143</t>
  </si>
  <si>
    <t>8.4189</t>
  </si>
  <si>
    <t>7904</t>
  </si>
  <si>
    <t>18868</t>
  </si>
  <si>
    <t>8.9411</t>
  </si>
  <si>
    <t>4.4704</t>
  </si>
  <si>
    <t>724</t>
  </si>
  <si>
    <t>1.0061</t>
  </si>
  <si>
    <t>224</t>
  </si>
  <si>
    <t>3981</t>
  </si>
  <si>
    <t>2.8408</t>
  </si>
  <si>
    <t>357</t>
  </si>
  <si>
    <t>8.6118</t>
  </si>
  <si>
    <t>1727</t>
  </si>
  <si>
    <t>3.2099</t>
  </si>
  <si>
    <t>3168</t>
  </si>
  <si>
    <t>2169</t>
  </si>
  <si>
    <t>5.7889</t>
  </si>
  <si>
    <t>2.2287</t>
  </si>
  <si>
    <t>1453</t>
  </si>
  <si>
    <t>3.8847</t>
  </si>
  <si>
    <t>1.3597</t>
  </si>
  <si>
    <t>1.6988</t>
  </si>
  <si>
    <t>10.7176</t>
  </si>
  <si>
    <t>11.2308</t>
  </si>
  <si>
    <t>2.3601</t>
  </si>
  <si>
    <t>3.3197</t>
  </si>
  <si>
    <t>2.4137</t>
  </si>
  <si>
    <t>3.6894</t>
  </si>
  <si>
    <t>3957</t>
  </si>
  <si>
    <t>9622</t>
  </si>
  <si>
    <t>2.6274</t>
  </si>
  <si>
    <t>1.3064</t>
  </si>
  <si>
    <t>873</t>
  </si>
  <si>
    <t>Доля рынка, %</t>
  </si>
  <si>
    <t>9.7258</t>
  </si>
  <si>
    <t>3.8904</t>
  </si>
  <si>
    <t>1743</t>
  </si>
  <si>
    <t>200</t>
  </si>
  <si>
    <t>6.7551</t>
  </si>
  <si>
    <t>2.4318</t>
  </si>
  <si>
    <t>1405</t>
  </si>
  <si>
    <t>1354</t>
  </si>
  <si>
    <t>1.9098</t>
  </si>
  <si>
    <t>856</t>
  </si>
  <si>
    <t>424</t>
  </si>
  <si>
    <t>9.2251</t>
  </si>
  <si>
    <t>7021</t>
  </si>
  <si>
    <t>19290</t>
  </si>
  <si>
    <t>8.7719</t>
  </si>
  <si>
    <t>2403</t>
  </si>
  <si>
    <t>1.6219</t>
  </si>
  <si>
    <t>3846</t>
  </si>
  <si>
    <t>2.8089</t>
  </si>
  <si>
    <t>350</t>
  </si>
  <si>
    <t>4.8872</t>
  </si>
  <si>
    <t>1795</t>
  </si>
  <si>
    <t>12.3312</t>
  </si>
  <si>
    <t>4.3159</t>
  </si>
  <si>
    <t>3741</t>
  </si>
  <si>
    <t>1.9689</t>
  </si>
  <si>
    <t>413</t>
  </si>
  <si>
    <t>2265</t>
  </si>
  <si>
    <t>5.6062</t>
  </si>
  <si>
    <t>1.9622</t>
  </si>
  <si>
    <t>1.1919</t>
  </si>
  <si>
    <t>1758</t>
  </si>
  <si>
    <t>120</t>
  </si>
  <si>
    <t>622</t>
  </si>
  <si>
    <t>4.4724</t>
  </si>
  <si>
    <t>12.8973</t>
  </si>
  <si>
    <t>561</t>
  </si>
  <si>
    <t>459</t>
  </si>
  <si>
    <t>3.7586</t>
  </si>
  <si>
    <t>1.5034</t>
  </si>
  <si>
    <t>2.8968</t>
  </si>
  <si>
    <t>2.4313</t>
  </si>
  <si>
    <t>2.8586</t>
  </si>
  <si>
    <t>3207</t>
  </si>
  <si>
    <t>8071</t>
  </si>
  <si>
    <t>6.1975</t>
  </si>
  <si>
    <t>1798</t>
  </si>
  <si>
    <t>11.0032</t>
  </si>
  <si>
    <t>4.4013</t>
  </si>
  <si>
    <t>3.8074</t>
  </si>
  <si>
    <t>1396</t>
  </si>
  <si>
    <t>1.9004</t>
  </si>
  <si>
    <t>984</t>
  </si>
  <si>
    <t>1.3414</t>
  </si>
  <si>
    <t>825</t>
  </si>
  <si>
    <t>322</t>
  </si>
  <si>
    <t>487</t>
  </si>
  <si>
    <t>5417</t>
  </si>
  <si>
    <t>16888</t>
  </si>
  <si>
    <t>10.1936</t>
  </si>
  <si>
    <t>4012</t>
  </si>
  <si>
    <t>12.4106</t>
  </si>
  <si>
    <t>3549</t>
  </si>
  <si>
    <t>2.4692</t>
  </si>
  <si>
    <t>9.4241</t>
  </si>
  <si>
    <t>1827</t>
  </si>
  <si>
    <t>11.8075</t>
  </si>
  <si>
    <t>3759</t>
  </si>
  <si>
    <t>6.7738</t>
  </si>
  <si>
    <t>1.2192</t>
  </si>
  <si>
    <t>2145</t>
  </si>
  <si>
    <t>1.7531</t>
  </si>
  <si>
    <t>375</t>
  </si>
  <si>
    <t>1472</t>
  </si>
  <si>
    <t>1.7024</t>
  </si>
  <si>
    <t>392</t>
  </si>
  <si>
    <t>624</t>
  </si>
  <si>
    <t>522</t>
  </si>
  <si>
    <t>2.8844</t>
  </si>
  <si>
    <t>2.3938</t>
  </si>
  <si>
    <t>2.3325</t>
  </si>
  <si>
    <t>1.3633</t>
  </si>
  <si>
    <t>137</t>
  </si>
  <si>
    <t>2.9553</t>
  </si>
  <si>
    <t>2918</t>
  </si>
  <si>
    <t>8665</t>
  </si>
  <si>
    <t>8.8828</t>
  </si>
  <si>
    <t>4.3691</t>
  </si>
  <si>
    <t>2423</t>
  </si>
  <si>
    <t>12.4224</t>
  </si>
  <si>
    <t>1809</t>
  </si>
  <si>
    <t>10.3903</t>
  </si>
  <si>
    <t>3.7405</t>
  </si>
  <si>
    <t>1361</t>
  </si>
  <si>
    <t>1455</t>
  </si>
  <si>
    <t>2.4011</t>
  </si>
  <si>
    <t>1064</t>
  </si>
  <si>
    <t>1.3274</t>
  </si>
  <si>
    <t>441</t>
  </si>
  <si>
    <t>8.7792</t>
  </si>
  <si>
    <t>4562</t>
  </si>
  <si>
    <t>18126</t>
  </si>
  <si>
    <t>11.8374</t>
  </si>
  <si>
    <t>4735</t>
  </si>
  <si>
    <t>1.2179</t>
  </si>
  <si>
    <t>317</t>
  </si>
  <si>
    <t>3575</t>
  </si>
  <si>
    <t>2.7495</t>
  </si>
  <si>
    <t>340</t>
  </si>
  <si>
    <t>5.8029</t>
  </si>
  <si>
    <t>1747</t>
  </si>
  <si>
    <t>3925</t>
  </si>
  <si>
    <t>2.9449</t>
  </si>
  <si>
    <t>1957</t>
  </si>
  <si>
    <t>4.2663</t>
  </si>
  <si>
    <t>1.6425</t>
  </si>
  <si>
    <t>1321</t>
  </si>
  <si>
    <t>69</t>
  </si>
  <si>
    <t>1.2193</t>
  </si>
  <si>
    <t>1.2735</t>
  </si>
  <si>
    <t>530</t>
  </si>
  <si>
    <t>1.9312</t>
  </si>
  <si>
    <t>2.2651</t>
  </si>
  <si>
    <t>1.9806</t>
  </si>
  <si>
    <t>76</t>
  </si>
  <si>
    <t>1.3555</t>
  </si>
  <si>
    <t>3.2142</t>
  </si>
  <si>
    <t>2865</t>
  </si>
  <si>
    <t>11.7249</t>
  </si>
  <si>
    <t>8472</t>
  </si>
  <si>
    <t>3215</t>
  </si>
  <si>
    <t>211</t>
  </si>
  <si>
    <t>6.6926</t>
  </si>
  <si>
    <t>2672</t>
  </si>
  <si>
    <t>143</t>
  </si>
  <si>
    <t>10.4442</t>
  </si>
  <si>
    <t>2.7107</t>
  </si>
  <si>
    <t>820</t>
  </si>
  <si>
    <t>2.4806</t>
  </si>
  <si>
    <t>1008</t>
  </si>
  <si>
    <t>Всего (2021)</t>
  </si>
  <si>
    <t>Всего (2022)</t>
  </si>
  <si>
    <t>Прирост 2021</t>
  </si>
  <si>
    <t>Прирост 2022</t>
  </si>
  <si>
    <t>Доля 2021</t>
  </si>
  <si>
    <t>Доля 2022</t>
  </si>
  <si>
    <t>1.3532</t>
  </si>
  <si>
    <t>382</t>
  </si>
  <si>
    <t>1.5963</t>
  </si>
  <si>
    <t>6.9144</t>
  </si>
  <si>
    <t>4883</t>
  </si>
  <si>
    <t>17478</t>
  </si>
  <si>
    <t>12.3856</t>
  </si>
  <si>
    <t>1.3379</t>
  </si>
  <si>
    <t>8509</t>
  </si>
  <si>
    <t>2.8355</t>
  </si>
  <si>
    <t>2021 Blue</t>
  </si>
  <si>
    <t>2021 Green</t>
  </si>
  <si>
    <t>2021 Orange</t>
  </si>
  <si>
    <t>7.6349</t>
  </si>
  <si>
    <t>2021 Pearl</t>
  </si>
  <si>
    <t>1850</t>
  </si>
  <si>
    <t>2021 Yellow</t>
  </si>
  <si>
    <t>2022 Blue</t>
  </si>
  <si>
    <t>2022 Green</t>
  </si>
  <si>
    <t>5.6047</t>
  </si>
  <si>
    <t>4305</t>
  </si>
  <si>
    <t>2022 Orange</t>
  </si>
  <si>
    <t>2022 Pearl</t>
  </si>
  <si>
    <t>2022 Yellow</t>
  </si>
  <si>
    <t>2.6168</t>
  </si>
  <si>
    <t>564</t>
  </si>
  <si>
    <t>1.2792</t>
  </si>
  <si>
    <t>2059</t>
  </si>
  <si>
    <t>2.2503</t>
  </si>
  <si>
    <t>1080</t>
  </si>
  <si>
    <t>615</t>
  </si>
  <si>
    <t>5.7783</t>
  </si>
  <si>
    <t>1.2135</t>
  </si>
  <si>
    <t>389</t>
  </si>
  <si>
    <t>9.2393</t>
  </si>
  <si>
    <t>596</t>
  </si>
  <si>
    <t>501</t>
  </si>
  <si>
    <t>2.4055</t>
  </si>
  <si>
    <t>1.4713</t>
  </si>
  <si>
    <t>2.4147</t>
  </si>
  <si>
    <t>2.9453</t>
  </si>
  <si>
    <t>2688</t>
  </si>
  <si>
    <t>7912</t>
  </si>
  <si>
    <t>8.8174</t>
  </si>
  <si>
    <t>3076</t>
  </si>
  <si>
    <t>5.2404</t>
  </si>
  <si>
    <t>2389</t>
  </si>
  <si>
    <t>9.7878</t>
  </si>
  <si>
    <t>3.5236</t>
  </si>
  <si>
    <t>1357</t>
  </si>
  <si>
    <t>4.9301</t>
  </si>
  <si>
    <t>1.7255</t>
  </si>
  <si>
    <t>2.3783</t>
  </si>
  <si>
    <t>1073</t>
  </si>
  <si>
    <t>1.9166</t>
  </si>
  <si>
    <t>946</t>
  </si>
  <si>
    <t>244</t>
  </si>
  <si>
    <t>5.7828</t>
  </si>
  <si>
    <t>4364</t>
  </si>
  <si>
    <t>16029</t>
  </si>
  <si>
    <t>10.9131</t>
  </si>
  <si>
    <t>6072</t>
  </si>
  <si>
    <t>1.3947</t>
  </si>
  <si>
    <t>295</t>
  </si>
  <si>
    <t>8459</t>
  </si>
  <si>
    <t>3.4787</t>
  </si>
  <si>
    <t>354</t>
  </si>
  <si>
    <t>8.9037</t>
  </si>
  <si>
    <t>1841</t>
  </si>
  <si>
    <t>4.8472</t>
  </si>
  <si>
    <t>3776</t>
  </si>
  <si>
    <t>3.6888</t>
  </si>
  <si>
    <t>1.4754</t>
  </si>
  <si>
    <t>1083</t>
  </si>
  <si>
    <t>1.3492</t>
  </si>
  <si>
    <t>5.3833</t>
  </si>
  <si>
    <t>1679</t>
  </si>
  <si>
    <t>7.3405</t>
  </si>
  <si>
    <t>2.5692</t>
  </si>
  <si>
    <t>840</t>
  </si>
  <si>
    <t>1.2131</t>
  </si>
  <si>
    <t>1.2358</t>
  </si>
  <si>
    <t>1101</t>
  </si>
  <si>
    <t>3.4417</t>
  </si>
  <si>
    <t>1929</t>
  </si>
  <si>
    <t>9.7913</t>
  </si>
  <si>
    <t>1.9584</t>
  </si>
  <si>
    <t>4.6616</t>
  </si>
  <si>
    <t>843</t>
  </si>
  <si>
    <t>2.4246</t>
  </si>
  <si>
    <t>1624</t>
  </si>
  <si>
    <t>3.2486</t>
  </si>
  <si>
    <t>339</t>
  </si>
  <si>
    <t>3.9952</t>
  </si>
  <si>
    <t>3.7056</t>
  </si>
  <si>
    <t>1466</t>
  </si>
  <si>
    <t>7.3805</t>
  </si>
  <si>
    <t>1.4761</t>
  </si>
  <si>
    <t>4.2591</t>
  </si>
  <si>
    <t>5.6012</t>
  </si>
  <si>
    <t>6.8373</t>
  </si>
  <si>
    <t>1.3675</t>
  </si>
  <si>
    <t>5.7555</t>
  </si>
  <si>
    <t>2.8758</t>
  </si>
  <si>
    <t>1236</t>
  </si>
  <si>
    <t>315</t>
  </si>
  <si>
    <t>5.8024</t>
  </si>
  <si>
    <t>2.7029</t>
  </si>
  <si>
    <t>1255</t>
  </si>
  <si>
    <t>5.6314</t>
  </si>
  <si>
    <t>3.7074</t>
  </si>
  <si>
    <t>589</t>
  </si>
  <si>
    <t>11.8435</t>
  </si>
  <si>
    <t>2.3686</t>
  </si>
  <si>
    <t>1201</t>
  </si>
  <si>
    <t>4.9947</t>
  </si>
  <si>
    <t>3.7602</t>
  </si>
  <si>
    <t>813</t>
  </si>
  <si>
    <t>1.9682</t>
  </si>
  <si>
    <t>1.9585</t>
  </si>
  <si>
    <t>311</t>
  </si>
  <si>
    <t>7.5783</t>
  </si>
  <si>
    <t>1.5157</t>
  </si>
  <si>
    <t>1050</t>
  </si>
  <si>
    <t>1.4261</t>
  </si>
  <si>
    <t>404</t>
  </si>
  <si>
    <t>858</t>
  </si>
  <si>
    <t>4.2365</t>
  </si>
  <si>
    <t>Значения</t>
  </si>
  <si>
    <t>2.5092</t>
  </si>
  <si>
    <t>SUM из Units (in 1000)</t>
  </si>
  <si>
    <t>Green Hypermarkets</t>
  </si>
  <si>
    <t>Green Supermarkets</t>
  </si>
  <si>
    <t>Green Minimarkets</t>
  </si>
  <si>
    <t>Blue Hypermarkets</t>
  </si>
  <si>
    <t>Blue Supermarkets</t>
  </si>
  <si>
    <t>Blue Minimarkets</t>
  </si>
  <si>
    <t>Green, руб./шт.</t>
  </si>
  <si>
    <t>Blue, руб./шт.</t>
  </si>
  <si>
    <t>1. TOP-5 брендов по каналам</t>
  </si>
  <si>
    <t>Во всех трёх каналах продаж лидирующие позиции занимают Green и Blue: Green занимает первое место, Blue — второе. Остальной состав TOP-5 немного различается в зависимости от канала. Таким образом, лидерство Green и Blue устойчиво во всех рассматриваемых каналах продаж.</t>
  </si>
  <si>
    <t>2. Доля рынка в Supermarkets, сегмент 350–599G</t>
  </si>
  <si>
    <t>В 2022 году в канале Supermarkets и сегменте 350–599G рынок сильно концентрирован: Green занимает 56,52%, Blue — 29,49%. Вместе два лидирующих бренда занимают около 86% рынка.</t>
  </si>
  <si>
    <t>3. Динамика долей TOP-5</t>
  </si>
  <si>
    <t>В 2021–2022 годах Green сохраняет лидирующую позицию в сегменте 350–599G канала Supermarkets, а Blue стабильно занимает второе место. Доля Green колеблется по месяцам, но в большинстве месяцев остаётся выше 50%. Остальные бренды имеют существенно меньшие доли рынка.</t>
  </si>
  <si>
    <t>4. Динамика каналов продаж</t>
  </si>
  <si>
    <t>Supermarkets является крупнейшим и наиболее быстро растущим каналом продаж. В 2022 году его продажи выросли на 7,40%, а доля рынка увеличилась с 52,14% до 53,82%. Hypermarkets также показывает положительную динамику (+1,97% в 2022 году), однако растёт медленнее, поэтому его доля немного снизилась. Minimarkets сокращается второй год подряд: в 2021 году продажи снизились на 10,82%, в 2022 году — ещё на 1,73%, а доля канала уменьшилась с 20,58% до 19,44%.</t>
  </si>
  <si>
    <t>5. Offtake</t>
  </si>
  <si>
    <t>В 2022 году наиболее высокий оффтейк Green и Blue наблюдается в канале Hypermarkets. В Supermarkets оффтейк Blue в большинстве месяцев несколько выше, чем у Green, а в Minimarkets показатели двух брендов находятся примерно на сопоставимом уровне. В течение года оффтейк обоих брендов изменяется от месяца к месяцу.</t>
  </si>
  <si>
    <t>6. Средняя цена</t>
  </si>
  <si>
    <t>В 2022 году в канале Hypermarkets средняя цена Blue 400–599G заметно выше средней цены Green 350–399G на протяжении всего рассматриваемого периода. Цены обоих брендов изменяются от месяца к месяцу, однако Blue во все месяцы сохраняет более высокий уровень средней цены.</t>
  </si>
  <si>
    <t>7. Качество данных и влияние ошибок</t>
  </si>
  <si>
    <t>В ходе проверки качества данных были обнаружены лишние данные за 2019 год, технические строки с отсутствующими значениями Month, Channel и Brand, некорректное название бренда Greennn#!, различия в размерности показателя Value, а также проблемы с типами данных при импорте. После очистки и приведения данных к единому формату показатели были пересчитаны. Наиболее существенное влияние оказала ошибка в названии бренда Green: значительная часть продаж 2021 года была записана как Greennn#!, из-за чего продажи Green были сильно занижены и динамика 2022 года относительно 2021 года рассчитывалась некорректно. После исправления данных результаты изменились. Это показывает, что проверка качества данных должна выполняться до проведения анализа, поскольку ошибки в исходных данных могут привести к неверным аналитическим выводам и, как следствие, неправильным бизнес-решениям.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</si>
</sst>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d.mm"/>
    <numFmt numFmtId="166" formatCode="yyyy.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rgb="FF000000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quotePrefix="1" borderId="0" fillId="0" fontId="1" numFmtId="0" xfId="0" applyAlignment="1" applyFont="1">
      <alignment horizontal="left" readingOrder="0"/>
    </xf>
    <xf borderId="0" fillId="0" fontId="4" numFmtId="1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1" numFmtId="10" xfId="0" applyFont="1" applyNumberFormat="1"/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</dxfs>
  <tableStyles count="5">
    <tableStyle count="4" pivot="0" name="ТОП-5 по каналам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Динамика доли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Каналы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Офтейк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Цена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33" Type="http://schemas.openxmlformats.org/officeDocument/2006/relationships/pivotCacheDefinition" Target="pivotCache/pivotCacheDefinition5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4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7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6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259" sheet="2020"/>
  </cacheSource>
  <cacheFields>
    <cacheField name="Year" numFmtId="0">
      <sharedItems containsSemiMixedTypes="0" containsString="0" containsNumber="1" containsInteger="1">
        <n v="2020.0"/>
        <n v="2019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  <s v="Cream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>
      <sharedItems containsDate="1" containsMixedTypes="1">
        <s v="16.3202"/>
        <s v="87.8634"/>
        <s v="35.7182"/>
        <s v="0.358"/>
        <s v="16.8368"/>
        <n v="-460296.0"/>
        <n v="-247512.0"/>
        <d v="4856-03-01T00:00:00Z"/>
        <d v="6929-01-01T00:00:00Z"/>
        <d v="8313-02-01T00:00:00Z"/>
        <s v="0.0068"/>
        <s v="0.5648"/>
        <s v="0.242"/>
        <s v="0.3707"/>
        <s v="0.321"/>
        <s v="66.7225"/>
        <s v="0.0013"/>
        <s v="77.9698"/>
        <s v="7.861"/>
        <s v="0.6025"/>
        <s v="52.7901"/>
        <s v="14.2126"/>
        <d v="3366-04-01T00:00:00Z"/>
        <d v="6089-01-01T00:00:00Z"/>
        <d v="2559-01-01T00:00:00Z"/>
        <n v="-342929.0"/>
        <s v="0.5244"/>
        <s v="0.0022"/>
        <s v="0.3416"/>
        <n v="-407974.0"/>
        <s v="0.4799"/>
        <s v="173.1694"/>
        <s v="109.4041"/>
        <s v="41.8318"/>
        <s v="0.0807"/>
        <s v="66.1422"/>
        <s v="55.3375"/>
        <s v="19.5669"/>
        <n v="-422403.0"/>
        <d v="5746-05-01T00:00:00Z"/>
        <s v="0.0088"/>
        <d v="7347-01-01T00:00:00Z"/>
        <d v="3486-01-01T00:00:00Z"/>
        <s v="0.0314"/>
        <s v="0.0734"/>
        <d v="1912-03-01T00:00:00Z"/>
        <s v="0.0554"/>
        <s v="0.3194"/>
        <s v="0.3405"/>
        <s v="0.7489"/>
        <s v="15.4443"/>
        <s v="61.9945"/>
        <s v="52.0653"/>
        <s v="0.327"/>
        <s v="15.7978"/>
        <s v="16.1499"/>
        <d v="4374-03-01T00:00:00Z"/>
        <n v="-169411.0"/>
        <d v="8528-01-01T00:00:00Z"/>
        <s v="2.481"/>
        <s v="0.0062"/>
        <s v="0.8744"/>
        <s v="0.2345"/>
        <s v="0.3319"/>
        <s v="0.2888"/>
        <s v="67.5195"/>
        <s v="0.0326"/>
        <s v="74.3137"/>
        <n v="-581679.0"/>
        <s v="0.4328"/>
        <s v="39.9546"/>
        <s v="11.616"/>
        <d v="6972-02-01T00:00:00Z"/>
        <n v="-125276.0"/>
        <s v="1.045"/>
        <s v="0.067"/>
        <s v="0.4186"/>
        <n v="-599361.0"/>
        <s v="0.3508"/>
        <s v="0.0227"/>
        <s v="0.1831"/>
        <s v="0.1532"/>
        <s v="0.0295"/>
        <s v="124.2706"/>
        <s v="112.8185"/>
        <s v="25.1908"/>
        <s v="0.0843"/>
        <s v="30.8669"/>
        <s v="43.3914"/>
        <s v="9.44"/>
        <d v="2153-05-01T00:00:00Z"/>
        <d v="9837-10-01T00:00:00Z"/>
        <s v="0.0175"/>
        <s v="1.803"/>
        <d v="7385-01-01T00:00:00Z"/>
        <s v="0.0397"/>
        <s v="0.0685"/>
        <s v="0.0016"/>
        <d v="2326-02-01T00:00:00Z"/>
        <s v="0.0526"/>
        <s v="0.3976"/>
        <s v="0.1842"/>
        <s v="0.3193"/>
        <s v="15.7516"/>
        <s v="116.7506"/>
        <s v="44.6502"/>
        <s v="0.3076"/>
        <s v="17.3306"/>
        <d v="6185-11-01T00:00:00Z"/>
        <s v="0.0006"/>
        <d v="8369-02-01T00:00:00Z"/>
        <d v="3968-03-01T00:00:00Z"/>
        <n v="-247236.0"/>
        <d v="6176-02-01T00:00:00Z"/>
        <s v="0.0099"/>
        <d v="1974-01-01T00:00:00Z"/>
        <s v="0.3357"/>
        <s v="0.3775"/>
        <s v="0.0007"/>
        <s v="0.2882"/>
        <s v="59.9181"/>
        <s v="0.0025"/>
        <s v="69.8611"/>
        <d v="2565-08-01T00:00:00Z"/>
        <s v="0.3656"/>
        <d v="6065-10-01T00:00:00Z"/>
        <s v="15.8856"/>
        <d v="2058-04-01T00:00:00Z"/>
        <n v="-497093.0"/>
        <d v="5053-02-01T00:00:00Z"/>
        <s v="0.7486"/>
        <s v="0.5124"/>
        <d v="1978-01-01T00:00:00Z"/>
        <s v="0.0058"/>
        <s v="0.3065"/>
        <s v="0.42"/>
        <s v="80.8349"/>
        <s v="98.0553"/>
        <s v="41.2775"/>
        <s v="0.0844"/>
        <s v="22.7859"/>
        <d v="6386-08-01T00:00:00Z"/>
        <d v="9757-04-01T00:00:00Z"/>
        <s v="20.996"/>
        <d v="5074-08-01T00:00:00Z"/>
        <d v="3937-06-01T00:00:00Z"/>
        <d v="5576-02-01T00:00:00Z"/>
        <s v="0.0412"/>
        <s v="0.0818"/>
        <s v="0.0322"/>
        <n v="-166152.0"/>
        <s v="0.0577"/>
        <s v="0.5458"/>
        <s v="0.0004"/>
        <d v="3841-01-01T00:00:00Z"/>
        <s v="13.1809"/>
        <s v="54.8537"/>
        <s v="48.5498"/>
        <s v="1.082"/>
        <s v="14.6887"/>
        <d v="8278-10-01T00:00:00Z"/>
        <s v="0.0001"/>
        <n v="-638411.0"/>
        <d v="9288-02-01T00:00:00Z"/>
        <d v="8156-01-01T00:00:00Z"/>
        <d v="3171-02-01T00:00:00Z"/>
        <s v="0.0111"/>
        <s v="0.8561"/>
        <s v="0.3016"/>
        <s v="0.2712"/>
        <s v="0.2237"/>
        <s v="65.925"/>
        <s v="0.0015"/>
        <s v="62.98"/>
        <d v="1918-06-01T00:00:00Z"/>
        <s v="0.5044"/>
        <d v="3434-08-01T00:00:00Z"/>
        <s v="17.1067"/>
        <n v="-115355.0"/>
        <d v="2491-01-01T00:00:00Z"/>
        <d v="3394-02-01T00:00:00Z"/>
        <n v="-316663.0"/>
        <n v="-290732.0"/>
        <s v="0.3346"/>
        <s v="0.2126"/>
        <s v="0.4675"/>
        <s v="156.6125"/>
        <s v="95.5966"/>
        <s v="20.3404"/>
        <s v="0.2203"/>
        <s v="32.7492"/>
        <s v="18.3218"/>
        <d v="8246-04-01T00:00:00Z"/>
        <d v="4998-03-01T00:00:00Z"/>
        <d v="6311-04-01T00:00:00Z"/>
        <d v="7053-05-01T00:00:00Z"/>
        <s v="1.692"/>
        <s v="0.0232"/>
        <s v="0.0639"/>
        <s v="0.0877"/>
        <d v="7914-01-01T00:00:00Z"/>
        <s v="0.0597"/>
        <s v="0.7026"/>
        <s v="0.3512"/>
        <s v="0.6254"/>
        <s v="22.3576"/>
        <s v="57.154"/>
        <s v="29.5413"/>
        <s v="0.3545"/>
        <s v="17.0951"/>
        <n v="-565425.0"/>
        <d v="8037-01-01T00:00:00Z"/>
        <n v="-63519.0"/>
        <d v="2213-03-01T00:00:00Z"/>
        <d v="8592-01-01T00:00:00Z"/>
        <s v="0.6509"/>
        <s v="0.0081"/>
        <s v="0.7626"/>
        <s v="0.2396"/>
        <s v="0.0011"/>
        <s v="0.1731"/>
        <s v="62.2945"/>
        <s v="65.0353"/>
        <s v="7.079"/>
        <s v="0.4188"/>
        <d v="4711-09-01T00:00:00Z"/>
        <s v="14.6881"/>
        <d v="7982-03-01T00:00:00Z"/>
        <s v="0.6053"/>
        <s v="1.528"/>
        <s v="1.291"/>
        <d v="3652-01-01T00:00:00Z"/>
        <s v="0.5541"/>
        <s v="0.7088"/>
        <s v="0.1453"/>
        <s v="126.6888"/>
        <s v="87.3889"/>
        <s v="17.5314"/>
        <s v="0.0754"/>
        <s v="23.8464"/>
        <d v="3302-08-01T00:00:00Z"/>
        <d v="6336-03-01T00:00:00Z"/>
        <s v="16.1501"/>
        <d v="3243-06-01T00:00:00Z"/>
        <s v="1.477"/>
        <s v="0.0267"/>
        <s v="0.079"/>
        <s v="0.0357"/>
        <d v="3731-01-01T00:00:00Z"/>
        <d v="2629-03-01T00:00:00Z"/>
        <s v="0.2498"/>
        <s v="0.4852"/>
        <s v="0.0654"/>
        <s v="0.313"/>
        <s v="17.4455"/>
        <s v="45.0632"/>
        <s v="50.0413"/>
        <s v="2.063"/>
        <s v="13.2913"/>
        <d v="7218-10-01T00:00:00Z"/>
        <n v="-615432.0"/>
        <d v="7663-02-01T00:00:00Z"/>
        <s v="3.937"/>
        <n v="-177840.0"/>
        <s v="0.5585"/>
        <s v="0.0048"/>
        <s v="0.7672"/>
        <n v="-217317.0"/>
        <s v="0.211"/>
        <s v="45.3431"/>
        <s v="76.6523"/>
        <d v="9658-05-01T00:00:00Z"/>
        <s v="0.4157"/>
        <d v="8056-05-01T00:00:00Z"/>
        <s v="18.7903"/>
        <d v="3244-03-01T00:00:00Z"/>
        <s v="0.5825"/>
        <d v="3844-01-01T00:00:00Z"/>
        <s v="1.34"/>
        <s v="0.8894"/>
        <s v="0.0027"/>
        <s v="0.5157"/>
        <n v="-388250.0"/>
        <s v="0.5387"/>
        <s v="75.9334"/>
        <s v="96.8199"/>
        <s v="14.8417"/>
        <s v="0.1094"/>
        <s v="20.4412"/>
        <s v="31.2794"/>
        <n v="-488480.0"/>
        <d v="3128-04-01T00:00:00Z"/>
        <n v="-290307.0"/>
        <d v="7589-01-01T00:00:00Z"/>
        <s v="0.0245"/>
        <s v="0.0558"/>
        <s v="0.0135"/>
        <d v="3282-01-01T00:00:00Z"/>
        <n v="-258193.0"/>
        <s v="0.3927"/>
        <s v="0.5521"/>
        <s v="0.1282"/>
        <s v="0.3336"/>
        <s v="15.1169"/>
        <s v="87.8911"/>
        <s v="21.0883"/>
        <s v="0.0356"/>
        <s v="14.4919"/>
        <d v="9988-07-01T00:00:00Z"/>
        <s v="0.7098"/>
        <d v="7746-02-01T00:00:00Z"/>
        <d v="1971-03-01T00:00:00Z"/>
        <n v="-572639.0"/>
        <s v="0.5598"/>
        <s v="0.7859"/>
        <s v="0.2265"/>
        <s v="0.2089"/>
        <s v="50.7063"/>
        <s v="63.5335"/>
        <s v="6.463"/>
        <s v="0.4626"/>
        <d v="2124-07-01T00:00:00Z"/>
        <s v="8.89"/>
        <d v="8537-02-01T00:00:00Z"/>
        <d v="1924-01-01T00:00:00Z"/>
        <s v="0.7997"/>
        <d v="3448-01-01T00:00:00Z"/>
        <s v="0.4297"/>
        <s v="0.0053"/>
        <s v="0.6454"/>
        <s v="0.0299"/>
        <s v="0.1454"/>
        <s v="0.4858"/>
        <s v="86.1022"/>
        <s v="67.7327"/>
        <n v="-270339.0"/>
        <n v="-513528.0"/>
        <s v="36.3771"/>
        <s v="21.8827"/>
        <d v="3303-08-01T00:00:00Z"/>
        <d v="7617-02-01T00:00:00Z"/>
        <d v="5479-02-01T00:00:00Z"/>
        <s v="0.02"/>
        <d v="3619-01-01T00:00:00Z"/>
        <n v="-532156.0"/>
        <s v="0.045"/>
        <s v="0.0452"/>
        <s v="0.291"/>
        <s v="0.6584"/>
        <s v="0.0009"/>
        <s v="0.0458"/>
        <s v="0.2691"/>
        <d v="5679-01-01T00:00:00Z"/>
        <s v="14.4989"/>
        <s v="52.6967"/>
        <s v="27.0943"/>
        <s v="0.011"/>
        <s v="15.9888"/>
        <s v="6.511"/>
        <d v="1956-02-01T00:00:00Z"/>
        <d v="5171-08-01T00:00:00Z"/>
        <s v="2.522"/>
        <d v="8443-02-01T00:00:00Z"/>
        <s v="0.6974"/>
        <s v="0.0076"/>
        <s v="0.7316"/>
        <s v="0.2518"/>
        <s v="0.2349"/>
        <s v="0.0802"/>
        <s v="61.301"/>
        <s v="0.0047"/>
        <s v="70.3388"/>
        <d v="8793-05-01T00:00:00Z"/>
        <d v="3404-08-01T00:00:00Z"/>
        <s v="14.2728"/>
        <d v="2773-03-01T00:00:00Z"/>
        <d v="2451-01-01T00:00:00Z"/>
        <n v="-232657.0"/>
        <s v="0.5196"/>
        <n v="-90943.0"/>
        <s v="0.0091"/>
        <s v="0.7014"/>
        <s v="1.589"/>
        <s v="0.0665"/>
        <s v="0.1584"/>
        <s v="119.2838"/>
        <s v="88.3211"/>
        <d v="9844-09-01T00:00:00Z"/>
        <s v="34.6937"/>
        <s v="31.6173"/>
        <d v="6584-05-01T00:00:00Z"/>
        <d v="9685-03-01T00:00:00Z"/>
        <d v="5182-02-01T00:00:00Z"/>
        <d v="2499-01-01T00:00:00Z"/>
        <s v="0.0308"/>
        <s v="0.054"/>
        <s v="0.0164"/>
        <d v="1977-01-01T00:00:00Z"/>
        <s v="0.0005"/>
        <s v="0.0491"/>
        <s v="0.3095"/>
        <s v="0.2466"/>
        <s v="1.442"/>
        <d v="6793-11-01T00:00:00Z"/>
        <s v="83.769"/>
        <s v="17.6986"/>
        <s v="28.8596"/>
        <d v="6518-06-01T00:00:00Z"/>
        <s v="0.5486"/>
        <d v="4629-02-01T00:00:00Z"/>
        <d v="6566-05-01T00:00:00Z"/>
        <d v="7855-02-01T00:00:00Z"/>
        <s v="0.0043"/>
        <s v="0.7638"/>
        <s v="0.4745"/>
        <s v="0.2164"/>
        <s v="53.5782"/>
        <s v="0.0086"/>
        <s v="68.3218"/>
        <d v="7032-05-01T00:00:00Z"/>
        <s v="0.3981"/>
        <d v="4641-09-01T00:00:00Z"/>
        <n v="-7821.0"/>
        <d v="3518-02-01T00:00:00Z"/>
        <s v="0.87"/>
        <n v="-130390.0"/>
        <s v="0.6243"/>
        <s v="0.0622"/>
        <s v="0.1746"/>
        <s v="0.2874"/>
        <d v="3202-01-01T00:00:00Z"/>
        <s v="0.4761"/>
        <s v="137.4557"/>
        <s v="150.4766"/>
        <d v="1911-09-01T00:00:00Z"/>
        <s v="0.199"/>
        <s v="27.316"/>
        <s v="26.433"/>
        <d v="6877-05-01T00:00:00Z"/>
        <s v="1.856"/>
        <d v="9929-02-01T00:00:00Z"/>
        <n v="-358666.0"/>
        <s v="0.066"/>
        <s v="0.0163"/>
        <n v="-521198.0"/>
        <s v="0.3415"/>
        <s v="0.6851"/>
        <s v="0.0619"/>
        <s v="0.2886"/>
        <s v="0.0002"/>
        <s v="0.7629"/>
        <d v="8332-11-01T00:00:00Z"/>
        <s v="60.0832"/>
        <s v="49.1396"/>
        <s v="0.0046"/>
        <s v="0.0014"/>
        <s v="33.0503"/>
        <d v="4771-07-01T00:00:00Z"/>
        <s v="0.9903"/>
        <d v="4438-09-01T00:00:00Z"/>
        <d v="7065-02-01T00:00:00Z"/>
        <d v="7049-02-01T00:00:00Z"/>
        <s v="0.5902"/>
        <s v="0.0085"/>
        <s v="0.866"/>
        <s v="0.3019"/>
        <s v="0.2288"/>
        <s v="63.946"/>
        <s v="68.5442"/>
        <d v="1943-07-01T00:00:00Z"/>
        <s v="0.3737"/>
        <d v="9453-09-01T00:00:00Z"/>
        <s v="18.3968"/>
        <d v="4861-02-01T00:00:00Z"/>
        <s v="0.6058"/>
        <d v="9654-02-01T00:00:00Z"/>
        <s v="0.768"/>
        <s v="0.0634"/>
        <s v="0.1881"/>
        <s v="0.3189"/>
        <s v="0.5194"/>
        <s v="131.0205"/>
        <s v="124.6685"/>
        <s v="14.8151"/>
        <s v="0.1368"/>
        <s v="37.4777"/>
        <s v="28.3202"/>
        <n v="-28306.0"/>
        <d v="5769-02-01T00:00:00Z"/>
        <d v="6569-01-01T00:00:00Z"/>
        <s v="0.0193"/>
        <s v="0.0571"/>
        <d v="4586-02-01T00:00:00Z"/>
        <s v="0.0033"/>
        <d v="2029-01-01T00:00:00Z"/>
        <s v="0.3611"/>
        <s v="0.6881"/>
        <s v="0.0674"/>
        <s v="0.3391"/>
        <s v="0.8681"/>
        <s v="11.162"/>
        <s v="101.5784"/>
        <s v="33.7729"/>
        <s v="0.0276"/>
        <s v="26.7345"/>
        <d v="8132-04-01T00:00:00Z"/>
        <s v="1.108"/>
        <d v="9585-04-01T00:00:00Z"/>
        <d v="7119-02-01T00:00:00Z"/>
        <d v="8088-01-01T00:00:00Z"/>
        <s v="0.0093"/>
        <s v="0.9145"/>
        <s v="0.4599"/>
        <s v="0.3055"/>
        <s v="0.2297"/>
        <s v="0.0023"/>
        <s v="57.4102"/>
        <s v="66.7912"/>
        <d v="9462-04-01T00:00:00Z"/>
        <s v="0.3836"/>
        <s v="0.0038"/>
        <d v="3494-09-01T00:00:00Z"/>
        <d v="8801-08-01T00:00:00Z"/>
        <d v="4161-02-01T00:00:00Z"/>
        <s v="0.6422"/>
        <d v="8004-02-01T00:00:00Z"/>
        <s v="0.0925"/>
        <s v="0.3198"/>
        <s v="0.7291"/>
        <d v="5109-01-01T00:00:00Z"/>
        <s v="0.0042"/>
        <s v="0.4997"/>
        <s v="0.0325"/>
        <s v="0.2228"/>
        <s v="79.3713"/>
        <s v="157.7923"/>
        <s v="11.558"/>
        <s v="0.0867"/>
        <s v="41.1747"/>
        <s v="18.7049"/>
        <d v="5669-05-01T00:00:00Z"/>
        <d v="2636-03-01T00:00:00Z"/>
        <d v="7462-01-01T00:00:00Z"/>
        <s v="0.0338"/>
        <s v="0.0712"/>
        <n v="-323909.0"/>
        <s v="0.0018"/>
        <s v="0.9728"/>
        <s v="0.3825"/>
        <n v="-592786.0"/>
        <s v="0.0711"/>
        <s v="0.3586"/>
        <s v="0.143"/>
        <s v="0.3131"/>
        <d v="7002-12-01T00:00:00Z"/>
        <s v="69.8036"/>
        <s v="40.6086"/>
        <s v="0.0029"/>
        <s v="0.0399"/>
        <s v="40.6675"/>
        <d v="7943-09-01T00:00:00Z"/>
        <d v="4949-01-01T00:00:00Z"/>
        <d v="8291-02-01T00:00:00Z"/>
        <d v="4035-04-01T00:00:00Z"/>
        <d v="1942-01-01T00:00:00Z"/>
        <s v="0.9457"/>
        <s v="0.4026"/>
        <s v="0.2968"/>
        <s v="0.005"/>
        <s v="0.2248"/>
        <s v="74.8629"/>
        <s v="44.2276"/>
        <n v="-453509.0"/>
        <s v="0.2796"/>
        <s v="0.0121"/>
        <d v="5758-06-01T00:00:00Z"/>
        <s v="7.557"/>
        <n v="-457222.0"/>
        <s v="0.667"/>
        <d v="1939-01-01T00:00:00Z"/>
        <d v="5923-01-01T00:00:00Z"/>
        <s v="0.6812"/>
        <s v="0.0372"/>
        <s v="0.1953"/>
        <s v="0.3372"/>
        <s v="0.5115"/>
        <s v="124.8704"/>
        <s v="110.6414"/>
        <d v="7353-09-01T00:00:00Z"/>
        <s v="0.0755"/>
        <s v="0.004"/>
        <s v="24.9785"/>
        <s v="18.1118"/>
        <n v="-238381.0"/>
        <s v="0.0078"/>
        <d v="2071-06-01T00:00:00Z"/>
        <d v="2878-01-01T00:00:00Z"/>
        <s v="0.0215"/>
        <s v="0.0856"/>
        <d v="1985-02-01T00:00:00Z"/>
        <s v="0.084"/>
        <s v="0.4299"/>
        <s v="0.3527"/>
        <s v="0.7694"/>
        <s v="0.6204"/>
        <s v="0.0765"/>
        <s v="0.2849"/>
        <s v="0.7753"/>
        <d v="2062-01-01T00:00:00Z"/>
        <d v="4604-02-01T00:00:00Z"/>
        <d v="4715-02-01T00:00:00Z"/>
        <s v="17.7682"/>
        <s v="18.8734"/>
        <s v="36.9079"/>
        <s v="20.2285"/>
        <s v="40.6617"/>
        <n v="100.0"/>
      </sharedItems>
    </cacheField>
    <cacheField name="Units clean" numFmtId="0">
      <sharedItems containsString="0" containsBlank="1">
        <m/>
      </sharedItems>
    </cacheField>
    <cacheField name="Value (in 1000 rub)">
      <sharedItems containsMixedTypes="1" containsNumber="1" containsInteger="1">
        <s v="936.803413"/>
        <s v="7019.116508"/>
        <s v="4166.453788"/>
        <s v="66.38769"/>
        <s v="3227.992656"/>
        <s v="573.128758"/>
        <s v="559.444379"/>
        <s v="328.755626"/>
        <s v="253.642919"/>
        <s v="200.763102"/>
        <s v="2.200698"/>
        <s v="71.031833"/>
        <s v="61.805145"/>
        <s v="56.153614"/>
        <s v="50.76976"/>
        <s v="4050.03638"/>
        <s v="0.134999"/>
        <s v="7036.255168"/>
        <s v="1087.96951"/>
        <s v="109.493529"/>
        <s v="3000.962605"/>
        <s v="2169.309011"/>
        <s v="319.951771"/>
        <s v="234.200456"/>
        <s v="207.232319"/>
        <s v="177.535357"/>
        <s v="119.596253"/>
        <s v="0.930142"/>
        <s v="108.540446"/>
        <s v="51.908766"/>
        <s v="43.137401"/>
        <s v="8930.873194"/>
        <s v="9457.396412"/>
        <s v="4901.080918"/>
        <s v="15.311662"/>
        <s v="9564.403796"/>
        <s v="3197.053251"/>
        <s v="1090.341146"/>
        <s v="918.309789"/>
        <s v="811.85142"/>
        <s v="3.021369"/>
        <s v="489.019976"/>
        <s v="387.537281"/>
        <s v="10.497775"/>
        <s v="36.070235"/>
        <s v="241.683626"/>
        <s v="25.307236"/>
        <s v="174.92429"/>
        <s v="46.280242"/>
        <s v="144.095549"/>
        <s v="902.021306"/>
        <s v="5267.687694"/>
        <s v="5737.79897"/>
        <s v="61.337886"/>
        <s v="3177.907308"/>
        <s v="874.324135"/>
        <s v="443.556823"/>
        <s v="306.878801"/>
        <s v="281.485434"/>
        <s v="184.941745"/>
        <s v="2.004698"/>
        <s v="106.299765"/>
        <s v="57.967151"/>
        <s v="50.762267"/>
        <s v="46.506611"/>
        <s v="3973.243146"/>
        <s v="2.724914"/>
        <s v="6994.827867"/>
        <s v="839.264868"/>
        <s v="79.266848"/>
        <s v="2210.363738"/>
        <s v="1969.556878"/>
        <s v="195.339862"/>
        <s v="203.567716"/>
        <s v="178.409536"/>
        <s v="22.854508"/>
        <s v="131.38103"/>
        <s v="91.413191"/>
        <s v="40.453398"/>
        <s v="3.238388"/>
        <s v="36.294018"/>
        <s v="27.976055"/>
        <s v="2.716891"/>
        <s v="6261.83286"/>
        <s v="10193.829322"/>
        <s v="3303.863573"/>
        <s v="16.051771"/>
        <s v="5580.485107"/>
        <s v="2388.342617"/>
        <s v="564.161924"/>
        <s v="824.082768"/>
        <s v="1386.735499"/>
        <s v="6.433346"/>
        <s v="520.283287"/>
        <s v="457.743868"/>
        <s v="13.110632"/>
        <s v="33.706557"/>
        <s v="0.21092"/>
        <s v="287.868454"/>
        <s v="24.106433"/>
        <s v="205.549007"/>
        <s v="34.832102"/>
        <s v="146.807534"/>
        <s v="928.92665"/>
        <s v="9105.207427"/>
        <s v="5049.820876"/>
        <s v="58.307367"/>
        <s v="3529.609076"/>
        <s v="677.017966"/>
        <s v="0.042303"/>
        <s v="433.006136"/>
        <s v="0.096674"/>
        <s v="329.873082"/>
        <s v="317.591342"/>
        <s v="197.90962"/>
        <s v="3.203644"/>
        <s v="121.778651"/>
        <s v="78.294403"/>
        <s v="58.161958"/>
        <s v="0.094486"/>
        <s v="45.010945"/>
        <s v="3925.894315"/>
        <s v="0.239033"/>
        <s v="6958.625881"/>
        <s v="1088.468861"/>
        <s v="62.655918"/>
        <s v="1949.093433"/>
        <s v="1072.220825"/>
        <s v="285.332048"/>
        <s v="177.547756"/>
        <s v="321.675"/>
        <s v="124.803203"/>
        <s v="123.330744"/>
        <s v="108.865611"/>
        <s v="1.605336"/>
        <s v="93.23621"/>
        <s v="48.423851"/>
        <s v="4860.261843"/>
        <s v="9525.273204"/>
        <s v="5053.812038"/>
        <s v="13.352451"/>
        <s v="4874.68381"/>
        <s v="518.473264"/>
        <s v="855.17176"/>
        <s v="1306.620265"/>
        <s v="1124.589953"/>
        <s v="811.186105"/>
        <s v="700.968116"/>
        <s v="13.251864"/>
        <s v="39.988526"/>
        <s v="7.884587"/>
        <s v="603.625107"/>
        <s v="25.981502"/>
        <s v="290.24294"/>
        <s v="0.049663"/>
        <s v="238.904142"/>
        <s v="819.698677"/>
        <s v="4806.202042"/>
        <s v="5104.909681"/>
        <s v="129.175226"/>
        <s v="3008.328546"/>
        <s v="634.098977"/>
        <s v="0.007028"/>
        <s v="337.342593"/>
        <s v="0.016112"/>
        <s v="285.831332"/>
        <s v="283.721208"/>
        <s v="172.71895"/>
        <s v="3.648823"/>
        <s v="102.900452"/>
        <s v="68.126832"/>
        <s v="41.763937"/>
        <s v="30.341988"/>
        <s v="4037.903364"/>
        <s v="0.171467"/>
        <s v="6338.200409"/>
        <s v="880.140635"/>
        <s v="80.219931"/>
        <s v="1553.383466"/>
        <s v="1076.441935"/>
        <s v="225.61309"/>
        <s v="242.389454"/>
        <s v="258.553945"/>
        <s v="186.019152"/>
        <s v="98.75062"/>
        <s v="58.388659"/>
        <s v="55.786411"/>
        <s v="0.259456"/>
        <s v="50.164253"/>
        <s v="8413.267214"/>
        <s v="8971.843249"/>
        <s v="2762.443039"/>
        <s v="33.022278"/>
        <s v="5927.9104"/>
        <s v="1168.584361"/>
        <s v="343.430485"/>
        <s v="654.637547"/>
        <s v="722.763649"/>
        <s v="649.040983"/>
        <s v="457.457559"/>
        <s v="7.416068"/>
        <s v="31.154171"/>
        <s v="10.94554"/>
        <s v="0.250637"/>
        <s v="455.096599"/>
        <s v="27.19477"/>
        <s v="360.11203"/>
        <s v="54.916409"/>
        <s v="129.905255"/>
        <s v="1261.464109"/>
        <s v="5056.081495"/>
        <s v="3514.288662"/>
        <s v="67.328507"/>
        <s v="3209.643513"/>
        <s v="665.216812"/>
        <s v="280.366585"/>
        <s v="330.982913"/>
        <s v="305.898532"/>
        <s v="140.871749"/>
        <s v="126.123622"/>
        <s v="2.613454"/>
        <s v="92.107813"/>
        <s v="37.023186"/>
        <s v="0.119351"/>
        <s v="35.477459"/>
        <s v="3886.490741"/>
        <s v="0.07665"/>
        <s v="6461.604885"/>
        <s v="978.03047"/>
        <s v="71.137857"/>
        <s v="1704.141979"/>
        <s v="881.70831"/>
        <s v="283.989748"/>
        <s v="112.811286"/>
        <s v="224.946184"/>
        <s v="137.342741"/>
        <s v="128.123744"/>
        <s v="0.429929"/>
        <s v="65.790073"/>
        <s v="42.52785"/>
        <s v="41.459526"/>
        <s v="6964.641234"/>
        <s v="7894.581306"/>
        <s v="2313.44746"/>
        <s v="10.34063"/>
        <s v="4815.378802"/>
        <s v="493.352945"/>
        <s v="655.264603"/>
        <s v="985.101548"/>
        <s v="868.844336"/>
        <s v="390.842837"/>
        <s v="8.962127"/>
        <s v="38.584694"/>
        <s v="5.718368"/>
        <s v="365.607411"/>
        <s v="358.536068"/>
        <s v="46.870565"/>
        <s v="215.208807"/>
        <s v="29.755378"/>
        <s v="173.026412"/>
        <s v="1029.598821"/>
        <s v="4036.583675"/>
        <s v="5268.299434"/>
        <s v="213.294153"/>
        <s v="2643.416951"/>
        <s v="622.228998"/>
        <s v="160.392984"/>
        <s v="391.482226"/>
        <s v="360.477244"/>
        <s v="156.110209"/>
        <s v="117.64838"/>
        <s v="1.560646"/>
        <s v="92.905343"/>
        <s v="55.474507"/>
        <s v="0.425287"/>
        <s v="44.131594"/>
        <s v="3056.350782"/>
        <s v="0.142293"/>
        <s v="6777.613965"/>
        <s v="822.030462"/>
        <s v="66.62911"/>
        <s v="1161.256081"/>
        <s v="1016.720657"/>
        <s v="262.774193"/>
        <s v="119.821694"/>
        <s v="236.517256"/>
        <s v="120.12206"/>
        <s v="92.652783"/>
        <s v="1.081717"/>
        <s v="56.30877"/>
        <s v="49.519426"/>
        <s v="47.024197"/>
        <s v="4901.720639"/>
        <s v="7862.024497"/>
        <s v="1864.033093"/>
        <s v="15.912793"/>
        <s v="4241.478373"/>
        <s v="1824.296596"/>
        <s v="1209.394551"/>
        <s v="302.101449"/>
        <s v="565.056658"/>
        <s v="476.183387"/>
        <s v="7.848517"/>
        <s v="27.373598"/>
        <s v="3.280559"/>
        <s v="371.495588"/>
        <s v="223.758046"/>
        <s v="60.613095"/>
        <s v="120.995908"/>
        <s v="24.489549"/>
        <s v="149.109018"/>
        <s v="870.325083"/>
        <s v="7403.354863"/>
        <s v="2552.483087"/>
        <s v="6.283229"/>
        <s v="2822.831024"/>
        <s v="472.153171"/>
        <s v="116.373314"/>
        <s v="382.445638"/>
        <s v="290.430785"/>
        <s v="201.709554"/>
        <s v="112.794113"/>
        <s v="1.986265"/>
        <s v="93.897746"/>
        <s v="47.412949"/>
        <s v="35.509419"/>
        <s v="0.149852"/>
        <s v="3398.473048"/>
        <s v="0.010941"/>
        <s v="5999.003434"/>
        <s v="909.795361"/>
        <s v="79.825211"/>
        <s v="1518.623836"/>
        <s v="612.199476"/>
        <s v="235.936746"/>
        <s v="193.56644"/>
        <s v="132.964286"/>
        <s v="119.129525"/>
        <s v="86.020452"/>
        <s v="1.922279"/>
        <s v="70.732262"/>
        <s v="10.112935"/>
        <s v="46.945756"/>
        <s v="51.738094"/>
        <s v="5422.054982"/>
        <s v="5977.697769"/>
        <s v="1411.179164"/>
        <s v="147.300122"/>
        <s v="6144.165251"/>
        <s v="1520.411846"/>
        <s v="521.917002"/>
        <s v="499.183237"/>
        <s v="411.200988"/>
        <s v="3.348456"/>
        <s v="0.242017"/>
        <s v="374.905378"/>
        <s v="298.579602"/>
        <s v="9.620347"/>
        <s v="22.065598"/>
        <s v="49.084923"/>
        <s v="140.649292"/>
        <s v="0.424558"/>
        <s v="20.850142"/>
        <s v="140.824207"/>
        <s v="154.4753"/>
        <s v="839.675037"/>
        <s v="4545.647378"/>
        <s v="2912.236932"/>
        <s v="2.343986"/>
        <s v="3144.032997"/>
        <s v="386.054146"/>
        <s v="152.672372"/>
        <s v="418.475559"/>
        <s v="373.798464"/>
        <s v="284.902185"/>
        <s v="127.709397"/>
        <s v="2.463735"/>
        <s v="88.74046"/>
        <s v="52.956799"/>
        <s v="24.720427"/>
        <s v="9.577978"/>
        <s v="3827.928427"/>
        <s v="0.54729"/>
        <s v="6359.161149"/>
        <s v="836.630462"/>
        <s v="58.669398"/>
        <s v="1734.232667"/>
        <s v="797.208189"/>
        <s v="258.942763"/>
        <s v="129.596335"/>
        <s v="178.452502"/>
        <s v="112.748627"/>
        <s v="103.196774"/>
        <s v="3.297931"/>
        <s v="85.608891"/>
        <s v="84.815141"/>
        <s v="22.486045"/>
        <s v="50.11333"/>
        <s v="6709.745395"/>
        <s v="7205.293469"/>
        <s v="1220.229029"/>
        <s v="66.266284"/>
        <s v="6101.673406"/>
        <s v="1907.523043"/>
        <s v="363.135918"/>
        <s v="436.589117"/>
        <s v="415.783864"/>
        <s v="347.719692"/>
        <s v="9.360229"/>
        <s v="26.511486"/>
        <s v="2.915876"/>
        <s v="0.183668"/>
        <s v="345.456599"/>
        <s v="0.235851"/>
        <s v="21.17829"/>
        <s v="161.393145"/>
        <s v="41.636364"/>
        <s v="128.825793"/>
        <s v="152.140199"/>
        <s v="692.956619"/>
        <s v="6512.425501"/>
        <s v="2124.543597"/>
        <s v="1.028076"/>
        <s v="4467.334807"/>
        <s v="372.043144"/>
        <s v="60.611304"/>
        <s v="369.873609"/>
        <s v="335.499881"/>
        <s v="291.057245"/>
        <s v="1.373928"/>
        <s v="92.426348"/>
        <s v="93.170169"/>
        <s v="51.531351"/>
        <s v="35.386023"/>
        <s v="0.175645"/>
        <s v="3386.327367"/>
        <s v="0.985176"/>
        <s v="6367.316132"/>
        <s v="825.612183"/>
        <s v="68.190552"/>
        <s v="1951.666573"/>
        <s v="600.12229"/>
        <s v="180.630856"/>
        <s v="156.616257"/>
        <s v="102.778449"/>
        <s v="99.389678"/>
        <s v="20.959746"/>
        <s v="59.082552"/>
        <s v="65.509333"/>
        <s v="62.586761"/>
        <s v="0.854022"/>
        <s v="55.913785"/>
        <s v="7628.51873"/>
        <s v="11344.359734"/>
        <s v="1138.447524"/>
        <s v="33.195005"/>
        <s v="5429.497506"/>
        <s v="1826.391006"/>
        <s v="372.513254"/>
        <s v="283.975691"/>
        <s v="496.055713"/>
        <s v="304.052439"/>
        <s v="9.524402"/>
        <s v="32.461528"/>
        <s v="2.042558"/>
        <s v="0.255941"/>
        <s v="309.440934"/>
        <s v="57.675272"/>
        <s v="159.264256"/>
        <s v="0.330204"/>
        <s v="28.234317"/>
        <s v="156.94971"/>
        <s v="0.024798"/>
        <s v="151.892613"/>
        <s v="714.140479"/>
        <s v="5107.393573"/>
        <s v="4853.057025"/>
        <s v="1.010239"/>
        <s v="0.155886"/>
        <s v="5290.42563599999"/>
        <s v="414.764541"/>
        <s v="126.79139"/>
        <s v="458.541928"/>
        <s v="367.066608"/>
        <s v="285.144203"/>
        <s v="116.502147"/>
        <s v="2.76735"/>
        <s v="105.254914"/>
        <s v="52.337633"/>
        <s v="36.775135"/>
        <s v="0.185591"/>
        <s v="3988.521059"/>
        <s v="6497.563792"/>
        <s v="1051.550903"/>
        <s v="60.48214"/>
        <s v="2087.819981"/>
        <s v="987.116457"/>
        <s v="194.282214"/>
        <s v="109.808417"/>
        <s v="165.082083"/>
        <s v="129.934828"/>
        <s v="100.544796"/>
        <s v="21.322639"/>
        <s v="65.471207"/>
        <s v="70.952597"/>
        <s v="0.643301"/>
        <s v="68.15899"/>
        <s v="7190.91765"/>
        <s v="10831.853884"/>
        <s v="1659.957871"/>
        <s v="24.417541"/>
        <s v="6614.209094"/>
        <s v="1773.875739"/>
        <s v="465.369331"/>
        <s v="433.62192"/>
        <s v="472.904088"/>
        <s v="5.671158"/>
        <s v="27.713615"/>
        <s v="381.161355"/>
        <s v="0.563204"/>
        <s v="1.279707"/>
        <s v="318.321438"/>
        <s v="62.499038"/>
        <s v="160.841014"/>
        <s v="31.004518"/>
        <s v="184.796269"/>
        <s v="172.280999"/>
        <s v="693.523204"/>
        <s v="8077.51338"/>
        <s v="3444.500996"/>
        <s v="0.284586"/>
        <s v="3.023822"/>
        <s v="4384.797147"/>
        <s v="319.938974"/>
        <s v="174.651043"/>
        <s v="300.082495"/>
        <s v="283.880144"/>
        <s v="249.376456"/>
        <s v="2.947238"/>
        <s v="111.772602"/>
        <s v="98.216326"/>
        <s v="50.607907"/>
        <s v="39.360475"/>
        <s v="0.327685"/>
        <s v="3619.51712"/>
        <s v="6207.010473"/>
        <s v="718.497848"/>
        <s v="63.470422"/>
        <s v="0.441797"/>
        <s v="1891.763815"/>
        <s v="646.056945"/>
        <s v="198.720344"/>
        <s v="111.463019"/>
        <s v="304.455579"/>
        <s v="30.896572"/>
        <s v="103.77125"/>
        <s v="122.897301"/>
        <s v="96.602635"/>
        <s v="1.544666"/>
        <s v="65.708517"/>
        <s v="5.813849"/>
        <s v="51.098505"/>
        <s v="5005.155319"/>
        <s v="13396.308067"/>
        <s v="1290.956385"/>
        <s v="15.436583"/>
        <s v="7167.156142"/>
        <s v="1373.506643"/>
        <s v="347.846203"/>
        <s v="537.942316"/>
        <s v="471.874421"/>
        <s v="7.738316"/>
        <s v="35.070207"/>
        <s v="405.385216"/>
        <s v="0.694689"/>
        <s v="287.265068"/>
        <s v="68.448018"/>
        <s v="215.005711"/>
        <s v="1.226463"/>
        <s v="30.765021"/>
        <s v="194.894285"/>
        <s v="65.889532"/>
        <s v="155.941725"/>
        <s v="789.227923"/>
        <s v="5995.252831"/>
        <s v="3857.811179"/>
        <s v="0.233663"/>
        <s v="4.374675"/>
        <s v="5995.073407"/>
        <s v="542.253537"/>
        <s v="208.699739"/>
        <s v="0.125915"/>
        <s v="306.535534"/>
        <s v="282.294567"/>
        <s v="162.468894"/>
        <s v="1.588229"/>
        <s v="117.209566"/>
        <s v="87.407708"/>
        <s v="50.525289"/>
        <s v="0.61837"/>
        <s v="41.788139"/>
        <s v="4235.577133"/>
        <s v="4566.001749"/>
        <s v="764.229077"/>
        <s v="45.269075"/>
        <s v="1.127402"/>
        <s v="1391.71104"/>
        <s v="574.505007"/>
        <s v="238.161845"/>
        <s v="117.184238"/>
        <s v="159.756048"/>
        <s v="134.403459"/>
        <s v="60.933021"/>
        <s v="6.713224"/>
        <s v="45.258333"/>
        <s v="1.11613"/>
        <s v="35.861902"/>
        <s v="35.519099"/>
        <s v="7039.56404"/>
        <s v="10476.185686"/>
        <s v="1248.6311"/>
        <s v="12.065848"/>
        <s v="0.49345"/>
        <s v="4973.572214"/>
        <s v="1362.937588"/>
        <s v="297.628508"/>
        <s v="0.852696"/>
        <s v="923.409919"/>
        <s v="365.322427"/>
        <s v="5.839443"/>
        <s v="42.079687"/>
        <s v="309.219405"/>
        <s v="0.094354"/>
        <s v="33.376419"/>
        <s v="232.877716"/>
        <s v="63.560267"/>
        <s v="174.461142"/>
        <s v="0.073136"/>
        <s v="191.647874"/>
        <s v="35.958112"/>
        <s v="140.160417"/>
        <s v="41.856"/>
        <s v="76.9093"/>
        <s v="151.083"/>
        <s v="173.9148"/>
        <s v="1109.3931"/>
        <s v="1317.4916"/>
        <s v="2267.3183"/>
        <s v="1371.255"/>
        <s v="2642.1648"/>
        <n v="10000.0"/>
      </sharedItems>
    </cacheField>
    <cacheField name="Value clean" numFmtId="0">
      <sharedItems containsSemiMixedTypes="0" containsString="0" containsNumber="1">
        <n v="936.803413"/>
        <n v="7019.116508"/>
        <n v="4166.453788"/>
        <n v="66.38769"/>
        <n v="3227.992656"/>
        <n v="573.128758"/>
        <n v="559.444379"/>
        <n v="328.755626"/>
        <n v="253.642919"/>
        <n v="200.763102"/>
        <n v="2.200698"/>
        <n v="71.031833"/>
        <n v="61.805145"/>
        <n v="56.153614"/>
        <n v="50.76976"/>
        <n v="4050.03638"/>
        <n v="0.134999"/>
        <n v="7036.255168"/>
        <n v="1087.96951"/>
        <n v="109.493529"/>
        <n v="3000.962605"/>
        <n v="2169.309011"/>
        <n v="319.951771"/>
        <n v="234.200456"/>
        <n v="207.232319"/>
        <n v="177.535357"/>
        <n v="119.596253"/>
        <n v="0.930142"/>
        <n v="108.540446"/>
        <n v="51.908766"/>
        <n v="43.137401"/>
        <n v="8930.873194"/>
        <n v="9457.396412"/>
        <n v="4901.080918"/>
        <n v="15.311662"/>
        <n v="9564.403796"/>
        <n v="3197.053251"/>
        <n v="1090.341146"/>
        <n v="918.309789"/>
        <n v="811.85142"/>
        <n v="3.021369"/>
        <n v="489.019976"/>
        <n v="387.537281"/>
        <n v="10.497775"/>
        <n v="36.070235"/>
        <n v="241.683626"/>
        <n v="25.307236"/>
        <n v="174.92429"/>
        <n v="46.280242"/>
        <n v="144.095549"/>
        <n v="902.021306"/>
        <n v="5267.687694"/>
        <n v="5737.79897"/>
        <n v="61.337886"/>
        <n v="3177.907308"/>
        <n v="874.324135"/>
        <n v="443.556823"/>
        <n v="306.878801"/>
        <n v="281.485434"/>
        <n v="184.941745"/>
        <n v="2.004698"/>
        <n v="106.299765"/>
        <n v="57.967151"/>
        <n v="50.762267"/>
        <n v="46.506611"/>
        <n v="3973.243146"/>
        <n v="2.724914"/>
        <n v="6994.827867"/>
        <n v="839.264868"/>
        <n v="79.266848"/>
        <n v="2210.363738"/>
        <n v="1969.556878"/>
        <n v="195.339862"/>
        <n v="203.567716"/>
        <n v="178.409536"/>
        <n v="22.854508"/>
        <n v="131.38103"/>
        <n v="91.413191"/>
        <n v="40.453398"/>
        <n v="3.238388"/>
        <n v="36.294018"/>
        <n v="27.976055"/>
        <n v="2.716891"/>
        <n v="6261.83286"/>
        <n v="10193.829322"/>
        <n v="3303.863573"/>
        <n v="16.051771"/>
        <n v="5580.485107"/>
        <n v="2388.342617"/>
        <n v="564.161924"/>
        <n v="824.082768"/>
        <n v="1386.735499"/>
        <n v="6.433346"/>
        <n v="520.283287"/>
        <n v="457.743868"/>
        <n v="13.110632"/>
        <n v="33.706557"/>
        <n v="0.21092"/>
        <n v="287.868454"/>
        <n v="24.106433"/>
        <n v="205.549007"/>
        <n v="34.832102"/>
        <n v="146.807534"/>
        <n v="928.92665"/>
        <n v="9105.207427"/>
        <n v="5049.820876"/>
        <n v="58.307367"/>
        <n v="3529.609076"/>
        <n v="677.017966"/>
        <n v="0.042303"/>
        <n v="433.006136"/>
        <n v="0.096674"/>
        <n v="329.873082"/>
        <n v="317.591342"/>
        <n v="197.90962"/>
        <n v="3.203644"/>
        <n v="121.778651"/>
        <n v="78.294403"/>
        <n v="58.161958"/>
        <n v="0.094486"/>
        <n v="45.010945"/>
        <n v="3925.894315"/>
        <n v="0.239033"/>
        <n v="6958.625881"/>
        <n v="1088.468861"/>
        <n v="62.655918"/>
        <n v="1949.093433"/>
        <n v="1072.220825"/>
        <n v="285.332048"/>
        <n v="177.547756"/>
        <n v="321.675"/>
        <n v="124.803203"/>
        <n v="123.330744"/>
        <n v="108.865611"/>
        <n v="1.605336"/>
        <n v="93.23621"/>
        <n v="48.423851"/>
        <n v="4860.261843"/>
        <n v="9525.273204"/>
        <n v="5053.812038"/>
        <n v="13.352451"/>
        <n v="4874.68381"/>
        <n v="518.473264"/>
        <n v="855.17176"/>
        <n v="1306.620265"/>
        <n v="1124.589953"/>
        <n v="811.186105"/>
        <n v="700.968116"/>
        <n v="13.251864"/>
        <n v="39.988526"/>
        <n v="7.884587"/>
        <n v="603.625107"/>
        <n v="25.981502"/>
        <n v="290.24294"/>
        <n v="0.049663"/>
        <n v="238.904142"/>
        <n v="819.698677"/>
        <n v="4806.202042"/>
        <n v="5104.909681"/>
        <n v="129.175226"/>
        <n v="3008.328546"/>
        <n v="634.098977"/>
        <n v="0.007028"/>
        <n v="337.342593"/>
        <n v="0.016112"/>
        <n v="285.831332"/>
        <n v="283.721208"/>
        <n v="172.71895"/>
        <n v="3.648823"/>
        <n v="102.900452"/>
        <n v="68.126832"/>
        <n v="41.763937"/>
        <n v="30.341988"/>
        <n v="4037.903364"/>
        <n v="0.171467"/>
        <n v="6338.200409"/>
        <n v="880.140635"/>
        <n v="80.219931"/>
        <n v="1553.383466"/>
        <n v="1076.441935"/>
        <n v="225.61309"/>
        <n v="242.389454"/>
        <n v="258.553945"/>
        <n v="186.019152"/>
        <n v="98.75062"/>
        <n v="58.388659"/>
        <n v="55.786411"/>
        <n v="0.259456"/>
        <n v="50.164253"/>
        <n v="8413.267214"/>
        <n v="8971.843249"/>
        <n v="2762.443039"/>
        <n v="33.022278"/>
        <n v="5927.9104"/>
        <n v="1168.584361"/>
        <n v="343.430485"/>
        <n v="654.637547"/>
        <n v="722.763649"/>
        <n v="649.040983"/>
        <n v="457.457559"/>
        <n v="7.416068"/>
        <n v="31.154171"/>
        <n v="10.94554"/>
        <n v="0.250637"/>
        <n v="455.096599"/>
        <n v="27.19477"/>
        <n v="360.11203"/>
        <n v="54.916409"/>
        <n v="129.905255"/>
        <n v="1261.464109"/>
        <n v="5056.081495"/>
        <n v="3514.288662"/>
        <n v="67.328507"/>
        <n v="3209.643513"/>
        <n v="665.216812"/>
        <n v="280.366585"/>
        <n v="330.982913"/>
        <n v="305.898532"/>
        <n v="140.871749"/>
        <n v="126.123622"/>
        <n v="2.613454"/>
        <n v="92.107813"/>
        <n v="37.023186"/>
        <n v="0.119351"/>
        <n v="35.477459"/>
        <n v="3886.490741"/>
        <n v="0.07665"/>
        <n v="6461.604885"/>
        <n v="978.03047"/>
        <n v="71.137857"/>
        <n v="1704.141979"/>
        <n v="881.70831"/>
        <n v="283.989748"/>
        <n v="112.811286"/>
        <n v="224.946184"/>
        <n v="137.342741"/>
        <n v="128.123744"/>
        <n v="0.429929"/>
        <n v="65.790073"/>
        <n v="42.52785"/>
        <n v="41.459526"/>
        <n v="6964.641234"/>
        <n v="7894.581306"/>
        <n v="2313.44746"/>
        <n v="10.34063"/>
        <n v="4815.378802"/>
        <n v="493.352945"/>
        <n v="655.264603"/>
        <n v="985.101548"/>
        <n v="868.844336"/>
        <n v="390.842837"/>
        <n v="8.962127"/>
        <n v="38.584694"/>
        <n v="5.718368"/>
        <n v="365.607411"/>
        <n v="358.536068"/>
        <n v="46.870565"/>
        <n v="215.208807"/>
        <n v="29.755378"/>
        <n v="173.026412"/>
        <n v="1029.598821"/>
        <n v="4036.583675"/>
        <n v="5268.299434"/>
        <n v="213.294153"/>
        <n v="2643.416951"/>
        <n v="622.228998"/>
        <n v="160.392984"/>
        <n v="391.482226"/>
        <n v="360.477244"/>
        <n v="156.110209"/>
        <n v="117.64838"/>
        <n v="1.560646"/>
        <n v="92.905343"/>
        <n v="55.474507"/>
        <n v="0.425287"/>
        <n v="44.131594"/>
        <n v="3056.350782"/>
        <n v="0.142293"/>
        <n v="6777.613965"/>
        <n v="822.030462"/>
        <n v="66.62911"/>
        <n v="1161.256081"/>
        <n v="1016.720657"/>
        <n v="262.774193"/>
        <n v="119.821694"/>
        <n v="236.517256"/>
        <n v="120.12206"/>
        <n v="92.652783"/>
        <n v="1.081717"/>
        <n v="56.30877"/>
        <n v="49.519426"/>
        <n v="47.024197"/>
        <n v="4901.720639"/>
        <n v="7862.024497"/>
        <n v="1864.033093"/>
        <n v="15.912793"/>
        <n v="4241.478373"/>
        <n v="1824.296596"/>
        <n v="1209.394551"/>
        <n v="302.101449"/>
        <n v="565.056658"/>
        <n v="476.183387"/>
        <n v="7.848517"/>
        <n v="27.373598"/>
        <n v="3.280559"/>
        <n v="371.495588"/>
        <n v="223.758046"/>
        <n v="60.613095"/>
        <n v="120.995908"/>
        <n v="24.489549"/>
        <n v="149.109018"/>
        <n v="870.325083"/>
        <n v="7403.354863"/>
        <n v="2552.483087"/>
        <n v="6.283229"/>
        <n v="2822.831024"/>
        <n v="472.153171"/>
        <n v="116.373314"/>
        <n v="382.445638"/>
        <n v="290.430785"/>
        <n v="201.709554"/>
        <n v="112.794113"/>
        <n v="1.986265"/>
        <n v="93.897746"/>
        <n v="47.412949"/>
        <n v="35.509419"/>
        <n v="0.149852"/>
        <n v="3398.473048"/>
        <n v="0.010941"/>
        <n v="5999.003434"/>
        <n v="909.795361"/>
        <n v="79.825211"/>
        <n v="1518.623836"/>
        <n v="612.199476"/>
        <n v="235.936746"/>
        <n v="193.56644"/>
        <n v="132.964286"/>
        <n v="119.129525"/>
        <n v="86.020452"/>
        <n v="1.922279"/>
        <n v="70.732262"/>
        <n v="10.112935"/>
        <n v="46.945756"/>
        <n v="51.738094"/>
        <n v="5422.054982"/>
        <n v="5977.697769"/>
        <n v="1411.179164"/>
        <n v="147.300122"/>
        <n v="6144.165251"/>
        <n v="1520.411846"/>
        <n v="521.917002"/>
        <n v="499.183237"/>
        <n v="411.200988"/>
        <n v="3.348456"/>
        <n v="0.242017"/>
        <n v="374.905378"/>
        <n v="298.579602"/>
        <n v="9.620347"/>
        <n v="22.065598"/>
        <n v="49.084923"/>
        <n v="140.649292"/>
        <n v="0.424558"/>
        <n v="20.850142"/>
        <n v="140.824207"/>
        <n v="154.4753"/>
        <n v="839.675037"/>
        <n v="4545.647378"/>
        <n v="2912.236932"/>
        <n v="2.343986"/>
        <n v="3144.032997"/>
        <n v="386.054146"/>
        <n v="152.672372"/>
        <n v="418.475559"/>
        <n v="373.798464"/>
        <n v="284.902185"/>
        <n v="127.709397"/>
        <n v="2.463735"/>
        <n v="88.74046"/>
        <n v="52.956799"/>
        <n v="24.720427"/>
        <n v="9.577978"/>
        <n v="3827.928427"/>
        <n v="0.54729"/>
        <n v="6359.161149"/>
        <n v="836.630462"/>
        <n v="58.669398"/>
        <n v="1734.232667"/>
        <n v="797.208189"/>
        <n v="258.942763"/>
        <n v="129.596335"/>
        <n v="178.452502"/>
        <n v="112.748627"/>
        <n v="103.196774"/>
        <n v="3.297931"/>
        <n v="85.608891"/>
        <n v="84.815141"/>
        <n v="22.486045"/>
        <n v="50.11333"/>
        <n v="6709.745395"/>
        <n v="7205.293469"/>
        <n v="1220.229029"/>
        <n v="66.266284"/>
        <n v="6101.673406"/>
        <n v="1907.523043"/>
        <n v="363.135918"/>
        <n v="436.589117"/>
        <n v="415.783864"/>
        <n v="347.719692"/>
        <n v="9.360229"/>
        <n v="26.511486"/>
        <n v="2.915876"/>
        <n v="0.183668"/>
        <n v="345.456599"/>
        <n v="0.235851"/>
        <n v="21.17829"/>
        <n v="161.393145"/>
        <n v="41.636364"/>
        <n v="128.825793"/>
        <n v="152.140199"/>
        <n v="692.956619"/>
        <n v="6512.425501"/>
        <n v="2124.543597"/>
        <n v="1.028076"/>
        <n v="4467.334807"/>
        <n v="372.043144"/>
        <n v="60.611304"/>
        <n v="369.873609"/>
        <n v="335.499881"/>
        <n v="291.057245"/>
        <n v="1.373928"/>
        <n v="92.426348"/>
        <n v="93.170169"/>
        <n v="51.531351"/>
        <n v="35.386023"/>
        <n v="0.175645"/>
        <n v="3386.327367"/>
        <n v="0.985176"/>
        <n v="6367.316132"/>
        <n v="825.612183"/>
        <n v="68.190552"/>
        <n v="1951.666573"/>
        <n v="600.12229"/>
        <n v="180.630856"/>
        <n v="156.616257"/>
        <n v="102.778449"/>
        <n v="99.389678"/>
        <n v="20.959746"/>
        <n v="59.082552"/>
        <n v="65.509333"/>
        <n v="62.586761"/>
        <n v="0.854022"/>
        <n v="55.913785"/>
        <n v="7628.51873"/>
        <n v="11344.359734"/>
        <n v="1138.447524"/>
        <n v="33.195005"/>
        <n v="5429.497506"/>
        <n v="1826.391006"/>
        <n v="372.513254"/>
        <n v="283.975691"/>
        <n v="496.055713"/>
        <n v="304.052439"/>
        <n v="9.524402"/>
        <n v="32.461528"/>
        <n v="2.042558"/>
        <n v="0.255941"/>
        <n v="309.440934"/>
        <n v="57.675272"/>
        <n v="159.264256"/>
        <n v="0.330204"/>
        <n v="28.234317"/>
        <n v="156.94971"/>
        <n v="0.024798"/>
        <n v="151.892613"/>
        <n v="714.140479"/>
        <n v="5107.393573"/>
        <n v="4853.057025"/>
        <n v="1.010239"/>
        <n v="0.155886"/>
        <n v="5290.42563599999"/>
        <n v="414.764541"/>
        <n v="126.79139"/>
        <n v="458.541928"/>
        <n v="367.066608"/>
        <n v="285.144203"/>
        <n v="116.502147"/>
        <n v="2.76735"/>
        <n v="105.254914"/>
        <n v="52.337633"/>
        <n v="36.775135"/>
        <n v="0.185591"/>
        <n v="3988.521059"/>
        <n v="6497.563792"/>
        <n v="1051.550903"/>
        <n v="60.48214"/>
        <n v="2087.819981"/>
        <n v="987.116457"/>
        <n v="194.282214"/>
        <n v="109.808417"/>
        <n v="165.082083"/>
        <n v="129.934828"/>
        <n v="100.544796"/>
        <n v="21.322639"/>
        <n v="65.471207"/>
        <n v="70.952597"/>
        <n v="0.643301"/>
        <n v="68.15899"/>
        <n v="7190.91765"/>
        <n v="10831.853884"/>
        <n v="1659.957871"/>
        <n v="24.417541"/>
        <n v="6614.209094"/>
        <n v="1773.875739"/>
        <n v="465.369331"/>
        <n v="433.62192"/>
        <n v="472.904088"/>
        <n v="5.671158"/>
        <n v="27.713615"/>
        <n v="381.161355"/>
        <n v="0.563204"/>
        <n v="1.279707"/>
        <n v="318.321438"/>
        <n v="62.499038"/>
        <n v="160.841014"/>
        <n v="31.004518"/>
        <n v="184.796269"/>
        <n v="172.280999"/>
        <n v="693.523204"/>
        <n v="8077.51338"/>
        <n v="3444.500996"/>
        <n v="0.284586"/>
        <n v="3.023822"/>
        <n v="4384.797147"/>
        <n v="319.938974"/>
        <n v="174.651043"/>
        <n v="300.082495"/>
        <n v="283.880144"/>
        <n v="249.376456"/>
        <n v="2.947238"/>
        <n v="111.772602"/>
        <n v="98.216326"/>
        <n v="50.607907"/>
        <n v="39.360475"/>
        <n v="0.327685"/>
        <n v="3619.51712"/>
        <n v="6207.010473"/>
        <n v="718.497848"/>
        <n v="63.470422"/>
        <n v="0.441797"/>
        <n v="1891.763815"/>
        <n v="646.056945"/>
        <n v="198.720344"/>
        <n v="111.463019"/>
        <n v="304.455579"/>
        <n v="30.896572"/>
        <n v="103.77125"/>
        <n v="122.897301"/>
        <n v="96.602635"/>
        <n v="1.544666"/>
        <n v="65.708517"/>
        <n v="5.813849"/>
        <n v="51.098505"/>
        <n v="5005.155319"/>
        <n v="13396.308067"/>
        <n v="1290.956385"/>
        <n v="15.436583"/>
        <n v="7167.156142"/>
        <n v="1373.506643"/>
        <n v="347.846203"/>
        <n v="537.942316"/>
        <n v="471.874421"/>
        <n v="7.738316"/>
        <n v="35.070207"/>
        <n v="405.385216"/>
        <n v="0.694689"/>
        <n v="287.265068"/>
        <n v="68.448018"/>
        <n v="215.005711"/>
        <n v="1.226463"/>
        <n v="30.765021"/>
        <n v="194.894285"/>
        <n v="65.889532"/>
        <n v="155.941725"/>
        <n v="789.227923"/>
        <n v="5995.252831"/>
        <n v="3857.811179"/>
        <n v="0.233663"/>
        <n v="4.374675"/>
        <n v="5995.073407"/>
        <n v="542.253537"/>
        <n v="208.699739"/>
        <n v="0.125915"/>
        <n v="306.535534"/>
        <n v="282.294567"/>
        <n v="162.468894"/>
        <n v="1.588229"/>
        <n v="117.209566"/>
        <n v="87.407708"/>
        <n v="50.525289"/>
        <n v="0.61837"/>
        <n v="41.788139"/>
        <n v="4235.577133"/>
        <n v="4566.001749"/>
        <n v="764.229077"/>
        <n v="45.269075"/>
        <n v="1.127402"/>
        <n v="1391.71104"/>
        <n v="574.505007"/>
        <n v="238.161845"/>
        <n v="117.184238"/>
        <n v="159.756048"/>
        <n v="134.403459"/>
        <n v="60.933021"/>
        <n v="6.713224"/>
        <n v="45.258333"/>
        <n v="1.11613"/>
        <n v="35.861902"/>
        <n v="35.519099"/>
        <n v="7039.56404"/>
        <n v="10476.185686"/>
        <n v="1248.6311"/>
        <n v="12.065848"/>
        <n v="0.49345"/>
        <n v="4973.572214"/>
        <n v="1362.937588"/>
        <n v="297.628508"/>
        <n v="0.852696"/>
        <n v="923.409919"/>
        <n v="365.322427"/>
        <n v="5.839443"/>
        <n v="42.079687"/>
        <n v="309.219405"/>
        <n v="0.094354"/>
        <n v="33.376419"/>
        <n v="232.877716"/>
        <n v="63.560267"/>
        <n v="174.461142"/>
        <n v="0.073136"/>
        <n v="191.647874"/>
        <n v="35.958112"/>
        <n v="140.160417"/>
        <n v="41.856"/>
        <n v="76.9093"/>
        <n v="151.083"/>
        <n v="173.9148"/>
        <n v="1109.3931"/>
        <n v="1317.4916"/>
        <n v="2267.3183"/>
        <n v="1371.255"/>
        <n v="2642.1648"/>
        <n v="10000.0"/>
      </sharedItems>
    </cacheField>
    <cacheField name="Volume (in 1000 kg)">
      <sharedItems containsDate="1" containsMixedTypes="1">
        <d v="4272-03-01T00:00:00Z"/>
        <s v="30.7522"/>
        <s v="17.8592"/>
        <s v="0.2685"/>
        <d v="7346-06-01T00:00:00Z"/>
        <d v="3147-02-01T00:00:00Z"/>
        <s v="2.305"/>
        <s v="0.6274"/>
        <s v="0.6264"/>
        <n v="-623466.0"/>
        <s v="0.0019"/>
        <s v="0.2259"/>
        <s v="0.0968"/>
        <s v="0.0704"/>
        <s v="0.1284"/>
        <s v="14.0117"/>
        <s v="0.0004"/>
        <s v="27.2894"/>
        <d v="9304-03-01T00:00:00Z"/>
        <s v="0.4518"/>
        <s v="19.0044"/>
        <d v="6849-05-01T00:00:00Z"/>
        <s v="0.9974"/>
        <s v="0.7239"/>
        <s v="0.4648"/>
        <s v="0.3773"/>
        <s v="0.1835"/>
        <s v="0.1367"/>
        <s v="0.302"/>
        <s v="0.24"/>
        <s v="36.3655"/>
        <s v="38.2914"/>
        <s v="20.916"/>
        <s v="0.0605"/>
        <s v="26.4569"/>
        <s v="19.9215"/>
        <d v="5003-04-01T00:00:00Z"/>
        <n v="-24045.0"/>
        <n v="-465286.0"/>
        <s v="0.0017"/>
        <s v="0.6938"/>
        <s v="0.2563"/>
        <s v="0.011"/>
        <s v="0.0367"/>
        <s v="0.5744"/>
        <s v="0.0194"/>
        <s v="0.1341"/>
        <s v="0.0613"/>
        <s v="0.2622"/>
        <d v="2433-03-01T00:00:00Z"/>
        <s v="21.6982"/>
        <s v="26.0328"/>
        <s v="0.2453"/>
        <s v="6.319"/>
        <d v="7145-03-01T00:00:00Z"/>
        <d v="5468-01-01T00:00:00Z"/>
        <s v="0.5659"/>
        <s v="0.6855"/>
        <s v="0.8931"/>
        <s v="0.3498"/>
        <s v="0.0938"/>
        <s v="0.0631"/>
        <s v="0.1155"/>
        <s v="14.1791"/>
        <s v="0.0104"/>
        <s v="26.0097"/>
        <n v="-638017.0"/>
        <s v="0.3246"/>
        <s v="14.3836"/>
        <d v="6465-04-01T00:00:00Z"/>
        <s v="0.6204"/>
        <s v="0.5201"/>
        <s v="0.3866"/>
        <s v="0.0127"/>
        <s v="0.1674"/>
        <s v="0.1847"/>
        <s v="0.1403"/>
        <s v="0.0041"/>
        <s v="0.0641"/>
        <s v="0.0491"/>
        <s v="0.0118"/>
        <s v="26.0969"/>
        <s v="39.4865"/>
        <d v="5954-12-01T00:00:00Z"/>
        <s v="0.0633"/>
        <d v="3467-12-01T00:00:00Z"/>
        <s v="15.6209"/>
        <n v="-68633.0"/>
        <d v="3468-02-01T00:00:00Z"/>
        <s v="4.064"/>
        <s v="0.0033"/>
        <s v="0.7211"/>
        <s v="0.3303"/>
        <s v="0.014"/>
        <s v="0.0342"/>
        <s v="0.0003"/>
        <s v="0.7815"/>
        <s v="0.0184"/>
        <s v="0.167"/>
        <s v="0.0608"/>
        <s v="0.1597"/>
        <d v="3079-03-01T00:00:00Z"/>
        <s v="40.8628"/>
        <s v="22.3251"/>
        <s v="0.2307"/>
        <d v="9322-06-01T00:00:00Z"/>
        <d v="6723-02-01T00:00:00Z"/>
        <s v="0.0002"/>
        <d v="2766-01-01T00:00:00Z"/>
        <s v="0.6114"/>
        <s v="0.7853"/>
        <s v="0.9423"/>
        <s v="0.0027"/>
        <s v="0.4029"/>
        <s v="0.1343"/>
        <s v="0.0717"/>
        <s v="0.1152"/>
        <d v="5828-12-01T00:00:00Z"/>
        <s v="0.0008"/>
        <s v="24.4513"/>
        <n v="-225262.0"/>
        <s v="0.2742"/>
        <d v="2427-04-01T00:00:00Z"/>
        <d v="7188-05-01T00:00:00Z"/>
        <s v="0.9673"/>
        <s v="0.4744"/>
        <d v="2527-01-01T00:00:00Z"/>
        <s v="0.277"/>
        <s v="0.1794"/>
        <s v="0.2156"/>
        <s v="0.0011"/>
        <s v="0.1226"/>
        <s v="0.168"/>
        <s v="16.9753"/>
        <s v="34.3194"/>
        <s v="20.6387"/>
        <n v="-275878.0"/>
        <d v="9869-01-01T00:00:00Z"/>
        <d v="2391-02-01T00:00:00Z"/>
        <d v="5586-07-01T00:00:00Z"/>
        <n v="-154436.0"/>
        <d v="1969-03-01T00:00:00Z"/>
        <s v="0.4859"/>
        <s v="0.0145"/>
        <s v="0.0408"/>
        <s v="0.0061"/>
        <s v="0.8577"/>
        <s v="0.0202"/>
        <s v="0.2292"/>
        <s v="0.0001"/>
        <s v="0.4844"/>
        <s v="2.768"/>
        <s v="19.1989"/>
        <s v="24.2748"/>
        <s v="0.8115"/>
        <d v="8755-05-01T00:00:00Z"/>
        <d v="4904-02-01T00:00:00Z"/>
        <n v="0.0"/>
        <s v="0.9069"/>
        <s v="0.5272"/>
        <s v="0.6717"/>
        <s v="0.8341"/>
        <s v="0.0031"/>
        <s v="0.3424"/>
        <s v="0.1206"/>
        <s v="0.0515"/>
        <s v="0.0895"/>
        <s v="13.8442"/>
        <s v="0.0005"/>
        <s v="22.043"/>
        <n v="-343632.0"/>
        <s v="0.3783"/>
        <d v="3374-03-01T00:00:00Z"/>
        <n v="-115263.0"/>
        <s v="0.7264"/>
        <s v="0.5621"/>
        <n v="-74141.0"/>
        <s v="0.4082"/>
        <s v="0.1999"/>
        <s v="0.1673"/>
        <s v="0.0851"/>
        <s v="0.187"/>
        <s v="32.8887"/>
        <s v="33.4589"/>
        <n v="-72043.0"/>
        <s v="0.1653"/>
        <s v="13.0998"/>
        <d v="5958-06-01T00:00:00Z"/>
        <n v="-293653.0"/>
        <d v="5748-01-01T00:00:00Z"/>
        <d v="7135-01-01T00:00:00Z"/>
        <d v="8527-02-01T00:00:00Z"/>
        <s v="0.3215"/>
        <s v="0.0082"/>
        <s v="0.0319"/>
        <s v="0.0166"/>
        <s v="0.7166"/>
        <s v="0.0209"/>
        <s v="0.2951"/>
        <s v="0.0632"/>
        <s v="0.2188"/>
        <d v="6951-04-01T00:00:00Z"/>
        <s v="20.0039"/>
        <s v="14.7706"/>
        <s v="0.2658"/>
        <d v="8381-06-01T00:00:00Z"/>
        <d v="7681-02-01T00:00:00Z"/>
        <s v="0.8117"/>
        <s v="0.8038"/>
        <s v="0.5798"/>
        <s v="0.6692"/>
        <s v="0.2604"/>
        <s v="0.0023"/>
        <s v="0.305"/>
        <s v="0.0455"/>
        <s v="0.0693"/>
        <s v="13.0819"/>
        <s v="22.7624"/>
        <d v="5394-03-01T00:00:00Z"/>
        <s v="0.3141"/>
        <d v="7885-03-01T00:00:00Z"/>
        <d v="2878-05-01T00:00:00Z"/>
        <s v="0.8736"/>
        <s v="0.2724"/>
        <s v="0.5654"/>
        <s v="0.6456"/>
        <s v="0.2457"/>
        <s v="0.2217"/>
        <s v="0.2481"/>
        <s v="0.0581"/>
        <s v="26.6046"/>
        <s v="30.5861"/>
        <d v="7657-08-01T00:00:00Z"/>
        <s v="0.0566"/>
        <d v="5385-09-01T00:00:00Z"/>
        <d v="9159-01-01T00:00:00Z"/>
        <d v="6351-01-01T00:00:00Z"/>
        <s v="5.814"/>
        <s v="2.34"/>
        <s v="0.2805"/>
        <s v="0.0093"/>
        <s v="0.0395"/>
        <s v="0.0068"/>
        <s v="0.5491"/>
        <d v="6315-01-01T00:00:00Z"/>
        <s v="0.0825"/>
        <s v="0.2426"/>
        <s v="0.0229"/>
        <s v="0.1314"/>
        <d v="6635-03-01T00:00:00Z"/>
        <s v="15.7722"/>
        <s v="25.0206"/>
        <d v="5473-01-01T00:00:00Z"/>
        <d v="3166-05-01T00:00:00Z"/>
        <d v="4661-02-01T00:00:00Z"/>
        <s v="0.4597"/>
        <n v="-608127.0"/>
        <s v="0.7087"/>
        <s v="0.7709"/>
        <s v="0.2234"/>
        <s v="0.0014"/>
        <s v="0.3069"/>
        <s v="0.2148"/>
        <s v="0.0843"/>
        <s v="9.522"/>
        <s v="26.8282"/>
        <d v="9829-02-01T00:00:00Z"/>
        <s v="0.3118"/>
        <d v="3222-02-01T00:00:00Z"/>
        <d v="7645-06-01T00:00:00Z"/>
        <s v="0.7646"/>
        <s v="0.2621"/>
        <s v="0.5123"/>
        <s v="0.2412"/>
        <s v="0.4446"/>
        <s v="0.0007"/>
        <s v="0.2063"/>
        <s v="0.3034"/>
        <s v="0.2693"/>
        <s v="15.946"/>
        <s v="33.887"/>
        <d v="4208-07-01T00:00:00Z"/>
        <s v="0.082"/>
        <n v="-49093.0"/>
        <d v="2606-11-01T00:00:00Z"/>
        <d v="9808-02-01T00:00:00Z"/>
        <s v="0.9919"/>
        <d v="3997-01-01T00:00:00Z"/>
        <s v="0.3342"/>
        <s v="0.0087"/>
        <s v="0.0279"/>
        <s v="0.0026"/>
        <s v="0.5313"/>
        <n v="-476274.0"/>
        <s v="0.0707"/>
        <s v="0.1933"/>
        <s v="0.0423"/>
        <s v="0.1667"/>
        <n v="-56186.0"/>
        <s v="30.7618"/>
        <d v="5441-10-01T00:00:00Z"/>
        <s v="0.0267"/>
        <d v="7967-05-01T00:00:00Z"/>
        <d v="8397-01-01T00:00:00Z"/>
        <s v="0.3194"/>
        <n v="-596439.0"/>
        <s v="0.5413"/>
        <n v="-358301.0"/>
        <s v="0.2239"/>
        <s v="0.3144"/>
        <s v="0.0906"/>
        <s v="0.0397"/>
        <d v="6483-10-01T00:00:00Z"/>
        <s v="22.2367"/>
        <d v="2316-03-01T00:00:00Z"/>
        <s v="0.347"/>
        <d v="8849-02-01T00:00:00Z"/>
        <d v="2004-03-01T00:00:00Z"/>
        <s v="0.6564"/>
        <s v="0.5366"/>
        <s v="0.2959"/>
        <s v="0.242"/>
        <s v="0.1504"/>
        <s v="0.0015"/>
        <s v="0.2581"/>
        <s v="0.0057"/>
        <s v="0.0582"/>
        <s v="0.2429"/>
        <s v="18.0815"/>
        <s v="23.7064"/>
        <s v="5.558"/>
        <s v="0.7871"/>
        <s v="14.5509"/>
        <d v="8778-07-01T00:00:00Z"/>
        <s v="1.916"/>
        <d v="2428-01-01T00:00:00Z"/>
        <s v="0.9427"/>
        <s v="0.0038"/>
        <s v="0.5448"/>
        <s v="0.1984"/>
        <s v="0.0158"/>
        <s v="0.0226"/>
        <s v="0.0524"/>
        <s v="0.2304"/>
        <s v="0.016"/>
        <s v="0.1131"/>
        <s v="0.2822"/>
        <n v="-530270.0"/>
        <s v="18.4438"/>
        <s v="13.5471"/>
        <d v="3956-06-01T00:00:00Z"/>
        <d v="4975-01-01T00:00:00Z"/>
        <s v="0.9025"/>
        <n v="-452109.0"/>
        <s v="0.9331"/>
        <s v="0.512"/>
        <s v="0.2789"/>
        <s v="0.0022"/>
        <s v="0.2927"/>
        <s v="0.1007"/>
        <s v="0.0321"/>
        <d v="8733-12-01T00:00:00Z"/>
        <s v="24.6186"/>
        <d v="9397-02-01T00:00:00Z"/>
        <d v="3361-03-01T00:00:00Z"/>
        <n v="-188708.0"/>
        <s v="0.7538"/>
        <s v="0.5604"/>
        <s v="0.4167"/>
        <s v="0.1818"/>
        <s v="0.2097"/>
        <s v="0.0025"/>
        <s v="0.5562"/>
        <s v="0.0126"/>
        <s v="0.0635"/>
        <s v="25.0496"/>
        <s v="30.9124"/>
        <d v="9923-04-01T00:00:00Z"/>
        <s v="13.8775"/>
        <d v="3822-11-01T00:00:00Z"/>
        <d v="3014-01-01T00:00:00Z"/>
        <d v="7858-01-01T00:00:00Z"/>
        <s v="0.9317"/>
        <s v="0.2374"/>
        <s v="0.0109"/>
        <s v="0.027"/>
        <s v="0.4792"/>
        <s v="0.0172"/>
        <s v="0.13"/>
        <s v="0.0444"/>
        <s v="0.1959"/>
        <s v="0.2596"/>
        <d v="4527-02-01T00:00:00Z"/>
        <s v="29.3192"/>
        <d v="8492-08-01T00:00:00Z"/>
        <s v="0.0036"/>
        <d v="5439-11-01T00:00:00Z"/>
        <d v="5299-01-01T00:00:00Z"/>
        <s v="0.2469"/>
        <s v="0.9113"/>
        <n v="-560980.0"/>
        <s v="0.5015"/>
        <s v="0.0013"/>
        <s v="0.3055"/>
        <s v="0.1898"/>
        <s v="0.0967"/>
        <s v="0.0411"/>
        <d v="2514-11-01T00:00:00Z"/>
        <s v="23.9125"/>
        <d v="8516-02-01T00:00:00Z"/>
        <s v="0.2986"/>
        <d v="7857-03-01T00:00:00Z"/>
        <d v="9476-02-01T00:00:00Z"/>
        <s v="0.5409"/>
        <s v="0.3915"/>
        <s v="0.2078"/>
        <s v="0.231"/>
        <s v="0.0698"/>
        <s v="0.1005"/>
        <s v="0.3697"/>
        <s v="0.0006"/>
        <s v="0.1904"/>
        <s v="28.8657"/>
        <s v="52.6668"/>
        <d v="5955-04-01T00:00:00Z"/>
        <s v="0.1493"/>
        <d v="9264-10-01T00:00:00Z"/>
        <d v="5158-09-01T00:00:00Z"/>
        <d v="3082-01-01T00:00:00Z"/>
        <s v="0.8352"/>
        <n v="-301688.0"/>
        <s v="0.2073"/>
        <s v="0.0125"/>
        <s v="0.033"/>
        <s v="0.4189"/>
        <s v="0.0615"/>
        <s v="0.2398"/>
        <s v="0.0216"/>
        <s v="0.1213"/>
        <s v="0.267"/>
        <s v="2.485"/>
        <s v="21.0291"/>
        <s v="24.5699"/>
        <s v="0.0035"/>
        <s v="13.2201"/>
        <d v="7197-01-01T00:00:00Z"/>
        <s v="0.4456"/>
        <d v="3997-03-01T00:00:00Z"/>
        <d v="2014-01-01T00:00:00Z"/>
        <s v="0.4869"/>
        <s v="0.2361"/>
        <s v="0.0024"/>
        <s v="0.3464"/>
        <s v="0.1207"/>
        <s v="0.0435"/>
        <s v="13.4286"/>
        <s v="23.9904"/>
        <d v="5971-03-01T00:00:00Z"/>
        <s v="0.2803"/>
        <s v="3.978"/>
        <d v="6228-06-01T00:00:00Z"/>
        <s v="0.5718"/>
        <s v="0.2726"/>
        <n v="-555532.0"/>
        <s v="0.2841"/>
        <s v="0.2034"/>
        <s v="0.0121"/>
        <s v="0.0753"/>
        <s v="0.1117"/>
        <s v="0.2077"/>
        <s v="27.5144"/>
        <s v="43.634"/>
        <d v="4076-07-01T00:00:00Z"/>
        <s v="0.1026"/>
        <s v="14.9911"/>
        <d v="1952-10-01T00:00:00Z"/>
        <d v="6519-01-01T00:00:00Z"/>
        <n v="-111397.0"/>
        <s v="0.3148"/>
        <s v="0.0067"/>
        <s v="0.0286"/>
        <s v="0.9097"/>
        <s v="0.0012"/>
        <s v="0.4013"/>
        <s v="0.065"/>
        <s v="0.2408"/>
        <s v="0.0235"/>
        <s v="0.1424"/>
        <s v="0.3039"/>
        <d v="3441-02-01T00:00:00Z"/>
        <s v="35.5525"/>
        <s v="16.8864"/>
        <s v="0.001"/>
        <s v="0.0055"/>
        <s v="10.694"/>
        <s v="1.107"/>
        <s v="0.4987"/>
        <d v="7851-01-01T00:00:00Z"/>
        <s v="0.4881"/>
        <s v="0.6694"/>
        <s v="0.3658"/>
        <s v="0.1839"/>
        <s v="0.1222"/>
        <s v="0.0436"/>
        <s v="0.0009"/>
        <n v="-488723.0"/>
        <s v="23.3769"/>
        <d v="4733-02-01T00:00:00Z"/>
        <s v="0.2877"/>
        <d v="7399-03-01T00:00:00Z"/>
        <d v="1968-03-01T00:00:00Z"/>
        <s v="0.5557"/>
        <s v="0.289"/>
        <s v="0.5041"/>
        <s v="0.0176"/>
        <s v="0.128"/>
        <s v="0.2697"/>
        <s v="0.5288"/>
        <s v="0.0058"/>
        <s v="0.078"/>
        <s v="16.668"/>
        <s v="55.2272"/>
        <s v="5.779"/>
        <s v="16.47"/>
        <d v="7338-06-01T00:00:00Z"/>
        <d v="2804-01-01T00:00:00Z"/>
        <d v="4686-01-01T00:00:00Z"/>
        <s v="0.3317"/>
        <s v="0.0119"/>
        <s v="0.0356"/>
        <n v="-155226.0"/>
        <s v="0.3892"/>
        <s v="0.0688"/>
        <s v="0.3597"/>
        <s v="0.0249"/>
        <s v="0.1506"/>
        <s v="0.1096"/>
        <s v="2.667"/>
        <s v="24.4312"/>
        <s v="20.3044"/>
        <s v="0.008"/>
        <s v="16.2671"/>
        <d v="2527-02-01T00:00:00Z"/>
        <s v="0.6727"/>
        <s v="0.5092"/>
        <d v="5853-01-01T00:00:00Z"/>
        <s v="0.4419"/>
        <s v="0.1611"/>
        <s v="0.0564"/>
        <s v="0.002"/>
        <s v="0.0899"/>
        <s v="15.7212"/>
        <s v="15.4797"/>
        <s v="2.533"/>
        <d v="6303-02-01T00:00:00Z"/>
        <d v="7206-02-01T00:00:00Z"/>
        <s v="0.7049"/>
        <s v="0.3002"/>
        <s v="0.3714"/>
        <s v="0.2866"/>
        <s v="0.2384"/>
        <s v="0.0684"/>
        <s v="0.1349"/>
        <s v="0.1867"/>
        <s v="26.2228"/>
        <s v="38.7245"/>
        <d v="8675-04-01T00:00:00Z"/>
        <d v="9914-09-01T00:00:00Z"/>
        <d v="5203-06-01T00:00:00Z"/>
        <n v="-41270.0"/>
        <d v="7931-02-01T00:00:00Z"/>
        <s v="0.2448"/>
        <s v="0.0075"/>
        <s v="0.0428"/>
        <s v="0.8134"/>
        <s v="0.0294"/>
        <s v="0.1805"/>
        <s v="0.0153"/>
        <s v="0.0997"/>
        <s v="0.155"/>
        <s v="0.4921"/>
        <s v="0.4943"/>
        <d v="5537-03-01T00:00:00Z"/>
        <d v="7747-03-01T00:00:00Z"/>
        <d v="3816-07-01T00:00:00Z"/>
        <n v="-527317.0"/>
        <n v="-210165.0"/>
        <n v="1000.0"/>
      </sharedItems>
    </cacheField>
    <cacheField name="Volume clean" numFmtId="0">
      <sharedItems containsString="0" containsBlank="1">
        <m/>
      </sharedItems>
    </cacheField>
    <cacheField name="Number of stores">
      <sharedItems containsMixedTypes="1" containsNumber="1" containsInteger="1">
        <n v="477.0"/>
        <n v="754.0"/>
        <n v="629.0"/>
        <n v="29.0"/>
        <n v="663.0"/>
        <n v="547.0"/>
        <n v="325.0"/>
        <n v="96.0"/>
        <n v="95.0"/>
        <n v="191.0"/>
        <n v="4.0"/>
        <n v="78.0"/>
        <n v="0.0"/>
        <n v="7561.0"/>
        <n v="1.0"/>
        <n v="8754.0"/>
        <n v="1426.0"/>
        <n v="277.0"/>
        <n v="5948.0"/>
        <n v="1776.0"/>
        <n v="1627.0"/>
        <n v="514.0"/>
        <n v="355.0"/>
        <n v="298.0"/>
        <n v="71.0"/>
        <n v="2.0"/>
        <n v="49.0"/>
        <n v="613.0"/>
        <n v="10568.0"/>
        <n v="8553.0"/>
        <n v="2638.0"/>
        <n v="53.0"/>
        <n v="5157.0"/>
        <n v="6724.0"/>
        <n v="3312.0"/>
        <n v="1018.0"/>
        <n v="709.0"/>
        <n v="10.0"/>
        <n v="223.0"/>
        <n v="100.0"/>
        <n v="7.0"/>
        <n v="50.0"/>
        <n v="179.0"/>
        <n v="63.0"/>
        <n v="67.0"/>
        <n v="479.0"/>
        <n v="771.0"/>
        <n v="648.0"/>
        <n v="23.0"/>
        <n v="668.0"/>
        <n v="525.0"/>
        <n v="319.0"/>
        <n v="89.0"/>
        <n v="93.0"/>
        <n v="168.0"/>
        <n v="108.0"/>
        <n v="70.0"/>
        <n v="8031.0"/>
        <n v="16.0"/>
        <n v="9400.0"/>
        <n v="1291.0"/>
        <n v="279.0"/>
        <n v="5524.0"/>
        <n v="1919.0"/>
        <n v="1549.0"/>
        <n v="518.0"/>
        <n v="253.0"/>
        <n v="51.0"/>
        <n v="84.0"/>
        <n v="233.0"/>
        <n v="282.0"/>
        <n v="9957.0"/>
        <n v="8768.0"/>
        <n v="2630.0"/>
        <n v="3891.0"/>
        <n v="6043.0"/>
        <n v="2546.0"/>
        <n v="1093.0"/>
        <n v="919.0"/>
        <n v="13.0"/>
        <n v="238.0"/>
        <n v="8.0"/>
        <n v="40.0"/>
        <n v="150.0"/>
        <n v="480.0"/>
        <n v="776.0"/>
        <n v="664.0"/>
        <n v="503.0"/>
        <n v="301.0"/>
        <n v="128.0"/>
        <n v="114.0"/>
        <n v="7797.0"/>
        <n v="3.0"/>
        <n v="8564.0"/>
        <n v="1297.0"/>
        <n v="283.0"/>
        <n v="1612.0"/>
        <n v="3521.0"/>
        <n v="1440.0"/>
        <n v="434.0"/>
        <n v="976.0"/>
        <n v="72.0"/>
        <n v="239.0"/>
        <n v="292.0"/>
        <n v="10268.0"/>
        <n v="8169.0"/>
        <n v="2632.0"/>
        <n v="65.0"/>
        <n v="2764.0"/>
        <n v="1801.0"/>
        <n v="1471.0"/>
        <n v="3778.0"/>
        <n v="869.0"/>
        <n v="2485.0"/>
        <n v="111.0"/>
        <n v="6.0"/>
        <n v="47.0"/>
        <n v="21.0"/>
        <n v="257.0"/>
        <n v="158.0"/>
        <n v="478.0"/>
        <n v="786.0"/>
        <n v="671.0"/>
        <n v="482.0"/>
        <n v="302.0"/>
        <n v="94.0"/>
        <n v="115.0"/>
        <n v="119.0"/>
        <n v="113.0"/>
        <n v="105.0"/>
        <n v="8093.0"/>
        <n v="8792.0"/>
        <n v="1462.0"/>
        <n v="323.0"/>
        <n v="1496.0"/>
        <n v="2626.0"/>
        <n v="1774.0"/>
        <n v="580.0"/>
        <n v="996.0"/>
        <n v="406.0"/>
        <n v="243.0"/>
        <n v="104.0"/>
        <n v="307.0"/>
        <n v="11160.0"/>
        <n v="8304.0"/>
        <n v="2421.0"/>
        <n v="2316.0"/>
        <n v="2651.0"/>
        <n v="1399.0"/>
        <n v="1473.0"/>
        <n v="743.0"/>
        <n v="2566.0"/>
        <n v="54.0"/>
        <n v="28.0"/>
        <n v="262.0"/>
        <n v="572.0"/>
        <n v="778.0"/>
        <n v="640.0"/>
        <n v="22.0"/>
        <n v="633.0"/>
        <n v="285.0"/>
        <n v="138.0"/>
        <n v="46.0"/>
        <n v="7742.0"/>
        <n v="8213.0"/>
        <n v="1256.0"/>
        <n v="337.0"/>
        <n v="1342.0"/>
        <n v="2350.0"/>
        <n v="1569.0"/>
        <n v="330.0"/>
        <n v="327.0"/>
        <n v="780.0"/>
        <n v="245.0"/>
        <n v="334.0"/>
        <n v="188.0"/>
        <n v="11236.0"/>
        <n v="7935.0"/>
        <n v="2129.0"/>
        <n v="34.0"/>
        <n v="2262.0"/>
        <n v="1621.0"/>
        <n v="1225.0"/>
        <n v="2207.0"/>
        <n v="827.0"/>
        <n v="106.0"/>
        <n v="5.0"/>
        <n v="48.0"/>
        <n v="14.0"/>
        <n v="202.0"/>
        <n v="1966.0"/>
        <n v="598.0"/>
        <n v="719.0"/>
        <n v="620.0"/>
        <n v="490.0"/>
        <n v="222.0"/>
        <n v="98.0"/>
        <n v="164.0"/>
        <n v="117.0"/>
        <n v="82.0"/>
        <n v="7767.0"/>
        <n v="8911.0"/>
        <n v="1480.0"/>
        <n v="308.0"/>
        <n v="1295.0"/>
        <n v="2074.0"/>
        <n v="1783.0"/>
        <n v="235.0"/>
        <n v="320.0"/>
        <n v="367.0"/>
        <n v="608.0"/>
        <n v="338.0"/>
        <n v="701.0"/>
        <n v="121.0"/>
        <n v="10036.0"/>
        <n v="8203.0"/>
        <n v="1810.0"/>
        <n v="2246.0"/>
        <n v="2090.0"/>
        <n v="630.0"/>
        <n v="1587.0"/>
        <n v="1088.0"/>
        <n v="97.0"/>
        <n v="43.0"/>
        <n v="220.0"/>
        <n v="1456.0"/>
        <n v="714.0"/>
        <n v="578.0"/>
        <n v="575.0"/>
        <n v="475.0"/>
        <n v="166.0"/>
        <n v="151.0"/>
        <n v="172.0"/>
        <n v="183.0"/>
        <n v="57.0"/>
        <n v="8349.0"/>
        <n v="8630.0"/>
        <n v="1457.0"/>
        <n v="1343.0"/>
        <n v="1973.0"/>
        <n v="1216.0"/>
        <n v="484.0"/>
        <n v="394.0"/>
        <n v="422.0"/>
        <n v="400.0"/>
        <n v="11371.0"/>
        <n v="2354.0"/>
        <n v="2063.0"/>
        <n v="1689.0"/>
        <n v="1130.0"/>
        <n v="718.0"/>
        <n v="201.0"/>
        <n v="529.0"/>
        <n v="697.0"/>
        <n v="506.0"/>
        <n v="461.0"/>
        <n v="153.0"/>
        <n v="187.0"/>
        <n v="116.0"/>
        <n v="79.0"/>
        <n v="8388.0"/>
        <n v="9467.0"/>
        <n v="1318.0"/>
        <n v="1323.0"/>
        <n v="2058.0"/>
        <n v="1415.0"/>
        <n v="250.0"/>
        <n v="409.0"/>
        <n v="256.0"/>
        <n v="397.0"/>
        <n v="11510.0"/>
        <n v="7827.0"/>
        <n v="1230.0"/>
        <n v="2016.0"/>
        <n v="1997.0"/>
        <n v="1584.0"/>
        <n v="872.0"/>
        <n v="91.0"/>
        <n v="41.0"/>
        <n v="190.0"/>
        <n v="532.0"/>
        <n v="710.0"/>
        <n v="508.0"/>
        <n v="646.0"/>
        <n v="454.0"/>
        <n v="162.0"/>
        <n v="174.0"/>
        <n v="181.0"/>
        <n v="7789.0"/>
        <n v="9323.0"/>
        <n v="1288.0"/>
        <n v="305.0"/>
        <n v="1363.0"/>
        <n v="1787.0"/>
        <n v="1360.0"/>
        <n v="259.0"/>
        <n v="234.0"/>
        <n v="73.0"/>
        <n v="74.0"/>
        <n v="830.0"/>
        <n v="11267.0"/>
        <n v="11891.0"/>
        <n v="1076.0"/>
        <n v="2225.0"/>
        <n v="2081.0"/>
        <n v="1505.0"/>
        <n v="847.0"/>
        <n v="574.0"/>
        <n v="86.0"/>
        <n v="170.0"/>
        <n v="536.0"/>
        <n v="513.0"/>
        <n v="649.0"/>
        <n v="469.0"/>
        <n v="273.0"/>
        <n v="171.0"/>
        <n v="167.0"/>
        <n v="101.0"/>
        <n v="209.0"/>
        <n v="118.0"/>
        <n v="9001.0"/>
        <n v="9709.0"/>
        <n v="1303.0"/>
        <n v="252.0"/>
        <n v="1419.0"/>
        <n v="1872.0"/>
        <n v="1454.0"/>
        <n v="275.0"/>
        <n v="249.0"/>
        <n v="177.0"/>
        <n v="270.0"/>
        <n v="11485.0"/>
        <n v="14382.0"/>
        <n v="1165.0"/>
        <n v="52.0"/>
        <n v="1918.0"/>
        <n v="1585.0"/>
        <n v="1206.0"/>
        <n v="584.0"/>
        <n v="539.0"/>
        <n v="794.0"/>
        <n v="551.0"/>
        <n v="645.0"/>
        <n v="476.0"/>
        <n v="314.0"/>
        <n v="175.0"/>
        <n v="103.0"/>
        <n v="160.0"/>
        <n v="123.0"/>
        <n v="194.0"/>
        <n v="61.0"/>
        <n v="8353.0"/>
        <n v="9988.0"/>
        <n v="1070.0"/>
        <n v="1860.0"/>
        <n v="1520.0"/>
        <n v="362.0"/>
        <n v="195.0"/>
        <n v="272.0"/>
        <n v="10435.0"/>
        <n v="15696.0"/>
        <n v="1071.0"/>
        <n v="2071.0"/>
        <n v="1914.0"/>
        <n v="99.0"/>
        <n v="432.0"/>
        <n v="80.0"/>
        <n v="543.0"/>
        <n v="795.0"/>
        <n v="568.0"/>
        <n v="658.0"/>
        <n v="466.0"/>
        <n v="341.0"/>
        <n v="225.0"/>
        <n v="133.0"/>
        <n v="60.0"/>
        <n v="8742.0"/>
        <n v="8900.0"/>
        <n v="178.0"/>
        <n v="939.0"/>
        <n v="1595.0"/>
        <n v="1181.0"/>
        <n v="439.0"/>
        <n v="460.0"/>
        <n v="212.0"/>
        <n v="11727.0"/>
        <n v="15236.0"/>
        <n v="1006.0"/>
        <n v="45.0"/>
        <n v="1907.0"/>
        <n v="2078.0"/>
        <n v="1031.0"/>
        <n v="9.0"/>
        <n v="2067.0"/>
        <n v="107.0"/>
        <n v="56.0"/>
        <n v="511.0"/>
        <n v="81.0"/>
        <n v="87.0"/>
        <n v="124.0"/>
        <n v="271.0"/>
        <n v="1713.0"/>
        <n v="1607.0"/>
        <n v="468.0"/>
        <n v="1889.0"/>
        <n v="2079.0"/>
        <s v="N/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53" sheet="2020 raw"/>
  </cacheSource>
  <cacheFields>
    <cacheField name="Year" numFmtId="0">
      <sharedItems>
        <s v="2020"/>
      </sharedItems>
    </cacheField>
    <cacheField name="Month" numFmtId="0">
      <sharedItems>
        <s v="1"/>
        <s v="2"/>
        <s v="3"/>
        <s v="4"/>
        <s v="5"/>
        <s v="6"/>
        <s v="7"/>
        <s v="8"/>
        <s v="9"/>
        <s v="10"/>
        <s v="11"/>
        <s v="12"/>
      </sharedItems>
    </cacheField>
    <cacheField name="Month clean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>
        <s v="16.3202"/>
        <s v="87.8634"/>
        <s v="35.7182"/>
        <s v="0.358"/>
        <s v="16.8368"/>
        <s v="10.0639"/>
        <s v="5.1222"/>
        <s v="3.4856"/>
        <s v="1.6929"/>
        <s v="2.8313"/>
        <s v="0.0068"/>
        <s v="0.5648"/>
        <s v="0.242"/>
        <s v="0.3707"/>
        <s v="0.321"/>
        <s v="66.7225"/>
        <s v="0.0013"/>
        <s v="77.9698"/>
        <s v="7.861"/>
        <s v="0.6025"/>
        <s v="52.7901"/>
        <s v="14.2126"/>
        <s v="4.3366"/>
        <s v="1.6089"/>
        <s v="1.2559"/>
        <s v="2.0961"/>
        <s v="0.5244"/>
        <s v="0.0022"/>
        <s v="0.3416"/>
        <s v="1.0783"/>
        <s v="0.4799"/>
        <s v="173.1694"/>
        <s v="109.4041"/>
        <s v="41.8318"/>
        <s v="0.0807"/>
        <s v="66.1422"/>
        <s v="55.3375"/>
        <s v="19.5669"/>
        <s v="7.0743"/>
        <s v="5.5746"/>
        <s v="0.0088"/>
        <s v="1.7347"/>
        <s v="1.3486"/>
        <s v="0.0314"/>
        <s v="0.0734"/>
        <s v="3.1912"/>
        <s v="0.0554"/>
        <s v="0.3194"/>
        <s v="0.3405"/>
        <s v="0.7489"/>
        <s v="15.4443"/>
        <s v="61.9945"/>
        <s v="52.0653"/>
        <s v="0.327"/>
        <s v="15.7978"/>
        <s v="16.1499"/>
        <s v="3.4374"/>
        <s v="3.1436"/>
        <s v="1.8528"/>
        <s v="2.481"/>
        <s v="0.0062"/>
        <s v="0.8744"/>
        <s v="0.2345"/>
        <s v="0.3319"/>
        <s v="0.2888"/>
        <s v="67.5195"/>
        <s v="0.0326"/>
        <s v="74.3137"/>
        <s v="6.0307"/>
        <s v="0.4328"/>
        <s v="39.9546"/>
        <s v="11.616"/>
        <s v="2.6972"/>
        <s v="1.1557"/>
        <s v="1.045"/>
        <s v="0.067"/>
        <s v="0.4186"/>
        <s v="1.0259"/>
        <s v="0.3508"/>
        <s v="0.0227"/>
        <s v="0.1831"/>
        <s v="0.1532"/>
        <s v="0.0295"/>
        <s v="124.2706"/>
        <s v="112.8185"/>
        <s v="25.1908"/>
        <s v="0.0843"/>
        <s v="30.8669"/>
        <s v="43.3914"/>
        <s v="9.44"/>
        <s v="5.2153"/>
        <s v="10.9837"/>
        <s v="0.0175"/>
        <s v="1.803"/>
        <s v="1.7385"/>
        <s v="0.0397"/>
        <s v="0.0685"/>
        <s v="0.0016"/>
        <s v="2.2326"/>
        <s v="0.0526"/>
        <s v="0.3976"/>
        <s v="0.1842"/>
        <s v="0.3193"/>
        <s v="15.7516"/>
        <s v="116.7506"/>
        <s v="44.6502"/>
        <s v="0.3076"/>
        <s v="17.3306"/>
        <s v="11.6185"/>
        <s v="0.0006"/>
        <s v="2.8369"/>
        <s v="3.3968"/>
        <s v="2.1223"/>
        <s v="2.6176"/>
        <s v="0.0099"/>
        <s v="1.0074"/>
        <s v="0.3357"/>
        <s v="0.3775"/>
        <s v="0.0007"/>
        <s v="0.2882"/>
        <s v="59.9181"/>
        <s v="0.0025"/>
        <s v="69.8611"/>
        <s v="8.2565"/>
        <s v="0.3656"/>
        <s v="10.6065"/>
        <s v="15.8856"/>
        <s v="4.2058"/>
        <s v="1.0539"/>
        <s v="2.5053"/>
        <s v="0.7486"/>
        <s v="0.5124"/>
        <s v="1.1978"/>
        <s v="0.0058"/>
        <s v="0.3065"/>
        <s v="0.42"/>
        <s v="80.8349"/>
        <s v="98.0553"/>
        <s v="41.2775"/>
        <s v="0.0844"/>
        <s v="22.7859"/>
        <s v="8.6386"/>
        <s v="4.9757"/>
        <s v="20.996"/>
        <s v="8.5074"/>
        <s v="6.3937"/>
        <s v="2.5576"/>
        <s v="0.0412"/>
        <s v="0.0818"/>
        <s v="0.0322"/>
        <s v="2.1445"/>
        <s v="0.0577"/>
        <s v="0.5458"/>
        <s v="0.0004"/>
        <s v="1.3841"/>
        <s v="13.1809"/>
        <s v="54.8537"/>
        <s v="48.5498"/>
        <s v="1.082"/>
        <s v="14.6887"/>
        <s v="10.8278"/>
        <s v="0.0001"/>
        <s v="2.0152"/>
        <s v="2.9288"/>
        <s v="1.8156"/>
        <s v="2.3171"/>
        <s v="0.0111"/>
        <s v="0.8561"/>
        <s v="0.3016"/>
        <s v="0.2712"/>
        <s v="0.2237"/>
        <s v="65.925"/>
        <s v="0.0015"/>
        <s v="62.98"/>
        <s v="6.1918"/>
        <s v="0.5044"/>
        <s v="8.3434"/>
        <s v="17.1067"/>
        <s v="3.1584"/>
        <s v="1.2491"/>
        <s v="2.3394"/>
        <s v="1.1033"/>
        <s v="1.1104"/>
        <s v="0.3346"/>
        <s v="0.2126"/>
        <s v="0.4675"/>
        <s v="156.6125"/>
        <s v="95.5966"/>
        <s v="20.3404"/>
        <s v="0.2203"/>
        <s v="32.7492"/>
        <s v="18.3218"/>
        <s v="4.8246"/>
        <s v="3.4998"/>
        <s v="4.6311"/>
        <s v="5.7053"/>
        <s v="1.692"/>
        <s v="0.0232"/>
        <s v="0.0639"/>
        <s v="0.0877"/>
        <s v="1.7914"/>
        <s v="0.0597"/>
        <s v="0.7026"/>
        <s v="0.3512"/>
        <s v="0.6254"/>
        <s v="22.3576"/>
        <s v="57.154"/>
        <s v="29.5413"/>
        <s v="0.3545"/>
        <s v="17.0951"/>
        <s v="12.0351"/>
        <s v="1.8037"/>
        <s v="2.1726"/>
        <s v="3.2213"/>
        <s v="1.8592"/>
        <s v="0.6509"/>
        <s v="0.0081"/>
        <s v="0.7626"/>
        <s v="0.2396"/>
        <s v="0.0011"/>
        <s v="0.1731"/>
        <s v="62.2945"/>
        <s v="65.0353"/>
        <s v="7.079"/>
        <s v="0.4188"/>
        <s v="9.4711"/>
        <s v="14.6881"/>
        <s v="3.7982"/>
        <s v="0.6053"/>
        <s v="1.528"/>
        <s v="1.291"/>
        <s v="1.3652"/>
        <s v="0.5541"/>
        <s v="0.7088"/>
        <s v="0.1453"/>
        <s v="126.6888"/>
        <s v="87.3889"/>
        <s v="17.5314"/>
        <s v="0.0754"/>
        <s v="23.8464"/>
        <s v="8.3302"/>
        <s v="3.6336"/>
        <s v="16.1501"/>
        <s v="6.3243"/>
        <s v="1.477"/>
        <s v="0.0267"/>
        <s v="0.079"/>
        <s v="0.0357"/>
        <s v="1.3731"/>
        <s v="3.2629"/>
        <s v="0.2498"/>
        <s v="0.4852"/>
        <s v="0.0654"/>
        <s v="0.313"/>
        <s v="17.4455"/>
        <s v="45.0632"/>
        <s v="50.0413"/>
        <s v="2.063"/>
        <s v="13.2913"/>
        <s v="10.7218"/>
        <s v="1.0215"/>
        <s v="2.7663"/>
        <s v="3.937"/>
        <s v="2.1413"/>
        <s v="0.5585"/>
        <s v="0.0048"/>
        <s v="0.7672"/>
        <s v="1.1305"/>
        <s v="0.211"/>
        <s v="45.3431"/>
        <s v="76.6523"/>
        <s v="5.9658"/>
        <s v="0.4157"/>
        <s v="5.8056"/>
        <s v="18.7903"/>
        <s v="3.3244"/>
        <s v="0.5825"/>
        <s v="1.3844"/>
        <s v="1.34"/>
        <s v="0.8894"/>
        <s v="0.0027"/>
        <s v="0.5157"/>
        <s v="1.0837"/>
        <s v="0.5387"/>
        <s v="75.9334"/>
        <s v="96.8199"/>
        <s v="14.8417"/>
        <s v="0.1094"/>
        <s v="20.4412"/>
        <s v="31.2794"/>
        <s v="8.0562"/>
        <s v="4.3128"/>
        <s v="3.1105"/>
        <s v="1.7589"/>
        <s v="0.0245"/>
        <s v="0.0558"/>
        <s v="0.0135"/>
        <s v="1.3282"/>
        <s v="2.1193"/>
        <s v="0.3927"/>
        <s v="0.5521"/>
        <s v="0.1282"/>
        <s v="0.3336"/>
        <s v="15.1169"/>
        <s v="87.8911"/>
        <s v="21.0883"/>
        <s v="0.0356"/>
        <s v="14.4919"/>
        <s v="7.9988"/>
        <s v="0.7098"/>
        <s v="2.7746"/>
        <s v="3.0071"/>
        <s v="3.0332"/>
        <s v="0.5598"/>
        <s v="0.7859"/>
        <s v="0.2265"/>
        <s v="0.2089"/>
        <s v="50.7063"/>
        <s v="63.5335"/>
        <s v="6.463"/>
        <s v="0.4626"/>
        <s v="7.2124"/>
        <s v="8.89"/>
        <s v="2.8537"/>
        <s v="1.1924"/>
        <s v="0.7997"/>
        <s v="1.3448"/>
        <s v="0.4297"/>
        <s v="0.0053"/>
        <s v="0.6454"/>
        <s v="0.0299"/>
        <s v="0.1454"/>
        <s v="0.4858"/>
        <s v="86.1022"/>
        <s v="67.7327"/>
        <s v="11.1159"/>
        <s v="1.0494"/>
        <s v="36.3771"/>
        <s v="21.8827"/>
        <s v="8.3303"/>
        <s v="2.7617"/>
        <s v="2.5479"/>
        <s v="0.02"/>
        <s v="1.3619"/>
        <s v="1.0443"/>
        <s v="0.045"/>
        <s v="0.0452"/>
        <s v="0.291"/>
        <s v="0.6584"/>
        <s v="0.0009"/>
        <s v="0.0458"/>
        <s v="0.2691"/>
        <s v="1.5679"/>
        <s v="14.4989"/>
        <s v="52.6967"/>
        <s v="27.0943"/>
        <s v="0.011"/>
        <s v="15.9888"/>
        <s v="6.511"/>
        <s v="2.0056"/>
        <s v="8.5171"/>
        <s v="2.522"/>
        <s v="2.8443"/>
        <s v="0.6974"/>
        <s v="0.0076"/>
        <s v="0.7316"/>
        <s v="0.2518"/>
        <s v="0.2349"/>
        <s v="0.0802"/>
        <s v="61.301"/>
        <s v="0.0047"/>
        <s v="70.3388"/>
        <s v="5.8793"/>
        <s v="8.3404"/>
        <s v="14.2728"/>
        <s v="3.2773"/>
        <s v="1.2451"/>
        <s v="1.1263"/>
        <s v="0.5196"/>
        <s v="1.1651"/>
        <s v="0.0091"/>
        <s v="0.7014"/>
        <s v="1.589"/>
        <s v="0.0665"/>
        <s v="0.1584"/>
        <s v="119.2838"/>
        <s v="88.3211"/>
        <s v="9.9844"/>
        <s v="34.6937"/>
        <s v="31.6173"/>
        <s v="5.6584"/>
        <s v="3.9685"/>
        <s v="2.5182"/>
        <s v="1.2499"/>
        <s v="0.0308"/>
        <s v="0.054"/>
        <s v="0.0164"/>
        <s v="1.1977"/>
        <s v="0.0005"/>
        <s v="0.0491"/>
        <s v="0.3095"/>
        <s v="0.2466"/>
        <s v="1.442"/>
        <s v="11.6793"/>
        <s v="83.769"/>
        <s v="17.6986"/>
        <s v="28.8596"/>
        <s v="6.6518"/>
        <s v="0.5486"/>
        <s v="2.4629"/>
        <s v="5.6566"/>
        <s v="2.7855"/>
        <s v="0.0043"/>
        <s v="0.7638"/>
        <s v="0.4745"/>
        <s v="0.2164"/>
        <s v="53.5782"/>
        <s v="0.0086"/>
        <s v="68.3218"/>
        <s v="5.7032"/>
        <s v="0.3981"/>
        <s v="9.4641"/>
        <s v="8.1878"/>
        <s v="2.3518"/>
        <s v="0.87"/>
        <s v="1.1543"/>
        <s v="0.6243"/>
        <s v="0.0622"/>
        <s v="0.1746"/>
        <s v="0.2874"/>
        <s v="1.3202"/>
        <s v="0.4761"/>
        <s v="137.4557"/>
        <s v="150.4766"/>
        <s v="9.1911"/>
        <s v="0.199"/>
        <s v="27.316"/>
        <s v="26.433"/>
        <s v="5.6877"/>
        <s v="1.856"/>
        <s v="2.9929"/>
        <s v="1.0918"/>
        <s v="0.066"/>
        <s v="0.0163"/>
        <s v="1.0473"/>
        <s v="0.3415"/>
        <s v="0.6851"/>
        <s v="0.0619"/>
        <s v="0.2886"/>
        <s v="0.0002"/>
        <s v="0.7629"/>
        <s v="11.8332"/>
        <s v="60.0832"/>
        <s v="49.1396"/>
        <s v="0.0046"/>
        <s v="0.0014"/>
        <s v="33.0503"/>
        <s v="7.4771"/>
        <s v="0.9903"/>
        <s v="9.4438"/>
        <s v="2.7065"/>
        <s v="2.7049"/>
        <s v="0.5902"/>
        <s v="0.0085"/>
        <s v="0.866"/>
        <s v="0.3019"/>
        <s v="0.2288"/>
        <s v="63.946"/>
        <s v="68.5442"/>
        <s v="7.1943"/>
        <s v="0.3737"/>
        <s v="9.9453"/>
        <s v="18.3968"/>
        <s v="2.4861"/>
        <s v="0.6058"/>
        <s v="2.9654"/>
        <s v="0.768"/>
        <s v="0.0634"/>
        <s v="0.1881"/>
        <s v="0.3189"/>
        <s v="0.5194"/>
        <s v="131.0205"/>
        <s v="124.6685"/>
        <s v="14.8151"/>
        <s v="0.1368"/>
        <s v="37.4777"/>
        <s v="28.3202"/>
        <s v="7.1822"/>
        <s v="2.5769"/>
        <s v="1.6569"/>
        <s v="0.0193"/>
        <s v="0.0571"/>
        <s v="2.4586"/>
        <s v="0.0033"/>
        <s v="1.0029"/>
        <s v="0.3611"/>
        <s v="0.6881"/>
        <s v="0.0674"/>
        <s v="0.3391"/>
        <s v="0.8681"/>
        <s v="11.162"/>
        <s v="101.5784"/>
        <s v="33.7729"/>
        <s v="0.0276"/>
        <s v="26.7345"/>
        <s v="4.8132"/>
        <s v="1.108"/>
        <s v="4.9585"/>
        <s v="2.7119"/>
        <s v="1.8088"/>
        <s v="0.0093"/>
        <s v="0.9145"/>
        <s v="0.4599"/>
        <s v="0.3055"/>
        <s v="0.2297"/>
        <s v="0.0023"/>
        <s v="57.4102"/>
        <s v="66.7912"/>
        <s v="4.9462"/>
        <s v="0.3836"/>
        <s v="0.0038"/>
        <s v="9.3494"/>
        <s v="8.8801"/>
        <s v="2.4161"/>
        <s v="0.6422"/>
        <s v="2.8004"/>
        <s v="0.0925"/>
        <s v="0.3198"/>
        <s v="0.7291"/>
        <s v="1.5109"/>
        <s v="0.0042"/>
        <s v="0.4997"/>
        <s v="0.0325"/>
        <s v="0.2228"/>
        <s v="79.3713"/>
        <s v="157.7923"/>
        <s v="11.558"/>
        <s v="0.0867"/>
        <s v="41.1747"/>
        <s v="18.7049"/>
        <s v="5.5669"/>
        <s v="3.2636"/>
        <s v="1.7462"/>
        <s v="0.0338"/>
        <s v="0.0712"/>
        <s v="3.1013"/>
        <s v="0.0018"/>
        <s v="0.9728"/>
        <s v="0.3825"/>
        <s v="1.0277"/>
        <s v="0.0711"/>
        <s v="0.3586"/>
        <s v="0.143"/>
        <s v="0.3131"/>
        <s v="12.7002"/>
        <s v="69.8036"/>
        <s v="40.6086"/>
        <s v="0.0029"/>
        <s v="0.0399"/>
        <s v="40.6675"/>
        <s v="9.7943"/>
        <s v="1.4949"/>
        <s v="2.8291"/>
        <s v="4.4035"/>
        <s v="1.1942"/>
        <s v="0.9457"/>
        <s v="0.4026"/>
        <s v="0.2968"/>
        <s v="0.005"/>
        <s v="0.2248"/>
        <s v="74.8629"/>
        <s v="44.2276"/>
        <s v="5.0658"/>
        <s v="0.2796"/>
        <s v="0.0121"/>
        <s v="6.5758"/>
        <s v="7.557"/>
        <s v="3.0648"/>
        <s v="0.667"/>
        <s v="1.0039"/>
        <s v="1.5923"/>
        <s v="0.6812"/>
        <s v="0.0372"/>
        <s v="0.1953"/>
        <s v="0.3372"/>
        <s v="0.5115"/>
        <s v="124.8704"/>
        <s v="110.6414"/>
        <s v="9.7353"/>
        <s v="0.0755"/>
        <s v="0.004"/>
        <s v="24.9785"/>
        <s v="18.1118"/>
        <s v="5.1247"/>
        <s v="0.0078"/>
        <s v="6.2071"/>
        <s v="1.2878"/>
        <s v="0.0215"/>
        <s v="0.0856"/>
        <s v="2.1985"/>
        <s v="0.084"/>
        <s v="0.4299"/>
        <s v="0.3527"/>
        <s v="0.7694"/>
        <s v="0.6204"/>
        <s v="0.0765"/>
        <s v="0.2849"/>
        <s v="0.7753"/>
        <s v="1.2062"/>
        <s v="2.4604"/>
        <s v="2.4715"/>
        <s v="17.7682"/>
        <s v="18.8734"/>
        <s v="36.9079"/>
        <s v="20.2285"/>
        <s v="40.6617"/>
      </sharedItems>
    </cacheField>
    <cacheField name="Units clean" numFmtId="0">
      <sharedItems containsSemiMixedTypes="0" containsString="0" containsNumber="1">
        <n v="16.3202"/>
        <n v="87.8634"/>
        <n v="35.7182"/>
        <n v="0.358"/>
        <n v="16.8368"/>
        <n v="10.0639"/>
        <n v="5.1222"/>
        <n v="3.4856"/>
        <n v="1.6929"/>
        <n v="2.8313"/>
        <n v="0.0068"/>
        <n v="0.5648"/>
        <n v="0.242"/>
        <n v="0.3707"/>
        <n v="0.321"/>
        <n v="66.7225"/>
        <n v="0.0013"/>
        <n v="77.9698"/>
        <n v="7.861"/>
        <n v="0.6025"/>
        <n v="52.7901"/>
        <n v="14.2126"/>
        <n v="4.3366"/>
        <n v="1.6089"/>
        <n v="1.2559"/>
        <n v="2.0961"/>
        <n v="0.5244"/>
        <n v="0.0022"/>
        <n v="0.3416"/>
        <n v="1.0783"/>
        <n v="0.4799"/>
        <n v="173.1694"/>
        <n v="109.4041"/>
        <n v="41.8318"/>
        <n v="0.0807"/>
        <n v="66.1422"/>
        <n v="55.3375"/>
        <n v="19.5669"/>
        <n v="7.0743"/>
        <n v="5.5746"/>
        <n v="0.0088"/>
        <n v="1.7347"/>
        <n v="1.3486"/>
        <n v="0.0314"/>
        <n v="0.0734"/>
        <n v="3.1912"/>
        <n v="0.0554"/>
        <n v="0.3194"/>
        <n v="0.3405"/>
        <n v="0.7489"/>
        <n v="15.4443"/>
        <n v="61.9945"/>
        <n v="52.0653"/>
        <n v="0.327"/>
        <n v="15.7978"/>
        <n v="16.1499"/>
        <n v="3.4374"/>
        <n v="3.1436"/>
        <n v="1.8528"/>
        <n v="2.481"/>
        <n v="0.0062"/>
        <n v="0.8744"/>
        <n v="0.2345"/>
        <n v="0.3319"/>
        <n v="0.2888"/>
        <n v="67.5195"/>
        <n v="0.0326"/>
        <n v="74.3137"/>
        <n v="6.0307"/>
        <n v="0.4328"/>
        <n v="39.9546"/>
        <n v="11.616"/>
        <n v="2.6972"/>
        <n v="1.1557"/>
        <n v="1.045"/>
        <n v="0.067"/>
        <n v="0.4186"/>
        <n v="1.0259"/>
        <n v="0.3508"/>
        <n v="0.0227"/>
        <n v="0.1831"/>
        <n v="0.1532"/>
        <n v="0.0295"/>
        <n v="124.2706"/>
        <n v="112.8185"/>
        <n v="25.1908"/>
        <n v="0.0843"/>
        <n v="30.8669"/>
        <n v="43.3914"/>
        <n v="9.44"/>
        <n v="5.2153"/>
        <n v="10.9837"/>
        <n v="0.0175"/>
        <n v="1.803"/>
        <n v="1.7385"/>
        <n v="0.0397"/>
        <n v="0.0685"/>
        <n v="0.0016"/>
        <n v="2.2326"/>
        <n v="0.0526"/>
        <n v="0.3976"/>
        <n v="0.1842"/>
        <n v="0.3193"/>
        <n v="15.7516"/>
        <n v="116.7506"/>
        <n v="44.6502"/>
        <n v="0.3076"/>
        <n v="17.3306"/>
        <n v="11.6185"/>
        <n v="6.0E-4"/>
        <n v="2.8369"/>
        <n v="3.3968"/>
        <n v="2.1223"/>
        <n v="2.6176"/>
        <n v="0.0099"/>
        <n v="1.0074"/>
        <n v="0.3357"/>
        <n v="0.3775"/>
        <n v="7.0E-4"/>
        <n v="0.2882"/>
        <n v="59.9181"/>
        <n v="0.0025"/>
        <n v="69.8611"/>
        <n v="8.2565"/>
        <n v="0.3656"/>
        <n v="10.6065"/>
        <n v="15.8856"/>
        <n v="4.2058"/>
        <n v="1.0539"/>
        <n v="2.5053"/>
        <n v="0.7486"/>
        <n v="0.5124"/>
        <n v="1.1978"/>
        <n v="0.0058"/>
        <n v="0.3065"/>
        <n v="0.42"/>
        <n v="80.8349"/>
        <n v="98.0553"/>
        <n v="41.2775"/>
        <n v="0.0844"/>
        <n v="22.7859"/>
        <n v="8.6386"/>
        <n v="4.9757"/>
        <n v="20.996"/>
        <n v="8.5074"/>
        <n v="6.3937"/>
        <n v="2.5576"/>
        <n v="0.0412"/>
        <n v="0.0818"/>
        <n v="0.0322"/>
        <n v="2.1445"/>
        <n v="0.0577"/>
        <n v="0.5458"/>
        <n v="4.0E-4"/>
        <n v="1.3841"/>
        <n v="13.1809"/>
        <n v="54.8537"/>
        <n v="48.5498"/>
        <n v="1.082"/>
        <n v="14.6887"/>
        <n v="10.8278"/>
        <n v="1.0E-4"/>
        <n v="2.0152"/>
        <n v="2.9288"/>
        <n v="1.8156"/>
        <n v="2.3171"/>
        <n v="0.0111"/>
        <n v="0.8561"/>
        <n v="0.3016"/>
        <n v="0.2712"/>
        <n v="0.2237"/>
        <n v="65.925"/>
        <n v="0.0015"/>
        <n v="62.98"/>
        <n v="6.1918"/>
        <n v="0.5044"/>
        <n v="8.3434"/>
        <n v="17.1067"/>
        <n v="3.1584"/>
        <n v="1.2491"/>
        <n v="2.3394"/>
        <n v="1.1033"/>
        <n v="1.1104"/>
        <n v="0.3346"/>
        <n v="0.2126"/>
        <n v="0.4675"/>
        <n v="156.6125"/>
        <n v="95.5966"/>
        <n v="20.3404"/>
        <n v="0.2203"/>
        <n v="32.7492"/>
        <n v="18.3218"/>
        <n v="4.8246"/>
        <n v="3.4998"/>
        <n v="4.6311"/>
        <n v="5.7053"/>
        <n v="1.692"/>
        <n v="0.0232"/>
        <n v="0.0639"/>
        <n v="0.0877"/>
        <n v="1.7914"/>
        <n v="0.0597"/>
        <n v="0.7026"/>
        <n v="0.3512"/>
        <n v="0.6254"/>
        <n v="22.3576"/>
        <n v="57.154"/>
        <n v="29.5413"/>
        <n v="0.3545"/>
        <n v="17.0951"/>
        <n v="12.0351"/>
        <n v="1.8037"/>
        <n v="2.1726"/>
        <n v="3.2213"/>
        <n v="1.8592"/>
        <n v="0.6509"/>
        <n v="0.0081"/>
        <n v="0.7626"/>
        <n v="0.2396"/>
        <n v="0.0011"/>
        <n v="0.1731"/>
        <n v="62.2945"/>
        <n v="65.0353"/>
        <n v="7.079"/>
        <n v="0.4188"/>
        <n v="9.4711"/>
        <n v="14.6881"/>
        <n v="3.7982"/>
        <n v="0.6053"/>
        <n v="1.528"/>
        <n v="1.291"/>
        <n v="1.3652"/>
        <n v="0.5541"/>
        <n v="0.7088"/>
        <n v="0.1453"/>
        <n v="126.6888"/>
        <n v="87.3889"/>
        <n v="17.5314"/>
        <n v="0.0754"/>
        <n v="23.8464"/>
        <n v="8.3302"/>
        <n v="3.6336"/>
        <n v="16.1501"/>
        <n v="6.3243"/>
        <n v="1.477"/>
        <n v="0.0267"/>
        <n v="0.079"/>
        <n v="0.0357"/>
        <n v="1.3731"/>
        <n v="3.2629"/>
        <n v="0.2498"/>
        <n v="0.4852"/>
        <n v="0.0654"/>
        <n v="0.313"/>
        <n v="17.4455"/>
        <n v="45.0632"/>
        <n v="50.0413"/>
        <n v="2.063"/>
        <n v="13.2913"/>
        <n v="10.7218"/>
        <n v="1.0215"/>
        <n v="2.7663"/>
        <n v="3.937"/>
        <n v="2.1413"/>
        <n v="0.5585"/>
        <n v="0.0048"/>
        <n v="0.7672"/>
        <n v="1.1305"/>
        <n v="0.211"/>
        <n v="45.3431"/>
        <n v="76.6523"/>
        <n v="5.9658"/>
        <n v="0.4157"/>
        <n v="5.8056"/>
        <n v="18.7903"/>
        <n v="3.3244"/>
        <n v="0.5825"/>
        <n v="1.3844"/>
        <n v="1.34"/>
        <n v="0.8894"/>
        <n v="0.0027"/>
        <n v="0.5157"/>
        <n v="1.0837"/>
        <n v="0.5387"/>
        <n v="75.9334"/>
        <n v="96.8199"/>
        <n v="14.8417"/>
        <n v="0.1094"/>
        <n v="20.4412"/>
        <n v="31.2794"/>
        <n v="8.0562"/>
        <n v="4.3128"/>
        <n v="3.1105"/>
        <n v="1.7589"/>
        <n v="0.0245"/>
        <n v="0.0558"/>
        <n v="0.0135"/>
        <n v="1.3282"/>
        <n v="2.1193"/>
        <n v="0.3927"/>
        <n v="0.5521"/>
        <n v="0.1282"/>
        <n v="0.3336"/>
        <n v="15.1169"/>
        <n v="87.8911"/>
        <n v="21.0883"/>
        <n v="0.0356"/>
        <n v="14.4919"/>
        <n v="7.9988"/>
        <n v="0.7098"/>
        <n v="2.7746"/>
        <n v="3.0071"/>
        <n v="3.0332"/>
        <n v="0.5598"/>
        <n v="0.7859"/>
        <n v="0.2265"/>
        <n v="0.2089"/>
        <n v="50.7063"/>
        <n v="63.5335"/>
        <n v="6.463"/>
        <n v="0.4626"/>
        <n v="7.2124"/>
        <n v="8.89"/>
        <n v="2.8537"/>
        <n v="1.1924"/>
        <n v="0.7997"/>
        <n v="1.3448"/>
        <n v="0.4297"/>
        <n v="0.0053"/>
        <n v="0.6454"/>
        <n v="0.0299"/>
        <n v="0.1454"/>
        <n v="0.4858"/>
        <n v="86.1022"/>
        <n v="67.7327"/>
        <n v="11.1159"/>
        <n v="1.0494"/>
        <n v="36.3771"/>
        <n v="21.8827"/>
        <n v="8.3303"/>
        <n v="2.7617"/>
        <n v="2.5479"/>
        <n v="0.02"/>
        <n v="1.3619"/>
        <n v="1.0443"/>
        <n v="0.045"/>
        <n v="0.0452"/>
        <n v="0.291"/>
        <n v="0.6584"/>
        <n v="9.0E-4"/>
        <n v="0.0458"/>
        <n v="0.2691"/>
        <n v="1.5679"/>
        <n v="14.4989"/>
        <n v="52.6967"/>
        <n v="27.0943"/>
        <n v="0.011"/>
        <n v="15.9888"/>
        <n v="6.511"/>
        <n v="2.0056"/>
        <n v="8.5171"/>
        <n v="2.522"/>
        <n v="2.8443"/>
        <n v="0.6974"/>
        <n v="0.0076"/>
        <n v="0.7316"/>
        <n v="0.2518"/>
        <n v="0.2349"/>
        <n v="0.0802"/>
        <n v="61.301"/>
        <n v="0.0047"/>
        <n v="70.3388"/>
        <n v="5.8793"/>
        <n v="8.3404"/>
        <n v="14.2728"/>
        <n v="3.2773"/>
        <n v="1.2451"/>
        <n v="1.1263"/>
        <n v="0.5196"/>
        <n v="1.1651"/>
        <n v="0.0091"/>
        <n v="0.7014"/>
        <n v="1.589"/>
        <n v="0.0665"/>
        <n v="0.1584"/>
        <n v="119.2838"/>
        <n v="88.3211"/>
        <n v="9.9844"/>
        <n v="34.6937"/>
        <n v="31.6173"/>
        <n v="5.6584"/>
        <n v="3.9685"/>
        <n v="2.5182"/>
        <n v="1.2499"/>
        <n v="0.0308"/>
        <n v="0.054"/>
        <n v="0.0164"/>
        <n v="1.1977"/>
        <n v="5.0E-4"/>
        <n v="0.0491"/>
        <n v="0.3095"/>
        <n v="0.2466"/>
        <n v="1.442"/>
        <n v="11.6793"/>
        <n v="83.769"/>
        <n v="17.6986"/>
        <n v="28.8596"/>
        <n v="6.6518"/>
        <n v="0.5486"/>
        <n v="2.4629"/>
        <n v="5.6566"/>
        <n v="2.7855"/>
        <n v="0.0043"/>
        <n v="0.7638"/>
        <n v="0.4745"/>
        <n v="0.2164"/>
        <n v="53.5782"/>
        <n v="0.0086"/>
        <n v="68.3218"/>
        <n v="5.7032"/>
        <n v="0.3981"/>
        <n v="9.4641"/>
        <n v="8.1878"/>
        <n v="2.3518"/>
        <n v="0.87"/>
        <n v="1.1543"/>
        <n v="0.6243"/>
        <n v="0.0622"/>
        <n v="0.1746"/>
        <n v="0.2874"/>
        <n v="1.3202"/>
        <n v="0.4761"/>
        <n v="137.4557"/>
        <n v="150.4766"/>
        <n v="9.1911"/>
        <n v="0.199"/>
        <n v="27.316"/>
        <n v="26.433"/>
        <n v="5.6877"/>
        <n v="1.856"/>
        <n v="2.9929"/>
        <n v="1.0918"/>
        <n v="0.066"/>
        <n v="0.0163"/>
        <n v="1.0473"/>
        <n v="0.3415"/>
        <n v="0.6851"/>
        <n v="0.0619"/>
        <n v="0.2886"/>
        <n v="2.0E-4"/>
        <n v="0.7629"/>
        <n v="11.8332"/>
        <n v="60.0832"/>
        <n v="49.1396"/>
        <n v="0.0046"/>
        <n v="0.0014"/>
        <n v="33.0503"/>
        <n v="7.4771"/>
        <n v="0.9903"/>
        <n v="9.4438"/>
        <n v="2.7065"/>
        <n v="2.7049"/>
        <n v="0.5902"/>
        <n v="0.0085"/>
        <n v="0.866"/>
        <n v="0.3019"/>
        <n v="0.2288"/>
        <n v="63.946"/>
        <n v="68.5442"/>
        <n v="7.1943"/>
        <n v="0.3737"/>
        <n v="9.9453"/>
        <n v="18.3968"/>
        <n v="2.4861"/>
        <n v="0.6058"/>
        <n v="2.9654"/>
        <n v="0.768"/>
        <n v="0.0634"/>
        <n v="0.1881"/>
        <n v="0.3189"/>
        <n v="0.5194"/>
        <n v="131.0205"/>
        <n v="124.6685"/>
        <n v="14.8151"/>
        <n v="0.1368"/>
        <n v="37.4777"/>
        <n v="28.3202"/>
        <n v="7.1822"/>
        <n v="2.5769"/>
        <n v="1.6569"/>
        <n v="0.0193"/>
        <n v="0.0571"/>
        <n v="2.4586"/>
        <n v="0.0033"/>
        <n v="1.0029"/>
        <n v="0.3611"/>
        <n v="0.6881"/>
        <n v="0.0674"/>
        <n v="0.3391"/>
        <n v="0.8681"/>
        <n v="11.162"/>
        <n v="101.5784"/>
        <n v="33.7729"/>
        <n v="0.0276"/>
        <n v="26.7345"/>
        <n v="4.8132"/>
        <n v="1.108"/>
        <n v="4.9585"/>
        <n v="2.7119"/>
        <n v="1.8088"/>
        <n v="0.0093"/>
        <n v="0.9145"/>
        <n v="0.4599"/>
        <n v="0.3055"/>
        <n v="0.2297"/>
        <n v="0.0023"/>
        <n v="57.4102"/>
        <n v="66.7912"/>
        <n v="4.9462"/>
        <n v="0.3836"/>
        <n v="0.0038"/>
        <n v="9.3494"/>
        <n v="8.8801"/>
        <n v="2.4161"/>
        <n v="0.6422"/>
        <n v="2.8004"/>
        <n v="0.0925"/>
        <n v="0.3198"/>
        <n v="0.7291"/>
        <n v="1.5109"/>
        <n v="0.0042"/>
        <n v="0.4997"/>
        <n v="0.0325"/>
        <n v="0.2228"/>
        <n v="79.3713"/>
        <n v="157.7923"/>
        <n v="11.558"/>
        <n v="0.0867"/>
        <n v="41.1747"/>
        <n v="18.7049"/>
        <n v="5.5669"/>
        <n v="3.2636"/>
        <n v="1.7462"/>
        <n v="0.0338"/>
        <n v="0.0712"/>
        <n v="3.1013"/>
        <n v="0.0018"/>
        <n v="0.9728"/>
        <n v="0.3825"/>
        <n v="1.0277"/>
        <n v="0.0711"/>
        <n v="0.3586"/>
        <n v="0.143"/>
        <n v="0.3131"/>
        <n v="12.7002"/>
        <n v="69.8036"/>
        <n v="40.6086"/>
        <n v="0.0029"/>
        <n v="0.0399"/>
        <n v="40.6675"/>
        <n v="9.7943"/>
        <n v="1.4949"/>
        <n v="2.8291"/>
        <n v="4.4035"/>
        <n v="1.1942"/>
        <n v="0.9457"/>
        <n v="0.4026"/>
        <n v="0.2968"/>
        <n v="0.005"/>
        <n v="0.2248"/>
        <n v="74.8629"/>
        <n v="44.2276"/>
        <n v="5.0658"/>
        <n v="0.2796"/>
        <n v="0.0121"/>
        <n v="6.5758"/>
        <n v="7.557"/>
        <n v="3.0648"/>
        <n v="0.667"/>
        <n v="1.0039"/>
        <n v="1.5923"/>
        <n v="0.6812"/>
        <n v="0.0372"/>
        <n v="0.1953"/>
        <n v="0.3372"/>
        <n v="0.5115"/>
        <n v="124.8704"/>
        <n v="110.6414"/>
        <n v="9.7353"/>
        <n v="0.0755"/>
        <n v="0.004"/>
        <n v="24.9785"/>
        <n v="18.1118"/>
        <n v="5.1247"/>
        <n v="0.0078"/>
        <n v="6.2071"/>
        <n v="1.2878"/>
        <n v="0.0215"/>
        <n v="0.0856"/>
        <n v="2.1985"/>
        <n v="0.084"/>
        <n v="0.4299"/>
        <n v="0.3527"/>
        <n v="0.7694"/>
        <n v="0.6204"/>
        <n v="0.0765"/>
        <n v="0.2849"/>
        <n v="0.7753"/>
        <n v="1.2062"/>
        <n v="2.4604"/>
        <n v="2.4715"/>
        <n v="17.7682"/>
        <n v="18.8734"/>
        <n v="36.9079"/>
        <n v="20.2285"/>
        <n v="40.6617"/>
      </sharedItems>
    </cacheField>
    <cacheField name="Value (in 1000 rub)" numFmtId="0">
      <sharedItems>
        <s v="936.803413"/>
        <s v="7019.116508"/>
        <s v="4166.453788"/>
        <s v="66.38769"/>
        <s v="3227.992656"/>
        <s v="573.128758"/>
        <s v="559.444379"/>
        <s v="328.755626"/>
        <s v="253.642919"/>
        <s v="200.763102"/>
        <s v="2.200698"/>
        <s v="71.031833"/>
        <s v="61.805145"/>
        <s v="56.153614"/>
        <s v="50.76976"/>
        <s v="4050.03638"/>
        <s v="0.134999"/>
        <s v="7036.255168"/>
        <s v="1087.96951"/>
        <s v="109.493529"/>
        <s v="3000.962605"/>
        <s v="2169.309011"/>
        <s v="319.951771"/>
        <s v="234.200456"/>
        <s v="207.232319"/>
        <s v="177.535357"/>
        <s v="119.596253"/>
        <s v="0.930142"/>
        <s v="108.540446"/>
        <s v="51.908766"/>
        <s v="43.137401"/>
        <s v="8930.873194"/>
        <s v="9457.396412"/>
        <s v="4901.080918"/>
        <s v="15.311662"/>
        <s v="9564.403796"/>
        <s v="3197.053251"/>
        <s v="1090.341146"/>
        <s v="918.309789"/>
        <s v="811.85142"/>
        <s v="3.021369"/>
        <s v="489.019976"/>
        <s v="387.537281"/>
        <s v="10.497775"/>
        <s v="36.070235"/>
        <s v="241.683626"/>
        <s v="25.307236"/>
        <s v="174.92429"/>
        <s v="46.280242"/>
        <s v="144.095549"/>
        <s v="902.021306"/>
        <s v="5267.687694"/>
        <s v="5737.79897"/>
        <s v="61.337886"/>
        <s v="3177.907308"/>
        <s v="874.324135"/>
        <s v="443.556823"/>
        <s v="306.878801"/>
        <s v="281.485434"/>
        <s v="184.941745"/>
        <s v="2.004698"/>
        <s v="106.299765"/>
        <s v="57.967151"/>
        <s v="50.762267"/>
        <s v="46.506611"/>
        <s v="3973.243146"/>
        <s v="2.724914"/>
        <s v="6994.827867"/>
        <s v="839.264868"/>
        <s v="79.266848"/>
        <s v="2210.363738"/>
        <s v="1969.556878"/>
        <s v="195.339862"/>
        <s v="203.567716"/>
        <s v="178.409536"/>
        <s v="22.854508"/>
        <s v="131.38103"/>
        <s v="91.413191"/>
        <s v="40.453398"/>
        <s v="3.238388"/>
        <s v="36.294018"/>
        <s v="27.976055"/>
        <s v="2.716891"/>
        <s v="6261.83286"/>
        <s v="10193.829322"/>
        <s v="3303.863573"/>
        <s v="16.051771"/>
        <s v="5580.485107"/>
        <s v="2388.342617"/>
        <s v="564.161924"/>
        <s v="824.082768"/>
        <s v="1386.735499"/>
        <s v="6.433346"/>
        <s v="520.283287"/>
        <s v="457.743868"/>
        <s v="13.110632"/>
        <s v="33.706557"/>
        <s v="0.21092"/>
        <s v="287.868454"/>
        <s v="24.106433"/>
        <s v="205.549007"/>
        <s v="34.832102"/>
        <s v="146.807534"/>
        <s v="928.92665"/>
        <s v="9105.207427"/>
        <s v="5049.820876"/>
        <s v="58.307367"/>
        <s v="3529.609076"/>
        <s v="677.017966"/>
        <s v="0.042303"/>
        <s v="433.006136"/>
        <s v="0.096674"/>
        <s v="329.873082"/>
        <s v="317.591342"/>
        <s v="197.90962"/>
        <s v="3.203644"/>
        <s v="121.778651"/>
        <s v="78.294403"/>
        <s v="58.161958"/>
        <s v="0.094486"/>
        <s v="45.010945"/>
        <s v="3925.894315"/>
        <s v="0.239033"/>
        <s v="6958.625881"/>
        <s v="1088.468861"/>
        <s v="62.655918"/>
        <s v="1949.093433"/>
        <s v="1072.220825"/>
        <s v="285.332048"/>
        <s v="177.547756"/>
        <s v="321.675"/>
        <s v="124.803203"/>
        <s v="123.330744"/>
        <s v="108.865611"/>
        <s v="1.605336"/>
        <s v="93.23621"/>
        <s v="48.423851"/>
        <s v="4860.261843"/>
        <s v="9525.273204"/>
        <s v="5053.812038"/>
        <s v="13.352451"/>
        <s v="4874.68381"/>
        <s v="518.473264"/>
        <s v="855.17176"/>
        <s v="1306.620265"/>
        <s v="1124.589953"/>
        <s v="811.186105"/>
        <s v="700.968116"/>
        <s v="13.251864"/>
        <s v="39.988526"/>
        <s v="7.884587"/>
        <s v="603.625107"/>
        <s v="25.981502"/>
        <s v="290.24294"/>
        <s v="0.049663"/>
        <s v="238.904142"/>
        <s v="819.698677"/>
        <s v="4806.202042"/>
        <s v="5104.909681"/>
        <s v="129.175226"/>
        <s v="3008.328546"/>
        <s v="634.098977"/>
        <s v="0.007028"/>
        <s v="337.342593"/>
        <s v="0.016112"/>
        <s v="285.831332"/>
        <s v="283.721208"/>
        <s v="172.71895"/>
        <s v="3.648823"/>
        <s v="102.900452"/>
        <s v="68.126832"/>
        <s v="41.763937"/>
        <s v="30.341988"/>
        <s v="4037.903364"/>
        <s v="0.171467"/>
        <s v="6338.200409"/>
        <s v="880.140635"/>
        <s v="80.219931"/>
        <s v="1553.383466"/>
        <s v="1076.441935"/>
        <s v="225.61309"/>
        <s v="242.389454"/>
        <s v="258.553945"/>
        <s v="186.019152"/>
        <s v="98.75062"/>
        <s v="58.388659"/>
        <s v="55.786411"/>
        <s v="0.259456"/>
        <s v="50.164253"/>
        <s v="8413.267214"/>
        <s v="8971.843249"/>
        <s v="2762.443039"/>
        <s v="33.022278"/>
        <s v="5927.9104"/>
        <s v="1168.584361"/>
        <s v="343.430485"/>
        <s v="654.637547"/>
        <s v="722.763649"/>
        <s v="649.040983"/>
        <s v="457.457559"/>
        <s v="7.416068"/>
        <s v="31.154171"/>
        <s v="10.94554"/>
        <s v="0.250637"/>
        <s v="455.096599"/>
        <s v="27.19477"/>
        <s v="360.11203"/>
        <s v="54.916409"/>
        <s v="129.905255"/>
        <s v="1261.464109"/>
        <s v="5056.081495"/>
        <s v="3514.288662"/>
        <s v="67.328507"/>
        <s v="3209.643513"/>
        <s v="665.216812"/>
        <s v="280.366585"/>
        <s v="330.982913"/>
        <s v="305.898532"/>
        <s v="140.871749"/>
        <s v="126.123622"/>
        <s v="2.613454"/>
        <s v="92.107813"/>
        <s v="37.023186"/>
        <s v="0.119351"/>
        <s v="35.477459"/>
        <s v="3886.490741"/>
        <s v="0.07665"/>
        <s v="6461.604885"/>
        <s v="978.03047"/>
        <s v="71.137857"/>
        <s v="1704.141979"/>
        <s v="881.70831"/>
        <s v="283.989748"/>
        <s v="112.811286"/>
        <s v="224.946184"/>
        <s v="137.342741"/>
        <s v="128.123744"/>
        <s v="0.429929"/>
        <s v="65.790073"/>
        <s v="42.52785"/>
        <s v="41.459526"/>
        <s v="6964.641234"/>
        <s v="7894.581306"/>
        <s v="2313.44746"/>
        <s v="10.34063"/>
        <s v="4815.378802"/>
        <s v="493.352945"/>
        <s v="655.264603"/>
        <s v="985.101548"/>
        <s v="868.844336"/>
        <s v="390.842837"/>
        <s v="8.962127"/>
        <s v="38.584694"/>
        <s v="5.718368"/>
        <s v="365.607411"/>
        <s v="358.536068"/>
        <s v="46.870565"/>
        <s v="215.208807"/>
        <s v="29.755378"/>
        <s v="173.026412"/>
        <s v="1029.598821"/>
        <s v="4036.583675"/>
        <s v="5268.299434"/>
        <s v="213.294153"/>
        <s v="2643.416951"/>
        <s v="622.228998"/>
        <s v="160.392984"/>
        <s v="391.482226"/>
        <s v="360.477244"/>
        <s v="156.110209"/>
        <s v="117.64838"/>
        <s v="1.560646"/>
        <s v="92.905343"/>
        <s v="55.474507"/>
        <s v="0.425287"/>
        <s v="44.131594"/>
        <s v="3056.350782"/>
        <s v="0.142293"/>
        <s v="6777.613965"/>
        <s v="822.030462"/>
        <s v="66.62911"/>
        <s v="1161.256081"/>
        <s v="1016.720657"/>
        <s v="262.774193"/>
        <s v="119.821694"/>
        <s v="236.517256"/>
        <s v="120.12206"/>
        <s v="92.652783"/>
        <s v="1.081717"/>
        <s v="56.30877"/>
        <s v="49.519426"/>
        <s v="47.024197"/>
        <s v="4901.720639"/>
        <s v="7862.024497"/>
        <s v="1864.033093"/>
        <s v="15.912793"/>
        <s v="4241.478373"/>
        <s v="1824.296596"/>
        <s v="1209.394551"/>
        <s v="302.101449"/>
        <s v="565.056658"/>
        <s v="476.183387"/>
        <s v="7.848517"/>
        <s v="27.373598"/>
        <s v="3.280559"/>
        <s v="371.495588"/>
        <s v="223.758046"/>
        <s v="60.613095"/>
        <s v="120.995908"/>
        <s v="24.489549"/>
        <s v="149.109018"/>
        <s v="870.325083"/>
        <s v="7403.354863"/>
        <s v="2552.483087"/>
        <s v="6.283229"/>
        <s v="2822.831024"/>
        <s v="472.153171"/>
        <s v="116.373314"/>
        <s v="382.445638"/>
        <s v="290.430785"/>
        <s v="201.709554"/>
        <s v="112.794113"/>
        <s v="1.986265"/>
        <s v="93.897746"/>
        <s v="47.412949"/>
        <s v="35.509419"/>
        <s v="0.149852"/>
        <s v="3398.473048"/>
        <s v="0.010941"/>
        <s v="5999.003434"/>
        <s v="909.795361"/>
        <s v="79.825211"/>
        <s v="1518.623836"/>
        <s v="612.199476"/>
        <s v="235.936746"/>
        <s v="193.56644"/>
        <s v="132.964286"/>
        <s v="119.129525"/>
        <s v="86.020452"/>
        <s v="1.922279"/>
        <s v="70.732262"/>
        <s v="10.112935"/>
        <s v="46.945756"/>
        <s v="51.738094"/>
        <s v="5422.054982"/>
        <s v="5977.697769"/>
        <s v="1411.179164"/>
        <s v="147.300122"/>
        <s v="6144.165251"/>
        <s v="1520.411846"/>
        <s v="521.917002"/>
        <s v="499.183237"/>
        <s v="411.200988"/>
        <s v="3.348456"/>
        <s v="0.242017"/>
        <s v="374.905378"/>
        <s v="298.579602"/>
        <s v="9.620347"/>
        <s v="22.065598"/>
        <s v="49.084923"/>
        <s v="140.649292"/>
        <s v="0.424558"/>
        <s v="20.850142"/>
        <s v="140.824207"/>
        <s v="154.4753"/>
        <s v="839.675037"/>
        <s v="4545.647378"/>
        <s v="2912.236932"/>
        <s v="2.343986"/>
        <s v="3144.032997"/>
        <s v="386.054146"/>
        <s v="152.672372"/>
        <s v="418.475559"/>
        <s v="373.798464"/>
        <s v="284.902185"/>
        <s v="127.709397"/>
        <s v="2.463735"/>
        <s v="88.74046"/>
        <s v="52.956799"/>
        <s v="24.720427"/>
        <s v="9.577978"/>
        <s v="3827.928427"/>
        <s v="0.54729"/>
        <s v="6359.161149"/>
        <s v="836.630462"/>
        <s v="58.669398"/>
        <s v="1734.232667"/>
        <s v="797.208189"/>
        <s v="258.942763"/>
        <s v="129.596335"/>
        <s v="178.452502"/>
        <s v="112.748627"/>
        <s v="103.196774"/>
        <s v="3.297931"/>
        <s v="85.608891"/>
        <s v="84.815141"/>
        <s v="22.486045"/>
        <s v="50.11333"/>
        <s v="6709.745395"/>
        <s v="7205.293469"/>
        <s v="1220.229029"/>
        <s v="66.266284"/>
        <s v="6101.673406"/>
        <s v="1907.523043"/>
        <s v="363.135918"/>
        <s v="436.589117"/>
        <s v="415.783864"/>
        <s v="347.719692"/>
        <s v="9.360229"/>
        <s v="26.511486"/>
        <s v="2.915876"/>
        <s v="0.183668"/>
        <s v="345.456599"/>
        <s v="0.235851"/>
        <s v="21.17829"/>
        <s v="161.393145"/>
        <s v="41.636364"/>
        <s v="128.825793"/>
        <s v="152.140199"/>
        <s v="692.956619"/>
        <s v="6512.425501"/>
        <s v="2124.543597"/>
        <s v="1.028076"/>
        <s v="4467.334807"/>
        <s v="372.043144"/>
        <s v="60.611304"/>
        <s v="369.873609"/>
        <s v="335.499881"/>
        <s v="291.057245"/>
        <s v="1.373928"/>
        <s v="92.426348"/>
        <s v="93.170169"/>
        <s v="51.531351"/>
        <s v="35.386023"/>
        <s v="0.175645"/>
        <s v="3386.327367"/>
        <s v="0.985176"/>
        <s v="6367.316132"/>
        <s v="825.612183"/>
        <s v="68.190552"/>
        <s v="1951.666573"/>
        <s v="600.12229"/>
        <s v="180.630856"/>
        <s v="156.616257"/>
        <s v="102.778449"/>
        <s v="99.389678"/>
        <s v="20.959746"/>
        <s v="59.082552"/>
        <s v="65.509333"/>
        <s v="62.586761"/>
        <s v="0.854022"/>
        <s v="55.913785"/>
        <s v="7628.51873"/>
        <s v="11344.359734"/>
        <s v="1138.447524"/>
        <s v="33.195005"/>
        <s v="5429.497506"/>
        <s v="1826.391006"/>
        <s v="372.513254"/>
        <s v="283.975691"/>
        <s v="496.055713"/>
        <s v="304.052439"/>
        <s v="9.524402"/>
        <s v="32.461528"/>
        <s v="2.042558"/>
        <s v="0.255941"/>
        <s v="309.440934"/>
        <s v="57.675272"/>
        <s v="159.264256"/>
        <s v="0.330204"/>
        <s v="28.234317"/>
        <s v="156.94971"/>
        <s v="0.024798"/>
        <s v="151.892613"/>
        <s v="714.140479"/>
        <s v="5107.393573"/>
        <s v="4853.057025"/>
        <s v="1.010239"/>
        <s v="0.155886"/>
        <s v="5290.42563599999"/>
        <s v="414.764541"/>
        <s v="126.79139"/>
        <s v="458.541928"/>
        <s v="367.066608"/>
        <s v="285.144203"/>
        <s v="116.502147"/>
        <s v="2.76735"/>
        <s v="105.254914"/>
        <s v="52.337633"/>
        <s v="36.775135"/>
        <s v="0.185591"/>
        <s v="3988.521059"/>
        <s v="6497.563792"/>
        <s v="1051.550903"/>
        <s v="60.48214"/>
        <s v="2087.819981"/>
        <s v="987.116457"/>
        <s v="194.282214"/>
        <s v="109.808417"/>
        <s v="165.082083"/>
        <s v="129.934828"/>
        <s v="100.544796"/>
        <s v="21.322639"/>
        <s v="65.471207"/>
        <s v="70.952597"/>
        <s v="0.643301"/>
        <s v="68.15899"/>
        <s v="7190.91765"/>
        <s v="10831.853884"/>
        <s v="1659.957871"/>
        <s v="24.417541"/>
        <s v="6614.209094"/>
        <s v="1773.875739"/>
        <s v="465.369331"/>
        <s v="433.62192"/>
        <s v="472.904088"/>
        <s v="5.671158"/>
        <s v="27.713615"/>
        <s v="381.161355"/>
        <s v="0.563204"/>
        <s v="1.279707"/>
        <s v="318.321438"/>
        <s v="62.499038"/>
        <s v="160.841014"/>
        <s v="31.004518"/>
        <s v="184.796269"/>
        <s v="172.280999"/>
        <s v="693.523204"/>
        <s v="8077.51338"/>
        <s v="3444.500996"/>
        <s v="0.284586"/>
        <s v="3.023822"/>
        <s v="4384.797147"/>
        <s v="319.938974"/>
        <s v="174.651043"/>
        <s v="300.082495"/>
        <s v="283.880144"/>
        <s v="249.376456"/>
        <s v="2.947238"/>
        <s v="111.772602"/>
        <s v="98.216326"/>
        <s v="50.607907"/>
        <s v="39.360475"/>
        <s v="0.327685"/>
        <s v="3619.51712"/>
        <s v="6207.010473"/>
        <s v="718.497848"/>
        <s v="63.470422"/>
        <s v="0.441797"/>
        <s v="1891.763815"/>
        <s v="646.056945"/>
        <s v="198.720344"/>
        <s v="111.463019"/>
        <s v="304.455579"/>
        <s v="30.896572"/>
        <s v="103.77125"/>
        <s v="122.897301"/>
        <s v="96.602635"/>
        <s v="1.544666"/>
        <s v="65.708517"/>
        <s v="5.813849"/>
        <s v="51.098505"/>
        <s v="5005.155319"/>
        <s v="13396.308067"/>
        <s v="1290.956385"/>
        <s v="15.436583"/>
        <s v="7167.156142"/>
        <s v="1373.506643"/>
        <s v="347.846203"/>
        <s v="537.942316"/>
        <s v="471.874421"/>
        <s v="7.738316"/>
        <s v="35.070207"/>
        <s v="405.385216"/>
        <s v="0.694689"/>
        <s v="287.265068"/>
        <s v="68.448018"/>
        <s v="215.005711"/>
        <s v="1.226463"/>
        <s v="30.765021"/>
        <s v="194.894285"/>
        <s v="65.889532"/>
        <s v="155.941725"/>
        <s v="789.227923"/>
        <s v="5995.252831"/>
        <s v="3857.811179"/>
        <s v="0.233663"/>
        <s v="4.374675"/>
        <s v="5995.073407"/>
        <s v="542.253537"/>
        <s v="208.699739"/>
        <s v="0.125915"/>
        <s v="306.535534"/>
        <s v="282.294567"/>
        <s v="162.468894"/>
        <s v="1.588229"/>
        <s v="117.209566"/>
        <s v="87.407708"/>
        <s v="50.525289"/>
        <s v="0.61837"/>
        <s v="41.788139"/>
        <s v="4235.577133"/>
        <s v="4566.001749"/>
        <s v="764.229077"/>
        <s v="45.269075"/>
        <s v="1.127402"/>
        <s v="1391.71104"/>
        <s v="574.505007"/>
        <s v="238.161845"/>
        <s v="117.184238"/>
        <s v="159.756048"/>
        <s v="134.403459"/>
        <s v="60.933021"/>
        <s v="6.713224"/>
        <s v="45.258333"/>
        <s v="1.11613"/>
        <s v="35.861902"/>
        <s v="35.519099"/>
        <s v="7039.56404"/>
        <s v="10476.185686"/>
        <s v="1248.6311"/>
        <s v="12.065848"/>
        <s v="0.49345"/>
        <s v="4973.572214"/>
        <s v="1362.937588"/>
        <s v="297.628508"/>
        <s v="0.852696"/>
        <s v="923.409919"/>
        <s v="365.322427"/>
        <s v="5.839443"/>
        <s v="42.079687"/>
        <s v="309.219405"/>
        <s v="0.094354"/>
        <s v="33.376419"/>
        <s v="232.877716"/>
        <s v="63.560267"/>
        <s v="174.461142"/>
        <s v="0.073136"/>
        <s v="191.647874"/>
        <s v="35.958112"/>
        <s v="140.160417"/>
        <s v="41.856"/>
        <s v="76.9093"/>
        <s v="151.083"/>
        <s v="173.9148"/>
        <s v="1109.3931"/>
        <s v="1317.4916"/>
        <s v="2267.3183"/>
        <s v="1371.255"/>
        <s v="2642.1648"/>
      </sharedItems>
    </cacheField>
    <cacheField name="Value clean" numFmtId="0">
      <sharedItems containsSemiMixedTypes="0" containsString="0" containsNumber="1">
        <n v="936.803413"/>
        <n v="7019.116508"/>
        <n v="4166.453788"/>
        <n v="66.38769"/>
        <n v="3227.992656"/>
        <n v="573.128758"/>
        <n v="559.444379"/>
        <n v="328.755626"/>
        <n v="253.642919"/>
        <n v="200.763102"/>
        <n v="2.200698"/>
        <n v="71.031833"/>
        <n v="61.805145"/>
        <n v="56.153614"/>
        <n v="50.76976"/>
        <n v="4050.03638"/>
        <n v="0.134999"/>
        <n v="7036.255168"/>
        <n v="1087.96951"/>
        <n v="109.493529"/>
        <n v="3000.962605"/>
        <n v="2169.309011"/>
        <n v="319.951771"/>
        <n v="234.200456"/>
        <n v="207.232319"/>
        <n v="177.535357"/>
        <n v="119.596253"/>
        <n v="0.930142"/>
        <n v="108.540446"/>
        <n v="51.908766"/>
        <n v="43.137401"/>
        <n v="8930.873194"/>
        <n v="9457.396412"/>
        <n v="4901.080918"/>
        <n v="15.311662"/>
        <n v="9564.403796"/>
        <n v="3197.053251"/>
        <n v="1090.341146"/>
        <n v="918.309789"/>
        <n v="811.85142"/>
        <n v="3.021369"/>
        <n v="489.019976"/>
        <n v="387.537281"/>
        <n v="10.497775"/>
        <n v="36.070235"/>
        <n v="241.683626"/>
        <n v="25.307236"/>
        <n v="174.92429"/>
        <n v="46.280242"/>
        <n v="144.095549"/>
        <n v="902.021306"/>
        <n v="5267.687694"/>
        <n v="5737.79897"/>
        <n v="61.337886"/>
        <n v="3177.907308"/>
        <n v="874.324135"/>
        <n v="443.556823"/>
        <n v="306.878801"/>
        <n v="281.485434"/>
        <n v="184.941745"/>
        <n v="2.004698"/>
        <n v="106.299765"/>
        <n v="57.967151"/>
        <n v="50.762267"/>
        <n v="46.506611"/>
        <n v="3973.243146"/>
        <n v="2.724914"/>
        <n v="6994.827867"/>
        <n v="839.264868"/>
        <n v="79.266848"/>
        <n v="2210.363738"/>
        <n v="1969.556878"/>
        <n v="195.339862"/>
        <n v="203.567716"/>
        <n v="178.409536"/>
        <n v="22.854508"/>
        <n v="131.38103"/>
        <n v="91.413191"/>
        <n v="40.453398"/>
        <n v="3.238388"/>
        <n v="36.294018"/>
        <n v="27.976055"/>
        <n v="2.716891"/>
        <n v="6261.83286"/>
        <n v="10193.829322"/>
        <n v="3303.863573"/>
        <n v="16.051771"/>
        <n v="5580.485107"/>
        <n v="2388.342617"/>
        <n v="564.161924"/>
        <n v="824.082768"/>
        <n v="1386.735499"/>
        <n v="6.433346"/>
        <n v="520.283287"/>
        <n v="457.743868"/>
        <n v="13.110632"/>
        <n v="33.706557"/>
        <n v="0.21092"/>
        <n v="287.868454"/>
        <n v="24.106433"/>
        <n v="205.549007"/>
        <n v="34.832102"/>
        <n v="146.807534"/>
        <n v="928.92665"/>
        <n v="9105.207427"/>
        <n v="5049.820876"/>
        <n v="58.307367"/>
        <n v="3529.609076"/>
        <n v="677.017966"/>
        <n v="0.042303"/>
        <n v="433.006136"/>
        <n v="0.096674"/>
        <n v="329.873082"/>
        <n v="317.591342"/>
        <n v="197.90962"/>
        <n v="3.203644"/>
        <n v="121.778651"/>
        <n v="78.294403"/>
        <n v="58.161958"/>
        <n v="0.094486"/>
        <n v="45.010945"/>
        <n v="3925.894315"/>
        <n v="0.239033"/>
        <n v="6958.625881"/>
        <n v="1088.468861"/>
        <n v="62.655918"/>
        <n v="1949.093433"/>
        <n v="1072.220825"/>
        <n v="285.332048"/>
        <n v="177.547756"/>
        <n v="321.675"/>
        <n v="124.803203"/>
        <n v="123.330744"/>
        <n v="108.865611"/>
        <n v="1.605336"/>
        <n v="93.23621"/>
        <n v="48.423851"/>
        <n v="4860.261843"/>
        <n v="9525.273204"/>
        <n v="5053.812038"/>
        <n v="13.352451"/>
        <n v="4874.68381"/>
        <n v="518.473264"/>
        <n v="855.17176"/>
        <n v="1306.620265"/>
        <n v="1124.589953"/>
        <n v="811.186105"/>
        <n v="700.968116"/>
        <n v="13.251864"/>
        <n v="39.988526"/>
        <n v="7.884587"/>
        <n v="603.625107"/>
        <n v="25.981502"/>
        <n v="290.24294"/>
        <n v="0.049663"/>
        <n v="238.904142"/>
        <n v="819.698677"/>
        <n v="4806.202042"/>
        <n v="5104.909681"/>
        <n v="129.175226"/>
        <n v="3008.328546"/>
        <n v="634.098977"/>
        <n v="0.007028"/>
        <n v="337.342593"/>
        <n v="0.016112"/>
        <n v="285.831332"/>
        <n v="283.721208"/>
        <n v="172.71895"/>
        <n v="3.648823"/>
        <n v="102.900452"/>
        <n v="68.126832"/>
        <n v="41.763937"/>
        <n v="30.341988"/>
        <n v="4037.903364"/>
        <n v="0.171467"/>
        <n v="6338.200409"/>
        <n v="880.140635"/>
        <n v="80.219931"/>
        <n v="1553.383466"/>
        <n v="1076.441935"/>
        <n v="225.61309"/>
        <n v="242.389454"/>
        <n v="258.553945"/>
        <n v="186.019152"/>
        <n v="98.75062"/>
        <n v="58.388659"/>
        <n v="55.786411"/>
        <n v="0.259456"/>
        <n v="50.164253"/>
        <n v="8413.267214"/>
        <n v="8971.843249"/>
        <n v="2762.443039"/>
        <n v="33.022278"/>
        <n v="5927.9104"/>
        <n v="1168.584361"/>
        <n v="343.430485"/>
        <n v="654.637547"/>
        <n v="722.763649"/>
        <n v="649.040983"/>
        <n v="457.457559"/>
        <n v="7.416068"/>
        <n v="31.154171"/>
        <n v="10.94554"/>
        <n v="0.250637"/>
        <n v="455.096599"/>
        <n v="27.19477"/>
        <n v="360.11203"/>
        <n v="54.916409"/>
        <n v="129.905255"/>
        <n v="1261.464109"/>
        <n v="5056.081495"/>
        <n v="3514.288662"/>
        <n v="67.328507"/>
        <n v="3209.643513"/>
        <n v="665.216812"/>
        <n v="280.366585"/>
        <n v="330.982913"/>
        <n v="305.898532"/>
        <n v="140.871749"/>
        <n v="126.123622"/>
        <n v="2.613454"/>
        <n v="92.107813"/>
        <n v="37.023186"/>
        <n v="0.119351"/>
        <n v="35.477459"/>
        <n v="3886.490741"/>
        <n v="0.07665"/>
        <n v="6461.604885"/>
        <n v="978.03047"/>
        <n v="71.137857"/>
        <n v="1704.141979"/>
        <n v="881.70831"/>
        <n v="283.989748"/>
        <n v="112.811286"/>
        <n v="224.946184"/>
        <n v="137.342741"/>
        <n v="128.123744"/>
        <n v="0.429929"/>
        <n v="65.790073"/>
        <n v="42.52785"/>
        <n v="41.459526"/>
        <n v="6964.641234"/>
        <n v="7894.581306"/>
        <n v="2313.44746"/>
        <n v="10.34063"/>
        <n v="4815.378802"/>
        <n v="493.352945"/>
        <n v="655.264603"/>
        <n v="985.101548"/>
        <n v="868.844336"/>
        <n v="390.842837"/>
        <n v="8.962127"/>
        <n v="38.584694"/>
        <n v="5.718368"/>
        <n v="365.607411"/>
        <n v="358.536068"/>
        <n v="46.870565"/>
        <n v="215.208807"/>
        <n v="29.755378"/>
        <n v="173.026412"/>
        <n v="1029.598821"/>
        <n v="4036.583675"/>
        <n v="5268.299434"/>
        <n v="213.294153"/>
        <n v="2643.416951"/>
        <n v="622.228998"/>
        <n v="160.392984"/>
        <n v="391.482226"/>
        <n v="360.477244"/>
        <n v="156.110209"/>
        <n v="117.64838"/>
        <n v="1.560646"/>
        <n v="92.905343"/>
        <n v="55.474507"/>
        <n v="0.425287"/>
        <n v="44.131594"/>
        <n v="3056.350782"/>
        <n v="0.142293"/>
        <n v="6777.613965"/>
        <n v="822.030462"/>
        <n v="66.62911"/>
        <n v="1161.256081"/>
        <n v="1016.720657"/>
        <n v="262.774193"/>
        <n v="119.821694"/>
        <n v="236.517256"/>
        <n v="120.12206"/>
        <n v="92.652783"/>
        <n v="1.081717"/>
        <n v="56.30877"/>
        <n v="49.519426"/>
        <n v="47.024197"/>
        <n v="4901.720639"/>
        <n v="7862.024497"/>
        <n v="1864.033093"/>
        <n v="15.912793"/>
        <n v="4241.478373"/>
        <n v="1824.296596"/>
        <n v="1209.394551"/>
        <n v="302.101449"/>
        <n v="565.056658"/>
        <n v="476.183387"/>
        <n v="7.848517"/>
        <n v="27.373598"/>
        <n v="3.280559"/>
        <n v="371.495588"/>
        <n v="223.758046"/>
        <n v="60.613095"/>
        <n v="120.995908"/>
        <n v="24.489549"/>
        <n v="149.109018"/>
        <n v="870.325083"/>
        <n v="7403.354863"/>
        <n v="2552.483087"/>
        <n v="6.283229"/>
        <n v="2822.831024"/>
        <n v="472.153171"/>
        <n v="116.373314"/>
        <n v="382.445638"/>
        <n v="290.430785"/>
        <n v="201.709554"/>
        <n v="112.794113"/>
        <n v="1.986265"/>
        <n v="93.897746"/>
        <n v="47.412949"/>
        <n v="35.509419"/>
        <n v="0.149852"/>
        <n v="3398.473048"/>
        <n v="0.010941"/>
        <n v="5999.003434"/>
        <n v="909.795361"/>
        <n v="79.825211"/>
        <n v="1518.623836"/>
        <n v="612.199476"/>
        <n v="235.936746"/>
        <n v="193.56644"/>
        <n v="132.964286"/>
        <n v="119.129525"/>
        <n v="86.020452"/>
        <n v="1.922279"/>
        <n v="70.732262"/>
        <n v="10.112935"/>
        <n v="46.945756"/>
        <n v="51.738094"/>
        <n v="5422.054982"/>
        <n v="5977.697769"/>
        <n v="1411.179164"/>
        <n v="147.300122"/>
        <n v="6144.165251"/>
        <n v="1520.411846"/>
        <n v="521.917002"/>
        <n v="499.183237"/>
        <n v="411.200988"/>
        <n v="3.348456"/>
        <n v="0.242017"/>
        <n v="374.905378"/>
        <n v="298.579602"/>
        <n v="9.620347"/>
        <n v="22.065598"/>
        <n v="49.084923"/>
        <n v="140.649292"/>
        <n v="0.424558"/>
        <n v="20.850142"/>
        <n v="140.824207"/>
        <n v="154.4753"/>
        <n v="839.675037"/>
        <n v="4545.647378"/>
        <n v="2912.236932"/>
        <n v="2.343986"/>
        <n v="3144.032997"/>
        <n v="386.054146"/>
        <n v="152.672372"/>
        <n v="418.475559"/>
        <n v="373.798464"/>
        <n v="284.902185"/>
        <n v="127.709397"/>
        <n v="2.463735"/>
        <n v="88.74046"/>
        <n v="52.956799"/>
        <n v="24.720427"/>
        <n v="9.577978"/>
        <n v="3827.928427"/>
        <n v="0.54729"/>
        <n v="6359.161149"/>
        <n v="836.630462"/>
        <n v="58.669398"/>
        <n v="1734.232667"/>
        <n v="797.208189"/>
        <n v="258.942763"/>
        <n v="129.596335"/>
        <n v="178.452502"/>
        <n v="112.748627"/>
        <n v="103.196774"/>
        <n v="3.297931"/>
        <n v="85.608891"/>
        <n v="84.815141"/>
        <n v="22.486045"/>
        <n v="50.11333"/>
        <n v="6709.745395"/>
        <n v="7205.293469"/>
        <n v="1220.229029"/>
        <n v="66.266284"/>
        <n v="6101.673406"/>
        <n v="1907.523043"/>
        <n v="363.135918"/>
        <n v="436.589117"/>
        <n v="415.783864"/>
        <n v="347.719692"/>
        <n v="9.360229"/>
        <n v="26.511486"/>
        <n v="2.915876"/>
        <n v="0.183668"/>
        <n v="345.456599"/>
        <n v="0.235851"/>
        <n v="21.17829"/>
        <n v="161.393145"/>
        <n v="41.636364"/>
        <n v="128.825793"/>
        <n v="152.140199"/>
        <n v="692.956619"/>
        <n v="6512.425501"/>
        <n v="2124.543597"/>
        <n v="1.028076"/>
        <n v="4467.334807"/>
        <n v="372.043144"/>
        <n v="60.611304"/>
        <n v="369.873609"/>
        <n v="335.499881"/>
        <n v="291.057245"/>
        <n v="1.373928"/>
        <n v="92.426348"/>
        <n v="93.170169"/>
        <n v="51.531351"/>
        <n v="35.386023"/>
        <n v="0.175645"/>
        <n v="3386.327367"/>
        <n v="0.985176"/>
        <n v="6367.316132"/>
        <n v="825.612183"/>
        <n v="68.190552"/>
        <n v="1951.666573"/>
        <n v="600.12229"/>
        <n v="180.630856"/>
        <n v="156.616257"/>
        <n v="102.778449"/>
        <n v="99.389678"/>
        <n v="20.959746"/>
        <n v="59.082552"/>
        <n v="65.509333"/>
        <n v="62.586761"/>
        <n v="0.854022"/>
        <n v="55.913785"/>
        <n v="7628.51873"/>
        <n v="11344.359734"/>
        <n v="1138.447524"/>
        <n v="33.195005"/>
        <n v="5429.497506"/>
        <n v="1826.391006"/>
        <n v="372.513254"/>
        <n v="283.975691"/>
        <n v="496.055713"/>
        <n v="304.052439"/>
        <n v="9.524402"/>
        <n v="32.461528"/>
        <n v="2.042558"/>
        <n v="0.255941"/>
        <n v="309.440934"/>
        <n v="57.675272"/>
        <n v="159.264256"/>
        <n v="0.330204"/>
        <n v="28.234317"/>
        <n v="156.94971"/>
        <n v="0.024798"/>
        <n v="151.892613"/>
        <n v="714.140479"/>
        <n v="5107.393573"/>
        <n v="4853.057025"/>
        <n v="1.010239"/>
        <n v="0.155886"/>
        <n v="5290.42563599999"/>
        <n v="414.764541"/>
        <n v="126.79139"/>
        <n v="458.541928"/>
        <n v="367.066608"/>
        <n v="285.144203"/>
        <n v="116.502147"/>
        <n v="2.76735"/>
        <n v="105.254914"/>
        <n v="52.337633"/>
        <n v="36.775135"/>
        <n v="0.185591"/>
        <n v="3988.521059"/>
        <n v="6497.563792"/>
        <n v="1051.550903"/>
        <n v="60.48214"/>
        <n v="2087.819981"/>
        <n v="987.116457"/>
        <n v="194.282214"/>
        <n v="109.808417"/>
        <n v="165.082083"/>
        <n v="129.934828"/>
        <n v="100.544796"/>
        <n v="21.322639"/>
        <n v="65.471207"/>
        <n v="70.952597"/>
        <n v="0.643301"/>
        <n v="68.15899"/>
        <n v="7190.91765"/>
        <n v="10831.853884"/>
        <n v="1659.957871"/>
        <n v="24.417541"/>
        <n v="6614.209094"/>
        <n v="1773.875739"/>
        <n v="465.369331"/>
        <n v="433.62192"/>
        <n v="472.904088"/>
        <n v="5.671158"/>
        <n v="27.713615"/>
        <n v="381.161355"/>
        <n v="0.563204"/>
        <n v="1.279707"/>
        <n v="318.321438"/>
        <n v="62.499038"/>
        <n v="160.841014"/>
        <n v="31.004518"/>
        <n v="184.796269"/>
        <n v="172.280999"/>
        <n v="693.523204"/>
        <n v="8077.51338"/>
        <n v="3444.500996"/>
        <n v="0.284586"/>
        <n v="3.023822"/>
        <n v="4384.797147"/>
        <n v="319.938974"/>
        <n v="174.651043"/>
        <n v="300.082495"/>
        <n v="283.880144"/>
        <n v="249.376456"/>
        <n v="2.947238"/>
        <n v="111.772602"/>
        <n v="98.216326"/>
        <n v="50.607907"/>
        <n v="39.360475"/>
        <n v="0.327685"/>
        <n v="3619.51712"/>
        <n v="6207.010473"/>
        <n v="718.497848"/>
        <n v="63.470422"/>
        <n v="0.441797"/>
        <n v="1891.763815"/>
        <n v="646.056945"/>
        <n v="198.720344"/>
        <n v="111.463019"/>
        <n v="304.455579"/>
        <n v="30.896572"/>
        <n v="103.77125"/>
        <n v="122.897301"/>
        <n v="96.602635"/>
        <n v="1.544666"/>
        <n v="65.708517"/>
        <n v="5.813849"/>
        <n v="51.098505"/>
        <n v="5005.155319"/>
        <n v="13396.308067"/>
        <n v="1290.956385"/>
        <n v="15.436583"/>
        <n v="7167.156142"/>
        <n v="1373.506643"/>
        <n v="347.846203"/>
        <n v="537.942316"/>
        <n v="471.874421"/>
        <n v="7.738316"/>
        <n v="35.070207"/>
        <n v="405.385216"/>
        <n v="0.694689"/>
        <n v="287.265068"/>
        <n v="68.448018"/>
        <n v="215.005711"/>
        <n v="1.226463"/>
        <n v="30.765021"/>
        <n v="194.894285"/>
        <n v="65.889532"/>
        <n v="155.941725"/>
        <n v="789.227923"/>
        <n v="5995.252831"/>
        <n v="3857.811179"/>
        <n v="0.233663"/>
        <n v="4.374675"/>
        <n v="5995.073407"/>
        <n v="542.253537"/>
        <n v="208.699739"/>
        <n v="0.125915"/>
        <n v="306.535534"/>
        <n v="282.294567"/>
        <n v="162.468894"/>
        <n v="1.588229"/>
        <n v="117.209566"/>
        <n v="87.407708"/>
        <n v="50.525289"/>
        <n v="0.61837"/>
        <n v="41.788139"/>
        <n v="4235.577133"/>
        <n v="4566.001749"/>
        <n v="764.229077"/>
        <n v="45.269075"/>
        <n v="1.127402"/>
        <n v="1391.71104"/>
        <n v="574.505007"/>
        <n v="238.161845"/>
        <n v="117.184238"/>
        <n v="159.756048"/>
        <n v="134.403459"/>
        <n v="60.933021"/>
        <n v="6.713224"/>
        <n v="45.258333"/>
        <n v="1.11613"/>
        <n v="35.861902"/>
        <n v="35.519099"/>
        <n v="7039.56404"/>
        <n v="10476.185686"/>
        <n v="1248.6311"/>
        <n v="12.065848"/>
        <n v="0.49345"/>
        <n v="4973.572214"/>
        <n v="1362.937588"/>
        <n v="297.628508"/>
        <n v="0.852696"/>
        <n v="923.409919"/>
        <n v="365.322427"/>
        <n v="5.839443"/>
        <n v="42.079687"/>
        <n v="309.219405"/>
        <n v="0.094354"/>
        <n v="33.376419"/>
        <n v="232.877716"/>
        <n v="63.560267"/>
        <n v="174.461142"/>
        <n v="0.073136"/>
        <n v="191.647874"/>
        <n v="35.958112"/>
        <n v="140.160417"/>
        <n v="41.856"/>
        <n v="76.9093"/>
        <n v="151.083"/>
        <n v="173.9148"/>
        <n v="1109.3931"/>
        <n v="1317.4916"/>
        <n v="2267.3183"/>
        <n v="1371.255"/>
        <n v="2642.1648"/>
      </sharedItems>
    </cacheField>
    <cacheField name="Volume (in 1000 kg)" numFmtId="0">
      <sharedItems>
        <s v="3.4272"/>
        <s v="30.7522"/>
        <s v="17.8592"/>
        <s v="0.2685"/>
        <s v="6.7346"/>
        <s v="2.3147"/>
        <s v="2.305"/>
        <s v="0.6274"/>
        <s v="0.6264"/>
        <s v="1.0193"/>
        <s v="0.0019"/>
        <s v="0.2259"/>
        <s v="0.0968"/>
        <s v="0.0704"/>
        <s v="0.1284"/>
        <s v="14.0117"/>
        <s v="0.0004"/>
        <s v="27.2894"/>
        <s v="3.9304"/>
        <s v="0.4518"/>
        <s v="19.0044"/>
        <s v="5.6849"/>
        <s v="0.9974"/>
        <s v="0.7239"/>
        <s v="0.4648"/>
        <s v="0.3773"/>
        <s v="0.1835"/>
        <s v="0.1367"/>
        <s v="0.302"/>
        <s v="0.24"/>
        <s v="36.3655"/>
        <s v="38.2914"/>
        <s v="20.916"/>
        <s v="0.0605"/>
        <s v="26.4569"/>
        <s v="19.9215"/>
        <s v="4.5003"/>
        <s v="3.1834"/>
        <s v="2.0626"/>
        <s v="0.0017"/>
        <s v="0.6938"/>
        <s v="0.2563"/>
        <s v="0.011"/>
        <s v="0.0367"/>
        <s v="0.5744"/>
        <s v="0.0194"/>
        <s v="0.1341"/>
        <s v="0.0613"/>
        <s v="0.2622"/>
        <s v="3.2433"/>
        <s v="21.6982"/>
        <s v="26.0328"/>
        <s v="0.2453"/>
        <s v="6.319"/>
        <s v="3.7145"/>
        <s v="1.5468"/>
        <s v="0.5659"/>
        <s v="0.6855"/>
        <s v="0.8931"/>
        <s v="0.3498"/>
        <s v="0.0938"/>
        <s v="0.0631"/>
        <s v="0.1155"/>
        <s v="14.1791"/>
        <s v="0.0104"/>
        <s v="26.0097"/>
        <s v="3.0153"/>
        <s v="0.3246"/>
        <s v="14.3836"/>
        <s v="4.6465"/>
        <s v="0.6204"/>
        <s v="0.5201"/>
        <s v="0.3866"/>
        <s v="0.0127"/>
        <s v="0.1674"/>
        <s v="0.1847"/>
        <s v="0.1403"/>
        <s v="0.0041"/>
        <s v="0.0641"/>
        <s v="0.0491"/>
        <s v="0.0118"/>
        <s v="26.0969"/>
        <s v="39.4865"/>
        <s v="12.5954"/>
        <s v="0.0633"/>
        <s v="12.3467"/>
        <s v="15.6209"/>
        <s v="2.1712"/>
        <s v="2.3468"/>
        <s v="4.064"/>
        <s v="0.0033"/>
        <s v="0.7211"/>
        <s v="0.3303"/>
        <s v="0.014"/>
        <s v="0.0342"/>
        <s v="0.0003"/>
        <s v="0.7815"/>
        <s v="0.0184"/>
        <s v="0.167"/>
        <s v="0.0608"/>
        <s v="0.1597"/>
        <s v="3.3079"/>
        <s v="40.8628"/>
        <s v="22.3251"/>
        <s v="0.2307"/>
        <s v="6.9322"/>
        <s v="2.6723"/>
        <s v="0.0002"/>
        <s v="1.2766"/>
        <s v="0.6114"/>
        <s v="0.7853"/>
        <s v="0.9423"/>
        <s v="0.0027"/>
        <s v="0.4029"/>
        <s v="0.1343"/>
        <s v="0.0717"/>
        <s v="0.1152"/>
        <s v="12.5828"/>
        <s v="0.0008"/>
        <s v="24.4513"/>
        <s v="4.1283"/>
        <s v="0.2742"/>
        <s v="4.2427"/>
        <s v="5.7188"/>
        <s v="0.9673"/>
        <s v="0.4744"/>
        <s v="1.2527"/>
        <s v="0.277"/>
        <s v="0.1794"/>
        <s v="0.2156"/>
        <s v="0.0011"/>
        <s v="0.1226"/>
        <s v="0.168"/>
        <s v="16.9753"/>
        <s v="34.3194"/>
        <s v="20.6387"/>
        <s v="9.1144"/>
        <s v="1.9869"/>
        <s v="2.2391"/>
        <s v="7.5586"/>
        <s v="3.1477"/>
        <s v="3.1969"/>
        <s v="0.4859"/>
        <s v="0.0145"/>
        <s v="0.0408"/>
        <s v="0.0061"/>
        <s v="0.8577"/>
        <s v="0.0202"/>
        <s v="0.2292"/>
        <s v="0.0001"/>
        <s v="0.4844"/>
        <s v="2.768"/>
        <s v="19.1989"/>
        <s v="24.2748"/>
        <s v="0.8115"/>
        <s v="5.8755"/>
        <s v="2.4904"/>
        <s v="0"/>
        <s v="0.9069"/>
        <s v="0.5272"/>
        <s v="0.6717"/>
        <s v="0.8341"/>
        <s v="0.0031"/>
        <s v="0.3424"/>
        <s v="0.1206"/>
        <s v="0.0515"/>
        <s v="0.0895"/>
        <s v="13.8442"/>
        <s v="0.0005"/>
        <s v="22.043"/>
        <s v="3.0959"/>
        <s v="0.3783"/>
        <s v="3.3374"/>
        <s v="6.1584"/>
        <s v="0.7264"/>
        <s v="0.5621"/>
        <s v="1.1697"/>
        <s v="0.4082"/>
        <s v="0.1999"/>
        <s v="0.1673"/>
        <s v="0.0851"/>
        <s v="0.187"/>
        <s v="32.8887"/>
        <s v="33.4589"/>
        <s v="10.1702"/>
        <s v="0.1653"/>
        <s v="13.0998"/>
        <s v="6.5958"/>
        <s v="1.1096"/>
        <s v="1.5748"/>
        <s v="1.7135"/>
        <s v="2.8527"/>
        <s v="0.3215"/>
        <s v="0.0082"/>
        <s v="0.0319"/>
        <s v="0.0166"/>
        <s v="0.7166"/>
        <s v="0.0209"/>
        <s v="0.2951"/>
        <s v="0.0632"/>
        <s v="0.2188"/>
        <s v="4.6951"/>
        <s v="20.0039"/>
        <s v="14.7706"/>
        <s v="0.2658"/>
        <s v="6.8381"/>
        <s v="2.7681"/>
        <s v="0.8117"/>
        <s v="0.8038"/>
        <s v="0.5798"/>
        <s v="0.6692"/>
        <s v="0.2604"/>
        <s v="0.0023"/>
        <s v="0.305"/>
        <s v="0.0455"/>
        <s v="0.0693"/>
        <s v="13.0819"/>
        <s v="22.7624"/>
        <s v="3.5394"/>
        <s v="0.3141"/>
        <s v="3.7885"/>
        <s v="5.2878"/>
        <s v="0.8736"/>
        <s v="0.2724"/>
        <s v="0.5654"/>
        <s v="0.6456"/>
        <s v="0.2457"/>
        <s v="0.2217"/>
        <s v="0.2481"/>
        <s v="0.0581"/>
        <s v="26.6046"/>
        <s v="30.5861"/>
        <s v="8.7657"/>
        <s v="0.0566"/>
        <s v="9.5385"/>
        <s v="1.9159"/>
        <s v="1.6351"/>
        <s v="5.814"/>
        <s v="2.34"/>
        <s v="0.2805"/>
        <s v="0.0093"/>
        <s v="0.0395"/>
        <s v="0.0068"/>
        <s v="0.5491"/>
        <s v="1.6315"/>
        <s v="0.0825"/>
        <s v="0.2426"/>
        <s v="0.0229"/>
        <s v="0.1314"/>
        <s v="3.6635"/>
        <s v="15.7722"/>
        <s v="25.0206"/>
        <s v="1.5473"/>
        <s v="5.3166"/>
        <s v="2.4661"/>
        <s v="0.4597"/>
        <s v="1.0235"/>
        <s v="0.7087"/>
        <s v="0.7709"/>
        <s v="0.2234"/>
        <s v="0.0014"/>
        <s v="0.3069"/>
        <s v="0.2148"/>
        <s v="0.0843"/>
        <s v="9.522"/>
        <s v="26.8282"/>
        <s v="2.9829"/>
        <s v="0.3118"/>
        <s v="2.3222"/>
        <s v="6.7645"/>
        <s v="0.7646"/>
        <s v="0.2621"/>
        <s v="0.5123"/>
        <s v="0.2412"/>
        <s v="0.4446"/>
        <s v="0.0007"/>
        <s v="0.2063"/>
        <s v="0.3034"/>
        <s v="0.2693"/>
        <s v="15.946"/>
        <s v="33.887"/>
        <s v="7.4208"/>
        <s v="0.082"/>
        <s v="8.1765"/>
        <s v="11.2606"/>
        <s v="2.9808"/>
        <s v="0.9919"/>
        <s v="1.3997"/>
        <s v="0.3342"/>
        <s v="0.0087"/>
        <s v="0.0279"/>
        <s v="0.0026"/>
        <s v="0.5313"/>
        <s v="1.0596"/>
        <s v="0.0707"/>
        <s v="0.1933"/>
        <s v="0.0423"/>
        <s v="0.1667"/>
        <s v="3.1746"/>
        <s v="30.7618"/>
        <s v="10.5441"/>
        <s v="0.0267"/>
        <s v="5.7967"/>
        <s v="1.8397"/>
        <s v="0.3194"/>
        <s v="1.0267"/>
        <s v="0.5413"/>
        <s v="1.0919"/>
        <s v="0.2239"/>
        <s v="0.3144"/>
        <s v="0.0906"/>
        <s v="0.0397"/>
        <s v="10.6483"/>
        <s v="22.2367"/>
        <s v="3.2316"/>
        <s v="0.347"/>
        <s v="2.8849"/>
        <s v="3.2004"/>
        <s v="0.6564"/>
        <s v="0.5366"/>
        <s v="0.2959"/>
        <s v="0.242"/>
        <s v="0.1504"/>
        <s v="0.0015"/>
        <s v="0.2581"/>
        <s v="0.0057"/>
        <s v="0.0582"/>
        <s v="0.2429"/>
        <s v="18.0815"/>
        <s v="23.7064"/>
        <s v="5.558"/>
        <s v="0.7871"/>
        <s v="14.5509"/>
        <s v="7.8778"/>
        <s v="1.916"/>
        <s v="1.2428"/>
        <s v="0.9427"/>
        <s v="0.0038"/>
        <s v="0.5448"/>
        <s v="0.1984"/>
        <s v="0.0158"/>
        <s v="0.0226"/>
        <s v="0.0524"/>
        <s v="0.2304"/>
        <s v="0.016"/>
        <s v="0.1131"/>
        <s v="0.2822"/>
        <s v="3.0448"/>
        <s v="18.4438"/>
        <s v="13.5471"/>
        <s v="6.3956"/>
        <s v="1.4975"/>
        <s v="0.9025"/>
        <s v="3.0662"/>
        <s v="0.9331"/>
        <s v="0.512"/>
        <s v="0.2789"/>
        <s v="0.0022"/>
        <s v="0.2927"/>
        <s v="0.1007"/>
        <s v="0.0321"/>
        <s v="12.8733"/>
        <s v="24.6186"/>
        <s v="2.9397"/>
        <s v="3.3361"/>
        <s v="5.1383"/>
        <s v="0.7538"/>
        <s v="0.5604"/>
        <s v="0.4167"/>
        <s v="0.1818"/>
        <s v="0.2097"/>
        <s v="0.0025"/>
        <s v="0.5562"/>
        <s v="0.0126"/>
        <s v="0.0635"/>
        <s v="25.0496"/>
        <s v="30.9124"/>
        <s v="4.9923"/>
        <s v="13.8775"/>
        <s v="11.3822"/>
        <s v="1.3014"/>
        <s v="1.7858"/>
        <s v="0.9317"/>
        <s v="0.2374"/>
        <s v="0.0109"/>
        <s v="0.027"/>
        <s v="0.4792"/>
        <s v="0.0172"/>
        <s v="0.13"/>
        <s v="0.0444"/>
        <s v="0.1959"/>
        <s v="0.2596"/>
        <s v="2.4527"/>
        <s v="29.3192"/>
        <s v="8.8492"/>
        <s v="0.0036"/>
        <s v="11.5439"/>
        <s v="1.5299"/>
        <s v="0.2469"/>
        <s v="0.9113"/>
        <s v="2.0364"/>
        <s v="0.5015"/>
        <s v="0.0013"/>
        <s v="0.3055"/>
        <s v="0.1898"/>
        <s v="0.0967"/>
        <s v="0.0411"/>
        <s v="11.2514"/>
        <s v="23.9125"/>
        <s v="2.8516"/>
        <s v="0.2986"/>
        <s v="3.7857"/>
        <s v="2.9476"/>
        <s v="0.5409"/>
        <s v="0.3915"/>
        <s v="0.2078"/>
        <s v="0.231"/>
        <s v="0.0698"/>
        <s v="0.1005"/>
        <s v="0.3697"/>
        <s v="0.0006"/>
        <s v="0.1904"/>
        <s v="28.8657"/>
        <s v="52.6668"/>
        <s v="4.5955"/>
        <s v="0.1493"/>
        <s v="10.9264"/>
        <s v="9.5158"/>
        <s v="1.3082"/>
        <s v="0.8352"/>
        <s v="1.1074"/>
        <s v="0.2073"/>
        <s v="0.0125"/>
        <s v="0.033"/>
        <s v="0.4189"/>
        <s v="0.0615"/>
        <s v="0.2398"/>
        <s v="0.0216"/>
        <s v="0.1213"/>
        <s v="0.267"/>
        <s v="2.485"/>
        <s v="21.0291"/>
        <s v="24.5699"/>
        <s v="0.0035"/>
        <s v="13.2201"/>
        <s v="1.7197"/>
        <s v="0.4456"/>
        <s v="3.3997"/>
        <s v="1.0014"/>
        <s v="0.4869"/>
        <s v="0.2361"/>
        <s v="0.0024"/>
        <s v="0.3464"/>
        <s v="0.1207"/>
        <s v="0.0435"/>
        <s v="13.4286"/>
        <s v="23.9904"/>
        <s v="3.5971"/>
        <s v="0.2803"/>
        <s v="3.978"/>
        <s v="6.6228"/>
        <s v="0.5718"/>
        <s v="0.2726"/>
        <s v="1.0379"/>
        <s v="0.2841"/>
        <s v="0.2034"/>
        <s v="0.0121"/>
        <s v="0.0753"/>
        <s v="0.1117"/>
        <s v="0.2077"/>
        <s v="27.5144"/>
        <s v="43.634"/>
        <s v="7.4076"/>
        <s v="0.1026"/>
        <s v="14.9911"/>
        <s v="10.1952"/>
        <s v="1.6519"/>
        <s v="1.1595"/>
        <s v="0.3148"/>
        <s v="0.0067"/>
        <s v="0.0286"/>
        <s v="0.9097"/>
        <s v="0.0012"/>
        <s v="0.4013"/>
        <s v="0.065"/>
        <s v="0.2408"/>
        <s v="0.0235"/>
        <s v="0.1424"/>
        <s v="0.3039"/>
        <s v="2.3441"/>
        <s v="35.5525"/>
        <s v="16.8864"/>
        <s v="0.001"/>
        <s v="0.0055"/>
        <s v="10.694"/>
        <s v="1.107"/>
        <s v="0.4987"/>
        <s v="1.7851"/>
        <s v="0.4881"/>
        <s v="0.6694"/>
        <s v="0.3658"/>
        <s v="0.1839"/>
        <s v="0.1222"/>
        <s v="0.0436"/>
        <s v="0.0009"/>
        <s v="12.0561"/>
        <s v="23.3769"/>
        <s v="2.4733"/>
        <s v="0.2877"/>
        <s v="3.7399"/>
        <s v="3.1968"/>
        <s v="0.5557"/>
        <s v="0.289"/>
        <s v="0.5041"/>
        <s v="0.0176"/>
        <s v="0.128"/>
        <s v="0.2697"/>
        <s v="0.5288"/>
        <s v="0.0058"/>
        <s v="0.078"/>
        <s v="16.668"/>
        <s v="55.2272"/>
        <s v="5.779"/>
        <s v="16.47"/>
        <s v="6.7338"/>
        <s v="1.2804"/>
        <s v="1.4686"/>
        <s v="0.3317"/>
        <s v="0.0119"/>
        <s v="0.0356"/>
        <s v="1.1475"/>
        <s v="0.3892"/>
        <s v="0.0688"/>
        <s v="0.3597"/>
        <s v="0.0249"/>
        <s v="0.1506"/>
        <s v="0.1096"/>
        <s v="2.667"/>
        <s v="24.4312"/>
        <s v="20.3044"/>
        <s v="0.008"/>
        <s v="16.2671"/>
        <s v="2.2527"/>
        <s v="0.6727"/>
        <s v="0.5092"/>
        <s v="1.5853"/>
        <s v="0.4419"/>
        <s v="0.1611"/>
        <s v="0.0564"/>
        <s v="0.002"/>
        <s v="0.0899"/>
        <s v="15.7212"/>
        <s v="15.4797"/>
        <s v="2.533"/>
        <s v="2.6303"/>
        <s v="2.7206"/>
        <s v="0.7049"/>
        <s v="0.3002"/>
        <s v="0.3714"/>
        <s v="0.2866"/>
        <s v="0.2384"/>
        <s v="0.0684"/>
        <s v="0.1349"/>
        <s v="0.1867"/>
        <s v="26.2228"/>
        <s v="38.7245"/>
        <s v="4.8675"/>
        <s v="9.9914"/>
        <s v="6.5203"/>
        <s v="1.1787"/>
        <s v="2.7931"/>
        <s v="0.2448"/>
        <s v="0.0075"/>
        <s v="0.0428"/>
        <s v="0.8134"/>
        <s v="0.0294"/>
        <s v="0.1805"/>
        <s v="0.0153"/>
        <s v="0.0997"/>
        <s v="0.155"/>
        <s v="0.4921"/>
        <s v="0.4943"/>
        <s v="3.5537"/>
        <s v="3.7747"/>
        <s v="7.3816"/>
        <s v="4.0456"/>
        <s v="8.1324"/>
      </sharedItems>
    </cacheField>
    <cacheField name="Volume clean" numFmtId="0">
      <sharedItems containsSemiMixedTypes="0" containsString="0" containsNumber="1">
        <n v="3.4272"/>
        <n v="30.7522"/>
        <n v="17.8592"/>
        <n v="0.2685"/>
        <n v="6.7346"/>
        <n v="2.3147"/>
        <n v="2.305"/>
        <n v="0.6274"/>
        <n v="0.6264"/>
        <n v="1.0193"/>
        <n v="0.0019"/>
        <n v="0.2259"/>
        <n v="0.0968"/>
        <n v="0.0704"/>
        <n v="0.1284"/>
        <n v="14.0117"/>
        <n v="4.0E-4"/>
        <n v="27.2894"/>
        <n v="3.9304"/>
        <n v="0.4518"/>
        <n v="19.0044"/>
        <n v="5.6849"/>
        <n v="0.9974"/>
        <n v="0.7239"/>
        <n v="0.4648"/>
        <n v="0.3773"/>
        <n v="0.1835"/>
        <n v="0.1367"/>
        <n v="0.302"/>
        <n v="0.24"/>
        <n v="36.3655"/>
        <n v="38.2914"/>
        <n v="20.916"/>
        <n v="0.0605"/>
        <n v="26.4569"/>
        <n v="19.9215"/>
        <n v="4.5003"/>
        <n v="3.1834"/>
        <n v="2.0626"/>
        <n v="0.0017"/>
        <n v="0.6938"/>
        <n v="0.2563"/>
        <n v="0.011"/>
        <n v="0.0367"/>
        <n v="0.5744"/>
        <n v="0.0194"/>
        <n v="0.1341"/>
        <n v="0.0613"/>
        <n v="0.2622"/>
        <n v="3.2433"/>
        <n v="21.6982"/>
        <n v="26.0328"/>
        <n v="0.2453"/>
        <n v="6.319"/>
        <n v="3.7145"/>
        <n v="1.5468"/>
        <n v="0.5659"/>
        <n v="0.6855"/>
        <n v="0.8931"/>
        <n v="0.3498"/>
        <n v="0.0938"/>
        <n v="0.0631"/>
        <n v="0.1155"/>
        <n v="14.1791"/>
        <n v="0.0104"/>
        <n v="26.0097"/>
        <n v="3.0153"/>
        <n v="0.3246"/>
        <n v="14.3836"/>
        <n v="4.6465"/>
        <n v="0.6204"/>
        <n v="0.5201"/>
        <n v="0.3866"/>
        <n v="0.0127"/>
        <n v="0.1674"/>
        <n v="0.1847"/>
        <n v="0.1403"/>
        <n v="0.0041"/>
        <n v="0.0641"/>
        <n v="0.0491"/>
        <n v="0.0118"/>
        <n v="26.0969"/>
        <n v="39.4865"/>
        <n v="12.5954"/>
        <n v="0.0633"/>
        <n v="12.3467"/>
        <n v="15.6209"/>
        <n v="2.1712"/>
        <n v="2.3468"/>
        <n v="4.064"/>
        <n v="0.0033"/>
        <n v="0.7211"/>
        <n v="0.3303"/>
        <n v="0.014"/>
        <n v="0.0342"/>
        <n v="3.0E-4"/>
        <n v="0.7815"/>
        <n v="0.0184"/>
        <n v="0.167"/>
        <n v="0.0608"/>
        <n v="0.1597"/>
        <n v="3.3079"/>
        <n v="40.8628"/>
        <n v="22.3251"/>
        <n v="0.2307"/>
        <n v="6.9322"/>
        <n v="2.6723"/>
        <n v="2.0E-4"/>
        <n v="1.2766"/>
        <n v="0.6114"/>
        <n v="0.7853"/>
        <n v="0.9423"/>
        <n v="0.0027"/>
        <n v="0.4029"/>
        <n v="0.1343"/>
        <n v="0.0717"/>
        <n v="0.1152"/>
        <n v="12.5828"/>
        <n v="8.0E-4"/>
        <n v="24.4513"/>
        <n v="4.1283"/>
        <n v="0.2742"/>
        <n v="4.2427"/>
        <n v="5.7188"/>
        <n v="0.9673"/>
        <n v="0.4744"/>
        <n v="1.2527"/>
        <n v="0.277"/>
        <n v="0.1794"/>
        <n v="0.2156"/>
        <n v="0.0011"/>
        <n v="0.1226"/>
        <n v="0.168"/>
        <n v="16.9753"/>
        <n v="34.3194"/>
        <n v="20.6387"/>
        <n v="9.1144"/>
        <n v="1.9869"/>
        <n v="2.2391"/>
        <n v="7.5586"/>
        <n v="3.1477"/>
        <n v="3.1969"/>
        <n v="0.4859"/>
        <n v="0.0145"/>
        <n v="0.0408"/>
        <n v="0.0061"/>
        <n v="0.8577"/>
        <n v="0.0202"/>
        <n v="0.2292"/>
        <n v="1.0E-4"/>
        <n v="0.4844"/>
        <n v="2.768"/>
        <n v="19.1989"/>
        <n v="24.2748"/>
        <n v="0.8115"/>
        <n v="5.8755"/>
        <n v="2.4904"/>
        <n v="0.0"/>
        <n v="0.9069"/>
        <n v="0.5272"/>
        <n v="0.6717"/>
        <n v="0.8341"/>
        <n v="0.0031"/>
        <n v="0.3424"/>
        <n v="0.1206"/>
        <n v="0.0515"/>
        <n v="0.0895"/>
        <n v="13.8442"/>
        <n v="5.0E-4"/>
        <n v="22.043"/>
        <n v="3.0959"/>
        <n v="0.3783"/>
        <n v="3.3374"/>
        <n v="6.1584"/>
        <n v="0.7264"/>
        <n v="0.5621"/>
        <n v="1.1697"/>
        <n v="0.4082"/>
        <n v="0.1999"/>
        <n v="0.1673"/>
        <n v="0.0851"/>
        <n v="0.187"/>
        <n v="32.8887"/>
        <n v="33.4589"/>
        <n v="10.1702"/>
        <n v="0.1653"/>
        <n v="13.0998"/>
        <n v="6.5958"/>
        <n v="1.1096"/>
        <n v="1.5748"/>
        <n v="1.7135"/>
        <n v="2.8527"/>
        <n v="0.3215"/>
        <n v="0.0082"/>
        <n v="0.0319"/>
        <n v="0.0166"/>
        <n v="0.7166"/>
        <n v="0.0209"/>
        <n v="0.2951"/>
        <n v="0.0632"/>
        <n v="0.2188"/>
        <n v="4.6951"/>
        <n v="20.0039"/>
        <n v="14.7706"/>
        <n v="0.2658"/>
        <n v="6.8381"/>
        <n v="2.7681"/>
        <n v="0.8117"/>
        <n v="0.8038"/>
        <n v="0.5798"/>
        <n v="0.6692"/>
        <n v="0.2604"/>
        <n v="0.0023"/>
        <n v="0.305"/>
        <n v="0.0455"/>
        <n v="0.0693"/>
        <n v="13.0819"/>
        <n v="22.7624"/>
        <n v="3.5394"/>
        <n v="0.3141"/>
        <n v="3.7885"/>
        <n v="5.2878"/>
        <n v="0.8736"/>
        <n v="0.2724"/>
        <n v="0.5654"/>
        <n v="0.6456"/>
        <n v="0.2457"/>
        <n v="0.2217"/>
        <n v="0.2481"/>
        <n v="0.0581"/>
        <n v="26.6046"/>
        <n v="30.5861"/>
        <n v="8.7657"/>
        <n v="0.0566"/>
        <n v="9.5385"/>
        <n v="1.9159"/>
        <n v="1.6351"/>
        <n v="5.814"/>
        <n v="2.34"/>
        <n v="0.2805"/>
        <n v="0.0093"/>
        <n v="0.0395"/>
        <n v="0.0068"/>
        <n v="0.5491"/>
        <n v="1.6315"/>
        <n v="0.0825"/>
        <n v="0.2426"/>
        <n v="0.0229"/>
        <n v="0.1314"/>
        <n v="3.6635"/>
        <n v="15.7722"/>
        <n v="25.0206"/>
        <n v="1.5473"/>
        <n v="5.3166"/>
        <n v="2.4661"/>
        <n v="0.4597"/>
        <n v="1.0235"/>
        <n v="0.7087"/>
        <n v="0.7709"/>
        <n v="0.2234"/>
        <n v="0.0014"/>
        <n v="0.3069"/>
        <n v="0.2148"/>
        <n v="0.0843"/>
        <n v="9.522"/>
        <n v="26.8282"/>
        <n v="2.9829"/>
        <n v="0.3118"/>
        <n v="2.3222"/>
        <n v="6.7645"/>
        <n v="0.7646"/>
        <n v="0.2621"/>
        <n v="0.5123"/>
        <n v="0.2412"/>
        <n v="0.4446"/>
        <n v="7.0E-4"/>
        <n v="0.2063"/>
        <n v="0.3034"/>
        <n v="0.2693"/>
        <n v="15.946"/>
        <n v="33.887"/>
        <n v="7.4208"/>
        <n v="0.082"/>
        <n v="8.1765"/>
        <n v="11.2606"/>
        <n v="2.9808"/>
        <n v="0.9919"/>
        <n v="1.3997"/>
        <n v="0.3342"/>
        <n v="0.0087"/>
        <n v="0.0279"/>
        <n v="0.0026"/>
        <n v="0.5313"/>
        <n v="1.0596"/>
        <n v="0.0707"/>
        <n v="0.1933"/>
        <n v="0.0423"/>
        <n v="0.1667"/>
        <n v="3.1746"/>
        <n v="30.7618"/>
        <n v="10.5441"/>
        <n v="0.0267"/>
        <n v="5.7967"/>
        <n v="1.8397"/>
        <n v="0.3194"/>
        <n v="1.0267"/>
        <n v="0.5413"/>
        <n v="1.0919"/>
        <n v="0.2239"/>
        <n v="0.3144"/>
        <n v="0.0906"/>
        <n v="0.0397"/>
        <n v="10.6483"/>
        <n v="22.2367"/>
        <n v="3.2316"/>
        <n v="0.347"/>
        <n v="2.8849"/>
        <n v="3.2004"/>
        <n v="0.6564"/>
        <n v="0.5366"/>
        <n v="0.2959"/>
        <n v="0.242"/>
        <n v="0.1504"/>
        <n v="0.0015"/>
        <n v="0.2581"/>
        <n v="0.0057"/>
        <n v="0.0582"/>
        <n v="0.2429"/>
        <n v="18.0815"/>
        <n v="23.7064"/>
        <n v="5.558"/>
        <n v="0.7871"/>
        <n v="14.5509"/>
        <n v="7.8778"/>
        <n v="1.916"/>
        <n v="1.2428"/>
        <n v="0.9427"/>
        <n v="0.0038"/>
        <n v="0.5448"/>
        <n v="0.1984"/>
        <n v="0.0158"/>
        <n v="0.0226"/>
        <n v="0.0524"/>
        <n v="0.2304"/>
        <n v="0.016"/>
        <n v="0.1131"/>
        <n v="0.2822"/>
        <n v="3.0448"/>
        <n v="18.4438"/>
        <n v="13.5471"/>
        <n v="6.3956"/>
        <n v="1.4975"/>
        <n v="0.9025"/>
        <n v="3.0662"/>
        <n v="0.9331"/>
        <n v="0.512"/>
        <n v="0.2789"/>
        <n v="0.0022"/>
        <n v="0.2927"/>
        <n v="0.1007"/>
        <n v="0.0321"/>
        <n v="12.8733"/>
        <n v="24.6186"/>
        <n v="2.9397"/>
        <n v="3.3361"/>
        <n v="5.1383"/>
        <n v="0.7538"/>
        <n v="0.5604"/>
        <n v="0.4167"/>
        <n v="0.1818"/>
        <n v="0.2097"/>
        <n v="0.0025"/>
        <n v="0.5562"/>
        <n v="0.0126"/>
        <n v="0.0635"/>
        <n v="25.0496"/>
        <n v="30.9124"/>
        <n v="4.9923"/>
        <n v="13.8775"/>
        <n v="11.3822"/>
        <n v="1.3014"/>
        <n v="1.7858"/>
        <n v="0.9317"/>
        <n v="0.2374"/>
        <n v="0.0109"/>
        <n v="0.027"/>
        <n v="0.4792"/>
        <n v="0.0172"/>
        <n v="0.13"/>
        <n v="0.0444"/>
        <n v="0.1959"/>
        <n v="0.2596"/>
        <n v="2.4527"/>
        <n v="29.3192"/>
        <n v="8.8492"/>
        <n v="0.0036"/>
        <n v="11.5439"/>
        <n v="1.5299"/>
        <n v="0.2469"/>
        <n v="0.9113"/>
        <n v="2.0364"/>
        <n v="0.5015"/>
        <n v="0.0013"/>
        <n v="0.3055"/>
        <n v="0.1898"/>
        <n v="0.0967"/>
        <n v="0.0411"/>
        <n v="11.2514"/>
        <n v="23.9125"/>
        <n v="2.8516"/>
        <n v="0.2986"/>
        <n v="3.7857"/>
        <n v="2.9476"/>
        <n v="0.5409"/>
        <n v="0.3915"/>
        <n v="0.2078"/>
        <n v="0.231"/>
        <n v="0.0698"/>
        <n v="0.1005"/>
        <n v="0.3697"/>
        <n v="6.0E-4"/>
        <n v="0.1904"/>
        <n v="28.8657"/>
        <n v="52.6668"/>
        <n v="4.5955"/>
        <n v="0.1493"/>
        <n v="10.9264"/>
        <n v="9.5158"/>
        <n v="1.3082"/>
        <n v="0.8352"/>
        <n v="1.1074"/>
        <n v="0.2073"/>
        <n v="0.0125"/>
        <n v="0.033"/>
        <n v="0.4189"/>
        <n v="0.0615"/>
        <n v="0.2398"/>
        <n v="0.0216"/>
        <n v="0.1213"/>
        <n v="0.267"/>
        <n v="2.485"/>
        <n v="21.0291"/>
        <n v="24.5699"/>
        <n v="0.0035"/>
        <n v="13.2201"/>
        <n v="1.7197"/>
        <n v="0.4456"/>
        <n v="3.3997"/>
        <n v="1.0014"/>
        <n v="0.4869"/>
        <n v="0.2361"/>
        <n v="0.0024"/>
        <n v="0.3464"/>
        <n v="0.1207"/>
        <n v="0.0435"/>
        <n v="13.4286"/>
        <n v="23.9904"/>
        <n v="3.5971"/>
        <n v="0.2803"/>
        <n v="3.978"/>
        <n v="6.6228"/>
        <n v="0.5718"/>
        <n v="0.2726"/>
        <n v="1.0379"/>
        <n v="0.2841"/>
        <n v="0.2034"/>
        <n v="0.0121"/>
        <n v="0.0753"/>
        <n v="0.1117"/>
        <n v="0.2077"/>
        <n v="27.5144"/>
        <n v="43.634"/>
        <n v="7.4076"/>
        <n v="0.1026"/>
        <n v="14.9911"/>
        <n v="10.1952"/>
        <n v="1.6519"/>
        <n v="1.1595"/>
        <n v="0.3148"/>
        <n v="0.0067"/>
        <n v="0.0286"/>
        <n v="0.9097"/>
        <n v="0.0012"/>
        <n v="0.4013"/>
        <n v="0.065"/>
        <n v="0.2408"/>
        <n v="0.0235"/>
        <n v="0.1424"/>
        <n v="0.3039"/>
        <n v="2.3441"/>
        <n v="35.5525"/>
        <n v="16.8864"/>
        <n v="0.001"/>
        <n v="0.0055"/>
        <n v="10.694"/>
        <n v="1.107"/>
        <n v="0.4987"/>
        <n v="1.7851"/>
        <n v="0.4881"/>
        <n v="0.6694"/>
        <n v="0.3658"/>
        <n v="0.1839"/>
        <n v="0.1222"/>
        <n v="0.0436"/>
        <n v="9.0E-4"/>
        <n v="12.0561"/>
        <n v="23.3769"/>
        <n v="2.4733"/>
        <n v="0.2877"/>
        <n v="3.7399"/>
        <n v="3.1968"/>
        <n v="0.5557"/>
        <n v="0.289"/>
        <n v="0.5041"/>
        <n v="0.0176"/>
        <n v="0.128"/>
        <n v="0.2697"/>
        <n v="0.5288"/>
        <n v="0.0058"/>
        <n v="0.078"/>
        <n v="16.668"/>
        <n v="55.2272"/>
        <n v="5.779"/>
        <n v="16.47"/>
        <n v="6.7338"/>
        <n v="1.2804"/>
        <n v="1.4686"/>
        <n v="0.3317"/>
        <n v="0.0119"/>
        <n v="0.0356"/>
        <n v="1.1475"/>
        <n v="0.3892"/>
        <n v="0.0688"/>
        <n v="0.3597"/>
        <n v="0.0249"/>
        <n v="0.1506"/>
        <n v="0.1096"/>
        <n v="2.667"/>
        <n v="24.4312"/>
        <n v="20.3044"/>
        <n v="0.008"/>
        <n v="16.2671"/>
        <n v="2.2527"/>
        <n v="0.6727"/>
        <n v="0.5092"/>
        <n v="1.5853"/>
        <n v="0.4419"/>
        <n v="0.1611"/>
        <n v="0.0564"/>
        <n v="0.002"/>
        <n v="0.0899"/>
        <n v="15.7212"/>
        <n v="15.4797"/>
        <n v="2.533"/>
        <n v="2.6303"/>
        <n v="2.7206"/>
        <n v="0.7049"/>
        <n v="0.3002"/>
        <n v="0.3714"/>
        <n v="0.2866"/>
        <n v="0.2384"/>
        <n v="0.0684"/>
        <n v="0.1349"/>
        <n v="0.1867"/>
        <n v="26.2228"/>
        <n v="38.7245"/>
        <n v="4.8675"/>
        <n v="9.9914"/>
        <n v="6.5203"/>
        <n v="1.1787"/>
        <n v="2.7931"/>
        <n v="0.2448"/>
        <n v="0.0075"/>
        <n v="0.0428"/>
        <n v="0.8134"/>
        <n v="0.0294"/>
        <n v="0.1805"/>
        <n v="0.0153"/>
        <n v="0.0997"/>
        <n v="0.155"/>
        <n v="0.4921"/>
        <n v="0.4943"/>
        <n v="3.5537"/>
        <n v="3.7747"/>
        <n v="7.3816"/>
        <n v="4.0456"/>
        <n v="8.1324"/>
      </sharedItems>
    </cacheField>
    <cacheField name="Number of stores" numFmtId="0">
      <sharedItems>
        <s v="477"/>
        <s v="754"/>
        <s v="629"/>
        <s v="29"/>
        <s v="663"/>
        <s v="547"/>
        <s v="325"/>
        <s v="96"/>
        <s v="95"/>
        <s v="191"/>
        <s v="4"/>
        <s v="78"/>
        <s v="0"/>
        <s v="7561"/>
        <s v="1"/>
        <s v="8754"/>
        <s v="1426"/>
        <s v="277"/>
        <s v="5948"/>
        <s v="1776"/>
        <s v="1627"/>
        <s v="514"/>
        <s v="355"/>
        <s v="298"/>
        <s v="71"/>
        <s v="2"/>
        <s v="49"/>
        <s v="613"/>
        <s v="10568"/>
        <s v="8553"/>
        <s v="2638"/>
        <s v="53"/>
        <s v="5157"/>
        <s v="6724"/>
        <s v="3312"/>
        <s v="1018"/>
        <s v="709"/>
        <s v="10"/>
        <s v="223"/>
        <s v="100"/>
        <s v="7"/>
        <s v="50"/>
        <s v="179"/>
        <s v="63"/>
        <s v="67"/>
        <s v="479"/>
        <s v="771"/>
        <s v="648"/>
        <s v="23"/>
        <s v="668"/>
        <s v="525"/>
        <s v="319"/>
        <s v="89"/>
        <s v="93"/>
        <s v="168"/>
        <s v="108"/>
        <s v="70"/>
        <s v="8031"/>
        <s v="16"/>
        <s v="9400"/>
        <s v="1291"/>
        <s v="279"/>
        <s v="5524"/>
        <s v="1919"/>
        <s v="1549"/>
        <s v="518"/>
        <s v="253"/>
        <s v="51"/>
        <s v="84"/>
        <s v="233"/>
        <s v="282"/>
        <s v="9957"/>
        <s v="8768"/>
        <s v="2630"/>
        <s v="3891"/>
        <s v="6043"/>
        <s v="2546"/>
        <s v="1093"/>
        <s v="919"/>
        <s v="13"/>
        <s v="238"/>
        <s v="8"/>
        <s v="40"/>
        <s v="150"/>
        <s v="480"/>
        <s v="776"/>
        <s v="664"/>
        <s v="503"/>
        <s v="301"/>
        <s v="128"/>
        <s v="114"/>
        <s v="7797"/>
        <s v="3"/>
        <s v="8564"/>
        <s v="1297"/>
        <s v="283"/>
        <s v="1612"/>
        <s v="3521"/>
        <s v="1440"/>
        <s v="434"/>
        <s v="976"/>
        <s v="72"/>
        <s v="239"/>
        <s v="292"/>
        <s v="10268"/>
        <s v="8169"/>
        <s v="2632"/>
        <s v="65"/>
        <s v="2764"/>
        <s v="1801"/>
        <s v="1471"/>
        <s v="3778"/>
        <s v="869"/>
        <s v="2485"/>
        <s v="111"/>
        <s v="6"/>
        <s v="47"/>
        <s v="21"/>
        <s v="257"/>
        <s v="158"/>
        <s v="478"/>
        <s v="786"/>
        <s v="671"/>
        <s v="482"/>
        <s v="302"/>
        <s v="94"/>
        <s v="115"/>
        <s v="119"/>
        <s v="113"/>
        <s v="105"/>
        <s v="8093"/>
        <s v="8792"/>
        <s v="1462"/>
        <s v="323"/>
        <s v="1496"/>
        <s v="2626"/>
        <s v="1774"/>
        <s v="580"/>
        <s v="996"/>
        <s v="406"/>
        <s v="243"/>
        <s v="104"/>
        <s v="307"/>
        <s v="11160"/>
        <s v="8304"/>
        <s v="2421"/>
        <s v="2316"/>
        <s v="2651"/>
        <s v="1399"/>
        <s v="1473"/>
        <s v="743"/>
        <s v="2566"/>
        <s v="54"/>
        <s v="28"/>
        <s v="262"/>
        <s v="572"/>
        <s v="778"/>
        <s v="640"/>
        <s v="22"/>
        <s v="633"/>
        <s v="285"/>
        <s v="138"/>
        <s v="46"/>
        <s v="7742"/>
        <s v="8213"/>
        <s v="1256"/>
        <s v="337"/>
        <s v="1342"/>
        <s v="2350"/>
        <s v="1569"/>
        <s v="330"/>
        <s v="327"/>
        <s v="780"/>
        <s v="245"/>
        <s v="334"/>
        <s v="188"/>
        <s v="11236"/>
        <s v="7935"/>
        <s v="2129"/>
        <s v="34"/>
        <s v="2262"/>
        <s v="1621"/>
        <s v="1225"/>
        <s v="2207"/>
        <s v="827"/>
        <s v="106"/>
        <s v="5"/>
        <s v="48"/>
        <s v="14"/>
        <s v="202"/>
        <s v="1966"/>
        <s v="598"/>
        <s v="719"/>
        <s v="620"/>
        <s v="490"/>
        <s v="222"/>
        <s v="98"/>
        <s v="164"/>
        <s v="117"/>
        <s v="82"/>
        <s v="7767"/>
        <s v="8911"/>
        <s v="1480"/>
        <s v="308"/>
        <s v="1295"/>
        <s v="2074"/>
        <s v="1783"/>
        <s v="235"/>
        <s v="320"/>
        <s v="367"/>
        <s v="608"/>
        <s v="338"/>
        <s v="701"/>
        <s v="121"/>
        <s v="10036"/>
        <s v="8203"/>
        <s v="1810"/>
        <s v="2246"/>
        <s v="2090"/>
        <s v="630"/>
        <s v="1587"/>
        <s v="1088"/>
        <s v="97"/>
        <s v="43"/>
        <s v="220"/>
        <s v="1456"/>
        <s v="714"/>
        <s v="578"/>
        <s v="575"/>
        <s v="475"/>
        <s v="166"/>
        <s v="151"/>
        <s v="172"/>
        <s v="183"/>
        <s v="57"/>
        <s v="8349"/>
        <s v="8630"/>
        <s v="1457"/>
        <s v="1343"/>
        <s v="1973"/>
        <s v="1216"/>
        <s v="484"/>
        <s v="394"/>
        <s v="422"/>
        <s v="400"/>
        <s v="11371"/>
        <s v="2354"/>
        <s v="2063"/>
        <s v="1689"/>
        <s v="1130"/>
        <s v="718"/>
        <s v="201"/>
        <s v="529"/>
        <s v="697"/>
        <s v="506"/>
        <s v="461"/>
        <s v="153"/>
        <s v="187"/>
        <s v="116"/>
        <s v="79"/>
        <s v="8388"/>
        <s v="9467"/>
        <s v="1318"/>
        <s v="1323"/>
        <s v="2058"/>
        <s v="1415"/>
        <s v="250"/>
        <s v="409"/>
        <s v="256"/>
        <s v="397"/>
        <s v="11510"/>
        <s v="7827"/>
        <s v="1230"/>
        <s v="2016"/>
        <s v="1997"/>
        <s v="1584"/>
        <s v="872"/>
        <s v="91"/>
        <s v="41"/>
        <s v="190"/>
        <s v="532"/>
        <s v="710"/>
        <s v="508"/>
        <s v="646"/>
        <s v="454"/>
        <s v="162"/>
        <s v="174"/>
        <s v="181"/>
        <s v="7789"/>
        <s v="9323"/>
        <s v="1288"/>
        <s v="305"/>
        <s v="1363"/>
        <s v="1787"/>
        <s v="1360"/>
        <s v="259"/>
        <s v="234"/>
        <s v="73"/>
        <s v="74"/>
        <s v="830"/>
        <s v="11267"/>
        <s v="11891"/>
        <s v="1076"/>
        <s v="2225"/>
        <s v="2081"/>
        <s v="1505"/>
        <s v="847"/>
        <s v="574"/>
        <s v="86"/>
        <s v="170"/>
        <s v="536"/>
        <s v="513"/>
        <s v="649"/>
        <s v="469"/>
        <s v="273"/>
        <s v="171"/>
        <s v="167"/>
        <s v="101"/>
        <s v="209"/>
        <s v="118"/>
        <s v="9001"/>
        <s v="9709"/>
        <s v="1303"/>
        <s v="252"/>
        <s v="1419"/>
        <s v="1872"/>
        <s v="1454"/>
        <s v="275"/>
        <s v="249"/>
        <s v="177"/>
        <s v="270"/>
        <s v="11485"/>
        <s v="14382"/>
        <s v="1165"/>
        <s v="52"/>
        <s v="1918"/>
        <s v="1585"/>
        <s v="1206"/>
        <s v="584"/>
        <s v="539"/>
        <s v="794"/>
        <s v="551"/>
        <s v="645"/>
        <s v="476"/>
        <s v="314"/>
        <s v="175"/>
        <s v="103"/>
        <s v="160"/>
        <s v="123"/>
        <s v="194"/>
        <s v="61"/>
        <s v="8353"/>
        <s v="9988"/>
        <s v="1070"/>
        <s v="1860"/>
        <s v="1520"/>
        <s v="362"/>
        <s v="195"/>
        <s v="272"/>
        <s v="10435"/>
        <s v="15696"/>
        <s v="1071"/>
        <s v="2071"/>
        <s v="1914"/>
        <s v="99"/>
        <s v="432"/>
        <s v="80"/>
        <s v="543"/>
        <s v="795"/>
        <s v="568"/>
        <s v="658"/>
        <s v="466"/>
        <s v="341"/>
        <s v="225"/>
        <s v="133"/>
        <s v="60"/>
        <s v="8742"/>
        <s v="8900"/>
        <s v="178"/>
        <s v="939"/>
        <s v="1595"/>
        <s v="1181"/>
        <s v="439"/>
        <s v="460"/>
        <s v="212"/>
        <s v="11727"/>
        <s v="15236"/>
        <s v="1006"/>
        <s v="45"/>
        <s v="1907"/>
        <s v="2078"/>
        <s v="1031"/>
        <s v="9"/>
        <s v="2067"/>
        <s v="107"/>
        <s v="56"/>
        <s v="511"/>
        <s v="81"/>
        <s v="87"/>
        <s v="124"/>
        <s v="271"/>
        <s v="1713"/>
        <s v="1607"/>
        <s v="468"/>
        <s v="1889"/>
        <s v="2079"/>
      </sharedItems>
    </cacheField>
    <cacheField name="Number of stores clean" numFmtId="0">
      <sharedItems containsSemiMixedTypes="0" containsString="0" containsNumber="1" containsInteger="1">
        <n v="477.0"/>
        <n v="754.0"/>
        <n v="629.0"/>
        <n v="29.0"/>
        <n v="663.0"/>
        <n v="547.0"/>
        <n v="325.0"/>
        <n v="96.0"/>
        <n v="95.0"/>
        <n v="191.0"/>
        <n v="4.0"/>
        <n v="78.0"/>
        <n v="0.0"/>
        <n v="7561.0"/>
        <n v="1.0"/>
        <n v="8754.0"/>
        <n v="1426.0"/>
        <n v="277.0"/>
        <n v="5948.0"/>
        <n v="1776.0"/>
        <n v="1627.0"/>
        <n v="514.0"/>
        <n v="355.0"/>
        <n v="298.0"/>
        <n v="71.0"/>
        <n v="2.0"/>
        <n v="49.0"/>
        <n v="613.0"/>
        <n v="10568.0"/>
        <n v="8553.0"/>
        <n v="2638.0"/>
        <n v="53.0"/>
        <n v="5157.0"/>
        <n v="6724.0"/>
        <n v="3312.0"/>
        <n v="1018.0"/>
        <n v="709.0"/>
        <n v="10.0"/>
        <n v="223.0"/>
        <n v="100.0"/>
        <n v="7.0"/>
        <n v="50.0"/>
        <n v="179.0"/>
        <n v="63.0"/>
        <n v="67.0"/>
        <n v="479.0"/>
        <n v="771.0"/>
        <n v="648.0"/>
        <n v="23.0"/>
        <n v="668.0"/>
        <n v="525.0"/>
        <n v="319.0"/>
        <n v="89.0"/>
        <n v="93.0"/>
        <n v="168.0"/>
        <n v="108.0"/>
        <n v="70.0"/>
        <n v="8031.0"/>
        <n v="16.0"/>
        <n v="9400.0"/>
        <n v="1291.0"/>
        <n v="279.0"/>
        <n v="5524.0"/>
        <n v="1919.0"/>
        <n v="1549.0"/>
        <n v="518.0"/>
        <n v="253.0"/>
        <n v="51.0"/>
        <n v="84.0"/>
        <n v="233.0"/>
        <n v="282.0"/>
        <n v="9957.0"/>
        <n v="8768.0"/>
        <n v="2630.0"/>
        <n v="3891.0"/>
        <n v="6043.0"/>
        <n v="2546.0"/>
        <n v="1093.0"/>
        <n v="919.0"/>
        <n v="13.0"/>
        <n v="238.0"/>
        <n v="8.0"/>
        <n v="40.0"/>
        <n v="150.0"/>
        <n v="480.0"/>
        <n v="776.0"/>
        <n v="664.0"/>
        <n v="503.0"/>
        <n v="301.0"/>
        <n v="128.0"/>
        <n v="114.0"/>
        <n v="7797.0"/>
        <n v="3.0"/>
        <n v="8564.0"/>
        <n v="1297.0"/>
        <n v="283.0"/>
        <n v="1612.0"/>
        <n v="3521.0"/>
        <n v="1440.0"/>
        <n v="434.0"/>
        <n v="976.0"/>
        <n v="72.0"/>
        <n v="239.0"/>
        <n v="292.0"/>
        <n v="10268.0"/>
        <n v="8169.0"/>
        <n v="2632.0"/>
        <n v="65.0"/>
        <n v="2764.0"/>
        <n v="1801.0"/>
        <n v="1471.0"/>
        <n v="3778.0"/>
        <n v="869.0"/>
        <n v="2485.0"/>
        <n v="111.0"/>
        <n v="6.0"/>
        <n v="47.0"/>
        <n v="21.0"/>
        <n v="257.0"/>
        <n v="158.0"/>
        <n v="478.0"/>
        <n v="786.0"/>
        <n v="671.0"/>
        <n v="482.0"/>
        <n v="302.0"/>
        <n v="94.0"/>
        <n v="115.0"/>
        <n v="119.0"/>
        <n v="113.0"/>
        <n v="105.0"/>
        <n v="8093.0"/>
        <n v="8792.0"/>
        <n v="1462.0"/>
        <n v="323.0"/>
        <n v="1496.0"/>
        <n v="2626.0"/>
        <n v="1774.0"/>
        <n v="580.0"/>
        <n v="996.0"/>
        <n v="406.0"/>
        <n v="243.0"/>
        <n v="104.0"/>
        <n v="307.0"/>
        <n v="11160.0"/>
        <n v="8304.0"/>
        <n v="2421.0"/>
        <n v="2316.0"/>
        <n v="2651.0"/>
        <n v="1399.0"/>
        <n v="1473.0"/>
        <n v="743.0"/>
        <n v="2566.0"/>
        <n v="54.0"/>
        <n v="28.0"/>
        <n v="262.0"/>
        <n v="572.0"/>
        <n v="778.0"/>
        <n v="640.0"/>
        <n v="22.0"/>
        <n v="633.0"/>
        <n v="285.0"/>
        <n v="138.0"/>
        <n v="46.0"/>
        <n v="7742.0"/>
        <n v="8213.0"/>
        <n v="1256.0"/>
        <n v="337.0"/>
        <n v="1342.0"/>
        <n v="2350.0"/>
        <n v="1569.0"/>
        <n v="330.0"/>
        <n v="327.0"/>
        <n v="780.0"/>
        <n v="245.0"/>
        <n v="334.0"/>
        <n v="188.0"/>
        <n v="11236.0"/>
        <n v="7935.0"/>
        <n v="2129.0"/>
        <n v="34.0"/>
        <n v="2262.0"/>
        <n v="1621.0"/>
        <n v="1225.0"/>
        <n v="2207.0"/>
        <n v="827.0"/>
        <n v="106.0"/>
        <n v="5.0"/>
        <n v="48.0"/>
        <n v="14.0"/>
        <n v="202.0"/>
        <n v="1966.0"/>
        <n v="598.0"/>
        <n v="719.0"/>
        <n v="620.0"/>
        <n v="490.0"/>
        <n v="222.0"/>
        <n v="98.0"/>
        <n v="164.0"/>
        <n v="117.0"/>
        <n v="82.0"/>
        <n v="7767.0"/>
        <n v="8911.0"/>
        <n v="1480.0"/>
        <n v="308.0"/>
        <n v="1295.0"/>
        <n v="2074.0"/>
        <n v="1783.0"/>
        <n v="235.0"/>
        <n v="320.0"/>
        <n v="367.0"/>
        <n v="608.0"/>
        <n v="338.0"/>
        <n v="701.0"/>
        <n v="121.0"/>
        <n v="10036.0"/>
        <n v="8203.0"/>
        <n v="1810.0"/>
        <n v="2246.0"/>
        <n v="2090.0"/>
        <n v="630.0"/>
        <n v="1587.0"/>
        <n v="1088.0"/>
        <n v="97.0"/>
        <n v="43.0"/>
        <n v="220.0"/>
        <n v="1456.0"/>
        <n v="714.0"/>
        <n v="578.0"/>
        <n v="575.0"/>
        <n v="475.0"/>
        <n v="166.0"/>
        <n v="151.0"/>
        <n v="172.0"/>
        <n v="183.0"/>
        <n v="57.0"/>
        <n v="8349.0"/>
        <n v="8630.0"/>
        <n v="1457.0"/>
        <n v="1343.0"/>
        <n v="1973.0"/>
        <n v="1216.0"/>
        <n v="484.0"/>
        <n v="394.0"/>
        <n v="422.0"/>
        <n v="400.0"/>
        <n v="11371.0"/>
        <n v="2354.0"/>
        <n v="2063.0"/>
        <n v="1689.0"/>
        <n v="1130.0"/>
        <n v="718.0"/>
        <n v="201.0"/>
        <n v="529.0"/>
        <n v="697.0"/>
        <n v="506.0"/>
        <n v="461.0"/>
        <n v="153.0"/>
        <n v="187.0"/>
        <n v="116.0"/>
        <n v="79.0"/>
        <n v="8388.0"/>
        <n v="9467.0"/>
        <n v="1318.0"/>
        <n v="1323.0"/>
        <n v="2058.0"/>
        <n v="1415.0"/>
        <n v="250.0"/>
        <n v="409.0"/>
        <n v="256.0"/>
        <n v="397.0"/>
        <n v="11510.0"/>
        <n v="7827.0"/>
        <n v="1230.0"/>
        <n v="2016.0"/>
        <n v="1997.0"/>
        <n v="1584.0"/>
        <n v="872.0"/>
        <n v="91.0"/>
        <n v="41.0"/>
        <n v="190.0"/>
        <n v="532.0"/>
        <n v="710.0"/>
        <n v="508.0"/>
        <n v="646.0"/>
        <n v="454.0"/>
        <n v="162.0"/>
        <n v="174.0"/>
        <n v="181.0"/>
        <n v="7789.0"/>
        <n v="9323.0"/>
        <n v="1288.0"/>
        <n v="305.0"/>
        <n v="1363.0"/>
        <n v="1787.0"/>
        <n v="1360.0"/>
        <n v="259.0"/>
        <n v="234.0"/>
        <n v="73.0"/>
        <n v="74.0"/>
        <n v="830.0"/>
        <n v="11267.0"/>
        <n v="11891.0"/>
        <n v="1076.0"/>
        <n v="2225.0"/>
        <n v="2081.0"/>
        <n v="1505.0"/>
        <n v="847.0"/>
        <n v="574.0"/>
        <n v="86.0"/>
        <n v="170.0"/>
        <n v="536.0"/>
        <n v="513.0"/>
        <n v="649.0"/>
        <n v="469.0"/>
        <n v="273.0"/>
        <n v="171.0"/>
        <n v="167.0"/>
        <n v="101.0"/>
        <n v="209.0"/>
        <n v="118.0"/>
        <n v="9001.0"/>
        <n v="9709.0"/>
        <n v="1303.0"/>
        <n v="252.0"/>
        <n v="1419.0"/>
        <n v="1872.0"/>
        <n v="1454.0"/>
        <n v="275.0"/>
        <n v="249.0"/>
        <n v="177.0"/>
        <n v="270.0"/>
        <n v="11485.0"/>
        <n v="14382.0"/>
        <n v="1165.0"/>
        <n v="52.0"/>
        <n v="1918.0"/>
        <n v="1585.0"/>
        <n v="1206.0"/>
        <n v="584.0"/>
        <n v="539.0"/>
        <n v="794.0"/>
        <n v="551.0"/>
        <n v="645.0"/>
        <n v="476.0"/>
        <n v="314.0"/>
        <n v="175.0"/>
        <n v="103.0"/>
        <n v="160.0"/>
        <n v="123.0"/>
        <n v="194.0"/>
        <n v="61.0"/>
        <n v="8353.0"/>
        <n v="9988.0"/>
        <n v="1070.0"/>
        <n v="1860.0"/>
        <n v="1520.0"/>
        <n v="362.0"/>
        <n v="195.0"/>
        <n v="272.0"/>
        <n v="10435.0"/>
        <n v="15696.0"/>
        <n v="1071.0"/>
        <n v="2071.0"/>
        <n v="1914.0"/>
        <n v="99.0"/>
        <n v="432.0"/>
        <n v="80.0"/>
        <n v="543.0"/>
        <n v="795.0"/>
        <n v="568.0"/>
        <n v="658.0"/>
        <n v="466.0"/>
        <n v="341.0"/>
        <n v="225.0"/>
        <n v="133.0"/>
        <n v="60.0"/>
        <n v="8742.0"/>
        <n v="8900.0"/>
        <n v="178.0"/>
        <n v="939.0"/>
        <n v="1595.0"/>
        <n v="1181.0"/>
        <n v="439.0"/>
        <n v="460.0"/>
        <n v="212.0"/>
        <n v="11727.0"/>
        <n v="15236.0"/>
        <n v="1006.0"/>
        <n v="45.0"/>
        <n v="1907.0"/>
        <n v="2078.0"/>
        <n v="1031.0"/>
        <n v="9.0"/>
        <n v="2067.0"/>
        <n v="107.0"/>
        <n v="56.0"/>
        <n v="511.0"/>
        <n v="81.0"/>
        <n v="87.0"/>
        <n v="124.0"/>
        <n v="271.0"/>
        <n v="1713.0"/>
        <n v="1607.0"/>
        <n v="468.0"/>
        <n v="1889.0"/>
        <n v="2079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676" sheet="2021"/>
  </cacheSource>
  <cacheFields>
    <cacheField name="Year" numFmtId="0">
      <sharedItems containsSemiMixedTypes="0" containsString="0" containsNumber="1" containsInteger="1">
        <n v="2021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Yellow"/>
        <s v="White"/>
        <s v="Red"/>
        <s v="Orange"/>
        <s v="Purple"/>
        <s v="Brown"/>
        <s v="Pink"/>
        <s v="Golden"/>
        <s v="Grey"/>
        <s v="Vivid"/>
        <s v="Deep"/>
        <s v="Moderate"/>
        <s v="Pale"/>
        <s v="Dim"/>
        <s v="Lime"/>
        <s v="Virulent"/>
        <s v="Magenta"/>
        <s v="Rosy"/>
        <s v="Beige"/>
        <s v="Lilac"/>
        <s v="Cream"/>
        <s v="Cotton"/>
        <s v="Silver"/>
        <s v="Snow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>
      <sharedItems containsDate="1" containsMixedTypes="1">
        <d v="7583-12-01T00:00:00Z"/>
        <s v="61.6034"/>
        <s v="47.7524"/>
        <s v="0.0017"/>
        <s v="0.0509"/>
        <s v="32.5492"/>
        <d v="3615-03-01T00:00:00Z"/>
        <d v="4148-01-01T00:00:00Z"/>
        <d v="3779-04-01T00:00:00Z"/>
        <s v="2.563"/>
        <s v="0.9379999999999999"/>
        <s v="0.0066"/>
        <d v="2009-01-01T00:00:00Z"/>
        <s v="0.3449"/>
        <s v="0.3859"/>
        <s v="0.0197"/>
        <s v="0.2111"/>
        <s v="0.0011"/>
        <s v="60.7356"/>
        <s v="53.4502"/>
        <d v="7236-04-01T00:00:00Z"/>
        <s v="0.2761"/>
        <s v="0.0109"/>
        <s v="6.601"/>
        <s v="22.0065"/>
        <s v="3.368"/>
        <s v="0.6442"/>
        <d v="5582-01-01T00:00:00Z"/>
        <s v="0.9092"/>
        <s v="0.7546"/>
        <s v="0.3194"/>
        <s v="0.0203"/>
        <s v="0.2341"/>
        <s v="0.0033"/>
        <s v="0.4005"/>
        <s v="97.1922"/>
        <s v="147.9807"/>
        <s v="9.352499999999999"/>
        <s v="0.0646"/>
        <s v="0.0052"/>
        <s v="49.6951"/>
        <s v="36.8688"/>
        <d v="7811-02-01T00:00:00Z"/>
        <d v="3559-05-01T00:00:00Z"/>
        <d v="8007-01-01T00:00:00Z"/>
        <s v="0.0343"/>
        <s v="0.0712"/>
        <n v="-94199.0"/>
        <s v="0.3247"/>
        <s v="1.147"/>
        <d v="2875-01-01T00:00:00Z"/>
        <s v="0.0013"/>
        <s v="0.6515"/>
        <s v="0.0007"/>
        <s v="0.0577"/>
        <s v="0.2991"/>
        <n v="-400730.0"/>
        <s v="71.5818"/>
        <s v="30.1637"/>
        <s v="0.07530000000000001"/>
        <s v="21.9409"/>
        <s v="4.788"/>
        <d v="5794-02-01T00:00:00Z"/>
        <d v="4279-02-01T00:00:00Z"/>
        <s v="0.7081"/>
        <s v="0.9907"/>
        <s v="0.0058"/>
        <n v="-502937.0"/>
        <s v="0.3763"/>
        <s v="0.5313"/>
        <s v="0.0106"/>
        <s v="0.2056"/>
        <s v="54.9092"/>
        <s v="39.3809"/>
        <d v="9295-04-01T00:00:00Z"/>
        <s v="0.3959"/>
        <s v="0.0044"/>
        <d v="3705-07-01T00:00:00Z"/>
        <s v="7.646"/>
        <n v="-397657.0"/>
        <s v="0.5181"/>
        <d v="4093-01-01T00:00:00Z"/>
        <s v="0.5252"/>
        <s v="0.8628"/>
        <s v="0.0235"/>
        <s v="0.2102"/>
        <s v="0.0159"/>
        <s v="0.3496"/>
        <s v="0.0003"/>
        <s v="0.0954"/>
        <s v="158.1197"/>
        <s v="110.5001"/>
        <d v="4026-06-01T00:00:00Z"/>
        <s v="0.0408"/>
        <s v="0.0165"/>
        <s v="20.2505"/>
        <s v="19.6373"/>
        <s v="2.978"/>
        <d v="2412-03-01T00:00:00Z"/>
        <s v="1.541"/>
        <s v="0.0206"/>
        <s v="0.0738"/>
        <s v="0.0551"/>
        <s v="0.4099"/>
        <s v="0.2964"/>
        <s v="0.8342000000000001"/>
        <s v="1.403"/>
        <n v="-403591.0"/>
        <s v="0.5091"/>
        <d v="7284-12-01T00:00:00Z"/>
        <s v="71.5553"/>
        <s v="36.161"/>
        <s v="0.0728"/>
        <s v="25.6654"/>
        <d v="6165-03-01T00:00:00Z"/>
        <d v="7589-04-01T00:00:00Z"/>
        <d v="5793-02-01T00:00:00Z"/>
        <s v="0.4134"/>
        <s v="0.008200000000000001"/>
        <n v="-376928.0"/>
        <s v="0.7852"/>
        <s v="0.2595"/>
        <s v="0.2084"/>
        <s v="0.3992"/>
        <s v="0.011"/>
        <s v="58.9925"/>
        <s v="55.1167"/>
        <n v="-338457.0"/>
        <s v="0.3926"/>
        <s v="0.004"/>
        <s v="5.984"/>
        <s v="16.7714"/>
        <d v="6417-06-01T00:00:00Z"/>
        <s v="0.5295"/>
        <d v="2914-01-01T00:00:00Z"/>
        <d v="7221-01-01T00:00:00Z"/>
        <n v="-475543.0"/>
        <s v="0.2531"/>
        <s v="0.4348"/>
        <s v="0.038"/>
        <s v="0.1571"/>
        <s v="160.7599"/>
        <s v="128.3013"/>
        <d v="4898-10-01T00:00:00Z"/>
        <s v="0.008"/>
        <s v="0.08400000000000001"/>
        <s v="36.1689"/>
        <s v="26.1577"/>
        <d v="7753-01-01T00:00:00Z"/>
        <s v="0.019"/>
        <s v="0.0965"/>
        <s v="3.219"/>
        <d v="5952-02-01T00:00:00Z"/>
        <d v="7406-02-01T00:00:00Z"/>
        <s v="0.002"/>
        <s v="0.0619"/>
        <s v="0.4613"/>
        <s v="0.3527"/>
        <n v="-647938.0"/>
        <s v="0.5241"/>
        <d v="2016-01-01T00:00:00Z"/>
        <s v="14.3286"/>
        <s v="58.0894"/>
        <s v="21.5185"/>
        <s v="0.0835"/>
        <s v="15.4084"/>
        <n v="-548867.0"/>
        <s v="2.769"/>
        <n v="-283396.0"/>
        <s v="0.5541"/>
        <s v="0.0478"/>
        <s v="0.9464"/>
        <s v="0.6534"/>
        <s v="0.5382"/>
        <s v="0.0174"/>
        <s v="0.2546"/>
        <s v="0.2126"/>
        <s v="37.3693"/>
        <s v="56.9814"/>
        <s v="4.012"/>
        <s v="0.3882"/>
        <s v="0.0059"/>
        <d v="9628-05-01T00:00:00Z"/>
        <s v="16.906"/>
        <d v="1908-05-01T00:00:00Z"/>
        <s v="0.703"/>
        <d v="3595-03-01T00:00:00Z"/>
        <d v="4491-01-01T00:00:00Z"/>
        <s v="0.6772"/>
        <n v="-595708.0"/>
        <s v="0.9615"/>
        <s v="0.3359"/>
        <s v="85.8107"/>
        <s v="143.6183"/>
        <n v="-166032.0"/>
        <s v="0.0037"/>
        <d v="2159-01-01T00:00:00Z"/>
        <s v="20.3542"/>
        <s v="35.1475"/>
        <d v="9363-01-01T00:00:00Z"/>
        <s v="0.0307"/>
        <s v="0.07290000000000001"/>
        <s v="2.075"/>
        <d v="1939-03-01T00:00:00Z"/>
        <n v="-185786.0"/>
        <d v="5242-01-01T00:00:00Z"/>
        <s v="0.0837"/>
        <s v="0.3279"/>
        <n v="-130390.0"/>
        <s v="0.1671"/>
        <s v="0.2441"/>
        <s v="13.5576"/>
        <s v="47.7186"/>
        <s v="44.885"/>
        <s v="0.08740000000000001"/>
        <s v="30.9377"/>
        <d v="4347-02-01T00:00:00Z"/>
        <d v="1984-03-01T00:00:00Z"/>
        <d v="2446-01-01T00:00:00Z"/>
        <s v="1.368"/>
        <s v="1.068"/>
        <s v="0.0445"/>
        <n v="-118337.0"/>
        <s v="0.4292"/>
        <d v="1917-01-01T00:00:00Z"/>
        <s v="0.2538"/>
        <s v="50.3357"/>
        <s v="47.7021"/>
        <d v="3447-04-01T00:00:00Z"/>
        <s v="0.3834"/>
        <s v="0.0121"/>
        <d v="9219-05-01T00:00:00Z"/>
        <d v="3992-11-01T00:00:00Z"/>
        <d v="2888-09-01T00:00:00Z"/>
        <s v="0.0893"/>
        <s v="8.739000000000001"/>
        <n v="-92679.0"/>
        <n v="-651225.0"/>
        <d v="8908-03-01T00:00:00Z"/>
        <d v="5262-01-01T00:00:00Z"/>
        <s v="0.6706"/>
        <n v="-428428.0"/>
        <s v="135.3355"/>
        <s v="94.34229999999999"/>
        <d v="8155-07-01T00:00:00Z"/>
        <s v="0.0042"/>
        <d v="1979-01-01T00:00:00Z"/>
        <s v="39.3356"/>
        <s v="34.9286"/>
        <s v="0.044"/>
        <s v="21.7396"/>
        <s v="13.6827"/>
        <d v="9199-01-01T00:00:00Z"/>
        <s v="4.582"/>
        <d v="7963-04-01T00:00:00Z"/>
        <d v="2937-01-01T00:00:00Z"/>
        <s v="0.0113"/>
        <s v="0.0493"/>
        <d v="6667-01-01T00:00:00Z"/>
        <s v="0.0853"/>
        <s v="0.398"/>
        <s v="14.4889"/>
        <s v="48.4585"/>
        <s v="22.4112"/>
        <s v="0.08500000000000001"/>
        <s v="27.6087"/>
        <d v="4222-02-01T00:00:00Z"/>
        <d v="8009-02-01T00:00:00Z"/>
        <s v="0.0324"/>
        <s v="1.024"/>
        <s v="0.9643"/>
        <s v="0.7189"/>
        <s v="0.5625"/>
        <s v="0.6822"/>
        <d v="3839-01-01T00:00:00Z"/>
        <s v="0.1271"/>
        <s v="0.6677999999999999"/>
        <s v="48.83"/>
        <s v="41.0978"/>
        <s v="2.357"/>
        <s v="0.3502"/>
        <s v="0.0172"/>
        <n v="-31289.0"/>
        <d v="6432-05-01T00:00:00Z"/>
        <d v="2978-05-01T00:00:00Z"/>
        <n v="-273231.0"/>
        <s v="9.098699999999999"/>
        <d v="6757-04-01T00:00:00Z"/>
        <s v="0.6269"/>
        <d v="7283-03-01T00:00:00Z"/>
        <d v="6225-01-01T00:00:00Z"/>
        <d v="4657-01-01T00:00:00Z"/>
        <s v="0.5764"/>
        <s v="122.9401"/>
        <s v="99.0564"/>
        <d v="2129-05-01T00:00:00Z"/>
        <s v="0.0115"/>
        <n v="-596439.0"/>
        <s v="20.5077"/>
        <s v="20.6032"/>
        <s v="11.262"/>
        <s v="17.8589"/>
        <s v="17.6534"/>
        <d v="4055-01-01T00:00:00Z"/>
        <s v="0.0176"/>
        <s v="0.0502"/>
        <d v="2586-01-01T00:00:00Z"/>
        <d v="8264-02-01T00:00:00Z"/>
        <s v="4.563"/>
        <d v="6138-01-01T00:00:00Z"/>
        <s v="0.4992"/>
        <s v="0.1664"/>
        <s v="14.4344"/>
        <s v="50.3687"/>
        <s v="28.8776"/>
        <s v="0.0822"/>
        <s v="31.1485"/>
        <d v="4838-02-01T00:00:00Z"/>
        <d v="8607-02-01T00:00:00Z"/>
        <s v="0.06809999999999999"/>
        <n v="-462030.0"/>
        <d v="7728-01-01T00:00:00Z"/>
        <s v="0.724"/>
        <s v="0.5674"/>
        <s v="0.5201"/>
        <s v="0.2493"/>
        <n v="-349170.0"/>
        <n v="-322507.0"/>
        <s v="54.0753"/>
        <s v="48.9732"/>
        <d v="3963-02-01T00:00:00Z"/>
        <s v="0.4027"/>
        <s v="0.0126"/>
        <d v="2703-06-01T00:00:00Z"/>
        <d v="1949-03-01T00:00:00Z"/>
        <d v="3647-11-01T00:00:00Z"/>
        <n v="-320377.0"/>
        <s v="10.392"/>
        <s v="8.413500000000001"/>
        <d v="3244-04-01T00:00:00Z"/>
        <s v="0.5631"/>
        <d v="7793-01-01T00:00:00Z"/>
        <d v="5719-01-01T00:00:00Z"/>
        <s v="0.7097"/>
        <s v="126.3103"/>
        <s v="108.4761"/>
        <d v="9093-06-01T00:00:00Z"/>
        <s v="0.0119"/>
        <s v="1.023"/>
        <s v="38.8084"/>
        <n v="-213026.0"/>
        <s v="19.1341"/>
        <s v="27.9902"/>
        <s v="19.0495"/>
        <d v="5702-07-01T00:00:00Z"/>
        <s v="0.9288999999999999"/>
        <d v="2949-04-01T00:00:00Z"/>
        <s v="0.9298999999999999"/>
        <s v="0.0166"/>
        <n v="-1093.0"/>
        <s v="0.0741"/>
        <s v="0.2776"/>
        <d v="2483-10-01T00:00:00Z"/>
        <s v="57.8795"/>
        <s v="36.1477"/>
        <s v="0.0756"/>
        <s v="19.8438"/>
        <n v="-235885.0"/>
        <d v="6054-02-01T00:00:00Z"/>
        <s v="0.0507"/>
        <s v="0.9781"/>
        <d v="9602-01-01T00:00:00Z"/>
        <s v="0.3193"/>
        <s v="0.1727"/>
        <s v="0.2233"/>
        <s v="0.5568"/>
        <s v="0.2014"/>
        <s v="0.4029"/>
        <s v="29.2669"/>
        <s v="61.1062"/>
        <d v="3611-02-01T00:00:00Z"/>
        <d v="3242-04-01T00:00:00Z"/>
        <d v="6874-09-01T00:00:00Z"/>
        <d v="3941-04-01T00:00:00Z"/>
        <d v="2989-08-01T00:00:00Z"/>
        <d v="9817-07-01T00:00:00Z"/>
        <d v="6129-05-01T00:00:00Z"/>
        <d v="9913-02-01T00:00:00Z"/>
        <s v="0.788"/>
        <d v="4001-01-01T00:00:00Z"/>
        <d v="5806-01-01T00:00:00Z"/>
        <s v="0.5135999999999999"/>
        <s v="61.6987"/>
        <s v="142.7044"/>
        <d v="1943-07-01T00:00:00Z"/>
        <s v="0.013"/>
        <n v="-260416.0"/>
        <s v="30.8815"/>
        <d v="6958-12-01T00:00:00Z"/>
        <s v="14.9868"/>
        <s v="0.0005999999999999999"/>
        <s v="16.8968"/>
        <d v="2305-11-01T00:00:00Z"/>
        <d v="7121-05-01T00:00:00Z"/>
        <d v="3412-01-01T00:00:00Z"/>
        <s v="0.6592"/>
        <s v="0.06519999999999999"/>
        <s v="0.0615"/>
        <s v="0.3045"/>
        <s v="0.8461"/>
        <d v="2253-02-01T00:00:00Z"/>
        <d v="6184-12-01T00:00:00Z"/>
        <s v="42.4045"/>
        <s v="36.7903"/>
        <s v="0.0863"/>
        <s v="24.176"/>
        <d v="2674-03-01T00:00:00Z"/>
        <d v="5159-02-01T00:00:00Z"/>
        <s v="0.0495"/>
        <n v="-393729.0"/>
        <n v="-589864.0"/>
        <s v="0.2884"/>
        <s v="0.1827"/>
        <s v="0.1928"/>
        <s v="0.4988"/>
        <s v="0.0027"/>
        <s v="25.5023"/>
        <s v="68.0994"/>
        <d v="7738-02-01T00:00:00Z"/>
        <s v="0.3897"/>
        <s v="0.3083"/>
        <d v="4636-05-01T00:00:00Z"/>
        <s v="0.2701"/>
        <s v="14.3274"/>
        <d v="4123-02-01T00:00:00Z"/>
        <s v="5.213"/>
        <d v="5446-04-01T00:00:00Z"/>
        <s v="2.592"/>
        <d v="1998-03-01T00:00:00Z"/>
        <n v="-15672.0"/>
        <s v="0.4275"/>
        <n v="-560980.0"/>
        <d v="7236-01-01T00:00:00Z"/>
        <s v="79.0532"/>
        <s v="167.6062"/>
        <n v="-59259.0"/>
        <s v="0.9683"/>
        <s v="37.5212"/>
        <s v="0.6296"/>
        <s v="43.5059"/>
        <n v="-440329.0"/>
        <n v="-493259.0"/>
        <d v="3345-07-01T00:00:00Z"/>
        <d v="3112-01-01T00:00:00Z"/>
        <s v="0.0566"/>
        <d v="9244-01-01T00:00:00Z"/>
        <s v="0.0021"/>
        <s v="0.1255"/>
        <s v="0.4036"/>
        <d v="3609-04-01T00:00:00Z"/>
        <d v="6711-02-01T00:00:00Z"/>
        <s v="13.7742"/>
        <s v="74.1972"/>
        <s v="23.3262"/>
        <s v="0.1159"/>
        <s v="40.4568"/>
        <n v="-444804.0"/>
        <d v="3659-01-01T00:00:00Z"/>
        <n v="-396255.0"/>
        <s v="0.849"/>
        <s v="0.2565"/>
        <s v="0.1803"/>
        <s v="0.1788"/>
        <s v="0.4067"/>
        <s v="0.0004"/>
        <s v="38.1815"/>
        <s v="85.807"/>
        <d v="7193-01-01T00:00:00Z"/>
        <s v="0.0827"/>
        <s v="7.987"/>
        <s v="14.5779"/>
        <s v="0.2882"/>
        <d v="6143-05-01T00:00:00Z"/>
        <s v="2.415"/>
        <d v="2058-02-01T00:00:00Z"/>
        <d v="6855-02-01T00:00:00Z"/>
        <d v="1933-02-01T00:00:00Z"/>
        <s v="0.209"/>
        <d v="7481-01-01T00:00:00Z"/>
        <d v="8761-01-01T00:00:00Z"/>
        <s v="0.5566"/>
        <s v="126.6332"/>
        <s v="188.8145"/>
        <n v="-120712.0"/>
        <d v="2007-01-01T00:00:00Z"/>
        <s v="55.9615"/>
        <s v="23.2374"/>
        <s v="0.7115"/>
        <s v="14.6753"/>
        <s v="8.625299999999999"/>
        <d v="7985-03-01T00:00:00Z"/>
        <n v="-312615.0"/>
        <d v="2162-01-01T00:00:00Z"/>
        <s v="0.0467"/>
        <s v="0.0026"/>
        <s v="0.1336"/>
        <s v="0.5234"/>
        <d v="7794-02-01T00:00:00Z"/>
        <d v="6869-02-01T00:00:00Z"/>
        <d v="3454-09-01T00:00:00Z"/>
        <s v="49.5129"/>
        <s v="48.8577"/>
        <s v="0.1204"/>
        <s v="57.1231"/>
        <d v="9588-02-01T00:00:00Z"/>
        <s v="0.0298"/>
        <d v="2734-01-01T00:00:00Z"/>
        <s v="0.008399999999999999"/>
        <d v="9763-01-01T00:00:00Z"/>
        <s v="0.3746"/>
        <s v="0.6834"/>
        <s v="0.1553"/>
        <s v="0.1443"/>
        <s v="0.1516"/>
        <s v="26.6778"/>
        <s v="65.9601"/>
        <d v="9498-01-01T00:00:00Z"/>
        <s v="0.2765"/>
        <s v="0.0267"/>
        <n v="-127986.0"/>
        <s v="10.259"/>
        <s v="0.6860000000000001"/>
        <n v="-459504.0"/>
        <d v="6768-02-01T00:00:00Z"/>
        <d v="2912-01-01T00:00:00Z"/>
        <d v="9385-01-01T00:00:00Z"/>
        <n v="-484643.0"/>
        <s v="0.1111"/>
        <n v="-400638.0"/>
        <d v="6439-01-01T00:00:00Z"/>
        <s v="0.521"/>
        <s v="91.0282"/>
        <s v="148.5251"/>
        <s v="13.1242"/>
        <s v="0.0116"/>
        <s v="0.9913"/>
        <s v="49.3487"/>
        <d v="5021-01-01T00:00:00Z"/>
        <s v="31.1936"/>
        <s v="16.482"/>
        <n v="-413240.0"/>
        <d v="7141-01-01T00:00:00Z"/>
        <s v="1.827"/>
        <n v="-446689.0"/>
        <s v="0.0168"/>
        <s v="0.0466"/>
        <d v="8501-03-01T00:00:00Z"/>
        <s v="0.3133"/>
        <s v="0.0016"/>
        <n v="-326160.0"/>
        <s v="0.2777"/>
        <s v="0.2557"/>
        <d v="2873-08-01T00:00:00Z"/>
        <s v="58.9269"/>
        <s v="40.0693"/>
        <s v="0.126"/>
        <s v="48.5318"/>
        <n v="-642035.0"/>
        <s v="0.0374"/>
        <s v="1.381"/>
        <s v="0.0071"/>
        <d v="5797-01-01T00:00:00Z"/>
        <s v="0.7599"/>
        <s v="0.5868"/>
        <s v="0.3817"/>
        <s v="0.1949"/>
        <s v="26.8384"/>
        <s v="69.70959999999999"/>
        <d v="2707-02-01T00:00:00Z"/>
        <s v="0.2856"/>
        <n v="-2738.0"/>
        <d v="2164-09-01T00:00:00Z"/>
        <s v="1.021"/>
        <n v="-515812.0"/>
        <s v="2.361"/>
        <s v="0.6965"/>
        <d v="9456-01-01T00:00:00Z"/>
        <d v="9184-01-01T00:00:00Z"/>
        <s v="0.0887"/>
        <s v="0.6647"/>
        <d v="4751-02-01T00:00:00Z"/>
        <d v="6842-01-01T00:00:00Z"/>
        <s v="92.24850000000001"/>
        <s v="158.1712"/>
        <s v="9.202299999999999"/>
        <s v="0.008699999999999999"/>
        <d v="3881-01-01T00:00:00Z"/>
        <s v="38.9478"/>
        <n v="-590929.0"/>
        <s v="19.925"/>
        <s v="17.0671"/>
        <d v="3044-01-01T00:00:00Z"/>
        <s v="0.0201"/>
        <d v="5262-03-01T00:00:00Z"/>
        <s v="0.5836"/>
        <d v="5655-03-01T00:00:00Z"/>
        <s v="1.341"/>
        <s v="0.104"/>
        <s v="0.2762"/>
        <s v="0.0391"/>
        <s v="0.0031"/>
        <d v="4449-01-01T00:00:00Z"/>
        <s v="31.182"/>
        <s v="18.0189"/>
        <s v="26.234"/>
        <s v="27.5444"/>
        <s v="15.2089"/>
        <s v="23.4901"/>
        <s v="24.9705"/>
        <s v="14.6105"/>
        <s v="18.2471"/>
        <s v="19.3133"/>
        <s v="9.376899999999999"/>
        <s v="62.7087"/>
        <s v="22.617"/>
        <s v="8.864100000000001"/>
        <s v="17.6217"/>
        <s v="20.1482"/>
        <s v="15.7034"/>
        <s v="36.2357"/>
        <s v="25.8357"/>
        <s v="21.2905"/>
        <s v="44.1025"/>
        <s v="19.4161"/>
        <s v="22.1025"/>
        <s v="49.0676"/>
        <s v="17.6166"/>
        <s v="19.039"/>
        <s v="29.4026"/>
        <d v="2022-12-01T00:00:00Z"/>
        <s v="13.6879"/>
        <s v="27.9039"/>
        <s v="13.2139"/>
        <d v="4728-11-01T00:00:00Z"/>
        <s v="17.9486"/>
        <d v="5903-10-01T00:00:00Z"/>
        <d v="8182-07-01T00:00:00Z"/>
        <s v="25.2956"/>
      </sharedItems>
    </cacheField>
    <cacheField name="Value (in rub)">
      <sharedItems containsMixedTypes="1" containsNumber="1" containsInteger="1">
        <s v="817789.128"/>
        <s v="5598975.814"/>
        <s v="4638537.271"/>
        <s v="123.992"/>
        <s v="5628.921"/>
        <s v="5589670.023"/>
        <s v="224651.122"/>
        <s v="172739.041"/>
        <s v="295583.894"/>
        <s v="286247.337"/>
        <s v="144051.522"/>
        <s v="2099.316"/>
        <s v="128384.194"/>
        <s v="72269.303"/>
        <s v="35374.751"/>
        <s v="3081.309"/>
        <s v="37134.448"/>
        <s v="156.283"/>
        <s v="3633450.875"/>
        <s v="5188030.767999999"/>
        <s v="698288.024"/>
        <s v="44558.407"/>
        <s v="976.688"/>
        <s v="1395983.538"/>
        <s v="1012001.19"/>
        <s v="248807.815"/>
        <s v="121949.721"/>
        <s v="144102.644"/>
        <s v="139276.358"/>
        <s v="69099.011"/>
        <s v="68459.95299999999"/>
        <s v="3688.142"/>
        <s v="52410.371"/>
        <s v="1317.17"/>
        <s v="44008.199"/>
        <s v="5815674.717"/>
        <s v="13070828.16"/>
        <s v="1152899.461"/>
        <s v="9090.562"/>
        <s v="655.369"/>
        <s v="8107083.433"/>
        <s v="2073765.747"/>
        <s v="190909.025"/>
        <s v="807009.751"/>
        <s v="496770.161"/>
        <s v="10777.786"/>
        <s v="35072.661"/>
        <s v="341345.026"/>
        <s v="59056.692"/>
        <s v="246981.215"/>
        <s v="233906.123"/>
        <s v="511.883"/>
        <s v="221027.694"/>
        <s v="330.204"/>
        <s v="27053.737"/>
        <s v="167434.489"/>
        <s v="740731.002"/>
        <s v="6362673.845000001"/>
        <s v="3418376.272"/>
        <s v="8411.521000000001"/>
        <s v="4399865.797999999"/>
        <s v="323528.652"/>
        <s v="284872.613"/>
        <s v="182747.544"/>
        <s v="89899.09199999999"/>
        <s v="147664.938"/>
        <s v="1908.023"/>
        <s v="136397.282"/>
        <s v="59318.734"/>
        <s v="46850.674"/>
        <s v="1650.026"/>
        <s v="41075.017"/>
        <s v="3357609.547"/>
        <s v="4194076.763"/>
        <s v="735410.338"/>
        <s v="66646.87999999999"/>
        <s v="385.702"/>
        <s v="1552946.177"/>
        <s v="547562.863"/>
        <s v="299708.529"/>
        <s v="82924.092"/>
        <s v="132623.274"/>
        <s v="82262.954"/>
        <s v="77771.447"/>
        <s v="4290.931"/>
        <s v="48938.784"/>
        <s v="1308.484"/>
        <s v="3317.889"/>
        <s v="38380.471"/>
        <s v="60.471"/>
        <s v="37051.83"/>
        <s v="8438527.040000001"/>
        <s v="10562128.693"/>
        <s v="912741.2070000001"/>
        <s v="5509.437"/>
        <s v="2359.302"/>
        <s v="4419943.142"/>
        <s v="1418480.059"/>
        <s v="170088.854"/>
        <s v="503776.524"/>
        <s v="407293.637"/>
        <s v="6792.724999999999"/>
        <s v="36475.166"/>
        <s v="660.408"/>
        <s v="25322.154"/>
        <s v="222275.641"/>
        <s v="53936.471"/>
        <s v="187833.551"/>
        <s v="229581.509"/>
        <s v="201002.334"/>
        <s v="513.01"/>
        <s v="184811.387"/>
        <s v="883869.49"/>
        <s v="6611277.901000001"/>
        <s v="4368402.84"/>
        <s v="8987.190999999999"/>
        <s v="5080932.744"/>
        <s v="381379.502"/>
        <s v="326445.788"/>
        <s v="194223.798"/>
        <s v="59907.001"/>
        <s v="2719.411"/>
        <s v="140990.37"/>
        <s v="112194.176"/>
        <s v="45093.43"/>
        <s v="69.55500000000001"/>
        <s v="42177.223"/>
        <s v="38224.321"/>
        <s v="1612.696"/>
        <s v="3420009.855"/>
        <s v="5533045.968"/>
        <s v="751429.353"/>
        <s v="67253.647"/>
        <s v="587.074"/>
        <s v="1257186.042"/>
        <s v="957650.1070000001"/>
        <s v="461544.797"/>
        <s v="85414.349"/>
        <s v="193421.163"/>
        <s v="162790.081"/>
        <s v="97765.70999999999"/>
        <s v="50093.305"/>
        <s v="274.441"/>
        <s v="138.314"/>
        <s v="47505.247"/>
        <s v="6911.678"/>
        <s v="35343.786"/>
        <s v="8375874.438000001"/>
        <s v="12122702.853"/>
        <s v="1390042.249"/>
        <s v="1284.879"/>
        <s v="12614.995"/>
        <s v="6994548.254000001"/>
        <s v="1774121.005"/>
        <s v="504261.818"/>
        <s v="6121.244"/>
        <s v="47773.322"/>
        <s v="151434.106"/>
        <s v="395922.213"/>
        <s v="481704.229"/>
        <s v="990.6129999999999"/>
        <s v="28385.296"/>
        <s v="255430.531"/>
        <s v="64167.69700000001"/>
        <s v="211265.253"/>
        <s v="198851.962"/>
        <s v="197967.969"/>
        <s v="961059.632"/>
        <s v="5859277.454"/>
        <s v="2930864.958"/>
        <s v="10429.016"/>
        <s v="3419515.013"/>
        <s v="308450.321"/>
        <s v="305049.151"/>
        <s v="138822.56"/>
        <s v="59119.02"/>
        <s v="17027.862"/>
        <s v="122809.512"/>
        <s v="91436.46400000001"/>
        <s v="46874.411"/>
        <s v="2096.333"/>
        <s v="45806.486"/>
        <s v="42238.225"/>
        <s v="2655292.965"/>
        <s v="5564252.255"/>
        <s v="594287.953"/>
        <s v="65343.70099999999"/>
        <s v="770.477"/>
        <s v="1136385.272"/>
        <s v="993906.198"/>
        <s v="360733.782"/>
        <s v="79828.06200000001"/>
        <s v="300151.785"/>
        <s v="133116.458"/>
        <s v="112223.814"/>
        <s v="93809.29299999999"/>
        <s v="73015.91"/>
        <s v="66834.19499999999"/>
        <s v="5634594.107"/>
        <s v="13515363.595"/>
        <s v="921747.4939999999"/>
        <s v="769.6809999999999"/>
        <s v="130732.092"/>
        <s v="4574937.022"/>
        <s v="2209359.4"/>
        <s v="590075.329"/>
        <s v="11345.499"/>
        <s v="36270.745"/>
        <s v="96486.401"/>
        <s v="374999.533"/>
        <s v="458184.074"/>
        <s v="283173.52"/>
        <s v="38515.669"/>
        <s v="191166.691"/>
        <s v="213325.979"/>
        <s v="83729.70999999999"/>
        <s v="124685.178"/>
        <s v="911409.8470000001"/>
        <s v="4885222.894"/>
        <s v="4601925.382"/>
        <s v="10906.751"/>
        <s v="5422175.792"/>
        <s v="266134.121"/>
        <s v="254339.266"/>
        <s v="82654.955"/>
        <s v="98160.894"/>
        <s v="168193.23"/>
        <s v="14372.702"/>
        <s v="149289.834"/>
        <s v="74998.66"/>
        <s v="73446.70000000001"/>
        <s v="44394.432"/>
        <s v="3091481.526"/>
        <s v="4930199.558999999"/>
        <s v="627314.7390000001"/>
        <s v="61923.17"/>
        <s v="1590.881"/>
        <s v="1154483.978"/>
        <s v="729855.6800000001"/>
        <s v="616157.152"/>
        <s v="8514.561"/>
        <s v="530799.296"/>
        <s v="281724.6"/>
        <s v="87100.71100000001"/>
        <s v="334688.03"/>
        <s v="136563.048"/>
        <s v="111212.183"/>
        <s v="91027.754"/>
        <s v="7220074.814999999"/>
        <s v="9661265.621000001"/>
        <s v="1041996.994"/>
        <s v="866.289"/>
        <s v="111543.779"/>
        <s v="7424948.825999999"/>
        <s v="2329209.672"/>
        <s v="4999.411"/>
        <s v="1515283.204"/>
        <s v="829925.924"/>
        <s v="60751.409"/>
        <s v="432962.44"/>
        <s v="411484.91"/>
        <s v="382599.6"/>
        <s v="4805.201"/>
        <s v="24562.618"/>
        <s v="316395.114"/>
        <s v="39231.244"/>
        <s v="222563.144"/>
        <s v="916589.147"/>
        <s v="4782541.053"/>
        <s v="2572258.208"/>
        <s v="10520.85"/>
        <s v="4729630.734999999"/>
        <s v="271404.79"/>
        <s v="230718.658"/>
        <s v="10521.911"/>
        <s v="132086.592"/>
        <s v="67866.183"/>
        <s v="59064.649"/>
        <s v="97748.139"/>
        <s v="88235.473"/>
        <s v="79551.433"/>
        <s v="9602.312"/>
        <s v="49925.816"/>
        <s v="3039185.931"/>
        <s v="4352489.251"/>
        <s v="331185.942"/>
        <s v="56559.075"/>
        <s v="1925.396"/>
        <s v="1062609.031"/>
        <s v="371374.58"/>
        <s v="395901.459"/>
        <s v="684569.6309999999"/>
        <s v="522367.552"/>
        <s v="315497.197"/>
        <s v="75852.48300000001"/>
        <s v="271431.71"/>
        <s v="152936.8"/>
        <s v="133872.281"/>
        <s v="94428.791"/>
        <s v="7248969.408"/>
        <s v="9724902.538000001"/>
        <s v="784023.162"/>
        <s v="2374.221"/>
        <s v="114790.323"/>
        <s v="4603976.229"/>
        <s v="1369136.41"/>
        <s v="844109.7200000001"/>
        <s v="1193713.564"/>
        <s v="960914.753"/>
        <s v="441059.538"/>
        <s v="7454.791"/>
        <s v="25818.787"/>
        <s v="54751.506"/>
        <s v="304731.678"/>
        <s v="345881.953"/>
        <s v="318983.902"/>
        <s v="183333.69"/>
        <s v="87983.64200000001"/>
        <s v="898672.3859999999"/>
        <s v="4814733.113"/>
        <s v="3543020.208"/>
        <s v="10547.372"/>
        <s v="5644685.427"/>
        <s v="276893.473"/>
        <s v="238596.017"/>
        <s v="17309.398"/>
        <s v="137117.698"/>
        <s v="141873.434"/>
        <s v="94276.287"/>
        <s v="36606.651"/>
        <s v="51047.383"/>
        <s v="18507.283"/>
        <s v="66562.141"/>
        <s v="60192.714"/>
        <s v="3221262.657"/>
        <s v="4884351.699"/>
        <s v="361062.196"/>
        <s v="65041.67700000001"/>
        <s v="1649.032"/>
        <s v="1229614.719"/>
        <s v="253928.765"/>
        <s v="777136.9449999999"/>
        <s v="627354.39"/>
        <n v="539018.0"/>
        <s v="442433.333"/>
        <s v="287874.421"/>
        <s v="42496.089"/>
        <s v="180530.733"/>
        <s v="139357.318"/>
        <s v="124258.366"/>
        <s v="7576229.368000001"/>
        <s v="10606008.457"/>
        <s v="968999.916"/>
        <s v="2466.652"/>
        <s v="116463.955"/>
        <s v="6837957.26"/>
        <s v="816482.17"/>
        <s v="1313909.49"/>
        <s v="1759860.028"/>
        <s v="959116.532"/>
        <s v="412478.904"/>
        <s v="27907.627"/>
        <s v="346083.656"/>
        <s v="287866.199"/>
        <s v="6943.837"/>
        <s v="25549.584"/>
        <s v="225064.341"/>
        <s v="34415.037"/>
        <s v="161844.556"/>
        <s v="694009.9569999999"/>
        <s v="5266284.194"/>
        <s v="4297374.918000001"/>
        <s v="10129.644"/>
        <s v="4048512.6"/>
        <s v="349836.778"/>
        <s v="220183.552"/>
        <s v="14072.999"/>
        <s v="127683.803"/>
        <s v="137103.641"/>
        <s v="48341.632"/>
        <s v="10632.907"/>
        <s v="29563.621"/>
        <s v="37274.619"/>
        <s v="144.415"/>
        <s v="14455.452"/>
        <s v="20786.09"/>
        <s v="2051053.798"/>
        <s v="5927694.242"/>
        <s v="354733.746"/>
        <s v="270114.209"/>
        <s v="621280.0919999999"/>
        <s v="1380.758"/>
        <s v="891778.743"/>
        <s v="520899.138"/>
        <s v="399155.297"/>
        <s v="317758.765"/>
        <s v="208893.286"/>
        <s v="59614.591"/>
        <s v="153400.214"/>
        <s v="140020.312"/>
        <s v="692.633"/>
        <s v="55714.8"/>
        <s v="4338377.596"/>
        <s v="13377295.863"/>
        <s v="1017649.208"/>
        <s v="2686.656"/>
        <s v="129450.263"/>
        <s v="6111299.986"/>
        <s v="809177.296"/>
        <s v="949280.491"/>
        <s v="35.739"/>
        <s v="1229762.913"/>
        <s v="549425.267"/>
        <s v="350572.709"/>
        <s v="264766.226"/>
        <s v="215468.992"/>
        <s v="5401.491"/>
        <s v="33784.533"/>
        <s v="28180.941"/>
        <s v="177715.245"/>
        <s v="20953.447"/>
        <s v="170727.381"/>
        <s v="808533.398"/>
        <s v="4132658.514"/>
        <s v="4342297.08"/>
        <s v="11195.581"/>
        <s v="4509229.168"/>
        <s v="356615.048"/>
        <s v="210144.614"/>
        <s v="12375.298"/>
        <s v="139409.435"/>
        <s v="75752.228"/>
        <s v="45792.495"/>
        <s v="41747.626"/>
        <s v="34859.685"/>
        <s v="33539.598"/>
        <s v="449.29"/>
        <s v="1767308.918"/>
        <s v="6535292.475000001"/>
        <s v="417719.272"/>
        <s v="62943.62"/>
        <s v="41966.569"/>
        <s v="1037091.87"/>
        <s v="17012.744"/>
        <s v="736024.929"/>
        <s v="171655.003"/>
        <s v="342313.426"/>
        <s v="414705.064"/>
        <s v="240023.454"/>
        <s v="224597.878"/>
        <s v="149312.643"/>
        <s v="35983.109"/>
        <s v="183715.546"/>
        <s v="68770.531"/>
        <s v="5065711.125"/>
        <s v="14523496.622"/>
        <s v="1340434.37"/>
        <s v="2599.994"/>
        <s v="114957.614"/>
        <s v="7067477.966"/>
        <s v="39270.829"/>
        <s v="2370885.489"/>
        <s v="471930.847"/>
        <s v="458486.496"/>
        <s v="676658.057"/>
        <s v="388654.14"/>
        <s v="4972.093"/>
        <s v="29526.423"/>
        <s v="381290.719"/>
        <s v="767.2280000000001"/>
        <s v="54314.748"/>
        <s v="228474.595"/>
        <s v="277617.801"/>
        <s v="221405.838"/>
        <s v="838316.4920000001"/>
        <s v="6333926.85"/>
        <s v="2967550.514"/>
        <s v="13984.016"/>
        <s v="6789887.018999999"/>
        <s v="342041.969"/>
        <s v="12090.182"/>
        <s v="170329.412"/>
        <s v="170158.144"/>
        <s v="89076.101"/>
        <s v="46124.092"/>
        <s v="33354.405"/>
        <s v="30823.635"/>
        <s v="24997.52"/>
        <s v="57.62"/>
        <s v="2459423.384"/>
        <s v="7416654.6"/>
        <s v="266124.44"/>
        <s v="10970.206"/>
        <s v="1451274.377"/>
        <s v="1306824.554"/>
        <s v="18151.684"/>
        <s v="434429.395"/>
        <s v="163867.488"/>
        <s v="155758.256"/>
        <s v="198280.602"/>
        <s v="156285.721"/>
        <s v="18574.319"/>
        <s v="162592.157"/>
        <s v="140600.756"/>
        <s v="1482.14"/>
        <s v="67058.508"/>
        <s v="7484281.153"/>
        <s v="15760805.762"/>
        <s v="1051793.848"/>
        <s v="1881.435"/>
        <s v="112165.929"/>
        <s v="9577518.937000001"/>
        <s v="2101853.462"/>
        <s v="44767.403"/>
        <s v="1156387.558"/>
        <s v="595802.7150000001"/>
        <s v="275085.705"/>
        <s v="449283.347"/>
        <s v="378995.335"/>
        <s v="7460.162"/>
        <s v="23810.641"/>
        <s v="1273.673"/>
        <s v="58314.52800000001"/>
        <s v="283693.426"/>
        <s v="235037.437"/>
        <s v="191259.121"/>
        <s v="632659.4720000001"/>
        <s v="4733228.103999999"/>
        <s v="5155983.123"/>
        <s v="15142.913"/>
        <s v="7939393.997"/>
        <s v="322443.487"/>
        <s v="8828.718999999999"/>
        <s v="180083.167"/>
        <s v="504.9209999999999"/>
        <s v="158905.209"/>
        <s v="70102.819"/>
        <s v="69379.22100000001"/>
        <s v="31865.635"/>
        <s v="26838.243"/>
        <s v="25916.124"/>
        <s v="69.62100000000001"/>
        <s v="1862527.017"/>
        <s v="6276647.956"/>
        <s v="303855.443"/>
        <s v="44648.981"/>
        <s v="3119.435"/>
        <s v="1411382.657"/>
        <s v="911959.193"/>
        <s v="42920.05"/>
        <s v="709762.952"/>
        <s v="167301.944"/>
        <s v="91374.932"/>
        <s v="170223.986"/>
        <s v="141777.357"/>
        <s v="9832.527"/>
        <s v="150476.249"/>
        <s v="116172.805"/>
        <s v="103764.818"/>
        <s v="5751850.419000001"/>
        <s v="13843010.251"/>
        <s v="1613783.187"/>
        <s v="1818.643"/>
        <s v="116186.596"/>
        <s v="8723807.700999999"/>
        <s v="94162.77100000001"/>
        <s v="1961295.407"/>
        <s v="1502999.939"/>
        <s v="479585.418"/>
        <s v="119786.021"/>
        <s v="378372.655"/>
        <s v="321767.696"/>
        <s v="7170.603"/>
        <s v="24183.679"/>
        <s v="311613.187"/>
        <s v="119615.482"/>
        <s v="526.5360000000001"/>
        <s v="150343.04"/>
        <s v="139085.529"/>
        <s v="129399.208"/>
        <s v="584439.645"/>
        <s v="5261899.307"/>
        <s v="4483308.138"/>
        <s v="15565.614"/>
        <s v="7688316.923"/>
        <s v="325022.263"/>
        <s v="10424.574"/>
        <s v="191527.329"/>
        <s v="403.671"/>
        <s v="129878.468"/>
        <s v="127894.06"/>
        <s v="63073.779"/>
        <s v="61491.981"/>
        <s v="36021.5"/>
        <s v="33214.698"/>
        <s v="86.13200000000001"/>
        <s v="1831470.979"/>
        <s v="6746230.11"/>
        <s v="346235.894"/>
        <s v="46137.22"/>
        <s v="9829.012000000001"/>
        <s v="1308781.975"/>
        <s v="785239.745"/>
        <s v="58981.037"/>
        <s v="606253.28"/>
        <s v="171533.862"/>
        <s v="55380.153"/>
        <s v="177160.661"/>
        <s v="134078.957"/>
        <s v="7754.097"/>
        <s v="133355.757"/>
        <s v="121583.181"/>
        <s v="108666.096"/>
        <s v="5816404.614"/>
        <s v="14410525.472"/>
        <s v="1260909.194"/>
        <s v="1791.126"/>
        <s v="160195.657"/>
        <s v="7508403.564999999"/>
        <s v="122270.841"/>
        <s v="1349544.558"/>
        <s v="1470941.751"/>
        <s v="385360.054"/>
        <s v="8773.221"/>
        <s v="28912.296"/>
        <s v="303537.24"/>
        <s v="45059.481"/>
        <s v="309041.97"/>
        <s v="266459.087"/>
        <s v="1651.021"/>
        <s v="49401.866"/>
        <s v="154514.089"/>
        <s v="14953.212"/>
        <s v="960.8409999999999"/>
        <s v="173679.195"/>
        <s v="2078583.3"/>
        <s v="1233555.4"/>
        <s v="1891463.7"/>
        <n v="1726978.0"/>
        <s v="999127.4"/>
        <s v="1653579.9"/>
        <s v="1670221.4"/>
        <s v="876252.6"/>
        <s v="1287240.7"/>
        <s v="1358936.3"/>
        <s v="759386.2000000001"/>
        <s v="2991207.2"/>
        <s v="1451139.6"/>
        <s v="751663.1"/>
        <s v="1321720.7"/>
        <s v="1271748.3"/>
        <s v="1119430.7"/>
        <s v="2409268.2"/>
        <s v="1472910.5"/>
        <s v="1292415.9"/>
        <s v="2610535.8"/>
        <s v="1174415.3"/>
        <s v="1298084.1"/>
        <s v="2683119.3"/>
        <s v="1100457.9"/>
        <s v="1265202.6"/>
        <s v="1831285.9"/>
        <s v="833893.8"/>
        <s v="867911.5"/>
        <s v="1875175.1"/>
        <s v="894754.9"/>
        <s v="749057.6"/>
        <s v="1339453.1"/>
        <s v="748857.9"/>
        <s v="549344.2999999999"/>
        <s v="1721988.6"/>
      </sharedItems>
    </cacheField>
    <cacheField name="Value (in 1000 rub)" numFmtId="0">
      <sharedItems containsSemiMixedTypes="0" containsString="0" containsNumber="1">
        <n v="817.789128"/>
        <n v="5598.975814"/>
        <n v="4638.537271"/>
        <n v="0.123992"/>
        <n v="5.628921"/>
        <n v="5589.670023"/>
        <n v="224.65112200000002"/>
        <n v="172.739041"/>
        <n v="295.583894"/>
        <n v="286.247337"/>
        <n v="144.051522"/>
        <n v="2.099316"/>
        <n v="128.384194"/>
        <n v="72.269303"/>
        <n v="35.374750999999996"/>
        <n v="3.081309"/>
        <n v="37.134448"/>
        <n v="0.15628299999999998"/>
        <n v="3633.450875"/>
        <n v="5188.03076799999"/>
        <n v="698.288024"/>
        <n v="44.558407"/>
        <n v="0.976688"/>
        <n v="1395.983538"/>
        <n v="1012.00119"/>
        <n v="248.807815"/>
        <n v="121.94972100000001"/>
        <n v="144.102644"/>
        <n v="139.27635800000002"/>
        <n v="69.099011"/>
        <n v="68.45995299999991"/>
        <n v="3.688142"/>
        <n v="52.410371"/>
        <n v="1.3171700000000002"/>
        <n v="44.008199"/>
        <n v="5815.674717"/>
        <n v="13070.828160000001"/>
        <n v="1152.899461"/>
        <n v="9.090562"/>
        <n v="0.655369"/>
        <n v="8107.083433"/>
        <n v="2073.765747"/>
        <n v="190.90902499999999"/>
        <n v="807.009751"/>
        <n v="496.77016100000003"/>
        <n v="10.777786"/>
        <n v="35.072661"/>
        <n v="341.345026"/>
        <n v="59.056692000000005"/>
        <n v="246.981215"/>
        <n v="233.90612299999998"/>
        <n v="0.511883"/>
        <n v="221.027694"/>
        <n v="0.330204"/>
        <n v="27.053737"/>
        <n v="167.434489"/>
        <n v="740.731002"/>
        <n v="6362.673844999999"/>
        <n v="3418.376272"/>
        <n v="8.411521"/>
        <n v="4399.86579799999"/>
        <n v="323.528652"/>
        <n v="284.872613"/>
        <n v="182.747544"/>
        <n v="89.8990919999999"/>
        <n v="147.664938"/>
        <n v="1.9080229999999998"/>
        <n v="136.39728200000002"/>
        <n v="59.318734"/>
        <n v="46.850674"/>
        <n v="1.650026"/>
        <n v="41.075017"/>
        <n v="3357.6095469999996"/>
        <n v="4194.076763"/>
        <n v="735.410338"/>
        <n v="66.6468799999999"/>
        <n v="0.385702"/>
        <n v="1552.9461769999998"/>
        <n v="547.562863"/>
        <n v="299.708529"/>
        <n v="82.924092"/>
        <n v="132.623274"/>
        <n v="82.262954"/>
        <n v="77.771447"/>
        <n v="4.290931"/>
        <n v="48.938784"/>
        <n v="1.308484"/>
        <n v="3.317889"/>
        <n v="38.380471"/>
        <n v="0.060471"/>
        <n v="37.05183"/>
        <n v="8438.527039999999"/>
        <n v="10562.128693"/>
        <n v="912.741207"/>
        <n v="5.509437"/>
        <n v="2.359302"/>
        <n v="4419.943142"/>
        <n v="1418.480059"/>
        <n v="170.088854"/>
        <n v="503.776524"/>
        <n v="407.293637"/>
        <n v="6.79272499999999"/>
        <n v="36.475165999999994"/>
        <n v="0.660408"/>
        <n v="25.322153999999998"/>
        <n v="222.275641"/>
        <n v="53.936471"/>
        <n v="187.833551"/>
        <n v="229.58150899999998"/>
        <n v="201.002334"/>
        <n v="0.51301"/>
        <n v="184.811387"/>
        <n v="883.86949"/>
        <n v="6611.2779009999995"/>
        <n v="4368.40284"/>
        <n v="8.98719099999999"/>
        <n v="5080.932744"/>
        <n v="381.379502"/>
        <n v="326.445788"/>
        <n v="194.22379800000002"/>
        <n v="59.907000999999994"/>
        <n v="2.719411"/>
        <n v="140.99036999999998"/>
        <n v="112.19417600000001"/>
        <n v="45.09343"/>
        <n v="0.069555"/>
        <n v="42.177223"/>
        <n v="38.224321"/>
        <n v="1.612696"/>
        <n v="3420.009855"/>
        <n v="5533.045968"/>
        <n v="751.429353"/>
        <n v="67.253647"/>
        <n v="0.587074"/>
        <n v="1257.1860419999998"/>
        <n v="957.6501069999999"/>
        <n v="461.544797"/>
        <n v="85.414349"/>
        <n v="193.421163"/>
        <n v="162.79008100000001"/>
        <n v="97.7657099999999"/>
        <n v="50.093305"/>
        <n v="0.274441"/>
        <n v="0.138314"/>
        <n v="47.505247000000004"/>
        <n v="6.911678"/>
        <n v="35.343786"/>
        <n v="8375.874438"/>
        <n v="12122.702853"/>
        <n v="1390.042249"/>
        <n v="1.2848789999999999"/>
        <n v="12.614995"/>
        <n v="6994.548253999999"/>
        <n v="1774.121005"/>
        <n v="504.261818"/>
        <n v="6.121244"/>
        <n v="47.773322"/>
        <n v="151.43410599999999"/>
        <n v="395.922213"/>
        <n v="481.704229"/>
        <n v="0.9906129999999991"/>
        <n v="28.385295999999997"/>
        <n v="255.430531"/>
        <n v="64.167697"/>
        <n v="211.265253"/>
        <n v="198.851962"/>
        <n v="197.967969"/>
        <n v="961.059632"/>
        <n v="5859.277454"/>
        <n v="2930.864958"/>
        <n v="10.429015999999999"/>
        <n v="3419.5150129999997"/>
        <n v="308.450321"/>
        <n v="305.049151"/>
        <n v="138.82256"/>
        <n v="59.11902"/>
        <n v="17.027862000000002"/>
        <n v="122.809512"/>
        <n v="91.436464"/>
        <n v="46.874411"/>
        <n v="2.096333"/>
        <n v="45.806486"/>
        <n v="42.238225"/>
        <n v="2655.2929649999996"/>
        <n v="5564.252255"/>
        <n v="594.287953"/>
        <n v="65.3437009999999"/>
        <n v="0.770477"/>
        <n v="1136.3852720000002"/>
        <n v="993.906198"/>
        <n v="360.733782"/>
        <n v="79.828062"/>
        <n v="300.15178499999996"/>
        <n v="133.11645800000002"/>
        <n v="112.223814"/>
        <n v="93.8092929999999"/>
        <n v="73.01591"/>
        <n v="66.83419499999991"/>
        <n v="5634.594107"/>
        <n v="13515.363595"/>
        <n v="921.747493999999"/>
        <n v="0.7696809999999991"/>
        <n v="130.732092"/>
        <n v="4574.937022"/>
        <n v="2209.3594"/>
        <n v="590.075329"/>
        <n v="11.345499"/>
        <n v="36.270745000000005"/>
        <n v="96.486401"/>
        <n v="374.999533"/>
        <n v="458.184074"/>
        <n v="283.17352"/>
        <n v="38.515669"/>
        <n v="191.166691"/>
        <n v="213.325979"/>
        <n v="83.7297099999999"/>
        <n v="124.685178"/>
        <n v="911.4098469999999"/>
        <n v="4885.222894"/>
        <n v="4601.925382"/>
        <n v="10.906751"/>
        <n v="5422.175792"/>
        <n v="266.134121"/>
        <n v="254.339266"/>
        <n v="82.654955"/>
        <n v="98.160894"/>
        <n v="168.19323"/>
        <n v="14.372701999999999"/>
        <n v="149.289834"/>
        <n v="74.99866"/>
        <n v="73.44669999999999"/>
        <n v="44.394432"/>
        <n v="3091.481526"/>
        <n v="4930.19955899999"/>
        <n v="627.3147389999999"/>
        <n v="61.92317"/>
        <n v="1.590881"/>
        <n v="1154.483978"/>
        <n v="729.85568"/>
        <n v="616.157152"/>
        <n v="8.514561"/>
        <n v="530.799296"/>
        <n v="281.72459999999995"/>
        <n v="87.10071099999999"/>
        <n v="334.68803"/>
        <n v="136.563048"/>
        <n v="111.21218300000001"/>
        <n v="91.027754"/>
        <n v="7220.07481499999"/>
        <n v="9661.265620999999"/>
        <n v="1041.9969939999999"/>
        <n v="0.866289"/>
        <n v="111.543779"/>
        <n v="7424.94882599999"/>
        <n v="2329.209672"/>
        <n v="4.999411"/>
        <n v="1515.2832039999998"/>
        <n v="829.925924"/>
        <n v="60.751409"/>
        <n v="432.96244"/>
        <n v="411.48490999999996"/>
        <n v="382.59959999999995"/>
        <n v="4.805201"/>
        <n v="24.562617999999997"/>
        <n v="316.395114"/>
        <n v="39.231244"/>
        <n v="222.563144"/>
        <n v="916.589147"/>
        <n v="4782.541053"/>
        <n v="2572.258208"/>
        <n v="10.520850000000001"/>
        <n v="4729.63073499999"/>
        <n v="271.40479"/>
        <n v="230.718658"/>
        <n v="10.521911"/>
        <n v="132.086592"/>
        <n v="67.866183"/>
        <n v="59.064648999999996"/>
        <n v="97.748139"/>
        <n v="88.235473"/>
        <n v="79.551433"/>
        <n v="9.602312"/>
        <n v="49.925816"/>
        <n v="3039.185931"/>
        <n v="4352.489251"/>
        <n v="331.18594199999995"/>
        <n v="56.559075"/>
        <n v="1.9253959999999999"/>
        <n v="1062.609031"/>
        <n v="371.37458000000004"/>
        <n v="395.901459"/>
        <n v="684.569630999999"/>
        <n v="522.367552"/>
        <n v="315.49719699999997"/>
        <n v="75.85248299999999"/>
        <n v="271.43171"/>
        <n v="152.93679999999998"/>
        <n v="133.872281"/>
        <n v="94.428791"/>
        <n v="7248.969408"/>
        <n v="9724.902538"/>
        <n v="784.023162"/>
        <n v="2.374221"/>
        <n v="114.790323"/>
        <n v="4603.976229"/>
        <n v="1369.1364099999998"/>
        <n v="844.1097199999999"/>
        <n v="1193.713564"/>
        <n v="960.914753"/>
        <n v="441.059538"/>
        <n v="7.454791"/>
        <n v="25.818787"/>
        <n v="54.751506"/>
        <n v="304.731678"/>
        <n v="345.88195299999995"/>
        <n v="318.983902"/>
        <n v="183.33369"/>
        <n v="87.983642"/>
        <n v="898.672385999999"/>
        <n v="4814.733113"/>
        <n v="3543.020208"/>
        <n v="10.547372"/>
        <n v="5644.685427"/>
        <n v="276.893473"/>
        <n v="238.596017"/>
        <n v="17.309398"/>
        <n v="137.117698"/>
        <n v="141.873434"/>
        <n v="94.276287"/>
        <n v="36.606651"/>
        <n v="51.047383"/>
        <n v="18.507283"/>
        <n v="66.562141"/>
        <n v="60.192714"/>
        <n v="3221.262657"/>
        <n v="4884.351699"/>
        <n v="361.062196"/>
        <n v="65.041677"/>
        <n v="1.6490319999999998"/>
        <n v="1229.6147190000002"/>
        <n v="253.92876500000003"/>
        <n v="777.1369449999991"/>
        <n v="627.35439"/>
        <n v="539.018"/>
        <n v="442.433333"/>
        <n v="287.874421"/>
        <n v="42.496089"/>
        <n v="180.530733"/>
        <n v="139.357318"/>
        <n v="124.258366"/>
        <n v="7576.229367999999"/>
        <n v="10606.008457"/>
        <n v="968.999916"/>
        <n v="2.466652"/>
        <n v="116.463955"/>
        <n v="6837.95726"/>
        <n v="816.48217"/>
        <n v="1313.90949"/>
        <n v="1759.8600279999998"/>
        <n v="959.116532"/>
        <n v="412.478904"/>
        <n v="27.907627"/>
        <n v="346.083656"/>
        <n v="287.866199"/>
        <n v="6.943837"/>
        <n v="25.549584"/>
        <n v="225.06434099999998"/>
        <n v="34.415037"/>
        <n v="161.844556"/>
        <n v="694.009956999999"/>
        <n v="5266.284194"/>
        <n v="4297.3749179999995"/>
        <n v="10.129644"/>
        <n v="4048.5126"/>
        <n v="349.836778"/>
        <n v="220.183552"/>
        <n v="14.072999"/>
        <n v="127.683803"/>
        <n v="137.103641"/>
        <n v="48.341632"/>
        <n v="10.632907"/>
        <n v="29.563620999999998"/>
        <n v="37.274619"/>
        <n v="0.144415"/>
        <n v="14.455452"/>
        <n v="20.78609"/>
        <n v="2051.053798"/>
        <n v="5927.694242"/>
        <n v="354.733746"/>
        <n v="270.11420899999996"/>
        <n v="621.2800919999991"/>
        <n v="1.380758"/>
        <n v="891.778743"/>
        <n v="520.899138"/>
        <n v="399.155297"/>
        <n v="317.75876500000004"/>
        <n v="208.893286"/>
        <n v="59.614591"/>
        <n v="153.400214"/>
        <n v="140.02031200000002"/>
        <n v="0.692633"/>
        <n v="55.714800000000004"/>
        <n v="4338.377596"/>
        <n v="13377.295863"/>
        <n v="1017.6492079999999"/>
        <n v="2.686656"/>
        <n v="129.450263"/>
        <n v="6111.299986"/>
        <n v="809.177296"/>
        <n v="949.280491"/>
        <n v="0.035739"/>
        <n v="1229.762913"/>
        <n v="549.425267"/>
        <n v="350.572709"/>
        <n v="264.766226"/>
        <n v="215.468992"/>
        <n v="5.401491"/>
        <n v="33.784533"/>
        <n v="28.180940999999997"/>
        <n v="177.71524499999998"/>
        <n v="20.953447"/>
        <n v="170.72738099999998"/>
        <n v="808.533398"/>
        <n v="4132.658514"/>
        <n v="4342.29708"/>
        <n v="11.195581"/>
        <n v="4509.229168"/>
        <n v="356.615048"/>
        <n v="210.144614"/>
        <n v="12.375298"/>
        <n v="139.409435"/>
        <n v="75.752228"/>
        <n v="45.792495"/>
        <n v="41.747626"/>
        <n v="34.859685"/>
        <n v="33.539598"/>
        <n v="0.44929"/>
        <n v="1767.3089180000002"/>
        <n v="6535.292474999999"/>
        <n v="417.719272"/>
        <n v="62.94362"/>
        <n v="41.966569"/>
        <n v="1037.09187"/>
        <n v="17.012743999999998"/>
        <n v="736.024929"/>
        <n v="171.655003"/>
        <n v="342.313426"/>
        <n v="414.705064"/>
        <n v="240.023454"/>
        <n v="224.597878"/>
        <n v="149.312643"/>
        <n v="35.983109"/>
        <n v="183.715546"/>
        <n v="68.770531"/>
        <n v="5065.711125"/>
        <n v="14523.496621999999"/>
        <n v="1340.4343700000002"/>
        <n v="2.599994"/>
        <n v="114.957614"/>
        <n v="7067.477966"/>
        <n v="39.270829"/>
        <n v="2370.8854890000002"/>
        <n v="471.930847"/>
        <n v="458.486496"/>
        <n v="676.658057"/>
        <n v="388.65414000000004"/>
        <n v="4.972093"/>
        <n v="29.526422999999998"/>
        <n v="381.29071899999997"/>
        <n v="0.7672279999999999"/>
        <n v="54.314748"/>
        <n v="228.474595"/>
        <n v="277.617801"/>
        <n v="221.405838"/>
        <n v="838.3164919999999"/>
        <n v="6333.92685"/>
        <n v="2967.550514"/>
        <n v="13.984016"/>
        <n v="6789.88701899999"/>
        <n v="342.041969"/>
        <n v="12.090182"/>
        <n v="170.32941200000002"/>
        <n v="170.158144"/>
        <n v="89.076101"/>
        <n v="46.124092"/>
        <n v="33.354405"/>
        <n v="30.823635"/>
        <n v="24.99752"/>
        <n v="0.05762"/>
        <n v="2459.423384"/>
        <n v="7416.6546"/>
        <n v="266.12444"/>
        <n v="10.970206000000001"/>
        <n v="1451.2743770000002"/>
        <n v="1306.824554"/>
        <n v="18.151684"/>
        <n v="434.429395"/>
        <n v="163.867488"/>
        <n v="155.758256"/>
        <n v="198.28060200000002"/>
        <n v="156.285721"/>
        <n v="18.574319"/>
        <n v="162.59215700000001"/>
        <n v="140.600756"/>
        <n v="1.48214"/>
        <n v="67.058508"/>
        <n v="7484.281153"/>
        <n v="15760.805762"/>
        <n v="1051.793848"/>
        <n v="1.881435"/>
        <n v="112.165929"/>
        <n v="9577.518937"/>
        <n v="2101.853462"/>
        <n v="44.767403"/>
        <n v="1156.387558"/>
        <n v="595.8027149999999"/>
        <n v="275.085705"/>
        <n v="449.283347"/>
        <n v="378.995335"/>
        <n v="7.460162"/>
        <n v="23.810641"/>
        <n v="1.273673"/>
        <n v="58.314527999999996"/>
        <n v="283.693426"/>
        <n v="235.037437"/>
        <n v="191.25912100000002"/>
        <n v="632.6594719999999"/>
        <n v="4733.22810399999"/>
        <n v="5155.983123"/>
        <n v="15.142913"/>
        <n v="7939.393997"/>
        <n v="322.443487"/>
        <n v="8.82871899999999"/>
        <n v="180.08316699999997"/>
        <n v="0.5049209999999991"/>
        <n v="158.905209"/>
        <n v="70.102819"/>
        <n v="69.379221"/>
        <n v="31.865634999999997"/>
        <n v="26.838243"/>
        <n v="25.916124"/>
        <n v="0.06962099999999999"/>
        <n v="1862.527017"/>
        <n v="6276.647956"/>
        <n v="303.85544300000004"/>
        <n v="44.648981"/>
        <n v="3.1194349999999997"/>
        <n v="1411.3826569999999"/>
        <n v="911.9591929999999"/>
        <n v="42.92005"/>
        <n v="709.762952"/>
        <n v="167.301944"/>
        <n v="91.374932"/>
        <n v="170.223986"/>
        <n v="141.777357"/>
        <n v="9.832527"/>
        <n v="150.47624900000002"/>
        <n v="116.172805"/>
        <n v="103.764818"/>
        <n v="5751.850418999999"/>
        <n v="13843.010251"/>
        <n v="1613.783187"/>
        <n v="1.818643"/>
        <n v="116.18659600000001"/>
        <n v="8723.80770099999"/>
        <n v="94.16277099999999"/>
        <n v="1961.2954069999998"/>
        <n v="1502.999939"/>
        <n v="479.585418"/>
        <n v="119.78602099999999"/>
        <n v="378.372655"/>
        <n v="321.767696"/>
        <n v="7.170603"/>
        <n v="24.183679"/>
        <n v="311.613187"/>
        <n v="119.615482"/>
        <n v="0.5265359999999999"/>
        <n v="150.34304"/>
        <n v="139.085529"/>
        <n v="129.399208"/>
        <n v="584.439645"/>
        <n v="5261.899307"/>
        <n v="4483.308138"/>
        <n v="15.565614"/>
        <n v="7688.316923"/>
        <n v="325.02226299999995"/>
        <n v="10.424574"/>
        <n v="191.527329"/>
        <n v="0.403671"/>
        <n v="129.878468"/>
        <n v="127.89406"/>
        <n v="63.073779"/>
        <n v="61.491981"/>
        <n v="36.0215"/>
        <n v="33.214698"/>
        <n v="0.086132"/>
        <n v="1831.470979"/>
        <n v="6746.23011"/>
        <n v="346.235894"/>
        <n v="46.13722"/>
        <n v="9.829012"/>
        <n v="1308.781975"/>
        <n v="785.239745"/>
        <n v="58.98103699999999"/>
        <n v="606.25328"/>
        <n v="171.533862"/>
        <n v="55.380153"/>
        <n v="177.160661"/>
        <n v="134.078957"/>
        <n v="7.754097"/>
        <n v="133.355757"/>
        <n v="121.583181"/>
        <n v="108.66609600000001"/>
        <n v="5816.404614"/>
        <n v="14410.525472"/>
        <n v="1260.9091939999998"/>
        <n v="1.791126"/>
        <n v="160.195657"/>
        <n v="7508.4035649999905"/>
        <n v="122.270841"/>
        <n v="1349.544558"/>
        <n v="1470.9417509999998"/>
        <n v="385.360054"/>
        <n v="8.773221"/>
        <n v="28.912295999999998"/>
        <n v="303.53724"/>
        <n v="45.059481"/>
        <n v="309.04197"/>
        <n v="266.459087"/>
        <n v="1.6510209999999998"/>
        <n v="49.401866"/>
        <n v="154.514089"/>
        <n v="14.953211999999999"/>
        <n v="0.960840999999999"/>
        <n v="173.679195"/>
        <n v="2078.5833000000002"/>
        <n v="1233.5554"/>
        <n v="1891.4637"/>
        <n v="1726.978"/>
        <n v="999.1274000000001"/>
        <n v="1653.5799"/>
        <n v="1670.2214"/>
        <n v="876.2526"/>
        <n v="1287.2407"/>
        <n v="1358.9363"/>
        <n v="759.3861999999999"/>
        <n v="2991.2072000000003"/>
        <n v="1451.1396000000002"/>
        <n v="751.6631"/>
        <n v="1321.7206999999999"/>
        <n v="1271.7483"/>
        <n v="1119.4307"/>
        <n v="2409.2682"/>
        <n v="1472.9105"/>
        <n v="1292.4159"/>
        <n v="2610.5357999999997"/>
        <n v="1174.4153000000001"/>
        <n v="1298.0841"/>
        <n v="2683.1193"/>
        <n v="1100.4578999999999"/>
        <n v="1265.2026"/>
        <n v="1831.2858999999999"/>
        <n v="833.8938"/>
        <n v="867.9115"/>
        <n v="1875.1751000000002"/>
        <n v="894.7549"/>
        <n v="749.0576"/>
        <n v="1339.4531000000002"/>
        <n v="748.8579"/>
        <n v="549.344299999999"/>
        <n v="1721.9886000000001"/>
      </sharedItems>
    </cacheField>
    <cacheField name="Volume (in 1000 kg)">
      <sharedItems containsDate="1" containsMixedTypes="1">
        <d v="6792-02-01T00:00:00Z"/>
        <s v="21.5612"/>
        <s v="23.8763"/>
        <s v="0.0013"/>
        <s v="0.0101"/>
        <s v="13.0196"/>
        <s v="0.7731"/>
        <s v="0.6367"/>
        <d v="5761-01-01T00:00:00Z"/>
        <s v="0.4614"/>
        <s v="0.347"/>
        <s v="0.0018"/>
        <s v="0.4004"/>
        <s v="0.1379"/>
        <s v="0.06950000000000001"/>
        <s v="0.007900000000000001"/>
        <s v="0.0401"/>
        <s v="0.0004"/>
        <d v="7544-12-01T00:00:00Z"/>
        <s v="18.7075"/>
        <d v="3618-02-01T00:00:00Z"/>
        <s v="0.2071"/>
        <s v="0.0022"/>
        <d v="6403-02-01T00:00:00Z"/>
        <d v="9223-07-01T00:00:00Z"/>
        <s v="0.7747000000000001"/>
        <s v="0.2899"/>
        <s v="0.2804"/>
        <s v="0.3364"/>
        <s v="0.2641"/>
        <s v="0.1117"/>
        <s v="0.0036"/>
        <s v="0.082"/>
        <s v="0.0009"/>
        <s v="0.1602"/>
        <s v="20.4104"/>
        <s v="51.7931"/>
        <d v="6763-04-01T00:00:00Z"/>
        <s v="0.0485"/>
        <s v="0.0011"/>
        <s v="19.878"/>
        <s v="13.2728"/>
        <s v="0.6397"/>
        <d v="4102-02-01T00:00:00Z"/>
        <s v="0.3421"/>
        <s v="0.0121"/>
        <s v="0.0356"/>
        <s v="0.8008"/>
        <s v="0.0585"/>
        <s v="0.4015"/>
        <s v="0.4505"/>
        <s v="0.0005"/>
        <s v="0.2605"/>
        <s v="0.0001"/>
        <s v="0.0202"/>
        <s v="0.1256"/>
        <d v="3268-02-01T00:00:00Z"/>
        <s v="25.0535"/>
        <s v="15.082"/>
        <s v="0.0151"/>
        <s v="8.776300000000001"/>
        <d v="7237-01-01T00:00:00Z"/>
        <s v="0.4643"/>
        <s v="0.5584"/>
        <s v="0.3186"/>
        <s v="0.3666"/>
        <s v="0.0016"/>
        <s v="0.4209"/>
        <s v="0.1505"/>
        <s v="0.0956"/>
        <s v="0.0042"/>
        <s v="0.0823"/>
        <s v="11.531"/>
        <s v="13.7834"/>
        <d v="4647-02-01T00:00:00Z"/>
        <s v="0.2969"/>
        <d v="9482-02-01T00:00:00Z"/>
        <d v="7526-02-01T00:00:00Z"/>
        <s v="0.9387"/>
        <s v="0.2331"/>
        <s v="0.2537"/>
        <s v="0.1943"/>
        <s v="0.302"/>
        <s v="0.0735"/>
        <s v="0.0048"/>
        <s v="0.1398"/>
        <s v="0.0381"/>
        <s v="33.2051"/>
        <s v="38.6751"/>
        <d v="2013-03-01T00:00:00Z"/>
        <s v="0.0306"/>
        <s v="0.0033"/>
        <s v="8.100199999999999"/>
        <n v="-439934.0"/>
        <s v="0.6849"/>
        <d v="4585-01-01T00:00:00Z"/>
        <s v="0.2928"/>
        <s v="0.0073"/>
        <s v="0.0369"/>
        <s v="0.0003"/>
        <s v="0.0193"/>
        <s v="0.1721"/>
        <s v="0.0533"/>
        <s v="0.292"/>
        <s v="0.519"/>
        <s v="0.3777"/>
        <s v="0.2036"/>
        <s v="2.673"/>
        <s v="25.0443"/>
        <s v="18.0803"/>
        <s v="0.0146"/>
        <d v="2662-10-01T00:00:00Z"/>
        <s v="0.651"/>
        <d v="7132-01-01T00:00:00Z"/>
        <s v="0.5931999999999999"/>
        <s v="0.186"/>
        <s v="0.0023"/>
        <s v="0.4347"/>
        <s v="0.2905"/>
        <s v="0.0493"/>
        <s v="0.0833"/>
        <s v="0.07190000000000001"/>
        <s v="0.0044"/>
        <d v="3884-12-01T00:00:00Z"/>
        <s v="19.2909"/>
        <d v="5487-02-01T00:00:00Z"/>
        <s v="0.2945"/>
        <s v="0.0008"/>
        <d v="3936-02-01T00:00:00Z"/>
        <n v="-556111.0"/>
        <d v="5276-01-01T00:00:00Z"/>
        <s v="0.2383"/>
        <s v="0.4778"/>
        <s v="0.31"/>
        <s v="0.371"/>
        <s v="0.081"/>
        <s v="0.0002"/>
        <s v="0.1739"/>
        <s v="0.0068"/>
        <s v="0.055"/>
        <s v="33.7595"/>
        <s v="44.9054"/>
        <d v="2449-05-01T00:00:00Z"/>
        <s v="0.006"/>
        <s v="0.0168"/>
        <s v="14.4676"/>
        <d v="4168-09-01T00:00:00Z"/>
        <s v="0.3373"/>
        <s v="0.0067"/>
        <s v="0.0483"/>
        <s v="0.7403999999999999"/>
        <n v="-81081.0"/>
        <s v="1.014"/>
        <s v="0.0216"/>
        <s v="0.1937"/>
        <s v="0.0635"/>
        <s v="0.3544"/>
        <s v="0.2097"/>
        <s v="0.3504"/>
        <s v="3.009"/>
        <s v="20.3312"/>
        <d v="7593-10-01T00:00:00Z"/>
        <s v="0.0167"/>
        <n v="-97001.0"/>
        <d v="4542-01-01T00:00:00Z"/>
        <s v="0.4984"/>
        <s v="0.4859"/>
        <s v="0.2493"/>
        <s v="0.0134"/>
        <s v="0.3785"/>
        <s v="0.2418"/>
        <s v="0.0969"/>
        <s v="0.007"/>
        <s v="0.1018"/>
        <s v="0.08500000000000001"/>
        <d v="8476-07-01T00:00:00Z"/>
        <s v="19.9434"/>
        <d v="1958-02-01T00:00:00Z"/>
        <s v="0.2912"/>
        <s v="0.0012"/>
        <d v="3852-02-01T00:00:00Z"/>
        <n v="-378968.0"/>
        <d v="1939-01-01T00:00:00Z"/>
        <s v="0.3163"/>
        <s v="1.075"/>
        <s v="0.2608"/>
        <s v="0.2506"/>
        <s v="0.3594"/>
        <s v="0.3702"/>
        <s v="0.1176"/>
        <s v="18.0203"/>
        <s v="50.2664"/>
        <n v="-430195.0"/>
        <s v="0.0028"/>
        <s v="0.2432"/>
        <n v="-176198.0"/>
        <d v="6531-12-01T00:00:00Z"/>
        <s v="0.368"/>
        <s v="0.0109"/>
        <s v="0.0365"/>
        <s v="0.4773"/>
        <d v="4373-01-01T00:00:00Z"/>
        <d v="6445-01-01T00:00:00Z"/>
        <s v="0.5639"/>
        <s v="0.0293"/>
        <s v="0.1377"/>
        <s v="0.404"/>
        <s v="0.0334"/>
        <s v="0.08550000000000001"/>
        <d v="8471-02-01T00:00:00Z"/>
        <s v="16.7014"/>
        <s v="22.4425"/>
        <s v="0.0174"/>
        <d v="3752-12-01T00:00:00Z"/>
        <s v="0.4383"/>
        <s v="1.083"/>
        <s v="0.2862"/>
        <s v="0.6156"/>
        <s v="0.4272"/>
        <s v="0.0125"/>
        <s v="0.4631"/>
        <s v="0.1587"/>
        <s v="0.4171"/>
        <s v="0.1015"/>
        <d v="5705-10-01T00:00:00Z"/>
        <s v="16.6957"/>
        <n v="-64250.0"/>
        <s v="0.2876"/>
        <s v="0.0024"/>
        <d v="3687-02-01T00:00:00Z"/>
        <n v="-315112.0"/>
        <d v="5762-03-01T00:00:00Z"/>
        <s v="0.0438"/>
        <n v="-479867.0"/>
        <s v="0.9579"/>
        <s v="0.4553"/>
        <d v="2451-01-01T00:00:00Z"/>
        <s v="0.2747"/>
        <s v="0.2481"/>
        <s v="0.4291"/>
        <s v="28.4204"/>
        <s v="33.0196"/>
        <d v="9077-03-01T00:00:00Z"/>
        <s v="0.0031"/>
        <s v="0.2016"/>
        <s v="15.7343"/>
        <s v="13.4475"/>
        <s v="0.0215"/>
        <d v="8262-07-01T00:00:00Z"/>
        <s v="4.789"/>
        <s v="0.4416"/>
        <n v="-467843.0"/>
        <d v="5348-01-01T00:00:00Z"/>
        <s v="0.2457"/>
        <s v="0.004"/>
        <s v="0.0246"/>
        <s v="0.6166"/>
        <s v="0.0298"/>
        <s v="0.1672"/>
        <n v="-537941.0"/>
        <s v="16.9604"/>
        <d v="2055-11-01T00:00:00Z"/>
        <s v="0.017"/>
        <n v="-535139.0"/>
        <s v="0.436"/>
        <d v="1983-01-01T00:00:00Z"/>
        <s v="0.0091"/>
        <s v="0.4096"/>
        <s v="0.2218"/>
        <s v="0.3235"/>
        <s v="0.2081"/>
        <s v="0.2729"/>
        <s v="0.4844"/>
        <s v="0.0489"/>
        <s v="0.3272"/>
        <d v="2543-10-01T00:00:00Z"/>
        <s v="14.3842"/>
        <n v="-42000.0"/>
        <s v="0.2626"/>
        <s v="0.0034"/>
        <n v="-428762.0"/>
        <n v="-63154.0"/>
        <d v="5959-02-01T00:00:00Z"/>
        <d v="3615-04-01T00:00:00Z"/>
        <n v="-20027.0"/>
        <n v="-418566.0"/>
        <s v="0.282"/>
        <s v="1.193"/>
        <s v="0.649"/>
        <s v="0.2638"/>
        <s v="0.2133"/>
        <s v="25.8174"/>
        <s v="34.6697"/>
        <d v="6066-02-01T00:00:00Z"/>
        <s v="0.0086"/>
        <s v="0.2053"/>
        <s v="8.202999999999999"/>
        <d v="9322-07-01T00:00:00Z"/>
        <d v="5184-05-01T00:00:00Z"/>
        <d v="4292-06-01T00:00:00Z"/>
        <n v="-41119.0"/>
        <s v="0.2671"/>
        <s v="0.0062"/>
        <s v="0.0251"/>
        <s v="0.2895"/>
        <d v="2719-01-01T00:00:00Z"/>
        <d v="4601-01-01T00:00:00Z"/>
        <s v="0.5971"/>
        <s v="0.1249"/>
        <s v="0.0832"/>
        <n v="-579944.0"/>
        <s v="17.6291"/>
        <s v="14.4389"/>
        <s v="0.0164"/>
        <d v="4594-12-01T00:00:00Z"/>
        <s v="0.4471"/>
        <n v="-585116.0"/>
        <s v="0.0191"/>
        <s v="0.4254"/>
        <s v="0.5673"/>
        <s v="0.2679"/>
        <s v="0.1305"/>
        <s v="0.2341"/>
        <s v="0.096"/>
        <s v="0.5362"/>
        <s v="0.3856"/>
        <d v="3558-11-01T00:00:00Z"/>
        <s v="17.1406"/>
        <d v="1982-01-01T00:00:00Z"/>
        <s v="0.0025"/>
        <s v="2.508"/>
        <s v="1.23"/>
        <d v="5686-05-01T00:00:00Z"/>
        <d v="9968-03-01T00:00:00Z"/>
        <d v="6372-03-01T00:00:00Z"/>
        <d v="6923-02-01T00:00:00Z"/>
        <s v="0.9946"/>
        <s v="0.2534"/>
        <s v="0.7117"/>
        <s v="0.2829"/>
        <s v="26.5251"/>
        <s v="37.9666"/>
        <d v="4546-03-01T00:00:00Z"/>
        <s v="0.008999999999999999"/>
        <s v="0.2046"/>
        <s v="15.5233"/>
        <d v="9007-03-01T00:00:00Z"/>
        <d v="3757-09-01T00:00:00Z"/>
        <n v="-414275.0"/>
        <d v="6673-06-01T00:00:00Z"/>
        <d v="4225-02-01T00:00:00Z"/>
        <s v="0.2136"/>
        <d v="9328-01-01T00:00:00Z"/>
        <s v="0.1766"/>
        <s v="0.0059"/>
        <s v="0.4402"/>
        <s v="0.0259"/>
        <s v="0.1166"/>
        <n v="-138029.0"/>
        <s v="20.2578"/>
        <s v="18.0739"/>
        <d v="9376-07-01T00:00:00Z"/>
        <s v="0.5626"/>
        <s v="0.9379999999999999"/>
        <s v="0.0142"/>
        <s v="0.3913"/>
        <s v="0.6273"/>
        <s v="0.1182"/>
        <s v="0.0397"/>
        <s v="0.1005"/>
        <s v="0.1002"/>
        <s v="0.0775"/>
        <s v="0.1975"/>
        <s v="6.146"/>
        <s v="21.3872"/>
        <n v="-34331.0"/>
        <d v="6648-01-01T00:00:00Z"/>
        <d v="7468-04-01T00:00:00Z"/>
        <d v="7577-01-01T00:00:00Z"/>
        <d v="9877-02-01T00:00:00Z"/>
        <d v="7936-02-01T00:00:00Z"/>
        <d v="7962-01-01T00:00:00Z"/>
        <s v="0.6879999999999999"/>
        <s v="0.3546"/>
        <s v="0.5600000000000001"/>
        <s v="0.2845"/>
        <s v="0.2055"/>
        <d v="9567-12-01T00:00:00Z"/>
        <s v="49.9466"/>
        <d v="5971-03-01T00:00:00Z"/>
        <s v="0.0097"/>
        <s v="0.2238"/>
        <d v="3527-12-01T00:00:00Z"/>
        <d v="8879-04-01T00:00:00Z"/>
        <d v="3435-07-01T00:00:00Z"/>
        <n v="-391021.0"/>
        <d v="9306-03-01T00:00:00Z"/>
        <d v="8279-01-01T00:00:00Z"/>
        <s v="0.4962"/>
        <s v="0.1253"/>
        <s v="0.0326"/>
        <s v="0.1279"/>
        <s v="0.1946"/>
        <d v="2014-01-01T00:00:00Z"/>
        <d v="6499-02-01T00:00:00Z"/>
        <s v="14.8417"/>
        <s v="18.3952"/>
        <s v="0.0172"/>
        <s v="9.670500000000001"/>
        <s v="0.5881999999999999"/>
        <s v="0.9056999999999999"/>
        <s v="0.0139"/>
        <s v="0.4329"/>
        <s v="0.3291"/>
        <s v="0.1067"/>
        <s v="0.08309999999999999"/>
        <s v="0.0964"/>
        <s v="0.0898"/>
        <d v="3554-05-01T00:00:00Z"/>
        <s v="23.8348"/>
        <s v="1.387"/>
        <s v="0.2923"/>
        <s v="0.0617"/>
        <n v="-16768.0"/>
        <s v="0.0702"/>
        <n v="-117121.0"/>
        <s v="0.9287"/>
        <d v="5544-02-01T00:00:00Z"/>
        <s v="0.8179999999999999"/>
        <s v="0.8294"/>
        <n v="-256033.0"/>
        <s v="0.5027"/>
        <s v="0.1924"/>
        <s v="0.8146"/>
        <s v="0.6032999999999999"/>
        <s v="16.6012"/>
        <s v="58.6622"/>
        <n v="-376442.0"/>
        <s v="0.0094"/>
        <s v="15.0084"/>
        <s v="0.1637"/>
        <s v="15.6621"/>
        <d v="3367-02-01T00:00:00Z"/>
        <d v="4569-03-01T00:00:00Z"/>
        <d v="3202-01-01T00:00:00Z"/>
        <s v="0.249"/>
        <s v="0.0283"/>
        <s v="0.712"/>
        <s v="0.0439"/>
        <s v="0.1695"/>
        <d v="5263-01-01T00:00:00Z"/>
        <s v="0.8548"/>
        <d v="8925-02-01T00:00:00Z"/>
        <s v="25.9689"/>
        <d v="6632-11-01T00:00:00Z"/>
        <s v="0.0232"/>
        <s v="16.1827"/>
        <s v="0.5522"/>
        <s v="0.5464"/>
        <s v="0.7494"/>
        <s v="0.2717"/>
        <s v="0.0949"/>
        <s v="0.0721"/>
        <s v="0.08939999999999999"/>
        <s v="0.0732"/>
        <n v="-627637.0"/>
        <s v="30.0325"/>
        <s v="0.8596"/>
        <s v="0.0165"/>
        <d v="1949-03-01T00:00:00Z"/>
        <s v="2.624"/>
        <s v="0.07489999999999999"/>
        <n v="-616862.0"/>
        <s v="0.9297"/>
        <n v="-398477.0"/>
        <n v="-422949.0"/>
        <s v="0.5044999999999999"/>
        <s v="0.094"/>
        <s v="0.5594"/>
        <s v="0.6566"/>
        <s v="0.2226"/>
        <s v="26.593"/>
        <s v="66.0851"/>
        <d v="5785-03-01T00:00:00Z"/>
        <s v="0.2002"/>
        <s v="22.3846"/>
        <n v="-26571.0"/>
        <s v="0.185"/>
        <d v="2831-05-01T00:00:00Z"/>
        <d v="3207-03-01T00:00:00Z"/>
        <d v="8613-01-01T00:00:00Z"/>
        <s v="0.7786"/>
        <s v="0.2311"/>
        <s v="0.0233"/>
        <s v="0.0467"/>
        <s v="0.2199"/>
        <s v="0.8894"/>
        <s v="0.9404"/>
        <d v="9625-01-01T00:00:00Z"/>
        <s v="17.3296"/>
        <s v="24.4289"/>
        <s v="0.0241"/>
        <s v="22.8493"/>
        <s v="0.5326"/>
        <s v="0.008399999999999999"/>
        <s v="0.5093"/>
        <s v="0.7115"/>
        <s v="0.1386"/>
        <s v="0.2187"/>
        <s v="0.0707"/>
        <s v="0.0577"/>
        <s v="0.0288"/>
        <d v="6023-05-01T00:00:00Z"/>
        <s v="23.0859"/>
        <s v="0.9749"/>
        <s v="0.2073"/>
        <s v="0.0054"/>
        <d v="2619-03-01T00:00:00Z"/>
        <d v="8466-01-01T00:00:00Z"/>
        <s v="0.1784"/>
        <s v="4.343"/>
        <n v="-582195.0"/>
        <s v="0.6327"/>
        <s v="0.6203"/>
        <s v="0.4732"/>
        <s v="0.05"/>
        <s v="0.8321"/>
        <s v="0.5754"/>
        <s v="0.1928"/>
        <s v="19.116"/>
        <s v="51.9838"/>
        <d v="5621-06-01T00:00:00Z"/>
        <s v="0.008699999999999999"/>
        <s v="0.1983"/>
        <s v="19.7395"/>
        <s v="0.3905"/>
        <d v="2297-11-01T00:00:00Z"/>
        <d v="9668-02-01T00:00:00Z"/>
        <n v="-293593.0"/>
        <s v="0.8399"/>
        <s v="0.676"/>
        <s v="0.2027"/>
        <s v="1.232"/>
        <s v="0.0877"/>
        <s v="0.4403"/>
        <s v="0.0556"/>
        <d v="7403-01-01T00:00:00Z"/>
        <s v="20.6244"/>
        <s v="20.0346"/>
        <s v="0.0252"/>
        <s v="19.4127"/>
        <s v="0.5425"/>
        <s v="0.0105"/>
        <s v="0.5524"/>
        <s v="0.0019"/>
        <s v="0.5687"/>
        <s v="0.2812"/>
        <s v="0.1878"/>
        <s v="0.1737"/>
        <s v="0.0731"/>
        <s v="0.037"/>
        <d v="6361-05-01T00:00:00Z"/>
        <s v="24.3984"/>
        <n v="-200151.0"/>
        <s v="0.2142"/>
        <s v="0.0129"/>
        <d v="8757-02-01T00:00:00Z"/>
        <d v="6589-01-01T00:00:00Z"/>
        <s v="0.2654"/>
        <d v="6175-03-01T00:00:00Z"/>
        <s v="0.909"/>
        <s v="0.3413"/>
        <s v="0.6225000000000001"/>
        <s v="0.4413"/>
        <s v="0.0398"/>
        <s v="0.2459"/>
        <s v="0.8663"/>
        <s v="0.5895"/>
        <s v="19.3721"/>
        <s v="55.3599"/>
        <d v="6012-04-01T00:00:00Z"/>
        <s v="0.0065"/>
        <s v="0.2776"/>
        <s v="15.5791"/>
        <s v="0.5273"/>
        <s v="7.173"/>
        <n v="-430560.0"/>
        <s v="0.2478"/>
        <s v="0.0072"/>
        <s v="0.0276"/>
        <d v="3576-01-01T00:00:00Z"/>
        <s v="0.286"/>
        <s v="1.141"/>
        <s v="0.0005999999999999999"/>
        <s v="0.0364"/>
        <s v="0.116"/>
        <s v="0.5780999999999999"/>
        <d v="2363-06-01T00:00:00Z"/>
        <d v="6037-03-01T00:00:00Z"/>
        <d v="2468-05-01T00:00:00Z"/>
        <d v="5089-05-01T00:00:00Z"/>
        <n v="-540863.0"/>
        <d v="6981-04-01T00:00:00Z"/>
        <d v="9941-04-01T00:00:00Z"/>
        <d v="9221-02-01T00:00:00Z"/>
        <d v="6494-03-01T00:00:00Z"/>
        <d v="8626-03-01T00:00:00Z"/>
        <d v="8754-01-01T00:00:00Z"/>
        <d v="5417-12-01T00:00:00Z"/>
        <d v="5234-04-01T00:00:00Z"/>
        <d v="7728-01-01T00:00:00Z"/>
        <d v="5244-03-01T00:00:00Z"/>
        <n v="-585756.0"/>
        <n v="-180004.0"/>
        <d v="2472-07-01T00:00:00Z"/>
        <n v="-83518.0"/>
        <d v="2581-04-01T00:00:00Z"/>
        <s v="8.820399999999999"/>
        <d v="8833-03-01T00:00:00Z"/>
        <d v="4205-04-01T00:00:00Z"/>
        <s v="9.813599999999999"/>
        <d v="5234-03-01T00:00:00Z"/>
        <d v="8079-03-01T00:00:00Z"/>
        <d v="8805-05-01T00:00:00Z"/>
        <d v="4005-02-01T00:00:00Z"/>
        <d v="7376-02-01T00:00:00Z"/>
        <d v="5807-05-01T00:00:00Z"/>
        <d v="6428-02-01T00:00:00Z"/>
        <d v="2945-02-01T00:00:00Z"/>
        <d v="5896-03-01T00:00:00Z"/>
        <s v="2.118"/>
        <d v="5636-01-01T00:00:00Z"/>
        <n v="-477980.0"/>
      </sharedItems>
    </cacheField>
    <cacheField name="Number of stores" numFmtId="0">
      <sharedItems containsSemiMixedTypes="0" containsString="0" containsNumber="1" containsInteger="1">
        <n v="545.0"/>
        <n v="798.0"/>
        <n v="569.0"/>
        <n v="1.0"/>
        <n v="6.0"/>
        <n v="658.0"/>
        <n v="366.0"/>
        <n v="281.0"/>
        <n v="234.0"/>
        <n v="102.0"/>
        <n v="93.0"/>
        <n v="2.0"/>
        <n v="122.0"/>
        <n v="167.0"/>
        <n v="88.0"/>
        <n v="11.0"/>
        <n v="0.0"/>
        <n v="8174.0"/>
        <n v="8539.0"/>
        <n v="791.0"/>
        <n v="174.0"/>
        <n v="704.0"/>
        <n v="1738.0"/>
        <n v="1602.0"/>
        <n v="498.0"/>
        <n v="254.0"/>
        <n v="390.0"/>
        <n v="222.0"/>
        <n v="121.0"/>
        <n v="280.0"/>
        <n v="11628.0"/>
        <n v="15787.0"/>
        <n v="796.0"/>
        <n v="34.0"/>
        <n v="1820.0"/>
        <n v="2184.0"/>
        <n v="842.0"/>
        <n v="1879.0"/>
        <n v="96.0"/>
        <n v="8.0"/>
        <n v="48.0"/>
        <n v="289.0"/>
        <n v="75.0"/>
        <n v="114.0"/>
        <n v="558.0"/>
        <n v="810.0"/>
        <n v="587.0"/>
        <n v="10.0"/>
        <n v="668.0"/>
        <n v="237.0"/>
        <n v="105.0"/>
        <n v="343.0"/>
        <n v="208.0"/>
        <n v="77.0"/>
        <n v="124.0"/>
        <n v="165.0"/>
        <n v="87.0"/>
        <n v="62.0"/>
        <n v="8226.0"/>
        <n v="8143.0"/>
        <n v="777.0"/>
        <n v="273.0"/>
        <n v="941.0"/>
        <n v="1592.0"/>
        <n v="1955.0"/>
        <n v="507.0"/>
        <n v="279.0"/>
        <n v="213.0"/>
        <n v="206.0"/>
        <n v="11647.0"/>
        <n v="15152.0"/>
        <n v="780.0"/>
        <n v="30.0"/>
        <n v="12.0"/>
        <n v="1675.0"/>
        <n v="2062.0"/>
        <n v="800.0"/>
        <n v="2043.0"/>
        <n v="101.0"/>
        <n v="7.0"/>
        <n v="54.0"/>
        <n v="78.0"/>
        <n v="266.0"/>
        <n v="117.0"/>
        <n v="565.0"/>
        <n v="794.0"/>
        <n v="580.0"/>
        <n v="664.0"/>
        <n v="236.0"/>
        <n v="310.0"/>
        <n v="148.0"/>
        <n v="3.0"/>
        <n v="123.0"/>
        <n v="73.0"/>
        <n v="56.0"/>
        <n v="91.0"/>
        <n v="7304.0"/>
        <n v="8857.0"/>
        <n v="568.0"/>
        <n v="203.0"/>
        <n v="874.0"/>
        <n v="1817.0"/>
        <n v="2390.0"/>
        <n v="446.0"/>
        <n v="475.0"/>
        <n v="232.0"/>
        <n v="221.0"/>
        <n v="256.0"/>
        <n v="11876.0"/>
        <n v="15756.0"/>
        <n v="762.0"/>
        <n v="1692.0"/>
        <n v="1981.0"/>
        <n v="95.0"/>
        <n v="707.0"/>
        <n v="1904.0"/>
        <n v="353.0"/>
        <n v="118.0"/>
        <n v="570.0"/>
        <n v="628.0"/>
        <n v="260.0"/>
        <n v="100.0"/>
        <n v="21.0"/>
        <n v="131.0"/>
        <n v="60.0"/>
        <n v="154.0"/>
        <n v="6542.0"/>
        <n v="9222.0"/>
        <n v="625.0"/>
        <n v="846.0"/>
        <n v="1853.0"/>
        <n v="1868.0"/>
        <n v="461.0"/>
        <n v="3105.0"/>
        <n v="245.0"/>
        <n v="223.0"/>
        <n v="525.0"/>
        <n v="1065.0"/>
        <n v="10675.0"/>
        <n v="15822.0"/>
        <n v="644.0"/>
        <n v="190.0"/>
        <n v="1774.0"/>
        <n v="1975.0"/>
        <n v="107.0"/>
        <n v="49.0"/>
        <n v="421.0"/>
        <n v="1777.0"/>
        <n v="3919.0"/>
        <n v="201.0"/>
        <n v="116.0"/>
        <n v="788.0"/>
        <n v="573.0"/>
        <n v="9.0"/>
        <n v="645.0"/>
        <n v="98.0"/>
        <n v="229.0"/>
        <n v="205.0"/>
        <n v="85.0"/>
        <n v="207.0"/>
        <n v="16.0"/>
        <n v="164.0"/>
        <n v="46.0"/>
        <n v="7285.0"/>
        <n v="8658.0"/>
        <n v="566.0"/>
        <n v="173.0"/>
        <n v="904.0"/>
        <n v="1552.0"/>
        <n v="2250.0"/>
        <n v="138.0"/>
        <n v="2725.0"/>
        <n v="1325.0"/>
        <n v="386.0"/>
        <n v="3510.0"/>
        <n v="212.0"/>
        <n v="270.0"/>
        <n v="11852.0"/>
        <n v="15176.0"/>
        <n v="585.0"/>
        <n v="249.0"/>
        <n v="1844.0"/>
        <n v="7585.0"/>
        <n v="72.0"/>
        <n v="1670.0"/>
        <n v="4261.0"/>
        <n v="247.0"/>
        <n v="1403.0"/>
        <n v="3969.0"/>
        <n v="113.0"/>
        <n v="4.0"/>
        <n v="44.0"/>
        <n v="287.0"/>
        <n v="553.0"/>
        <n v="787.0"/>
        <n v="591.0"/>
        <n v="654.0"/>
        <n v="99.0"/>
        <n v="15.0"/>
        <n v="170.0"/>
        <n v="149.0"/>
        <n v="68.0"/>
        <n v="175.0"/>
        <n v="18.0"/>
        <n v="108.0"/>
        <n v="6761.0"/>
        <n v="7647.0"/>
        <n v="504.0"/>
        <n v="163.0"/>
        <n v="803.0"/>
        <n v="2335.0"/>
        <n v="2479.0"/>
        <n v="1387.0"/>
        <n v="3345.0"/>
        <n v="1483.0"/>
        <n v="3378.0"/>
        <n v="243.0"/>
        <n v="265.0"/>
        <n v="12120.0"/>
        <n v="13797.0"/>
        <n v="641.0"/>
        <n v="1767.0"/>
        <n v="7311.0"/>
        <n v="4054.0"/>
        <n v="1676.0"/>
        <n v="5559.0"/>
        <n v="5.0"/>
        <n v="356.0"/>
        <n v="1133.0"/>
        <n v="4110.0"/>
        <n v="176.0"/>
        <n v="782.0"/>
        <n v="676.0"/>
        <n v="754.0"/>
        <n v="19.0"/>
        <n v="171.0"/>
        <n v="369.0"/>
        <n v="83.0"/>
        <n v="66.0"/>
        <n v="37.0"/>
        <n v="109.0"/>
        <n v="103.0"/>
        <n v="7112.0"/>
        <n v="9029.0"/>
        <n v="506.0"/>
        <n v="914.0"/>
        <n v="1785.0"/>
        <n v="3381.0"/>
        <n v="1374.0"/>
        <n v="3268.0"/>
        <n v="4822.0"/>
        <n v="1115.0"/>
        <n v="352.0"/>
        <n v="549.0"/>
        <n v="253.0"/>
        <n v="210.0"/>
        <n v="12289.0"/>
        <n v="15057.0"/>
        <n v="693.0"/>
        <n v="252.0"/>
        <n v="2278.0"/>
        <n v="5403.0"/>
        <n v="5075.0"/>
        <n v="1629.0"/>
        <n v="5302.0"/>
        <n v="4586.0"/>
        <n v="1404.0"/>
        <n v="524.0"/>
        <n v="679.0"/>
        <n v="737.0"/>
        <n v="127.0"/>
        <n v="338.0"/>
        <n v="33.0"/>
        <n v="47.0"/>
        <n v="32.0"/>
        <n v="6264.0"/>
        <n v="9804.0"/>
        <n v="494.0"/>
        <n v="1760.0"/>
        <n v="3253.0"/>
        <n v="710.0"/>
        <n v="1386.0"/>
        <n v="2704.0"/>
        <n v="3735.0"/>
        <n v="1140.0"/>
        <n v="397.0"/>
        <n v="410.0"/>
        <n v="255.0"/>
        <n v="10517.0"/>
        <n v="17047.0"/>
        <n v="688.0"/>
        <n v="226.0"/>
        <n v="3561.0"/>
        <n v="5067.0"/>
        <n v="4648.0"/>
        <n v="1873.0"/>
        <n v="4277.0"/>
        <n v="3911.0"/>
        <n v="1025.0"/>
        <n v="503.0"/>
        <n v="793.0"/>
        <n v="672.0"/>
        <n v="702.0"/>
        <n v="20.0"/>
        <n v="172.0"/>
        <n v="283.0"/>
        <n v="36.0"/>
        <n v="81.0"/>
        <n v="5795.0"/>
        <n v="9782.0"/>
        <n v="1442.0"/>
        <n v="1468.0"/>
        <n v="2666.0"/>
        <n v="2241.0"/>
        <n v="2551.0"/>
        <n v="1723.0"/>
        <n v="899.0"/>
        <n v="320.0"/>
        <n v="575.0"/>
        <n v="188.0"/>
        <n v="10947.0"/>
        <n v="17799.0"/>
        <n v="701.0"/>
        <n v="3877.0"/>
        <n v="2108.0"/>
        <n v="4266.0"/>
        <n v="3606.0"/>
        <n v="3594.0"/>
        <n v="115.0"/>
        <n v="86.0"/>
        <n v="130.0"/>
        <n v="2679.0"/>
        <n v="2847.0"/>
        <n v="476.0"/>
        <n v="789.0"/>
        <n v="652.0"/>
        <n v="721.0"/>
        <n v="196.0"/>
        <n v="179.0"/>
        <n v="209.0"/>
        <n v="6076.0"/>
        <n v="10542.0"/>
        <n v="540.0"/>
        <n v="31.0"/>
        <n v="1257.0"/>
        <n v="3555.0"/>
        <n v="1348.0"/>
        <n v="1028.0"/>
        <n v="1367.0"/>
        <n v="686.0"/>
        <n v="739.0"/>
        <n v="193.0"/>
        <n v="1514.0"/>
        <n v="1215.0"/>
        <n v="11784.0"/>
        <n v="17949.0"/>
        <n v="680.0"/>
        <n v="225.0"/>
        <n v="4222.0"/>
        <n v="5351.0"/>
        <n v="268.0"/>
        <n v="1877.0"/>
        <n v="2973.0"/>
        <n v="1927.0"/>
        <n v="89.0"/>
        <n v="2408.0"/>
        <n v="1641.0"/>
        <n v="445.0"/>
        <n v="670.0"/>
        <n v="766.0"/>
        <n v="186.0"/>
        <n v="235.0"/>
        <n v="53.0"/>
        <n v="64.0"/>
        <n v="5924.0"/>
        <n v="10158.0"/>
        <n v="1619.0"/>
        <n v="3204.0"/>
        <n v="1420.0"/>
        <n v="1002.0"/>
        <n v="1671.0"/>
        <n v="673.0"/>
        <n v="111.0"/>
        <n v="660.0"/>
        <n v="1077.0"/>
        <n v="11309.0"/>
        <n v="17986.0"/>
        <n v="4650.0"/>
        <n v="299.0"/>
        <n v="1922.0"/>
        <n v="4821.0"/>
        <n v="2321.0"/>
        <n v="1202.0"/>
        <n v="39.0"/>
        <n v="2984.0"/>
        <n v="484.0"/>
        <n v="666.0"/>
        <n v="13.0"/>
        <n v="195.0"/>
        <n v="35.0"/>
        <n v="74.0"/>
        <n v="5837.0"/>
        <n v="10270.0"/>
        <n v="606.0"/>
        <n v="1638.0"/>
        <n v="3027.0"/>
        <n v="151.0"/>
        <n v="1359.0"/>
        <n v="785.0"/>
        <n v="408.0"/>
        <n v="1542.0"/>
        <n v="623.0"/>
        <n v="134.0"/>
        <n v="429.0"/>
        <n v="956.0"/>
        <n v="12028.0"/>
        <n v="17750.0"/>
        <n v="714.0"/>
        <n v="278.0"/>
        <n v="4678.0"/>
        <n v="312.0"/>
        <n v="1769.0"/>
        <n v="4837.0"/>
        <n v="1857.0"/>
        <n v="483.0"/>
        <n v="2940.0"/>
        <n v="511.0"/>
        <n v="1755.0"/>
        <n v="2038.0"/>
        <n v="1941.0"/>
        <n v="1923.0"/>
        <n v="543.0"/>
        <n v="1735.0"/>
        <n v="1862.0"/>
        <n v="1389.0"/>
        <n v="1647.0"/>
        <n v="539.0"/>
        <n v="1521.0"/>
        <n v="1773.0"/>
        <n v="588.0"/>
        <n v="1986.0"/>
        <n v="3011.0"/>
        <n v="689.0"/>
        <n v="2136.0"/>
        <n v="3823.0"/>
        <n v="2197.0"/>
        <n v="4198.0"/>
        <n v="563.0"/>
        <n v="2540.0"/>
        <n v="3746.0"/>
        <n v="468.0"/>
        <n v="1703.0"/>
        <n v="2625.0"/>
        <n v="1710.0"/>
        <n v="2387.0"/>
        <n v="428.0"/>
        <n v="1053.0"/>
        <n v="2407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676" sheet="2021 raw"/>
  </cacheSource>
  <cacheFields>
    <cacheField name="Year" numFmtId="0">
      <sharedItems>
        <s v="2021"/>
      </sharedItems>
    </cacheField>
    <cacheField name="Month" numFmtId="0">
      <sharedItems>
        <s v="1"/>
        <s v="2"/>
        <s v="3"/>
        <s v="4"/>
        <s v="5"/>
        <s v="6"/>
        <s v="7"/>
        <s v="8"/>
        <s v="9"/>
        <s v="10"/>
        <s v="11"/>
        <s v="12"/>
      </sharedItems>
    </cacheField>
    <cacheField name="Month clean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Greennn#!"/>
        <s v="Blue"/>
        <s v="Black"/>
        <s v="Yellow"/>
        <s v="White"/>
        <s v="Red"/>
        <s v="Orange"/>
        <s v="Purple"/>
        <s v="Brown"/>
        <s v="Pink"/>
        <s v="Golden"/>
        <s v="Grey"/>
        <s v="Vivid"/>
        <s v="Deep"/>
        <s v="Moderate"/>
        <s v="Pale"/>
        <s v="Dim"/>
        <s v="Lime"/>
        <s v="Virulent"/>
        <s v="Magenta"/>
        <s v="Rosy"/>
        <s v="Beige"/>
        <s v="Lilac"/>
        <s v="Cream"/>
        <s v="Cotton"/>
        <s v="Silver"/>
        <s v="Snow"/>
      </sharedItems>
    </cacheField>
    <cacheField name="Brand clean" numFmtId="0">
      <sharedItems>
        <s v="Green"/>
        <s v="Blue"/>
        <s v="Black"/>
        <s v="Yellow"/>
        <s v="White"/>
        <s v="Red"/>
        <s v="Orange"/>
        <s v="Purple"/>
        <s v="Brown"/>
        <s v="Pink"/>
        <s v="Golden"/>
        <s v="Grey"/>
        <s v="Vivid"/>
        <s v="Deep"/>
        <s v="Moderate"/>
        <s v="Pale"/>
        <s v="Dim"/>
        <s v="Lime"/>
        <s v="Virulent"/>
        <s v="Magenta"/>
        <s v="Rosy"/>
        <s v="Beige"/>
        <s v="Lilac"/>
        <s v="Cream"/>
        <s v="Cotton"/>
        <s v="Silver"/>
        <s v="Snow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>
        <s v="12.7583"/>
        <s v="61.6034"/>
        <s v="47.7524"/>
        <s v="0.0017"/>
        <s v="0.0509"/>
        <s v="32.5492"/>
        <s v="3.3615"/>
        <s v="1.4148"/>
        <s v="4.3779"/>
        <s v="2.563"/>
        <s v="0.9379999999999999"/>
        <s v="0.0066"/>
        <s v="1.0009"/>
        <s v="0.3449"/>
        <s v="0.3859"/>
        <s v="0.0197"/>
        <s v="0.2111"/>
        <s v="0.0011"/>
        <s v="60.7356"/>
        <s v="53.4502"/>
        <s v="4.7236"/>
        <s v="0.2761"/>
        <s v="0.0109"/>
        <s v="6.601"/>
        <s v="22.0065"/>
        <s v="3.368"/>
        <s v="0.6442"/>
        <s v="1.5582"/>
        <s v="0.9092"/>
        <s v="0.7546"/>
        <s v="0.3194"/>
        <s v="0.0203"/>
        <s v="0.2341"/>
        <s v="0.0033"/>
        <s v="0.4005"/>
        <s v="97.1922"/>
        <s v="147.9807"/>
        <s v="9.352499999999999"/>
        <s v="0.0646"/>
        <s v="0.0052"/>
        <s v="49.6951"/>
        <s v="36.8688"/>
        <s v="2.7811"/>
        <s v="5.3559"/>
        <s v="1.8007"/>
        <s v="0.0343"/>
        <s v="0.0712"/>
        <s v="2.1642"/>
        <s v="0.3247"/>
        <s v="1.147"/>
        <s v="1.2875"/>
        <s v="0.0013"/>
        <s v="0.6515"/>
        <s v="0.0007"/>
        <s v="0.0577"/>
        <s v="0.2991"/>
        <s v="11.0802"/>
        <s v="71.5818"/>
        <s v="30.1637"/>
        <s v="0.07530000000000001"/>
        <s v="21.9409"/>
        <s v="4.788"/>
        <s v="2.5794"/>
        <s v="2.4279"/>
        <s v="0.7081"/>
        <s v="0.9907"/>
        <s v="0.0058"/>
        <s v="1.0523"/>
        <s v="0.3763"/>
        <s v="0.5313"/>
        <s v="0.0106"/>
        <s v="0.2056"/>
        <s v="54.9092"/>
        <s v="39.3809"/>
        <s v="4.9295"/>
        <s v="0.3959"/>
        <s v="0.0044"/>
        <s v="7.3705"/>
        <s v="7.646"/>
        <s v="4.0811"/>
        <s v="0.5181"/>
        <s v="1.4093"/>
        <s v="0.5252"/>
        <s v="0.8628"/>
        <s v="0.0235"/>
        <s v="0.2102"/>
        <s v="0.0159"/>
        <s v="0.3496"/>
        <s v="0.0003"/>
        <s v="0.0954"/>
        <s v="158.1197"/>
        <s v="110.5001"/>
        <s v="6.4026"/>
        <s v="0.0408"/>
        <s v="0.0165"/>
        <s v="20.2505"/>
        <s v="19.6373"/>
        <s v="2.978"/>
        <s v="3.2412"/>
        <s v="1.541"/>
        <s v="0.0206"/>
        <s v="0.0738"/>
        <s v="0.0551"/>
        <s v="0.4099"/>
        <s v="0.2964"/>
        <s v="0.8342000000000001"/>
        <s v="1.403"/>
        <s v="1.0795"/>
        <s v="0.5091"/>
        <s v="12.7284"/>
        <s v="71.5553"/>
        <s v="36.161"/>
        <s v="0.0728"/>
        <s v="25.6654"/>
        <s v="3.6165"/>
        <s v="4.7589"/>
        <s v="2.5793"/>
        <s v="0.4134"/>
        <s v="0.008200000000000001"/>
        <s v="1.0868"/>
        <s v="0.7852"/>
        <s v="0.2595"/>
        <s v="0.2084"/>
        <s v="0.3992"/>
        <s v="0.011"/>
        <s v="58.9925"/>
        <s v="55.1167"/>
        <s v="5.0973"/>
        <s v="0.3926"/>
        <s v="0.004"/>
        <s v="5.984"/>
        <s v="16.7714"/>
        <s v="6.6417"/>
        <s v="0.5295"/>
        <s v="1.2914"/>
        <s v="1.7221"/>
        <s v="1.0598"/>
        <s v="0.2531"/>
        <s v="0.4348"/>
        <s v="0.038"/>
        <s v="0.1571"/>
        <s v="160.7599"/>
        <s v="128.3013"/>
        <s v="10.4898"/>
        <s v="0.008"/>
        <s v="0.08400000000000001"/>
        <s v="36.1689"/>
        <s v="26.1577"/>
        <s v="1.7753"/>
        <s v="0.019"/>
        <s v="0.0965"/>
        <s v="3.219"/>
        <s v="2.5952"/>
        <s v="2.7406"/>
        <s v="0.002"/>
        <s v="0.0619"/>
        <s v="0.4613"/>
        <s v="0.3527"/>
        <s v="1.0126"/>
        <s v="0.5241"/>
        <s v="1.0016"/>
        <s v="14.3286"/>
        <s v="58.0894"/>
        <s v="21.5185"/>
        <s v="0.0835"/>
        <s v="15.4084"/>
        <s v="4.0397"/>
        <s v="2.769"/>
        <s v="2.1124"/>
        <s v="0.5541"/>
        <s v="0.0478"/>
        <s v="0.9464"/>
        <s v="0.6534"/>
        <s v="0.5382"/>
        <s v="0.0174"/>
        <s v="0.2546"/>
        <s v="0.2126"/>
        <s v="37.3693"/>
        <s v="56.9814"/>
        <s v="4.012"/>
        <s v="0.3882"/>
        <s v="0.0059"/>
        <s v="5.9628"/>
        <s v="16.906"/>
        <s v="5.1908"/>
        <s v="0.703"/>
        <s v="3.3595"/>
        <s v="1.4491"/>
        <s v="0.6772"/>
        <s v="1.0269"/>
        <s v="0.9615"/>
        <s v="0.3359"/>
        <s v="85.8107"/>
        <s v="143.6183"/>
        <s v="6.1445"/>
        <s v="0.0037"/>
        <s v="1.2159"/>
        <s v="20.3542"/>
        <s v="35.1475"/>
        <s v="1.9363"/>
        <s v="0.0307"/>
        <s v="0.07290000000000001"/>
        <s v="2.075"/>
        <s v="3.1939"/>
        <s v="5.1391"/>
        <s v="1.5242"/>
        <s v="0.0837"/>
        <s v="0.3279"/>
        <s v="1.1543"/>
        <s v="0.1671"/>
        <s v="0.2441"/>
        <s v="13.5576"/>
        <s v="47.7186"/>
        <s v="44.885"/>
        <s v="0.08740000000000001"/>
        <s v="30.9377"/>
        <s v="2.4347"/>
        <s v="3.0084"/>
        <s v="1.2446"/>
        <s v="1.368"/>
        <s v="1.068"/>
        <s v="0.0445"/>
        <s v="1.1576"/>
        <s v="0.4292"/>
        <s v="1.1917"/>
        <s v="0.2538"/>
        <s v="50.3357"/>
        <s v="47.7021"/>
        <s v="4.3447"/>
        <s v="0.3834"/>
        <s v="0.0121"/>
        <s v="5.9219"/>
        <s v="11.3992"/>
        <s v="9.2888"/>
        <s v="0.0893"/>
        <s v="8.739000000000001"/>
        <s v="4.1646"/>
        <s v="1.0117"/>
        <s v="3.8908"/>
        <s v="1.5262"/>
        <s v="0.6706"/>
        <s v="1.0727"/>
        <s v="135.3355"/>
        <s v="94.34229999999999"/>
        <s v="7.8155"/>
        <s v="0.0042"/>
        <s v="1.0079"/>
        <s v="39.3356"/>
        <s v="34.9286"/>
        <s v="0.044"/>
        <s v="21.7396"/>
        <s v="13.6827"/>
        <s v="1.9199"/>
        <s v="4.582"/>
        <s v="4.7963"/>
        <s v="1.2937"/>
        <s v="0.0113"/>
        <s v="0.0493"/>
        <s v="1.6667"/>
        <s v="0.0853"/>
        <s v="0.398"/>
        <s v="14.4889"/>
        <s v="48.4585"/>
        <s v="22.4112"/>
        <s v="0.08500000000000001"/>
        <s v="27.6087"/>
        <s v="2.4222"/>
        <s v="2.8009"/>
        <s v="0.0324"/>
        <s v="1.024"/>
        <s v="0.9643"/>
        <s v="0.7189"/>
        <s v="0.5625"/>
        <s v="0.6822"/>
        <s v="1.3839"/>
        <s v="0.1271"/>
        <s v="0.6677999999999999"/>
        <s v="48.83"/>
        <s v="41.0978"/>
        <s v="2.357"/>
        <s v="0.3502"/>
        <s v="0.0172"/>
        <s v="5.1814"/>
        <s v="5.6432"/>
        <s v="5.2978"/>
        <s v="12.1151"/>
        <s v="9.098699999999999"/>
        <s v="4.6757"/>
        <s v="0.6269"/>
        <s v="3.7283"/>
        <s v="1.6225"/>
        <s v="1.4657"/>
        <s v="0.5764"/>
        <s v="122.9401"/>
        <s v="99.0564"/>
        <s v="5.2129"/>
        <s v="0.0115"/>
        <s v="1.0267"/>
        <s v="20.5077"/>
        <s v="20.6032"/>
        <s v="11.262"/>
        <s v="17.8589"/>
        <s v="17.6534"/>
        <s v="1.4055"/>
        <s v="0.0176"/>
        <s v="0.0502"/>
        <s v="1.2586"/>
        <s v="2.8264"/>
        <s v="4.563"/>
        <s v="1.6138"/>
        <s v="0.4992"/>
        <s v="0.1664"/>
        <s v="14.4344"/>
        <s v="50.3687"/>
        <s v="28.8776"/>
        <s v="0.0822"/>
        <s v="31.1485"/>
        <s v="2.4838"/>
        <s v="2.8607"/>
        <s v="0.06809999999999999"/>
        <s v="1.0635"/>
        <s v="1.7728"/>
        <s v="0.724"/>
        <s v="0.5674"/>
        <s v="0.5201"/>
        <s v="0.2493"/>
        <s v="1.0944"/>
        <s v="1.1017"/>
        <s v="54.0753"/>
        <s v="48.9732"/>
        <s v="2.3963"/>
        <s v="0.4027"/>
        <s v="0.0126"/>
        <s v="6.2703"/>
        <s v="3.1949"/>
        <s v="11.3647"/>
        <s v="11.1022"/>
        <s v="10.392"/>
        <s v="8.413500000000001"/>
        <s v="4.3244"/>
        <s v="0.5631"/>
        <s v="1.7793"/>
        <s v="1.5719"/>
        <s v="0.7097"/>
        <s v="126.3103"/>
        <s v="108.4761"/>
        <s v="6.9093"/>
        <s v="0.0119"/>
        <s v="1.023"/>
        <s v="38.8084"/>
        <s v="10.1316"/>
        <s v="19.1341"/>
        <s v="27.9902"/>
        <s v="19.0495"/>
        <s v="7.5702"/>
        <s v="0.9288999999999999"/>
        <s v="4.2949"/>
        <s v="0.9298999999999999"/>
        <s v="0.0166"/>
        <s v="1.1897"/>
        <s v="0.0741"/>
        <s v="0.2776"/>
        <s v="10.2483"/>
        <s v="57.8795"/>
        <s v="36.1477"/>
        <s v="0.0756"/>
        <s v="19.8438"/>
        <s v="3.1254"/>
        <s v="2.6054"/>
        <s v="0.0507"/>
        <s v="0.9781"/>
        <s v="1.9602"/>
        <s v="0.3193"/>
        <s v="0.1727"/>
        <s v="0.2233"/>
        <s v="0.5568"/>
        <s v="0.2014"/>
        <s v="0.4029"/>
        <s v="29.2669"/>
        <s v="61.1062"/>
        <s v="2.3611"/>
        <s v="4.3242"/>
        <s v="9.6874"/>
        <s v="4.3941"/>
        <s v="8.2989"/>
        <s v="7.9817"/>
        <s v="5.6129"/>
        <s v="2.9913"/>
        <s v="0.788"/>
        <s v="1.4001"/>
        <s v="1.5806"/>
        <s v="0.5135999999999999"/>
        <s v="61.6987"/>
        <s v="142.7044"/>
        <s v="7.1943"/>
        <s v="0.013"/>
        <s v="1.1187"/>
        <s v="30.8815"/>
        <s v="12.6958"/>
        <s v="14.9868"/>
        <s v="0.0005999999999999999"/>
        <s v="16.8968"/>
        <s v="11.2305"/>
        <s v="5.7121"/>
        <s v="1.3412"/>
        <s v="0.6592"/>
        <s v="0.06519999999999999"/>
        <s v="0.0615"/>
        <s v="0.3045"/>
        <s v="0.8461"/>
        <s v="2.2253"/>
        <s v="12.6184"/>
        <s v="42.4045"/>
        <s v="36.7903"/>
        <s v="0.0863"/>
        <s v="24.176"/>
        <s v="3.2674"/>
        <s v="2.5159"/>
        <s v="0.0495"/>
        <s v="1.0822"/>
        <s v="1.0285"/>
        <s v="0.2884"/>
        <s v="0.1827"/>
        <s v="0.1928"/>
        <s v="0.4988"/>
        <s v="0.0027"/>
        <s v="25.5023"/>
        <s v="68.0994"/>
        <s v="2.7738"/>
        <s v="0.3897"/>
        <s v="0.3083"/>
        <s v="5.4636"/>
        <s v="0.2701"/>
        <s v="14.3274"/>
        <s v="2.4123"/>
        <s v="5.213"/>
        <s v="4.5446"/>
        <s v="2.592"/>
        <s v="3.1998"/>
        <s v="2.1857"/>
        <s v="0.4275"/>
        <s v="2.0364"/>
        <s v="1.7236"/>
        <s v="79.0532"/>
        <s v="167.6062"/>
        <s v="10.1737"/>
        <s v="0.9683"/>
        <s v="37.5212"/>
        <s v="0.6296"/>
        <s v="43.5059"/>
        <s v="6.0694"/>
        <s v="7.0549"/>
        <s v="7.3345"/>
        <s v="1.3112"/>
        <s v="0.0566"/>
        <s v="1.9244"/>
        <s v="0.0021"/>
        <s v="0.1255"/>
        <s v="0.4036"/>
        <s v="4.3609"/>
        <s v="2.6711"/>
        <s v="13.7742"/>
        <s v="74.1972"/>
        <s v="23.3262"/>
        <s v="0.1159"/>
        <s v="40.4568"/>
        <s v="3.0682"/>
        <s v="1.3659"/>
        <s v="2.0815"/>
        <s v="0.849"/>
        <s v="0.2565"/>
        <s v="0.1803"/>
        <s v="0.1788"/>
        <s v="0.4067"/>
        <s v="0.0004"/>
        <s v="38.1815"/>
        <s v="85.807"/>
        <s v="1.7193"/>
        <s v="0.0827"/>
        <s v="7.987"/>
        <s v="14.5779"/>
        <s v="0.2882"/>
        <s v="5.6143"/>
        <s v="2.415"/>
        <s v="2.2058"/>
        <s v="2.6855"/>
        <s v="2.1933"/>
        <s v="0.209"/>
        <s v="1.7481"/>
        <s v="1.8761"/>
        <s v="0.5566"/>
        <s v="126.6332"/>
        <s v="188.8145"/>
        <s v="7.1569"/>
        <s v="1.0007"/>
        <s v="55.9615"/>
        <s v="23.2374"/>
        <s v="0.7115"/>
        <s v="14.6753"/>
        <s v="8.625299999999999"/>
        <s v="3.7985"/>
        <s v="2.1044"/>
        <s v="1.2162"/>
        <s v="0.0467"/>
        <s v="0.0026"/>
        <s v="0.1336"/>
        <s v="0.5234"/>
        <s v="2.7794"/>
        <s v="2.6869"/>
        <s v="9.3454"/>
        <s v="49.5129"/>
        <s v="48.8577"/>
        <s v="0.1204"/>
        <s v="57.1231"/>
        <s v="2.9588"/>
        <s v="0.0298"/>
        <s v="1.2734"/>
        <s v="0.008399999999999999"/>
        <s v="1.9763"/>
        <s v="0.3746"/>
        <s v="0.6834"/>
        <s v="0.1553"/>
        <s v="0.1443"/>
        <s v="0.1516"/>
        <s v="26.6778"/>
        <s v="65.9601"/>
        <s v="1.9498"/>
        <s v="0.2765"/>
        <s v="0.0267"/>
        <s v="8.1549"/>
        <s v="10.259"/>
        <s v="0.6860000000000001"/>
        <s v="12.0641"/>
        <s v="2.6768"/>
        <s v="1.2912"/>
        <s v="1.9385"/>
        <s v="2.0573"/>
        <s v="0.1111"/>
        <s v="2.0803"/>
        <s v="1.6439"/>
        <s v="0.521"/>
        <s v="91.0282"/>
        <s v="148.5251"/>
        <s v="13.1242"/>
        <s v="0.0116"/>
        <s v="0.9913"/>
        <s v="49.3487"/>
        <s v="1.5021"/>
        <s v="31.1936"/>
        <s v="16.482"/>
        <s v="8.0768"/>
        <s v="1.7141"/>
        <s v="1.827"/>
        <s v="1.0677"/>
        <s v="0.0168"/>
        <s v="0.0466"/>
        <s v="3.8501"/>
        <s v="0.3133"/>
        <s v="0.0016"/>
        <s v="1.1007"/>
        <s v="0.2777"/>
        <s v="0.2557"/>
        <s v="8.2873"/>
        <s v="58.9269"/>
        <s v="40.0693"/>
        <s v="0.126"/>
        <s v="48.5318"/>
        <s v="3.0142"/>
        <s v="0.0374"/>
        <s v="1.381"/>
        <s v="0.0071"/>
        <s v="1.5797"/>
        <s v="0.7599"/>
        <s v="0.5868"/>
        <s v="0.3817"/>
        <s v="0.1949"/>
        <s v="26.8384"/>
        <s v="69.70959999999999"/>
        <s v="2.2707"/>
        <s v="0.2856"/>
        <s v="7.1892"/>
        <s v="9.2164"/>
        <s v="1.021"/>
        <s v="10.0487"/>
        <s v="2.361"/>
        <s v="0.6965"/>
        <s v="1.9456"/>
        <s v="1.9184"/>
        <s v="0.0887"/>
        <s v="0.6647"/>
        <s v="2.4751"/>
        <s v="1.6842"/>
        <s v="92.24850000000001"/>
        <s v="158.1712"/>
        <s v="9.202299999999999"/>
        <s v="0.008699999999999999"/>
        <s v="1.3881"/>
        <s v="38.9478"/>
        <s v="2.0282"/>
        <s v="19.925"/>
        <s v="17.0671"/>
        <s v="1.3044"/>
        <s v="0.0201"/>
        <s v="3.5262"/>
        <s v="0.5836"/>
        <s v="3.5655"/>
        <s v="1.341"/>
        <s v="0.104"/>
        <s v="0.2762"/>
        <s v="0.0391"/>
        <s v="0.0031"/>
        <s v="1.4449"/>
        <s v="31.182"/>
        <s v="18.0189"/>
        <s v="26.234"/>
        <s v="27.5444"/>
        <s v="15.2089"/>
        <s v="23.4901"/>
        <s v="24.9705"/>
        <s v="14.6105"/>
        <s v="18.2471"/>
        <s v="19.3133"/>
        <s v="9.376899999999999"/>
        <s v="62.7087"/>
        <s v="22.617"/>
        <s v="8.864100000000001"/>
        <s v="17.6217"/>
        <s v="20.1482"/>
        <s v="15.7034"/>
        <s v="36.2357"/>
        <s v="25.8357"/>
        <s v="21.2905"/>
        <s v="44.1025"/>
        <s v="19.4161"/>
        <s v="22.1025"/>
        <s v="49.0676"/>
        <s v="17.6166"/>
        <s v="19.039"/>
        <s v="29.4026"/>
        <s v="12.0022"/>
        <s v="13.6879"/>
        <s v="27.9039"/>
        <s v="13.2139"/>
        <s v="11.4728"/>
        <s v="17.9486"/>
        <s v="10.5903"/>
        <s v="7.8182"/>
        <s v="25.2956"/>
      </sharedItems>
    </cacheField>
    <cacheField name="Units clean" numFmtId="0">
      <sharedItems containsSemiMixedTypes="0" containsString="0" containsNumber="1">
        <n v="12.7583"/>
        <n v="61.6034"/>
        <n v="47.7524"/>
        <n v="0.0017"/>
        <n v="0.0509"/>
        <n v="32.5492"/>
        <n v="3.3615"/>
        <n v="1.4148"/>
        <n v="4.3779"/>
        <n v="2.563"/>
        <n v="0.937999999999999"/>
        <n v="0.0066"/>
        <n v="1.0009"/>
        <n v="0.3449"/>
        <n v="0.3859"/>
        <n v="0.0197"/>
        <n v="0.2111"/>
        <n v="0.0011"/>
        <n v="60.7356"/>
        <n v="53.4502"/>
        <n v="4.7236"/>
        <n v="0.2761"/>
        <n v="0.0109"/>
        <n v="6.601"/>
        <n v="22.0065"/>
        <n v="3.368"/>
        <n v="0.6442"/>
        <n v="1.5582"/>
        <n v="0.9092"/>
        <n v="0.7546"/>
        <n v="0.3194"/>
        <n v="0.0203"/>
        <n v="0.2341"/>
        <n v="0.0033"/>
        <n v="0.4005"/>
        <n v="97.1922"/>
        <n v="147.9807"/>
        <n v="9.35249999999999"/>
        <n v="0.0646"/>
        <n v="0.0052"/>
        <n v="49.6951"/>
        <n v="36.8688"/>
        <n v="2.7811"/>
        <n v="5.3559"/>
        <n v="1.8007"/>
        <n v="0.0343"/>
        <n v="0.0712"/>
        <n v="2.1642"/>
        <n v="0.3247"/>
        <n v="1.147"/>
        <n v="1.2875"/>
        <n v="0.0013"/>
        <n v="0.6515"/>
        <n v="7.0E-4"/>
        <n v="0.0577"/>
        <n v="0.2991"/>
        <n v="11.0802"/>
        <n v="71.5818"/>
        <n v="30.1637"/>
        <n v="0.0753"/>
        <n v="21.9409"/>
        <n v="4.788"/>
        <n v="2.5794"/>
        <n v="2.4279"/>
        <n v="0.7081"/>
        <n v="0.9907"/>
        <n v="0.0058"/>
        <n v="1.0523"/>
        <n v="0.3763"/>
        <n v="0.5313"/>
        <n v="0.0106"/>
        <n v="0.2056"/>
        <n v="54.9092"/>
        <n v="39.3809"/>
        <n v="4.9295"/>
        <n v="0.3959"/>
        <n v="0.0044"/>
        <n v="7.3705"/>
        <n v="7.646"/>
        <n v="4.0811"/>
        <n v="0.5181"/>
        <n v="1.4093"/>
        <n v="0.5252"/>
        <n v="0.8628"/>
        <n v="0.0235"/>
        <n v="0.2102"/>
        <n v="0.0159"/>
        <n v="0.3496"/>
        <n v="3.0E-4"/>
        <n v="0.0954"/>
        <n v="158.1197"/>
        <n v="110.5001"/>
        <n v="6.4026"/>
        <n v="0.0408"/>
        <n v="0.0165"/>
        <n v="20.2505"/>
        <n v="19.6373"/>
        <n v="2.978"/>
        <n v="3.2412"/>
        <n v="1.541"/>
        <n v="0.0206"/>
        <n v="0.0738"/>
        <n v="0.0551"/>
        <n v="0.4099"/>
        <n v="0.2964"/>
        <n v="0.8342"/>
        <n v="1.403"/>
        <n v="1.0795"/>
        <n v="0.5091"/>
        <n v="12.7284"/>
        <n v="71.5553"/>
        <n v="36.161"/>
        <n v="0.0728"/>
        <n v="25.6654"/>
        <n v="3.6165"/>
        <n v="4.7589"/>
        <n v="2.5793"/>
        <n v="0.4134"/>
        <n v="0.0082"/>
        <n v="1.0868"/>
        <n v="0.7852"/>
        <n v="0.2595"/>
        <n v="0.2084"/>
        <n v="0.3992"/>
        <n v="0.011"/>
        <n v="58.9925"/>
        <n v="55.1167"/>
        <n v="5.0973"/>
        <n v="0.3926"/>
        <n v="0.004"/>
        <n v="5.984"/>
        <n v="16.7714"/>
        <n v="6.6417"/>
        <n v="0.5295"/>
        <n v="1.2914"/>
        <n v="1.7221"/>
        <n v="1.0598"/>
        <n v="0.2531"/>
        <n v="0.4348"/>
        <n v="0.038"/>
        <n v="0.1571"/>
        <n v="160.7599"/>
        <n v="128.3013"/>
        <n v="10.4898"/>
        <n v="0.008"/>
        <n v="0.084"/>
        <n v="36.1689"/>
        <n v="26.1577"/>
        <n v="1.7753"/>
        <n v="0.019"/>
        <n v="0.0965"/>
        <n v="3.219"/>
        <n v="2.5952"/>
        <n v="2.7406"/>
        <n v="0.002"/>
        <n v="0.0619"/>
        <n v="0.4613"/>
        <n v="0.3527"/>
        <n v="1.0126"/>
        <n v="0.5241"/>
        <n v="1.0016"/>
        <n v="14.3286"/>
        <n v="58.0894"/>
        <n v="21.5185"/>
        <n v="0.0835"/>
        <n v="15.4084"/>
        <n v="4.0397"/>
        <n v="2.769"/>
        <n v="2.1124"/>
        <n v="0.5541"/>
        <n v="0.0478"/>
        <n v="0.9464"/>
        <n v="0.6534"/>
        <n v="0.5382"/>
        <n v="0.0174"/>
        <n v="0.2546"/>
        <n v="0.2126"/>
        <n v="37.3693"/>
        <n v="56.9814"/>
        <n v="4.012"/>
        <n v="0.3882"/>
        <n v="0.0059"/>
        <n v="5.9628"/>
        <n v="16.906"/>
        <n v="5.1908"/>
        <n v="0.703"/>
        <n v="3.3595"/>
        <n v="1.4491"/>
        <n v="0.6772"/>
        <n v="1.0269"/>
        <n v="0.9615"/>
        <n v="0.3359"/>
        <n v="85.8107"/>
        <n v="143.6183"/>
        <n v="6.1445"/>
        <n v="0.0037"/>
        <n v="1.2159"/>
        <n v="20.3542"/>
        <n v="35.1475"/>
        <n v="1.9363"/>
        <n v="0.0307"/>
        <n v="0.0729"/>
        <n v="2.075"/>
        <n v="3.1939"/>
        <n v="5.1391"/>
        <n v="1.5242"/>
        <n v="0.0837"/>
        <n v="0.3279"/>
        <n v="1.1543"/>
        <n v="0.1671"/>
        <n v="0.2441"/>
        <n v="13.5576"/>
        <n v="47.7186"/>
        <n v="44.885"/>
        <n v="0.0874"/>
        <n v="30.9377"/>
        <n v="2.4347"/>
        <n v="3.0084"/>
        <n v="1.2446"/>
        <n v="1.368"/>
        <n v="1.068"/>
        <n v="0.0445"/>
        <n v="1.1576"/>
        <n v="0.4292"/>
        <n v="1.1917"/>
        <n v="0.2538"/>
        <n v="50.3357"/>
        <n v="47.7021"/>
        <n v="4.3447"/>
        <n v="0.3834"/>
        <n v="0.0121"/>
        <n v="5.9219"/>
        <n v="11.3992"/>
        <n v="9.2888"/>
        <n v="0.0893"/>
        <n v="8.739"/>
        <n v="4.1646"/>
        <n v="1.0117"/>
        <n v="3.8908"/>
        <n v="1.5262"/>
        <n v="0.6706"/>
        <n v="1.0727"/>
        <n v="135.3355"/>
        <n v="94.3422999999999"/>
        <n v="7.8155"/>
        <n v="0.0042"/>
        <n v="1.0079"/>
        <n v="39.3356"/>
        <n v="34.9286"/>
        <n v="0.044"/>
        <n v="21.7396"/>
        <n v="13.6827"/>
        <n v="1.9199"/>
        <n v="4.582"/>
        <n v="4.7963"/>
        <n v="1.2937"/>
        <n v="0.0113"/>
        <n v="0.0493"/>
        <n v="1.6667"/>
        <n v="0.0853"/>
        <n v="0.398"/>
        <n v="14.4889"/>
        <n v="48.4585"/>
        <n v="22.4112"/>
        <n v="0.085"/>
        <n v="27.6087"/>
        <n v="2.4222"/>
        <n v="2.8009"/>
        <n v="0.0324"/>
        <n v="1.024"/>
        <n v="0.9643"/>
        <n v="0.7189"/>
        <n v="0.5625"/>
        <n v="0.6822"/>
        <n v="1.3839"/>
        <n v="0.1271"/>
        <n v="0.667799999999999"/>
        <n v="48.83"/>
        <n v="41.0978"/>
        <n v="2.357"/>
        <n v="0.3502"/>
        <n v="0.0172"/>
        <n v="5.1814"/>
        <n v="5.6432"/>
        <n v="5.2978"/>
        <n v="12.1151"/>
        <n v="9.09869999999999"/>
        <n v="4.6757"/>
        <n v="0.6269"/>
        <n v="3.7283"/>
        <n v="1.6225"/>
        <n v="1.4657"/>
        <n v="0.5764"/>
        <n v="122.9401"/>
        <n v="99.0564"/>
        <n v="5.2129"/>
        <n v="0.0115"/>
        <n v="1.0267"/>
        <n v="20.5077"/>
        <n v="20.6032"/>
        <n v="11.262"/>
        <n v="17.8589"/>
        <n v="17.6534"/>
        <n v="1.4055"/>
        <n v="0.0176"/>
        <n v="0.0502"/>
        <n v="1.2586"/>
        <n v="2.8264"/>
        <n v="4.563"/>
        <n v="1.6138"/>
        <n v="0.4992"/>
        <n v="0.1664"/>
        <n v="14.4344"/>
        <n v="50.3687"/>
        <n v="28.8776"/>
        <n v="0.0822"/>
        <n v="31.1485"/>
        <n v="2.4838"/>
        <n v="2.8607"/>
        <n v="0.0680999999999999"/>
        <n v="1.0635"/>
        <n v="1.7728"/>
        <n v="0.724"/>
        <n v="0.5674"/>
        <n v="0.5201"/>
        <n v="0.2493"/>
        <n v="1.0944"/>
        <n v="1.1017"/>
        <n v="54.0753"/>
        <n v="48.9732"/>
        <n v="2.3963"/>
        <n v="0.4027"/>
        <n v="0.0126"/>
        <n v="6.2703"/>
        <n v="3.1949"/>
        <n v="11.3647"/>
        <n v="11.1022"/>
        <n v="10.392"/>
        <n v="8.4135"/>
        <n v="4.3244"/>
        <n v="0.5631"/>
        <n v="1.7793"/>
        <n v="1.5719"/>
        <n v="0.7097"/>
        <n v="126.3103"/>
        <n v="108.4761"/>
        <n v="6.9093"/>
        <n v="0.0119"/>
        <n v="1.023"/>
        <n v="38.8084"/>
        <n v="10.1316"/>
        <n v="19.1341"/>
        <n v="27.9902"/>
        <n v="19.0495"/>
        <n v="7.5702"/>
        <n v="0.928899999999999"/>
        <n v="4.2949"/>
        <n v="0.929899999999999"/>
        <n v="0.0166"/>
        <n v="1.1897"/>
        <n v="0.0741"/>
        <n v="0.2776"/>
        <n v="10.2483"/>
        <n v="57.8795"/>
        <n v="36.1477"/>
        <n v="0.0756"/>
        <n v="19.8438"/>
        <n v="3.1254"/>
        <n v="2.6054"/>
        <n v="0.0507"/>
        <n v="0.9781"/>
        <n v="1.9602"/>
        <n v="0.3193"/>
        <n v="0.1727"/>
        <n v="0.2233"/>
        <n v="0.5568"/>
        <n v="0.2014"/>
        <n v="0.4029"/>
        <n v="29.2669"/>
        <n v="61.1062"/>
        <n v="2.3611"/>
        <n v="4.3242"/>
        <n v="9.6874"/>
        <n v="4.3941"/>
        <n v="8.2989"/>
        <n v="7.9817"/>
        <n v="5.6129"/>
        <n v="2.9913"/>
        <n v="0.788"/>
        <n v="1.4001"/>
        <n v="1.5806"/>
        <n v="0.513599999999999"/>
        <n v="61.6987"/>
        <n v="142.7044"/>
        <n v="7.1943"/>
        <n v="0.013"/>
        <n v="1.1187"/>
        <n v="30.8815"/>
        <n v="12.6958"/>
        <n v="14.9868"/>
        <n v="5.99999999999999E-4"/>
        <n v="16.8968"/>
        <n v="11.2305"/>
        <n v="5.7121"/>
        <n v="1.3412"/>
        <n v="0.6592"/>
        <n v="0.0651999999999999"/>
        <n v="0.0615"/>
        <n v="0.3045"/>
        <n v="0.8461"/>
        <n v="2.2253"/>
        <n v="12.6184"/>
        <n v="42.4045"/>
        <n v="36.7903"/>
        <n v="0.0863"/>
        <n v="24.176"/>
        <n v="3.2674"/>
        <n v="2.5159"/>
        <n v="0.0495"/>
        <n v="1.0822"/>
        <n v="1.0285"/>
        <n v="0.2884"/>
        <n v="0.1827"/>
        <n v="0.1928"/>
        <n v="0.4988"/>
        <n v="0.0027"/>
        <n v="25.5023"/>
        <n v="68.0994"/>
        <n v="2.7738"/>
        <n v="0.3897"/>
        <n v="0.3083"/>
        <n v="5.4636"/>
        <n v="0.2701"/>
        <n v="14.3274"/>
        <n v="2.4123"/>
        <n v="5.213"/>
        <n v="4.5446"/>
        <n v="2.592"/>
        <n v="3.1998"/>
        <n v="2.1857"/>
        <n v="0.4275"/>
        <n v="2.0364"/>
        <n v="1.7236"/>
        <n v="79.0532"/>
        <n v="167.6062"/>
        <n v="10.1737"/>
        <n v="0.9683"/>
        <n v="37.5212"/>
        <n v="0.6296"/>
        <n v="43.5059"/>
        <n v="6.0694"/>
        <n v="7.0549"/>
        <n v="7.3345"/>
        <n v="1.3112"/>
        <n v="0.0566"/>
        <n v="1.9244"/>
        <n v="0.0021"/>
        <n v="0.1255"/>
        <n v="0.4036"/>
        <n v="4.3609"/>
        <n v="2.6711"/>
        <n v="13.7742"/>
        <n v="74.1972"/>
        <n v="23.3262"/>
        <n v="0.1159"/>
        <n v="40.4568"/>
        <n v="3.0682"/>
        <n v="1.3659"/>
        <n v="2.0815"/>
        <n v="0.849"/>
        <n v="0.2565"/>
        <n v="0.1803"/>
        <n v="0.1788"/>
        <n v="0.4067"/>
        <n v="4.0E-4"/>
        <n v="38.1815"/>
        <n v="85.807"/>
        <n v="1.7193"/>
        <n v="0.0827"/>
        <n v="7.987"/>
        <n v="14.5779"/>
        <n v="0.2882"/>
        <n v="5.6143"/>
        <n v="2.415"/>
        <n v="2.2058"/>
        <n v="2.6855"/>
        <n v="2.1933"/>
        <n v="0.209"/>
        <n v="1.7481"/>
        <n v="1.8761"/>
        <n v="0.5566"/>
        <n v="126.6332"/>
        <n v="188.8145"/>
        <n v="7.1569"/>
        <n v="1.0007"/>
        <n v="55.9615"/>
        <n v="23.2374"/>
        <n v="0.7115"/>
        <n v="14.6753"/>
        <n v="8.62529999999999"/>
        <n v="3.7985"/>
        <n v="2.1044"/>
        <n v="1.2162"/>
        <n v="0.0467"/>
        <n v="0.0026"/>
        <n v="0.1336"/>
        <n v="0.5234"/>
        <n v="2.7794"/>
        <n v="2.6869"/>
        <n v="9.3454"/>
        <n v="49.5129"/>
        <n v="48.8577"/>
        <n v="0.1204"/>
        <n v="57.1231"/>
        <n v="2.9588"/>
        <n v="0.0298"/>
        <n v="1.2734"/>
        <n v="0.00839999999999999"/>
        <n v="1.9763"/>
        <n v="0.3746"/>
        <n v="0.6834"/>
        <n v="0.1553"/>
        <n v="0.1443"/>
        <n v="0.1516"/>
        <n v="26.6778"/>
        <n v="65.9601"/>
        <n v="1.9498"/>
        <n v="0.2765"/>
        <n v="0.0267"/>
        <n v="8.1549"/>
        <n v="10.259"/>
        <n v="0.686"/>
        <n v="12.0641"/>
        <n v="2.6768"/>
        <n v="1.2912"/>
        <n v="1.9385"/>
        <n v="2.0573"/>
        <n v="0.1111"/>
        <n v="2.0803"/>
        <n v="1.6439"/>
        <n v="0.521"/>
        <n v="91.0282"/>
        <n v="148.5251"/>
        <n v="13.1242"/>
        <n v="0.0116"/>
        <n v="0.9913"/>
        <n v="49.3487"/>
        <n v="1.5021"/>
        <n v="31.1936"/>
        <n v="16.482"/>
        <n v="8.0768"/>
        <n v="1.7141"/>
        <n v="1.827"/>
        <n v="1.0677"/>
        <n v="0.0168"/>
        <n v="0.0466"/>
        <n v="3.8501"/>
        <n v="0.3133"/>
        <n v="0.0016"/>
        <n v="1.1007"/>
        <n v="0.2777"/>
        <n v="0.2557"/>
        <n v="8.2873"/>
        <n v="58.9269"/>
        <n v="40.0693"/>
        <n v="0.126"/>
        <n v="48.5318"/>
        <n v="3.0142"/>
        <n v="0.0374"/>
        <n v="1.381"/>
        <n v="0.0071"/>
        <n v="1.5797"/>
        <n v="0.7599"/>
        <n v="0.5868"/>
        <n v="0.3817"/>
        <n v="0.1949"/>
        <n v="26.8384"/>
        <n v="69.7095999999999"/>
        <n v="2.2707"/>
        <n v="0.2856"/>
        <n v="7.1892"/>
        <n v="9.2164"/>
        <n v="1.021"/>
        <n v="10.0487"/>
        <n v="2.361"/>
        <n v="0.6965"/>
        <n v="1.9456"/>
        <n v="1.9184"/>
        <n v="0.0887"/>
        <n v="0.6647"/>
        <n v="2.4751"/>
        <n v="1.6842"/>
        <n v="92.2485"/>
        <n v="158.1712"/>
        <n v="9.20229999999999"/>
        <n v="0.00869999999999999"/>
        <n v="1.3881"/>
        <n v="38.9478"/>
        <n v="2.0282"/>
        <n v="19.925"/>
        <n v="17.0671"/>
        <n v="1.3044"/>
        <n v="0.0201"/>
        <n v="3.5262"/>
        <n v="0.5836"/>
        <n v="3.5655"/>
        <n v="1.341"/>
        <n v="0.104"/>
        <n v="0.2762"/>
        <n v="0.0391"/>
        <n v="0.0031"/>
        <n v="1.4449"/>
        <n v="31.182"/>
        <n v="18.0189"/>
        <n v="26.234"/>
        <n v="27.5444"/>
        <n v="15.2089"/>
        <n v="23.4901"/>
        <n v="24.9705"/>
        <n v="14.6105"/>
        <n v="18.2471"/>
        <n v="19.3133"/>
        <n v="9.37689999999999"/>
        <n v="62.7087"/>
        <n v="22.617"/>
        <n v="8.8641"/>
        <n v="17.6217"/>
        <n v="20.1482"/>
        <n v="15.7034"/>
        <n v="36.2357"/>
        <n v="25.8357"/>
        <n v="21.2905"/>
        <n v="44.1025"/>
        <n v="19.4161"/>
        <n v="22.1025"/>
        <n v="49.0676"/>
        <n v="17.6166"/>
        <n v="19.039"/>
        <n v="29.4026"/>
        <n v="12.0022"/>
        <n v="13.6879"/>
        <n v="27.9039"/>
        <n v="13.2139"/>
        <n v="11.4728"/>
        <n v="17.9486"/>
        <n v="10.5903"/>
        <n v="7.8182"/>
        <n v="25.2956"/>
      </sharedItems>
    </cacheField>
    <cacheField name="Value (in rub)" numFmtId="0">
      <sharedItems>
        <s v="817789.128"/>
        <s v="5598975.814"/>
        <s v="4638537.271"/>
        <s v="123.992"/>
        <s v="5628.921"/>
        <s v="5589670.023"/>
        <s v="224651.122"/>
        <s v="172739.041"/>
        <s v="295583.894"/>
        <s v="286247.337"/>
        <s v="144051.522"/>
        <s v="2099.316"/>
        <s v="128384.194"/>
        <s v="72269.303"/>
        <s v="35374.751"/>
        <s v="3081.309"/>
        <s v="37134.448"/>
        <s v="156.283"/>
        <s v="3633450.875"/>
        <s v="5188030.767999999"/>
        <s v="698288.024"/>
        <s v="44558.407"/>
        <s v="976.688"/>
        <s v="1395983.538"/>
        <s v="1012001.19"/>
        <s v="248807.815"/>
        <s v="121949.721"/>
        <s v="144102.644"/>
        <s v="139276.358"/>
        <s v="69099.011"/>
        <s v="68459.95299999999"/>
        <s v="3688.142"/>
        <s v="52410.371"/>
        <s v="1317.17"/>
        <s v="44008.199"/>
        <s v="5815674.717"/>
        <s v="13070828.16"/>
        <s v="1152899.461"/>
        <s v="9090.562"/>
        <s v="655.369"/>
        <s v="8107083.433"/>
        <s v="2073765.747"/>
        <s v="190909.025"/>
        <s v="807009.751"/>
        <s v="496770.161"/>
        <s v="10777.786"/>
        <s v="35072.661"/>
        <s v="341345.026"/>
        <s v="59056.692"/>
        <s v="246981.215"/>
        <s v="233906.123"/>
        <s v="511.883"/>
        <s v="221027.694"/>
        <s v="330.204"/>
        <s v="27053.737"/>
        <s v="167434.489"/>
        <s v="740731.002"/>
        <s v="6362673.845000001"/>
        <s v="3418376.272"/>
        <s v="8411.521000000001"/>
        <s v="4399865.797999999"/>
        <s v="323528.652"/>
        <s v="284872.613"/>
        <s v="182747.544"/>
        <s v="89899.09199999999"/>
        <s v="147664.938"/>
        <s v="1908.023"/>
        <s v="136397.282"/>
        <s v="59318.734"/>
        <s v="46850.674"/>
        <s v="1650.026"/>
        <s v="41075.017"/>
        <s v="3357609.547"/>
        <s v="4194076.763"/>
        <s v="735410.338"/>
        <s v="66646.87999999999"/>
        <s v="385.702"/>
        <s v="1552946.177"/>
        <s v="547562.863"/>
        <s v="299708.529"/>
        <s v="82924.092"/>
        <s v="132623.274"/>
        <s v="82262.954"/>
        <s v="77771.447"/>
        <s v="4290.931"/>
        <s v="48938.784"/>
        <s v="1308.484"/>
        <s v="3317.889"/>
        <s v="38380.471"/>
        <s v="60.471"/>
        <s v="37051.83"/>
        <s v="8438527.040000001"/>
        <s v="10562128.693"/>
        <s v="912741.2070000001"/>
        <s v="5509.437"/>
        <s v="2359.302"/>
        <s v="4419943.142"/>
        <s v="1418480.059"/>
        <s v="170088.854"/>
        <s v="503776.524"/>
        <s v="407293.637"/>
        <s v="6792.724999999999"/>
        <s v="36475.166"/>
        <s v="660.408"/>
        <s v="25322.154"/>
        <s v="222275.641"/>
        <s v="53936.471"/>
        <s v="187833.551"/>
        <s v="229581.509"/>
        <s v="201002.334"/>
        <s v="513.01"/>
        <s v="184811.387"/>
        <s v="883869.49"/>
        <s v="6611277.901000001"/>
        <s v="4368402.84"/>
        <s v="8987.190999999999"/>
        <s v="5080932.744"/>
        <s v="381379.502"/>
        <s v="326445.788"/>
        <s v="194223.798"/>
        <s v="59907.001"/>
        <s v="2719.411"/>
        <s v="140990.37"/>
        <s v="112194.176"/>
        <s v="45093.43"/>
        <s v="69.55500000000001"/>
        <s v="42177.223"/>
        <s v="38224.321"/>
        <s v="1612.696"/>
        <s v="3420009.855"/>
        <s v="5533045.968"/>
        <s v="751429.353"/>
        <s v="67253.647"/>
        <s v="587.074"/>
        <s v="1257186.042"/>
        <s v="957650.1070000001"/>
        <s v="461544.797"/>
        <s v="85414.349"/>
        <s v="193421.163"/>
        <s v="162790.081"/>
        <s v="97765.70999999999"/>
        <s v="50093.305"/>
        <s v="274.441"/>
        <s v="138.314"/>
        <s v="47505.247"/>
        <s v="6911.678"/>
        <s v="35343.786"/>
        <s v="8375874.438000001"/>
        <s v="12122702.853"/>
        <s v="1390042.249"/>
        <s v="1284.879"/>
        <s v="12614.995"/>
        <s v="6994548.254000001"/>
        <s v="1774121.005"/>
        <s v="504261.818"/>
        <s v="6121.244"/>
        <s v="47773.322"/>
        <s v="151434.106"/>
        <s v="395922.213"/>
        <s v="481704.229"/>
        <s v="990.6129999999999"/>
        <s v="28385.296"/>
        <s v="255430.531"/>
        <s v="64167.69700000001"/>
        <s v="211265.253"/>
        <s v="198851.962"/>
        <s v="197967.969"/>
        <s v="961059.632"/>
        <s v="5859277.454"/>
        <s v="2930864.958"/>
        <s v="10429.016"/>
        <s v="3419515.013"/>
        <s v="308450.321"/>
        <s v="305049.151"/>
        <s v="138822.56"/>
        <s v="59119.02"/>
        <s v="17027.862"/>
        <s v="122809.512"/>
        <s v="91436.46400000001"/>
        <s v="46874.411"/>
        <s v="2096.333"/>
        <s v="45806.486"/>
        <s v="42238.225"/>
        <s v="2655292.965"/>
        <s v="5564252.255"/>
        <s v="594287.953"/>
        <s v="65343.70099999999"/>
        <s v="770.477"/>
        <s v="1136385.272"/>
        <s v="993906.198"/>
        <s v="360733.782"/>
        <s v="79828.06200000001"/>
        <s v="300151.785"/>
        <s v="133116.458"/>
        <s v="112223.814"/>
        <s v="93809.29299999999"/>
        <s v="73015.91"/>
        <s v="66834.19499999999"/>
        <s v="5634594.107"/>
        <s v="13515363.595"/>
        <s v="921747.4939999999"/>
        <s v="769.6809999999999"/>
        <s v="130732.092"/>
        <s v="4574937.022"/>
        <s v="2209359.4"/>
        <s v="590075.329"/>
        <s v="11345.499"/>
        <s v="36270.745"/>
        <s v="96486.401"/>
        <s v="374999.533"/>
        <s v="458184.074"/>
        <s v="283173.52"/>
        <s v="38515.669"/>
        <s v="191166.691"/>
        <s v="213325.979"/>
        <s v="83729.70999999999"/>
        <s v="124685.178"/>
        <s v="911409.8470000001"/>
        <s v="4885222.894"/>
        <s v="4601925.382"/>
        <s v="10906.751"/>
        <s v="5422175.792"/>
        <s v="266134.121"/>
        <s v="254339.266"/>
        <s v="82654.955"/>
        <s v="98160.894"/>
        <s v="168193.23"/>
        <s v="14372.702"/>
        <s v="149289.834"/>
        <s v="74998.66"/>
        <s v="73446.70000000001"/>
        <s v="44394.432"/>
        <s v="3091481.526"/>
        <s v="4930199.558999999"/>
        <s v="627314.7390000001"/>
        <s v="61923.17"/>
        <s v="1590.881"/>
        <s v="1154483.978"/>
        <s v="729855.6800000001"/>
        <s v="616157.152"/>
        <s v="8514.561"/>
        <s v="530799.296"/>
        <s v="281724.6"/>
        <s v="87100.71100000001"/>
        <s v="334688.03"/>
        <s v="136563.048"/>
        <s v="111212.183"/>
        <s v="91027.754"/>
        <s v="7220074.814999999"/>
        <s v="9661265.621000001"/>
        <s v="1041996.994"/>
        <s v="866.289"/>
        <s v="111543.779"/>
        <s v="7424948.825999999"/>
        <s v="2329209.672"/>
        <s v="4999.411"/>
        <s v="1515283.204"/>
        <s v="829925.924"/>
        <s v="60751.409"/>
        <s v="432962.44"/>
        <s v="411484.91"/>
        <s v="382599.6"/>
        <s v="4805.201"/>
        <s v="24562.618"/>
        <s v="316395.114"/>
        <s v="39231.244"/>
        <s v="222563.144"/>
        <s v="916589.147"/>
        <s v="4782541.053"/>
        <s v="2572258.208"/>
        <s v="10520.85"/>
        <s v="4729630.734999999"/>
        <s v="271404.79"/>
        <s v="230718.658"/>
        <s v="10521.911"/>
        <s v="132086.592"/>
        <s v="67866.183"/>
        <s v="59064.649"/>
        <s v="97748.139"/>
        <s v="88235.473"/>
        <s v="79551.433"/>
        <s v="9602.312"/>
        <s v="49925.816"/>
        <s v="3039185.931"/>
        <s v="4352489.251"/>
        <s v="331185.942"/>
        <s v="56559.075"/>
        <s v="1925.396"/>
        <s v="1062609.031"/>
        <s v="371374.58"/>
        <s v="395901.459"/>
        <s v="684569.6309999999"/>
        <s v="522367.552"/>
        <s v="315497.197"/>
        <s v="75852.48300000001"/>
        <s v="271431.71"/>
        <s v="152936.8"/>
        <s v="133872.281"/>
        <s v="94428.791"/>
        <s v="7248969.408"/>
        <s v="9724902.538000001"/>
        <s v="784023.162"/>
        <s v="2374.221"/>
        <s v="114790.323"/>
        <s v="4603976.229"/>
        <s v="1369136.41"/>
        <s v="844109.7200000001"/>
        <s v="1193713.564"/>
        <s v="960914.753"/>
        <s v="441059.538"/>
        <s v="7454.791"/>
        <s v="25818.787"/>
        <s v="54751.506"/>
        <s v="304731.678"/>
        <s v="345881.953"/>
        <s v="318983.902"/>
        <s v="183333.69"/>
        <s v="87983.64200000001"/>
        <s v="898672.3859999999"/>
        <s v="4814733.113"/>
        <s v="3543020.208"/>
        <s v="10547.372"/>
        <s v="5644685.427"/>
        <s v="276893.473"/>
        <s v="238596.017"/>
        <s v="17309.398"/>
        <s v="137117.698"/>
        <s v="141873.434"/>
        <s v="94276.287"/>
        <s v="36606.651"/>
        <s v="51047.383"/>
        <s v="18507.283"/>
        <s v="66562.141"/>
        <s v="60192.714"/>
        <s v="3221262.657"/>
        <s v="4884351.699"/>
        <s v="361062.196"/>
        <s v="65041.67700000001"/>
        <s v="1649.032"/>
        <s v="1229614.719"/>
        <s v="253928.765"/>
        <s v="777136.9449999999"/>
        <s v="627354.39"/>
        <s v="539018"/>
        <s v="442433.333"/>
        <s v="287874.421"/>
        <s v="42496.089"/>
        <s v="180530.733"/>
        <s v="139357.318"/>
        <s v="124258.366"/>
        <s v="7576229.368000001"/>
        <s v="10606008.457"/>
        <s v="968999.916"/>
        <s v="2466.652"/>
        <s v="116463.955"/>
        <s v="6837957.26"/>
        <s v="816482.17"/>
        <s v="1313909.49"/>
        <s v="1759860.028"/>
        <s v="959116.532"/>
        <s v="412478.904"/>
        <s v="27907.627"/>
        <s v="346083.656"/>
        <s v="287866.199"/>
        <s v="6943.837"/>
        <s v="25549.584"/>
        <s v="225064.341"/>
        <s v="34415.037"/>
        <s v="161844.556"/>
        <s v="694009.9569999999"/>
        <s v="5266284.194"/>
        <s v="4297374.918000001"/>
        <s v="10129.644"/>
        <s v="4048512.6"/>
        <s v="349836.778"/>
        <s v="220183.552"/>
        <s v="14072.999"/>
        <s v="127683.803"/>
        <s v="137103.641"/>
        <s v="48341.632"/>
        <s v="10632.907"/>
        <s v="29563.621"/>
        <s v="37274.619"/>
        <s v="144.415"/>
        <s v="14455.452"/>
        <s v="20786.09"/>
        <s v="2051053.798"/>
        <s v="5927694.242"/>
        <s v="354733.746"/>
        <s v="270114.209"/>
        <s v="621280.0919999999"/>
        <s v="1380.758"/>
        <s v="891778.743"/>
        <s v="520899.138"/>
        <s v="399155.297"/>
        <s v="317758.765"/>
        <s v="208893.286"/>
        <s v="59614.591"/>
        <s v="153400.214"/>
        <s v="140020.312"/>
        <s v="692.633"/>
        <s v="55714.8"/>
        <s v="4338377.596"/>
        <s v="13377295.863"/>
        <s v="1017649.208"/>
        <s v="2686.656"/>
        <s v="129450.263"/>
        <s v="6111299.986"/>
        <s v="809177.296"/>
        <s v="949280.491"/>
        <s v="35.739"/>
        <s v="1229762.913"/>
        <s v="549425.267"/>
        <s v="350572.709"/>
        <s v="264766.226"/>
        <s v="215468.992"/>
        <s v="5401.491"/>
        <s v="33784.533"/>
        <s v="28180.941"/>
        <s v="177715.245"/>
        <s v="20953.447"/>
        <s v="170727.381"/>
        <s v="808533.398"/>
        <s v="4132658.514"/>
        <s v="4342297.08"/>
        <s v="11195.581"/>
        <s v="4509229.168"/>
        <s v="356615.048"/>
        <s v="210144.614"/>
        <s v="12375.298"/>
        <s v="139409.435"/>
        <s v="75752.228"/>
        <s v="45792.495"/>
        <s v="41747.626"/>
        <s v="34859.685"/>
        <s v="33539.598"/>
        <s v="449.29"/>
        <s v="1767308.918"/>
        <s v="6535292.475000001"/>
        <s v="417719.272"/>
        <s v="62943.62"/>
        <s v="41966.569"/>
        <s v="1037091.87"/>
        <s v="17012.744"/>
        <s v="736024.929"/>
        <s v="171655.003"/>
        <s v="342313.426"/>
        <s v="414705.064"/>
        <s v="240023.454"/>
        <s v="224597.878"/>
        <s v="149312.643"/>
        <s v="35983.109"/>
        <s v="183715.546"/>
        <s v="68770.531"/>
        <s v="5065711.125"/>
        <s v="14523496.622"/>
        <s v="1340434.37"/>
        <s v="2599.994"/>
        <s v="114957.614"/>
        <s v="7067477.966"/>
        <s v="39270.829"/>
        <s v="2370885.489"/>
        <s v="471930.847"/>
        <s v="458486.496"/>
        <s v="676658.057"/>
        <s v="388654.14"/>
        <s v="4972.093"/>
        <s v="29526.423"/>
        <s v="381290.719"/>
        <s v="767.2280000000001"/>
        <s v="54314.748"/>
        <s v="228474.595"/>
        <s v="277617.801"/>
        <s v="221405.838"/>
        <s v="838316.4920000001"/>
        <s v="6333926.85"/>
        <s v="2967550.514"/>
        <s v="13984.016"/>
        <s v="6789887.018999999"/>
        <s v="342041.969"/>
        <s v="12090.182"/>
        <s v="170329.412"/>
        <s v="170158.144"/>
        <s v="89076.101"/>
        <s v="46124.092"/>
        <s v="33354.405"/>
        <s v="30823.635"/>
        <s v="24997.52"/>
        <s v="57.62"/>
        <s v="2459423.384"/>
        <s v="7416654.6"/>
        <s v="266124.44"/>
        <s v="10970.206"/>
        <s v="1451274.377"/>
        <s v="1306824.554"/>
        <s v="18151.684"/>
        <s v="434429.395"/>
        <s v="163867.488"/>
        <s v="155758.256"/>
        <s v="198280.602"/>
        <s v="156285.721"/>
        <s v="18574.319"/>
        <s v="162592.157"/>
        <s v="140600.756"/>
        <s v="1482.14"/>
        <s v="67058.508"/>
        <s v="7484281.153"/>
        <s v="15760805.762"/>
        <s v="1051793.848"/>
        <s v="1881.435"/>
        <s v="112165.929"/>
        <s v="9577518.937000001"/>
        <s v="2101853.462"/>
        <s v="44767.403"/>
        <s v="1156387.558"/>
        <s v="595802.7150000001"/>
        <s v="275085.705"/>
        <s v="449283.347"/>
        <s v="378995.335"/>
        <s v="7460.162"/>
        <s v="23810.641"/>
        <s v="1273.673"/>
        <s v="58314.52800000001"/>
        <s v="283693.426"/>
        <s v="235037.437"/>
        <s v="191259.121"/>
        <s v="632659.4720000001"/>
        <s v="4733228.103999999"/>
        <s v="5155983.123"/>
        <s v="15142.913"/>
        <s v="7939393.997"/>
        <s v="322443.487"/>
        <s v="8828.718999999999"/>
        <s v="180083.167"/>
        <s v="504.9209999999999"/>
        <s v="158905.209"/>
        <s v="70102.819"/>
        <s v="69379.22100000001"/>
        <s v="31865.635"/>
        <s v="26838.243"/>
        <s v="25916.124"/>
        <s v="69.62100000000001"/>
        <s v="1862527.017"/>
        <s v="6276647.956"/>
        <s v="303855.443"/>
        <s v="44648.981"/>
        <s v="3119.435"/>
        <s v="1411382.657"/>
        <s v="911959.193"/>
        <s v="42920.05"/>
        <s v="709762.952"/>
        <s v="167301.944"/>
        <s v="91374.932"/>
        <s v="170223.986"/>
        <s v="141777.357"/>
        <s v="9832.527"/>
        <s v="150476.249"/>
        <s v="116172.805"/>
        <s v="103764.818"/>
        <s v="5751850.419000001"/>
        <s v="13843010.251"/>
        <s v="1613783.187"/>
        <s v="1818.643"/>
        <s v="116186.596"/>
        <s v="8723807.700999999"/>
        <s v="94162.77100000001"/>
        <s v="1961295.407"/>
        <s v="1502999.939"/>
        <s v="479585.418"/>
        <s v="119786.021"/>
        <s v="378372.655"/>
        <s v="321767.696"/>
        <s v="7170.603"/>
        <s v="24183.679"/>
        <s v="311613.187"/>
        <s v="119615.482"/>
        <s v="526.5360000000001"/>
        <s v="150343.04"/>
        <s v="139085.529"/>
        <s v="129399.208"/>
        <s v="584439.645"/>
        <s v="5261899.307"/>
        <s v="4483308.138"/>
        <s v="15565.614"/>
        <s v="7688316.923"/>
        <s v="325022.263"/>
        <s v="10424.574"/>
        <s v="191527.329"/>
        <s v="403.671"/>
        <s v="129878.468"/>
        <s v="127894.06"/>
        <s v="63073.779"/>
        <s v="61491.981"/>
        <s v="36021.5"/>
        <s v="33214.698"/>
        <s v="86.13200000000001"/>
        <s v="1831470.979"/>
        <s v="6746230.11"/>
        <s v="346235.894"/>
        <s v="46137.22"/>
        <s v="9829.012000000001"/>
        <s v="1308781.975"/>
        <s v="785239.745"/>
        <s v="58981.037"/>
        <s v="606253.28"/>
        <s v="171533.862"/>
        <s v="55380.153"/>
        <s v="177160.661"/>
        <s v="134078.957"/>
        <s v="7754.097"/>
        <s v="133355.757"/>
        <s v="121583.181"/>
        <s v="108666.096"/>
        <s v="5816404.614"/>
        <s v="14410525.472"/>
        <s v="1260909.194"/>
        <s v="1791.126"/>
        <s v="160195.657"/>
        <s v="7508403.564999999"/>
        <s v="122270.841"/>
        <s v="1349544.558"/>
        <s v="1470941.751"/>
        <s v="385360.054"/>
        <s v="8773.221"/>
        <s v="28912.296"/>
        <s v="303537.24"/>
        <s v="45059.481"/>
        <s v="309041.97"/>
        <s v="266459.087"/>
        <s v="1651.021"/>
        <s v="49401.866"/>
        <s v="154514.089"/>
        <s v="14953.212"/>
        <s v="960.8409999999999"/>
        <s v="173679.195"/>
        <s v="2078583.3"/>
        <s v="1233555.4"/>
        <s v="1891463.7"/>
        <s v="1726978"/>
        <s v="999127.4"/>
        <s v="1653579.9"/>
        <s v="1670221.4"/>
        <s v="876252.6"/>
        <s v="1287240.7"/>
        <s v="1358936.3"/>
        <s v="759386.2000000001"/>
        <s v="2991207.2"/>
        <s v="1451139.6"/>
        <s v="751663.1"/>
        <s v="1321720.7"/>
        <s v="1271748.3"/>
        <s v="1119430.7"/>
        <s v="2409268.2"/>
        <s v="1472910.5"/>
        <s v="1292415.9"/>
        <s v="2610535.8"/>
        <s v="1174415.3"/>
        <s v="1298084.1"/>
        <s v="2683119.3"/>
        <s v="1100457.9"/>
        <s v="1265202.6"/>
        <s v="1831285.9"/>
        <s v="833893.8"/>
        <s v="867911.5"/>
        <s v="1875175.1"/>
        <s v="894754.9"/>
        <s v="749057.6"/>
        <s v="1339453.1"/>
        <s v="748857.9"/>
        <s v="549344.2999999999"/>
        <s v="1721988.6"/>
      </sharedItems>
    </cacheField>
    <cacheField name="Value clean" numFmtId="0">
      <sharedItems containsSemiMixedTypes="0" containsString="0" containsNumber="1">
        <n v="817.789128"/>
        <n v="5598.975814"/>
        <n v="4638.537271"/>
        <n v="0.123992"/>
        <n v="5.628921"/>
        <n v="5589.670023"/>
        <n v="224.65112200000002"/>
        <n v="172.739041"/>
        <n v="295.583894"/>
        <n v="286.247337"/>
        <n v="144.051522"/>
        <n v="2.099316"/>
        <n v="128.384194"/>
        <n v="72.269303"/>
        <n v="35.374750999999996"/>
        <n v="3.081309"/>
        <n v="37.134448"/>
        <n v="0.15628299999999998"/>
        <n v="3633.450875"/>
        <n v="5188.03076799999"/>
        <n v="698.288024"/>
        <n v="44.558407"/>
        <n v="0.976688"/>
        <n v="1395.983538"/>
        <n v="1012.00119"/>
        <n v="248.807815"/>
        <n v="121.94972100000001"/>
        <n v="144.102644"/>
        <n v="139.27635800000002"/>
        <n v="69.099011"/>
        <n v="68.45995299999991"/>
        <n v="3.688142"/>
        <n v="52.410371"/>
        <n v="1.3171700000000002"/>
        <n v="44.008199"/>
        <n v="5815.674717"/>
        <n v="13070.828160000001"/>
        <n v="1152.899461"/>
        <n v="9.090562"/>
        <n v="0.655369"/>
        <n v="8107.083433"/>
        <n v="2073.765747"/>
        <n v="190.90902499999999"/>
        <n v="807.009751"/>
        <n v="496.77016100000003"/>
        <n v="10.777786"/>
        <n v="35.072661"/>
        <n v="341.345026"/>
        <n v="59.056692000000005"/>
        <n v="246.981215"/>
        <n v="233.90612299999998"/>
        <n v="0.511883"/>
        <n v="221.027694"/>
        <n v="0.330204"/>
        <n v="27.053737"/>
        <n v="167.434489"/>
        <n v="740.731002"/>
        <n v="6362.673844999999"/>
        <n v="3418.376272"/>
        <n v="8.411521"/>
        <n v="4399.86579799999"/>
        <n v="323.528652"/>
        <n v="284.872613"/>
        <n v="182.747544"/>
        <n v="89.8990919999999"/>
        <n v="147.664938"/>
        <n v="1.9080229999999998"/>
        <n v="136.39728200000002"/>
        <n v="59.318734"/>
        <n v="46.850674"/>
        <n v="1.650026"/>
        <n v="41.075017"/>
        <n v="3357.6095469999996"/>
        <n v="4194.076763"/>
        <n v="735.410338"/>
        <n v="66.6468799999999"/>
        <n v="0.385702"/>
        <n v="1552.9461769999998"/>
        <n v="547.562863"/>
        <n v="299.708529"/>
        <n v="82.924092"/>
        <n v="132.623274"/>
        <n v="82.262954"/>
        <n v="77.771447"/>
        <n v="4.290931"/>
        <n v="48.938784"/>
        <n v="1.308484"/>
        <n v="3.317889"/>
        <n v="38.380471"/>
        <n v="0.060471"/>
        <n v="37.05183"/>
        <n v="8438.527039999999"/>
        <n v="10562.128693"/>
        <n v="912.741207"/>
        <n v="5.509437"/>
        <n v="2.359302"/>
        <n v="4419.943142"/>
        <n v="1418.480059"/>
        <n v="170.088854"/>
        <n v="503.776524"/>
        <n v="407.293637"/>
        <n v="6.79272499999999"/>
        <n v="36.475165999999994"/>
        <n v="0.660408"/>
        <n v="25.322153999999998"/>
        <n v="222.275641"/>
        <n v="53.936471"/>
        <n v="187.833551"/>
        <n v="229.58150899999998"/>
        <n v="201.002334"/>
        <n v="0.51301"/>
        <n v="184.811387"/>
        <n v="883.86949"/>
        <n v="6611.2779009999995"/>
        <n v="4368.40284"/>
        <n v="8.98719099999999"/>
        <n v="5080.932744"/>
        <n v="381.379502"/>
        <n v="326.445788"/>
        <n v="194.22379800000002"/>
        <n v="59.907000999999994"/>
        <n v="2.719411"/>
        <n v="140.99036999999998"/>
        <n v="112.19417600000001"/>
        <n v="45.09343"/>
        <n v="0.069555"/>
        <n v="42.177223"/>
        <n v="38.224321"/>
        <n v="1.612696"/>
        <n v="3420.009855"/>
        <n v="5533.045968"/>
        <n v="751.429353"/>
        <n v="67.253647"/>
        <n v="0.587074"/>
        <n v="1257.1860419999998"/>
        <n v="957.6501069999999"/>
        <n v="461.544797"/>
        <n v="85.414349"/>
        <n v="193.421163"/>
        <n v="162.79008100000001"/>
        <n v="97.7657099999999"/>
        <n v="50.093305"/>
        <n v="0.274441"/>
        <n v="0.138314"/>
        <n v="47.505247000000004"/>
        <n v="6.911678"/>
        <n v="35.343786"/>
        <n v="8375.874438"/>
        <n v="12122.702853"/>
        <n v="1390.042249"/>
        <n v="1.2848789999999999"/>
        <n v="12.614995"/>
        <n v="6994.548253999999"/>
        <n v="1774.121005"/>
        <n v="504.261818"/>
        <n v="6.121244"/>
        <n v="47.773322"/>
        <n v="151.43410599999999"/>
        <n v="395.922213"/>
        <n v="481.704229"/>
        <n v="0.9906129999999991"/>
        <n v="28.385295999999997"/>
        <n v="255.430531"/>
        <n v="64.167697"/>
        <n v="211.265253"/>
        <n v="198.851962"/>
        <n v="197.967969"/>
        <n v="961.059632"/>
        <n v="5859.277454"/>
        <n v="2930.864958"/>
        <n v="10.429015999999999"/>
        <n v="3419.5150129999997"/>
        <n v="308.450321"/>
        <n v="305.049151"/>
        <n v="138.82256"/>
        <n v="59.11902"/>
        <n v="17.027862000000002"/>
        <n v="122.809512"/>
        <n v="91.436464"/>
        <n v="46.874411"/>
        <n v="2.096333"/>
        <n v="45.806486"/>
        <n v="42.238225"/>
        <n v="2655.2929649999996"/>
        <n v="5564.252255"/>
        <n v="594.287953"/>
        <n v="65.3437009999999"/>
        <n v="0.770477"/>
        <n v="1136.3852720000002"/>
        <n v="993.906198"/>
        <n v="360.733782"/>
        <n v="79.828062"/>
        <n v="300.15178499999996"/>
        <n v="133.11645800000002"/>
        <n v="112.223814"/>
        <n v="93.8092929999999"/>
        <n v="73.01591"/>
        <n v="66.83419499999991"/>
        <n v="5634.594107"/>
        <n v="13515.363595"/>
        <n v="921.747493999999"/>
        <n v="0.7696809999999991"/>
        <n v="130.732092"/>
        <n v="4574.937022"/>
        <n v="2209.3594"/>
        <n v="590.075329"/>
        <n v="11.345499"/>
        <n v="36.270745000000005"/>
        <n v="96.486401"/>
        <n v="374.999533"/>
        <n v="458.184074"/>
        <n v="283.17352"/>
        <n v="38.515669"/>
        <n v="191.166691"/>
        <n v="213.325979"/>
        <n v="83.7297099999999"/>
        <n v="124.685178"/>
        <n v="911.4098469999999"/>
        <n v="4885.222894"/>
        <n v="4601.925382"/>
        <n v="10.906751"/>
        <n v="5422.175792"/>
        <n v="266.134121"/>
        <n v="254.339266"/>
        <n v="82.654955"/>
        <n v="98.160894"/>
        <n v="168.19323"/>
        <n v="14.372701999999999"/>
        <n v="149.289834"/>
        <n v="74.99866"/>
        <n v="73.44669999999999"/>
        <n v="44.394432"/>
        <n v="3091.481526"/>
        <n v="4930.19955899999"/>
        <n v="627.3147389999999"/>
        <n v="61.92317"/>
        <n v="1.590881"/>
        <n v="1154.483978"/>
        <n v="729.85568"/>
        <n v="616.157152"/>
        <n v="8.514561"/>
        <n v="530.799296"/>
        <n v="281.72459999999995"/>
        <n v="87.10071099999999"/>
        <n v="334.68803"/>
        <n v="136.563048"/>
        <n v="111.21218300000001"/>
        <n v="91.027754"/>
        <n v="7220.07481499999"/>
        <n v="9661.265620999999"/>
        <n v="1041.9969939999999"/>
        <n v="0.866289"/>
        <n v="111.543779"/>
        <n v="7424.94882599999"/>
        <n v="2329.209672"/>
        <n v="4.999411"/>
        <n v="1515.2832039999998"/>
        <n v="829.925924"/>
        <n v="60.751409"/>
        <n v="432.96244"/>
        <n v="411.48490999999996"/>
        <n v="382.59959999999995"/>
        <n v="4.805201"/>
        <n v="24.562617999999997"/>
        <n v="316.395114"/>
        <n v="39.231244"/>
        <n v="222.563144"/>
        <n v="916.589147"/>
        <n v="4782.541053"/>
        <n v="2572.258208"/>
        <n v="10.520850000000001"/>
        <n v="4729.63073499999"/>
        <n v="271.40479"/>
        <n v="230.718658"/>
        <n v="10.521911"/>
        <n v="132.086592"/>
        <n v="67.866183"/>
        <n v="59.064648999999996"/>
        <n v="97.748139"/>
        <n v="88.235473"/>
        <n v="79.551433"/>
        <n v="9.602312"/>
        <n v="49.925816"/>
        <n v="3039.185931"/>
        <n v="4352.489251"/>
        <n v="331.18594199999995"/>
        <n v="56.559075"/>
        <n v="1.9253959999999999"/>
        <n v="1062.609031"/>
        <n v="371.37458000000004"/>
        <n v="395.901459"/>
        <n v="684.569630999999"/>
        <n v="522.367552"/>
        <n v="315.49719699999997"/>
        <n v="75.85248299999999"/>
        <n v="271.43171"/>
        <n v="152.93679999999998"/>
        <n v="133.872281"/>
        <n v="94.428791"/>
        <n v="7248.969408"/>
        <n v="9724.902538"/>
        <n v="784.023162"/>
        <n v="2.374221"/>
        <n v="114.790323"/>
        <n v="4603.976229"/>
        <n v="1369.1364099999998"/>
        <n v="844.1097199999999"/>
        <n v="1193.713564"/>
        <n v="960.914753"/>
        <n v="441.059538"/>
        <n v="7.454791"/>
        <n v="25.818787"/>
        <n v="54.751506"/>
        <n v="304.731678"/>
        <n v="345.88195299999995"/>
        <n v="318.983902"/>
        <n v="183.33369"/>
        <n v="87.983642"/>
        <n v="898.672385999999"/>
        <n v="4814.733113"/>
        <n v="3543.020208"/>
        <n v="10.547372"/>
        <n v="5644.685427"/>
        <n v="276.893473"/>
        <n v="238.596017"/>
        <n v="17.309398"/>
        <n v="137.117698"/>
        <n v="141.873434"/>
        <n v="94.276287"/>
        <n v="36.606651"/>
        <n v="51.047383"/>
        <n v="18.507283"/>
        <n v="66.562141"/>
        <n v="60.192714"/>
        <n v="3221.262657"/>
        <n v="4884.351699"/>
        <n v="361.062196"/>
        <n v="65.041677"/>
        <n v="1.6490319999999998"/>
        <n v="1229.6147190000002"/>
        <n v="253.92876500000003"/>
        <n v="777.1369449999991"/>
        <n v="627.35439"/>
        <n v="539.018"/>
        <n v="442.433333"/>
        <n v="287.874421"/>
        <n v="42.496089"/>
        <n v="180.530733"/>
        <n v="139.357318"/>
        <n v="124.258366"/>
        <n v="7576.229367999999"/>
        <n v="10606.008457"/>
        <n v="968.999916"/>
        <n v="2.466652"/>
        <n v="116.463955"/>
        <n v="6837.95726"/>
        <n v="816.48217"/>
        <n v="1313.90949"/>
        <n v="1759.8600279999998"/>
        <n v="959.116532"/>
        <n v="412.478904"/>
        <n v="27.907627"/>
        <n v="346.083656"/>
        <n v="287.866199"/>
        <n v="6.943837"/>
        <n v="25.549584"/>
        <n v="225.06434099999998"/>
        <n v="34.415037"/>
        <n v="161.844556"/>
        <n v="694.009956999999"/>
        <n v="5266.284194"/>
        <n v="4297.3749179999995"/>
        <n v="10.129644"/>
        <n v="4048.5126"/>
        <n v="349.836778"/>
        <n v="220.183552"/>
        <n v="14.072999"/>
        <n v="127.683803"/>
        <n v="137.103641"/>
        <n v="48.341632"/>
        <n v="10.632907"/>
        <n v="29.563620999999998"/>
        <n v="37.274619"/>
        <n v="0.144415"/>
        <n v="14.455452"/>
        <n v="20.78609"/>
        <n v="2051.053798"/>
        <n v="5927.694242"/>
        <n v="354.733746"/>
        <n v="270.11420899999996"/>
        <n v="621.2800919999991"/>
        <n v="1.380758"/>
        <n v="891.778743"/>
        <n v="520.899138"/>
        <n v="399.155297"/>
        <n v="317.75876500000004"/>
        <n v="208.893286"/>
        <n v="59.614591"/>
        <n v="153.400214"/>
        <n v="140.02031200000002"/>
        <n v="0.692633"/>
        <n v="55.714800000000004"/>
        <n v="4338.377596"/>
        <n v="13377.295863"/>
        <n v="1017.6492079999999"/>
        <n v="2.686656"/>
        <n v="129.450263"/>
        <n v="6111.299986"/>
        <n v="809.177296"/>
        <n v="949.280491"/>
        <n v="0.035739"/>
        <n v="1229.762913"/>
        <n v="549.425267"/>
        <n v="350.572709"/>
        <n v="264.766226"/>
        <n v="215.468992"/>
        <n v="5.401491"/>
        <n v="33.784533"/>
        <n v="28.180940999999997"/>
        <n v="177.71524499999998"/>
        <n v="20.953447"/>
        <n v="170.72738099999998"/>
        <n v="808.533398"/>
        <n v="4132.658514"/>
        <n v="4342.29708"/>
        <n v="11.195581"/>
        <n v="4509.229168"/>
        <n v="356.615048"/>
        <n v="210.144614"/>
        <n v="12.375298"/>
        <n v="139.409435"/>
        <n v="75.752228"/>
        <n v="45.792495"/>
        <n v="41.747626"/>
        <n v="34.859685"/>
        <n v="33.539598"/>
        <n v="0.44929"/>
        <n v="1767.3089180000002"/>
        <n v="6535.292474999999"/>
        <n v="417.719272"/>
        <n v="62.94362"/>
        <n v="41.966569"/>
        <n v="1037.09187"/>
        <n v="17.012743999999998"/>
        <n v="736.024929"/>
        <n v="171.655003"/>
        <n v="342.313426"/>
        <n v="414.705064"/>
        <n v="240.023454"/>
        <n v="224.597878"/>
        <n v="149.312643"/>
        <n v="35.983109"/>
        <n v="183.715546"/>
        <n v="68.770531"/>
        <n v="5065.711125"/>
        <n v="14523.496621999999"/>
        <n v="1340.4343700000002"/>
        <n v="2.599994"/>
        <n v="114.957614"/>
        <n v="7067.477966"/>
        <n v="39.270829"/>
        <n v="2370.8854890000002"/>
        <n v="471.930847"/>
        <n v="458.486496"/>
        <n v="676.658057"/>
        <n v="388.65414000000004"/>
        <n v="4.972093"/>
        <n v="29.526422999999998"/>
        <n v="381.29071899999997"/>
        <n v="0.7672279999999999"/>
        <n v="54.314748"/>
        <n v="228.474595"/>
        <n v="277.617801"/>
        <n v="221.405838"/>
        <n v="838.3164919999999"/>
        <n v="6333.92685"/>
        <n v="2967.550514"/>
        <n v="13.984016"/>
        <n v="6789.88701899999"/>
        <n v="342.041969"/>
        <n v="12.090182"/>
        <n v="170.32941200000002"/>
        <n v="170.158144"/>
        <n v="89.076101"/>
        <n v="46.124092"/>
        <n v="33.354405"/>
        <n v="30.823635"/>
        <n v="24.99752"/>
        <n v="0.05762"/>
        <n v="2459.423384"/>
        <n v="7416.6546"/>
        <n v="266.12444"/>
        <n v="10.970206000000001"/>
        <n v="1451.2743770000002"/>
        <n v="1306.824554"/>
        <n v="18.151684"/>
        <n v="434.429395"/>
        <n v="163.867488"/>
        <n v="155.758256"/>
        <n v="198.28060200000002"/>
        <n v="156.285721"/>
        <n v="18.574319"/>
        <n v="162.59215700000001"/>
        <n v="140.600756"/>
        <n v="1.48214"/>
        <n v="67.058508"/>
        <n v="7484.281153"/>
        <n v="15760.805762"/>
        <n v="1051.793848"/>
        <n v="1.881435"/>
        <n v="112.165929"/>
        <n v="9577.518937"/>
        <n v="2101.853462"/>
        <n v="44.767403"/>
        <n v="1156.387558"/>
        <n v="595.8027149999999"/>
        <n v="275.085705"/>
        <n v="449.283347"/>
        <n v="378.995335"/>
        <n v="7.460162"/>
        <n v="23.810641"/>
        <n v="1.273673"/>
        <n v="58.314527999999996"/>
        <n v="283.693426"/>
        <n v="235.037437"/>
        <n v="191.25912100000002"/>
        <n v="632.6594719999999"/>
        <n v="4733.22810399999"/>
        <n v="5155.983123"/>
        <n v="15.142913"/>
        <n v="7939.393997"/>
        <n v="322.443487"/>
        <n v="8.82871899999999"/>
        <n v="180.08316699999997"/>
        <n v="0.5049209999999991"/>
        <n v="158.905209"/>
        <n v="70.102819"/>
        <n v="69.379221"/>
        <n v="31.865634999999997"/>
        <n v="26.838243"/>
        <n v="25.916124"/>
        <n v="0.06962099999999999"/>
        <n v="1862.527017"/>
        <n v="6276.647956"/>
        <n v="303.85544300000004"/>
        <n v="44.648981"/>
        <n v="3.1194349999999997"/>
        <n v="1411.3826569999999"/>
        <n v="911.9591929999999"/>
        <n v="42.92005"/>
        <n v="709.762952"/>
        <n v="167.301944"/>
        <n v="91.374932"/>
        <n v="170.223986"/>
        <n v="141.777357"/>
        <n v="9.832527"/>
        <n v="150.47624900000002"/>
        <n v="116.172805"/>
        <n v="103.764818"/>
        <n v="5751.850418999999"/>
        <n v="13843.010251"/>
        <n v="1613.783187"/>
        <n v="1.818643"/>
        <n v="116.18659600000001"/>
        <n v="8723.80770099999"/>
        <n v="94.16277099999999"/>
        <n v="1961.2954069999998"/>
        <n v="1502.999939"/>
        <n v="479.585418"/>
        <n v="119.78602099999999"/>
        <n v="378.372655"/>
        <n v="321.767696"/>
        <n v="7.170603"/>
        <n v="24.183679"/>
        <n v="311.613187"/>
        <n v="119.615482"/>
        <n v="0.5265359999999999"/>
        <n v="150.34304"/>
        <n v="139.085529"/>
        <n v="129.399208"/>
        <n v="584.439645"/>
        <n v="5261.899307"/>
        <n v="4483.308138"/>
        <n v="15.565614"/>
        <n v="7688.316923"/>
        <n v="325.02226299999995"/>
        <n v="10.424574"/>
        <n v="191.527329"/>
        <n v="0.403671"/>
        <n v="129.878468"/>
        <n v="127.89406"/>
        <n v="63.073779"/>
        <n v="61.491981"/>
        <n v="36.0215"/>
        <n v="33.214698"/>
        <n v="0.086132"/>
        <n v="1831.470979"/>
        <n v="6746.23011"/>
        <n v="346.235894"/>
        <n v="46.13722"/>
        <n v="9.829012"/>
        <n v="1308.781975"/>
        <n v="785.239745"/>
        <n v="58.98103699999999"/>
        <n v="606.25328"/>
        <n v="171.533862"/>
        <n v="55.380153"/>
        <n v="177.160661"/>
        <n v="134.078957"/>
        <n v="7.754097"/>
        <n v="133.355757"/>
        <n v="121.583181"/>
        <n v="108.66609600000001"/>
        <n v="5816.404614"/>
        <n v="14410.525472"/>
        <n v="1260.9091939999998"/>
        <n v="1.791126"/>
        <n v="160.195657"/>
        <n v="7508.4035649999905"/>
        <n v="122.270841"/>
        <n v="1349.544558"/>
        <n v="1470.9417509999998"/>
        <n v="385.360054"/>
        <n v="8.773221"/>
        <n v="28.912295999999998"/>
        <n v="303.53724"/>
        <n v="45.059481"/>
        <n v="309.04197"/>
        <n v="266.459087"/>
        <n v="1.6510209999999998"/>
        <n v="49.401866"/>
        <n v="154.514089"/>
        <n v="14.953211999999999"/>
        <n v="0.960840999999999"/>
        <n v="173.679195"/>
        <n v="2078.5833000000002"/>
        <n v="1233.5554"/>
        <n v="1891.4637"/>
        <n v="1726.978"/>
        <n v="999.1274000000001"/>
        <n v="1653.5799"/>
        <n v="1670.2214"/>
        <n v="876.2526"/>
        <n v="1287.2407"/>
        <n v="1358.9363"/>
        <n v="759.3861999999999"/>
        <n v="2991.2072000000003"/>
        <n v="1451.1396000000002"/>
        <n v="751.6631"/>
        <n v="1321.7206999999999"/>
        <n v="1271.7483"/>
        <n v="1119.4307"/>
        <n v="2409.2682"/>
        <n v="1472.9105"/>
        <n v="1292.4159"/>
        <n v="2610.5357999999997"/>
        <n v="1174.4153000000001"/>
        <n v="1298.0841"/>
        <n v="2683.1193"/>
        <n v="1100.4578999999999"/>
        <n v="1265.2026"/>
        <n v="1831.2858999999999"/>
        <n v="833.8938"/>
        <n v="867.9115"/>
        <n v="1875.1751000000002"/>
        <n v="894.7549"/>
        <n v="749.0576"/>
        <n v="1339.4531000000002"/>
        <n v="748.8579"/>
        <n v="549.344299999999"/>
        <n v="1721.9886000000001"/>
      </sharedItems>
    </cacheField>
    <cacheField name="Volume (in 1000 kg)" numFmtId="0">
      <sharedItems>
        <s v="2.6792"/>
        <s v="21.5612"/>
        <s v="23.8763"/>
        <s v="0.0013"/>
        <s v="0.0101"/>
        <s v="13.0196"/>
        <s v="0.7731"/>
        <s v="0.6367"/>
        <s v="1.5761"/>
        <s v="0.4614"/>
        <s v="0.347"/>
        <s v="0.0018"/>
        <s v="0.4004"/>
        <s v="0.1379"/>
        <s v="0.06950000000000001"/>
        <s v="0.007900000000000001"/>
        <s v="0.0401"/>
        <s v="0.0004"/>
        <s v="12.7544"/>
        <s v="18.7075"/>
        <s v="2.3618"/>
        <s v="0.2071"/>
        <s v="0.0022"/>
        <s v="2.6403"/>
        <s v="7.9223"/>
        <s v="0.7747000000000001"/>
        <s v="0.2899"/>
        <s v="0.2804"/>
        <s v="0.3364"/>
        <s v="0.2641"/>
        <s v="0.1117"/>
        <s v="0.0036"/>
        <s v="0.082"/>
        <s v="0.0009"/>
        <s v="0.1602"/>
        <s v="20.4104"/>
        <s v="51.7931"/>
        <s v="4.6763"/>
        <s v="0.0485"/>
        <s v="0.0011"/>
        <s v="19.878"/>
        <s v="13.2728"/>
        <s v="0.6397"/>
        <s v="2.4102"/>
        <s v="0.3421"/>
        <s v="0.0121"/>
        <s v="0.0356"/>
        <s v="0.8008"/>
        <s v="0.0585"/>
        <s v="0.4015"/>
        <s v="0.4505"/>
        <s v="0.0005"/>
        <s v="0.2605"/>
        <s v="0.0001"/>
        <s v="0.0202"/>
        <s v="0.1256"/>
        <s v="2.3268"/>
        <s v="25.0535"/>
        <s v="15.082"/>
        <s v="0.0151"/>
        <s v="8.776300000000001"/>
        <s v="1.7237"/>
        <s v="0.4643"/>
        <s v="0.5584"/>
        <s v="0.3186"/>
        <s v="0.3666"/>
        <s v="0.0016"/>
        <s v="0.4209"/>
        <s v="0.1505"/>
        <s v="0.0956"/>
        <s v="0.0042"/>
        <s v="0.0823"/>
        <s v="11.531"/>
        <s v="13.7834"/>
        <s v="2.4647"/>
        <s v="0.2969"/>
        <s v="2.9482"/>
        <s v="2.7526"/>
        <s v="0.9387"/>
        <s v="0.2331"/>
        <s v="0.2537"/>
        <s v="0.1943"/>
        <s v="0.302"/>
        <s v="0.0735"/>
        <s v="0.0048"/>
        <s v="0.1398"/>
        <s v="0.0381"/>
        <s v="33.2051"/>
        <s v="38.6751"/>
        <s v="3.2013"/>
        <s v="0.0306"/>
        <s v="0.0033"/>
        <s v="8.100199999999999"/>
        <s v="7.0695"/>
        <s v="0.6849"/>
        <s v="1.4585"/>
        <s v="0.2928"/>
        <s v="0.0073"/>
        <s v="0.0369"/>
        <s v="0.0003"/>
        <s v="0.0193"/>
        <s v="0.1721"/>
        <s v="0.0533"/>
        <s v="0.292"/>
        <s v="0.519"/>
        <s v="0.3777"/>
        <s v="0.2036"/>
        <s v="2.673"/>
        <s v="25.0443"/>
        <s v="18.0803"/>
        <s v="0.0146"/>
        <s v="10.2662"/>
        <s v="0.651"/>
        <s v="1.7132"/>
        <s v="0.5931999999999999"/>
        <s v="0.186"/>
        <s v="0.0023"/>
        <s v="0.4347"/>
        <s v="0.2905"/>
        <s v="0.0493"/>
        <s v="0.0833"/>
        <s v="0.07190000000000001"/>
        <s v="0.0044"/>
        <s v="12.3884"/>
        <s v="19.2909"/>
        <s v="2.5487"/>
        <s v="0.2945"/>
        <s v="0.0008"/>
        <s v="2.3936"/>
        <s v="6.0377"/>
        <s v="1.5276"/>
        <s v="0.2383"/>
        <s v="0.4778"/>
        <s v="0.31"/>
        <s v="0.371"/>
        <s v="0.081"/>
        <s v="0.0002"/>
        <s v="0.1739"/>
        <s v="0.0068"/>
        <s v="0.055"/>
        <s v="33.7595"/>
        <s v="44.9054"/>
        <s v="5.2449"/>
        <s v="0.006"/>
        <s v="0.0168"/>
        <s v="14.4676"/>
        <s v="9.4168"/>
        <s v="0.3373"/>
        <s v="0.0067"/>
        <s v="0.0483"/>
        <s v="0.7403999999999999"/>
        <s v="1.1678"/>
        <s v="1.014"/>
        <s v="0.0216"/>
        <s v="0.1937"/>
        <s v="0.0635"/>
        <s v="0.3544"/>
        <s v="0.2097"/>
        <s v="0.3504"/>
        <s v="3.009"/>
        <s v="20.3312"/>
        <s v="10.7593"/>
        <s v="0.0167"/>
        <s v="6.1634"/>
        <s v="1.4542"/>
        <s v="0.4984"/>
        <s v="0.4859"/>
        <s v="0.2493"/>
        <s v="0.0134"/>
        <s v="0.3785"/>
        <s v="0.2418"/>
        <s v="0.0969"/>
        <s v="0.007"/>
        <s v="0.1018"/>
        <s v="0.08500000000000001"/>
        <s v="7.8476"/>
        <s v="19.9434"/>
        <s v="2.0058"/>
        <s v="0.2912"/>
        <s v="0.0012"/>
        <s v="2.3852"/>
        <s v="6.0862"/>
        <s v="1.1939"/>
        <s v="0.3163"/>
        <s v="1.075"/>
        <s v="0.2608"/>
        <s v="0.2506"/>
        <s v="0.3594"/>
        <s v="0.3702"/>
        <s v="0.1176"/>
        <s v="18.0203"/>
        <s v="50.2664"/>
        <s v="3.0722"/>
        <s v="0.0028"/>
        <s v="0.2432"/>
        <s v="8.1417"/>
        <s v="12.6531"/>
        <s v="0.368"/>
        <s v="0.0109"/>
        <s v="0.0365"/>
        <s v="0.4773"/>
        <s v="1.4373"/>
        <s v="1.6445"/>
        <s v="0.5639"/>
        <s v="0.0293"/>
        <s v="0.1377"/>
        <s v="0.404"/>
        <s v="0.0334"/>
        <s v="0.08550000000000001"/>
        <s v="2.8471"/>
        <s v="16.7014"/>
        <s v="22.4425"/>
        <s v="0.0174"/>
        <s v="12.3752"/>
        <s v="0.4383"/>
        <s v="1.083"/>
        <s v="0.2862"/>
        <s v="0.6156"/>
        <s v="0.4272"/>
        <s v="0.0125"/>
        <s v="0.4631"/>
        <s v="0.1587"/>
        <s v="0.4171"/>
        <s v="0.1015"/>
        <s v="10.5705"/>
        <s v="16.6957"/>
        <s v="2.1724"/>
        <s v="0.2876"/>
        <s v="0.0024"/>
        <s v="2.3687"/>
        <s v="4.1037"/>
        <s v="3.5762"/>
        <s v="0.0438"/>
        <s v="3.0586"/>
        <s v="0.9579"/>
        <s v="0.4553"/>
        <s v="1.2451"/>
        <s v="0.2747"/>
        <s v="0.2481"/>
        <s v="0.4291"/>
        <s v="28.4204"/>
        <s v="33.0196"/>
        <s v="3.9077"/>
        <s v="0.0031"/>
        <s v="0.2016"/>
        <s v="15.7343"/>
        <s v="13.4475"/>
        <s v="0.0215"/>
        <s v="7.8262"/>
        <s v="4.789"/>
        <s v="0.4416"/>
        <s v="2.0619"/>
        <s v="1.5348"/>
        <s v="0.2457"/>
        <s v="0.004"/>
        <s v="0.0246"/>
        <s v="0.6166"/>
        <s v="0.0298"/>
        <s v="0.1672"/>
        <s v="3.0427"/>
        <s v="16.9604"/>
        <s v="11.2055"/>
        <s v="0.017"/>
        <s v="11.0434"/>
        <s v="0.436"/>
        <s v="1.0083"/>
        <s v="0.0091"/>
        <s v="0.4096"/>
        <s v="0.2218"/>
        <s v="0.3235"/>
        <s v="0.2081"/>
        <s v="0.2729"/>
        <s v="0.4844"/>
        <s v="0.0489"/>
        <s v="0.3272"/>
        <s v="10.2543"/>
        <s v="14.3842"/>
        <s v="1.1785"/>
        <s v="0.2626"/>
        <s v="0.0034"/>
        <s v="2.0726"/>
        <s v="2.1727"/>
        <s v="2.5959"/>
        <s v="4.3615"/>
        <s v="3.1845"/>
        <s v="1.0754"/>
        <s v="0.282"/>
        <s v="1.193"/>
        <s v="0.649"/>
        <s v="0.2638"/>
        <s v="0.2133"/>
        <s v="25.8174"/>
        <s v="34.6697"/>
        <s v="2.6066"/>
        <s v="0.0086"/>
        <s v="0.2053"/>
        <s v="8.202999999999999"/>
        <s v="7.9322"/>
        <s v="5.5184"/>
        <s v="6.4292"/>
        <s v="6.1787"/>
        <s v="0.2671"/>
        <s v="0.0062"/>
        <s v="0.0251"/>
        <s v="0.2895"/>
        <s v="1.2719"/>
        <s v="1.4601"/>
        <s v="0.5971"/>
        <s v="0.1249"/>
        <s v="0.0832"/>
        <s v="3.0312"/>
        <s v="17.6291"/>
        <s v="14.4389"/>
        <s v="0.0164"/>
        <s v="12.4594"/>
        <s v="0.4471"/>
        <s v="1.0298"/>
        <s v="0.0191"/>
        <s v="0.4254"/>
        <s v="0.5673"/>
        <s v="0.2679"/>
        <s v="0.1305"/>
        <s v="0.2341"/>
        <s v="0.096"/>
        <s v="0.5362"/>
        <s v="0.3856"/>
        <s v="11.3558"/>
        <s v="17.1406"/>
        <s v="1.1982"/>
        <s v="0.0025"/>
        <s v="2.508"/>
        <s v="1.23"/>
        <s v="5.5686"/>
        <s v="3.9968"/>
        <s v="3.6372"/>
        <s v="2.6923"/>
        <s v="0.9946"/>
        <s v="0.2534"/>
        <s v="0.7117"/>
        <s v="0.2829"/>
        <s v="26.5251"/>
        <s v="37.9666"/>
        <s v="3.4546"/>
        <s v="0.008999999999999999"/>
        <s v="0.2046"/>
        <s v="15.5233"/>
        <s v="3.9007"/>
        <s v="9.3757"/>
        <s v="10.0765"/>
        <s v="6.6673"/>
        <s v="2.4225"/>
        <s v="0.2136"/>
        <s v="1.9328"/>
        <s v="0.1766"/>
        <s v="0.0059"/>
        <s v="0.4402"/>
        <s v="0.0259"/>
        <s v="0.1166"/>
        <s v="2.1522"/>
        <s v="20.2578"/>
        <s v="18.0739"/>
        <s v="7.9376"/>
        <s v="0.5626"/>
        <s v="0.9379999999999999"/>
        <s v="0.0142"/>
        <s v="0.3913"/>
        <s v="0.6273"/>
        <s v="0.1182"/>
        <s v="0.0397"/>
        <s v="0.1005"/>
        <s v="0.1002"/>
        <s v="0.0775"/>
        <s v="0.1975"/>
        <s v="6.146"/>
        <s v="21.3872"/>
        <s v="1.1806"/>
        <s v="1.6648"/>
        <s v="4.7468"/>
        <s v="1.7577"/>
        <s v="2.9877"/>
        <s v="2.7936"/>
        <s v="1.7962"/>
        <s v="0.6879999999999999"/>
        <s v="0.3546"/>
        <s v="0.5600000000000001"/>
        <s v="0.2845"/>
        <s v="0.2055"/>
        <s v="12.9567"/>
        <s v="49.9466"/>
        <s v="3.5971"/>
        <s v="0.0097"/>
        <s v="0.2238"/>
        <s v="12.3527"/>
        <s v="4.8879"/>
        <s v="7.3435"/>
        <s v="6.0829"/>
        <s v="3.9306"/>
        <s v="1.8279"/>
        <s v="0.4962"/>
        <s v="0.1253"/>
        <s v="0.0326"/>
        <s v="0.1279"/>
        <s v="0.1946"/>
        <s v="1.0014"/>
        <s v="2.6499"/>
        <s v="14.8417"/>
        <s v="18.3952"/>
        <s v="0.0172"/>
        <s v="9.670500000000001"/>
        <s v="0.5881999999999999"/>
        <s v="0.9056999999999999"/>
        <s v="0.0139"/>
        <s v="0.4329"/>
        <s v="0.3291"/>
        <s v="0.1067"/>
        <s v="0.08309999999999999"/>
        <s v="0.0964"/>
        <s v="0.0898"/>
        <s v="5.3554"/>
        <s v="23.8348"/>
        <s v="1.387"/>
        <s v="0.2923"/>
        <s v="0.0617"/>
        <s v="2.1854"/>
        <s v="0.0702"/>
        <s v="5.1579"/>
        <s v="0.9287"/>
        <s v="2.5544"/>
        <s v="0.8179999999999999"/>
        <s v="0.8294"/>
        <s v="1.1199"/>
        <s v="0.5027"/>
        <s v="0.1924"/>
        <s v="0.8146"/>
        <s v="0.6032999999999999"/>
        <s v="16.6012"/>
        <s v="58.6622"/>
        <s v="5.0869"/>
        <s v="0.0094"/>
        <s v="15.0084"/>
        <s v="0.1637"/>
        <s v="15.6621"/>
        <s v="2.3367"/>
        <s v="3.4569"/>
        <s v="1.3202"/>
        <s v="0.249"/>
        <s v="0.0283"/>
        <s v="0.712"/>
        <s v="0.0439"/>
        <s v="0.1695"/>
        <s v="1.5263"/>
        <s v="0.8548"/>
        <s v="2.8925"/>
        <s v="25.9689"/>
        <s v="11.6632"/>
        <s v="0.0232"/>
        <s v="16.1827"/>
        <s v="0.5522"/>
        <s v="0.5464"/>
        <s v="0.7494"/>
        <s v="0.2717"/>
        <s v="0.0949"/>
        <s v="0.0721"/>
        <s v="0.08939999999999999"/>
        <s v="0.0732"/>
        <s v="8.0181"/>
        <s v="30.0325"/>
        <s v="0.8596"/>
        <s v="0.0165"/>
        <s v="3.1949"/>
        <s v="2.624"/>
        <s v="0.07489999999999999"/>
        <s v="2.0211"/>
        <s v="0.9297"/>
        <s v="1.0809"/>
        <s v="1.0742"/>
        <s v="0.5044999999999999"/>
        <s v="0.094"/>
        <s v="0.5594"/>
        <s v="0.6566"/>
        <s v="0.2226"/>
        <s v="26.593"/>
        <s v="66.0851"/>
        <s v="3.5785"/>
        <s v="0.2002"/>
        <s v="22.3846"/>
        <s v="4.1827"/>
        <s v="0.185"/>
        <s v="5.2831"/>
        <s v="3.3207"/>
        <s v="1.8613"/>
        <s v="0.7786"/>
        <s v="0.2311"/>
        <s v="0.0233"/>
        <s v="0.0467"/>
        <s v="0.2199"/>
        <s v="0.8894"/>
        <s v="0.9404"/>
        <s v="1.9625"/>
        <s v="17.3296"/>
        <s v="24.4289"/>
        <s v="0.0241"/>
        <s v="22.8493"/>
        <s v="0.5326"/>
        <s v="0.008399999999999999"/>
        <s v="0.5093"/>
        <s v="0.7115"/>
        <s v="0.1386"/>
        <s v="0.2187"/>
        <s v="0.0707"/>
        <s v="0.0577"/>
        <s v="0.0288"/>
        <s v="5.6023"/>
        <s v="23.0859"/>
        <s v="0.9749"/>
        <s v="0.2073"/>
        <s v="0.0054"/>
        <s v="3.2619"/>
        <s v="1.8466"/>
        <s v="0.1784"/>
        <s v="4.343"/>
        <s v="1.0306"/>
        <s v="0.6327"/>
        <s v="0.6203"/>
        <s v="0.4732"/>
        <s v="0.05"/>
        <s v="0.8321"/>
        <s v="0.5754"/>
        <s v="0.1928"/>
        <s v="19.116"/>
        <s v="51.9838"/>
        <s v="6.5621"/>
        <s v="0.008699999999999999"/>
        <s v="0.1983"/>
        <s v="19.7395"/>
        <s v="0.3905"/>
        <s v="11.2297"/>
        <s v="2.9668"/>
        <s v="3.1096"/>
        <s v="0.8399"/>
        <s v="0.676"/>
        <s v="0.2027"/>
        <s v="1.232"/>
        <s v="0.0877"/>
        <s v="0.4403"/>
        <s v="0.0556"/>
        <s v="1.7403"/>
        <s v="20.6244"/>
        <s v="20.0346"/>
        <s v="0.0252"/>
        <s v="19.4127"/>
        <s v="0.5425"/>
        <s v="0.0105"/>
        <s v="0.5524"/>
        <s v="0.0019"/>
        <s v="0.5687"/>
        <s v="0.2812"/>
        <s v="0.1878"/>
        <s v="0.1737"/>
        <s v="0.0731"/>
        <s v="0.037"/>
        <s v="5.6361"/>
        <s v="24.3984"/>
        <s v="1.1352"/>
        <s v="0.2142"/>
        <s v="0.0129"/>
        <s v="2.8757"/>
        <s v="1.6589"/>
        <s v="0.2654"/>
        <s v="3.6175"/>
        <s v="0.909"/>
        <s v="0.3413"/>
        <s v="0.6225000000000001"/>
        <s v="0.4413"/>
        <s v="0.0398"/>
        <s v="0.2459"/>
        <s v="0.8663"/>
        <s v="0.5895"/>
        <s v="19.3721"/>
        <s v="55.3599"/>
        <s v="4.6012"/>
        <s v="0.0065"/>
        <s v="0.2776"/>
        <s v="15.5791"/>
        <s v="0.5273"/>
        <s v="7.173"/>
        <s v="3.0721"/>
        <s v="0.2478"/>
        <s v="0.0072"/>
        <s v="0.0276"/>
        <s v="1.3576"/>
        <s v="0.286"/>
        <s v="1.141"/>
        <s v="0.0005999999999999999"/>
        <s v="0.0364"/>
        <s v="0.116"/>
        <s v="0.5780999999999999"/>
        <s v="6.2363"/>
        <s v="3.6037"/>
        <s v="5.2468"/>
        <s v="5.5089"/>
        <s v="3.0419"/>
        <s v="4.6981"/>
        <s v="4.9941"/>
        <s v="2.9221"/>
        <s v="3.6494"/>
        <s v="3.8626"/>
        <s v="1.8754"/>
        <s v="12.5417"/>
        <s v="4.5234"/>
        <s v="1.7728"/>
        <s v="3.5244"/>
        <s v="4.0296"/>
        <s v="3.1407"/>
        <s v="7.2472"/>
        <s v="5.1671"/>
        <s v="4.2581"/>
        <s v="8.820399999999999"/>
        <s v="3.8833"/>
        <s v="4.4205"/>
        <s v="9.813599999999999"/>
        <s v="3.5234"/>
        <s v="3.8079"/>
        <s v="5.8805"/>
        <s v="2.4005"/>
        <s v="2.7376"/>
        <s v="5.5807"/>
        <s v="2.6428"/>
        <s v="2.2945"/>
        <s v="3.5896"/>
        <s v="2.118"/>
        <s v="1.5636"/>
        <s v="5.0591"/>
      </sharedItems>
    </cacheField>
    <cacheField name="Volume clean" numFmtId="0">
      <sharedItems containsSemiMixedTypes="0" containsString="0" containsNumber="1">
        <n v="2.6792"/>
        <n v="21.5612"/>
        <n v="23.8763"/>
        <n v="0.0013"/>
        <n v="0.0101"/>
        <n v="13.0196"/>
        <n v="0.7731"/>
        <n v="0.6367"/>
        <n v="1.5761"/>
        <n v="0.4614"/>
        <n v="0.347"/>
        <n v="0.0018"/>
        <n v="0.4004"/>
        <n v="0.1379"/>
        <n v="0.0695"/>
        <n v="0.0079"/>
        <n v="0.0401"/>
        <n v="4.0E-4"/>
        <n v="12.7544"/>
        <n v="18.7075"/>
        <n v="2.3618"/>
        <n v="0.2071"/>
        <n v="0.0022"/>
        <n v="2.6403"/>
        <n v="7.9223"/>
        <n v="0.7747"/>
        <n v="0.2899"/>
        <n v="0.2804"/>
        <n v="0.3364"/>
        <n v="0.2641"/>
        <n v="0.1117"/>
        <n v="0.0036"/>
        <n v="0.082"/>
        <n v="9.0E-4"/>
        <n v="0.1602"/>
        <n v="20.4104"/>
        <n v="51.7931"/>
        <n v="4.6763"/>
        <n v="0.0485"/>
        <n v="0.0011"/>
        <n v="19.878"/>
        <n v="13.2728"/>
        <n v="0.6397"/>
        <n v="2.4102"/>
        <n v="0.3421"/>
        <n v="0.0121"/>
        <n v="0.0356"/>
        <n v="0.8008"/>
        <n v="0.0585"/>
        <n v="0.4015"/>
        <n v="0.4505"/>
        <n v="5.0E-4"/>
        <n v="0.2605"/>
        <n v="1.0E-4"/>
        <n v="0.0202"/>
        <n v="0.1256"/>
        <n v="2.3268"/>
        <n v="25.0535"/>
        <n v="15.082"/>
        <n v="0.0151"/>
        <n v="8.7763"/>
        <n v="1.7237"/>
        <n v="0.4643"/>
        <n v="0.5584"/>
        <n v="0.3186"/>
        <n v="0.3666"/>
        <n v="0.0016"/>
        <n v="0.4209"/>
        <n v="0.1505"/>
        <n v="0.0956"/>
        <n v="0.0042"/>
        <n v="0.0823"/>
        <n v="11.531"/>
        <n v="13.7834"/>
        <n v="2.4647"/>
        <n v="0.2969"/>
        <n v="2.9482"/>
        <n v="2.7526"/>
        <n v="0.9387"/>
        <n v="0.2331"/>
        <n v="0.2537"/>
        <n v="0.1943"/>
        <n v="0.302"/>
        <n v="0.0735"/>
        <n v="0.0048"/>
        <n v="0.1398"/>
        <n v="0.0381"/>
        <n v="33.2051"/>
        <n v="38.6751"/>
        <n v="3.2013"/>
        <n v="0.0306"/>
        <n v="0.0033"/>
        <n v="8.10019999999999"/>
        <n v="7.0695"/>
        <n v="0.6849"/>
        <n v="1.4585"/>
        <n v="0.2928"/>
        <n v="0.0073"/>
        <n v="0.0369"/>
        <n v="3.0E-4"/>
        <n v="0.0193"/>
        <n v="0.1721"/>
        <n v="0.0533"/>
        <n v="0.292"/>
        <n v="0.519"/>
        <n v="0.3777"/>
        <n v="0.2036"/>
        <n v="2.673"/>
        <n v="25.0443"/>
        <n v="18.0803"/>
        <n v="0.0146"/>
        <n v="10.2662"/>
        <n v="0.651"/>
        <n v="1.7132"/>
        <n v="0.593199999999999"/>
        <n v="0.186"/>
        <n v="0.0023"/>
        <n v="0.4347"/>
        <n v="0.2905"/>
        <n v="0.0493"/>
        <n v="0.0833"/>
        <n v="0.0719"/>
        <n v="0.0044"/>
        <n v="12.3884"/>
        <n v="19.2909"/>
        <n v="2.5487"/>
        <n v="0.2945"/>
        <n v="8.0E-4"/>
        <n v="2.3936"/>
        <n v="6.0377"/>
        <n v="1.5276"/>
        <n v="0.2383"/>
        <n v="0.4778"/>
        <n v="0.31"/>
        <n v="0.371"/>
        <n v="0.081"/>
        <n v="2.0E-4"/>
        <n v="0.1739"/>
        <n v="0.0068"/>
        <n v="0.055"/>
        <n v="33.7595"/>
        <n v="44.9054"/>
        <n v="5.2449"/>
        <n v="0.006"/>
        <n v="0.0168"/>
        <n v="14.4676"/>
        <n v="9.4168"/>
        <n v="0.3373"/>
        <n v="0.0067"/>
        <n v="0.0483"/>
        <n v="0.740399999999999"/>
        <n v="1.1678"/>
        <n v="1.014"/>
        <n v="0.0216"/>
        <n v="0.1937"/>
        <n v="0.0635"/>
        <n v="0.3544"/>
        <n v="0.2097"/>
        <n v="0.3504"/>
        <n v="3.009"/>
        <n v="20.3312"/>
        <n v="10.7593"/>
        <n v="0.0167"/>
        <n v="6.1634"/>
        <n v="1.4542"/>
        <n v="0.4984"/>
        <n v="0.4859"/>
        <n v="0.2493"/>
        <n v="0.0134"/>
        <n v="0.3785"/>
        <n v="0.2418"/>
        <n v="0.0969"/>
        <n v="0.007"/>
        <n v="0.1018"/>
        <n v="0.085"/>
        <n v="7.8476"/>
        <n v="19.9434"/>
        <n v="2.0058"/>
        <n v="0.2912"/>
        <n v="0.0012"/>
        <n v="2.3852"/>
        <n v="6.0862"/>
        <n v="1.1939"/>
        <n v="0.3163"/>
        <n v="1.075"/>
        <n v="0.2608"/>
        <n v="0.2506"/>
        <n v="0.3594"/>
        <n v="0.3702"/>
        <n v="0.1176"/>
        <n v="18.0203"/>
        <n v="50.2664"/>
        <n v="3.0722"/>
        <n v="0.0028"/>
        <n v="0.2432"/>
        <n v="8.1417"/>
        <n v="12.6531"/>
        <n v="0.368"/>
        <n v="0.0109"/>
        <n v="0.0365"/>
        <n v="0.4773"/>
        <n v="1.4373"/>
        <n v="1.6445"/>
        <n v="0.5639"/>
        <n v="0.0293"/>
        <n v="0.1377"/>
        <n v="0.404"/>
        <n v="0.0334"/>
        <n v="0.0855"/>
        <n v="2.8471"/>
        <n v="16.7014"/>
        <n v="22.4425"/>
        <n v="0.0174"/>
        <n v="12.3752"/>
        <n v="0.4383"/>
        <n v="1.083"/>
        <n v="0.2862"/>
        <n v="0.6156"/>
        <n v="0.4272"/>
        <n v="0.0125"/>
        <n v="0.4631"/>
        <n v="0.1587"/>
        <n v="0.4171"/>
        <n v="0.1015"/>
        <n v="10.5705"/>
        <n v="16.6957"/>
        <n v="2.1724"/>
        <n v="0.2876"/>
        <n v="0.0024"/>
        <n v="2.3687"/>
        <n v="4.1037"/>
        <n v="3.5762"/>
        <n v="0.0438"/>
        <n v="3.0586"/>
        <n v="0.9579"/>
        <n v="0.4553"/>
        <n v="1.2451"/>
        <n v="0.2747"/>
        <n v="0.2481"/>
        <n v="0.4291"/>
        <n v="28.4204"/>
        <n v="33.0196"/>
        <n v="3.9077"/>
        <n v="0.0031"/>
        <n v="0.2016"/>
        <n v="15.7343"/>
        <n v="13.4475"/>
        <n v="0.0215"/>
        <n v="7.8262"/>
        <n v="4.789"/>
        <n v="0.4416"/>
        <n v="2.0619"/>
        <n v="1.5348"/>
        <n v="0.2457"/>
        <n v="0.004"/>
        <n v="0.0246"/>
        <n v="0.6166"/>
        <n v="0.0298"/>
        <n v="0.1672"/>
        <n v="3.0427"/>
        <n v="16.9604"/>
        <n v="11.2055"/>
        <n v="0.017"/>
        <n v="11.0434"/>
        <n v="0.436"/>
        <n v="1.0083"/>
        <n v="0.0091"/>
        <n v="0.4096"/>
        <n v="0.2218"/>
        <n v="0.3235"/>
        <n v="0.2081"/>
        <n v="0.2729"/>
        <n v="0.4844"/>
        <n v="0.0489"/>
        <n v="0.3272"/>
        <n v="10.2543"/>
        <n v="14.3842"/>
        <n v="1.1785"/>
        <n v="0.2626"/>
        <n v="0.0034"/>
        <n v="2.0726"/>
        <n v="2.1727"/>
        <n v="2.5959"/>
        <n v="4.3615"/>
        <n v="3.1845"/>
        <n v="1.0754"/>
        <n v="0.282"/>
        <n v="1.193"/>
        <n v="0.649"/>
        <n v="0.2638"/>
        <n v="0.2133"/>
        <n v="25.8174"/>
        <n v="34.6697"/>
        <n v="2.6066"/>
        <n v="0.0086"/>
        <n v="0.2053"/>
        <n v="8.20299999999999"/>
        <n v="7.9322"/>
        <n v="5.5184"/>
        <n v="6.4292"/>
        <n v="6.1787"/>
        <n v="0.2671"/>
        <n v="0.0062"/>
        <n v="0.0251"/>
        <n v="0.2895"/>
        <n v="1.2719"/>
        <n v="1.4601"/>
        <n v="0.5971"/>
        <n v="0.1249"/>
        <n v="0.0832"/>
        <n v="3.0312"/>
        <n v="17.6291"/>
        <n v="14.4389"/>
        <n v="0.0164"/>
        <n v="12.4594"/>
        <n v="0.4471"/>
        <n v="1.0298"/>
        <n v="0.0191"/>
        <n v="0.4254"/>
        <n v="0.5673"/>
        <n v="0.2679"/>
        <n v="0.1305"/>
        <n v="0.2341"/>
        <n v="0.096"/>
        <n v="0.5362"/>
        <n v="0.3856"/>
        <n v="11.3558"/>
        <n v="17.1406"/>
        <n v="1.1982"/>
        <n v="0.0025"/>
        <n v="2.508"/>
        <n v="1.23"/>
        <n v="5.5686"/>
        <n v="3.9968"/>
        <n v="3.6372"/>
        <n v="2.6923"/>
        <n v="0.9946"/>
        <n v="0.2534"/>
        <n v="0.7117"/>
        <n v="0.2829"/>
        <n v="26.5251"/>
        <n v="37.9666"/>
        <n v="3.4546"/>
        <n v="0.00899999999999999"/>
        <n v="0.2046"/>
        <n v="15.5233"/>
        <n v="3.9007"/>
        <n v="9.3757"/>
        <n v="10.0765"/>
        <n v="6.6673"/>
        <n v="2.4225"/>
        <n v="0.2136"/>
        <n v="1.9328"/>
        <n v="0.1766"/>
        <n v="0.0059"/>
        <n v="0.4402"/>
        <n v="0.0259"/>
        <n v="0.1166"/>
        <n v="2.1522"/>
        <n v="20.2578"/>
        <n v="18.0739"/>
        <n v="7.9376"/>
        <n v="0.5626"/>
        <n v="0.937999999999999"/>
        <n v="0.0142"/>
        <n v="0.3913"/>
        <n v="0.6273"/>
        <n v="0.1182"/>
        <n v="0.0397"/>
        <n v="0.1005"/>
        <n v="0.1002"/>
        <n v="0.0775"/>
        <n v="0.1975"/>
        <n v="6.146"/>
        <n v="21.3872"/>
        <n v="1.1806"/>
        <n v="1.6648"/>
        <n v="4.7468"/>
        <n v="1.7577"/>
        <n v="2.9877"/>
        <n v="2.7936"/>
        <n v="1.7962"/>
        <n v="0.687999999999999"/>
        <n v="0.3546"/>
        <n v="0.56"/>
        <n v="0.2845"/>
        <n v="0.2055"/>
        <n v="12.9567"/>
        <n v="49.9466"/>
        <n v="3.5971"/>
        <n v="0.0097"/>
        <n v="0.2238"/>
        <n v="12.3527"/>
        <n v="4.8879"/>
        <n v="7.3435"/>
        <n v="6.0829"/>
        <n v="3.9306"/>
        <n v="1.8279"/>
        <n v="0.4962"/>
        <n v="0.1253"/>
        <n v="0.0326"/>
        <n v="0.1279"/>
        <n v="0.1946"/>
        <n v="1.0014"/>
        <n v="2.6499"/>
        <n v="14.8417"/>
        <n v="18.3952"/>
        <n v="0.0172"/>
        <n v="9.6705"/>
        <n v="0.588199999999999"/>
        <n v="0.905699999999999"/>
        <n v="0.0139"/>
        <n v="0.4329"/>
        <n v="0.3291"/>
        <n v="0.1067"/>
        <n v="0.0830999999999999"/>
        <n v="0.0964"/>
        <n v="0.0898"/>
        <n v="5.3554"/>
        <n v="23.8348"/>
        <n v="1.387"/>
        <n v="0.2923"/>
        <n v="0.0617"/>
        <n v="2.1854"/>
        <n v="0.0702"/>
        <n v="5.1579"/>
        <n v="0.9287"/>
        <n v="2.5544"/>
        <n v="0.817999999999999"/>
        <n v="0.8294"/>
        <n v="1.1199"/>
        <n v="0.5027"/>
        <n v="0.1924"/>
        <n v="0.8146"/>
        <n v="0.603299999999999"/>
        <n v="16.6012"/>
        <n v="58.6622"/>
        <n v="5.0869"/>
        <n v="0.0094"/>
        <n v="15.0084"/>
        <n v="0.1637"/>
        <n v="15.6621"/>
        <n v="2.3367"/>
        <n v="3.4569"/>
        <n v="1.3202"/>
        <n v="0.249"/>
        <n v="0.0283"/>
        <n v="0.712"/>
        <n v="0.0439"/>
        <n v="0.1695"/>
        <n v="1.5263"/>
        <n v="0.8548"/>
        <n v="2.8925"/>
        <n v="25.9689"/>
        <n v="11.6632"/>
        <n v="0.0232"/>
        <n v="16.1827"/>
        <n v="0.5522"/>
        <n v="0.5464"/>
        <n v="0.7494"/>
        <n v="0.2717"/>
        <n v="0.0949"/>
        <n v="0.0721"/>
        <n v="0.0893999999999999"/>
        <n v="0.0732"/>
        <n v="8.0181"/>
        <n v="30.0325"/>
        <n v="0.8596"/>
        <n v="0.0165"/>
        <n v="3.1949"/>
        <n v="2.624"/>
        <n v="0.0748999999999999"/>
        <n v="2.0211"/>
        <n v="0.9297"/>
        <n v="1.0809"/>
        <n v="1.0742"/>
        <n v="0.504499999999999"/>
        <n v="0.094"/>
        <n v="0.5594"/>
        <n v="0.6566"/>
        <n v="0.2226"/>
        <n v="26.593"/>
        <n v="66.0851"/>
        <n v="3.5785"/>
        <n v="0.2002"/>
        <n v="22.3846"/>
        <n v="4.1827"/>
        <n v="0.185"/>
        <n v="5.2831"/>
        <n v="3.3207"/>
        <n v="1.8613"/>
        <n v="0.7786"/>
        <n v="0.2311"/>
        <n v="0.0233"/>
        <n v="0.0467"/>
        <n v="0.2199"/>
        <n v="0.8894"/>
        <n v="0.9404"/>
        <n v="1.9625"/>
        <n v="17.3296"/>
        <n v="24.4289"/>
        <n v="0.0241"/>
        <n v="22.8493"/>
        <n v="0.5326"/>
        <n v="0.00839999999999999"/>
        <n v="0.5093"/>
        <n v="0.7115"/>
        <n v="0.1386"/>
        <n v="0.2187"/>
        <n v="0.0707"/>
        <n v="0.0577"/>
        <n v="0.0288"/>
        <n v="5.6023"/>
        <n v="23.0859"/>
        <n v="0.9749"/>
        <n v="0.2073"/>
        <n v="0.0054"/>
        <n v="3.2619"/>
        <n v="1.8466"/>
        <n v="0.1784"/>
        <n v="4.343"/>
        <n v="1.0306"/>
        <n v="0.6327"/>
        <n v="0.6203"/>
        <n v="0.4732"/>
        <n v="0.05"/>
        <n v="0.8321"/>
        <n v="0.5754"/>
        <n v="0.1928"/>
        <n v="19.116"/>
        <n v="51.9838"/>
        <n v="6.5621"/>
        <n v="0.00869999999999999"/>
        <n v="0.1983"/>
        <n v="19.7395"/>
        <n v="0.3905"/>
        <n v="11.2297"/>
        <n v="2.9668"/>
        <n v="3.1096"/>
        <n v="0.8399"/>
        <n v="0.676"/>
        <n v="0.2027"/>
        <n v="1.232"/>
        <n v="0.0877"/>
        <n v="0.4403"/>
        <n v="0.0556"/>
        <n v="1.7403"/>
        <n v="20.6244"/>
        <n v="20.0346"/>
        <n v="0.0252"/>
        <n v="19.4127"/>
        <n v="0.5425"/>
        <n v="0.0105"/>
        <n v="0.5524"/>
        <n v="0.0019"/>
        <n v="0.5687"/>
        <n v="0.2812"/>
        <n v="0.1878"/>
        <n v="0.1737"/>
        <n v="0.0731"/>
        <n v="0.037"/>
        <n v="5.6361"/>
        <n v="24.3984"/>
        <n v="1.1352"/>
        <n v="0.2142"/>
        <n v="0.0129"/>
        <n v="2.8757"/>
        <n v="1.6589"/>
        <n v="0.2654"/>
        <n v="3.6175"/>
        <n v="0.909"/>
        <n v="0.3413"/>
        <n v="0.6225"/>
        <n v="0.4413"/>
        <n v="0.0398"/>
        <n v="0.2459"/>
        <n v="0.8663"/>
        <n v="0.5895"/>
        <n v="19.3721"/>
        <n v="55.3599"/>
        <n v="4.6012"/>
        <n v="0.0065"/>
        <n v="0.2776"/>
        <n v="15.5791"/>
        <n v="0.5273"/>
        <n v="7.173"/>
        <n v="3.0721"/>
        <n v="0.2478"/>
        <n v="0.0072"/>
        <n v="0.0276"/>
        <n v="1.3576"/>
        <n v="0.286"/>
        <n v="1.141"/>
        <n v="5.99999999999999E-4"/>
        <n v="0.0364"/>
        <n v="0.116"/>
        <n v="0.578099999999999"/>
        <n v="6.2363"/>
        <n v="3.6037"/>
        <n v="5.2468"/>
        <n v="5.5089"/>
        <n v="3.0419"/>
        <n v="4.6981"/>
        <n v="4.9941"/>
        <n v="2.9221"/>
        <n v="3.6494"/>
        <n v="3.8626"/>
        <n v="1.8754"/>
        <n v="12.5417"/>
        <n v="4.5234"/>
        <n v="1.7728"/>
        <n v="3.5244"/>
        <n v="4.0296"/>
        <n v="3.1407"/>
        <n v="7.2472"/>
        <n v="5.1671"/>
        <n v="4.2581"/>
        <n v="8.82039999999999"/>
        <n v="3.8833"/>
        <n v="4.4205"/>
        <n v="9.81359999999999"/>
        <n v="3.5234"/>
        <n v="3.8079"/>
        <n v="5.8805"/>
        <n v="2.4005"/>
        <n v="2.7376"/>
        <n v="5.5807"/>
        <n v="2.6428"/>
        <n v="2.2945"/>
        <n v="3.5896"/>
        <n v="2.118"/>
        <n v="1.5636"/>
        <n v="5.0591"/>
      </sharedItems>
    </cacheField>
    <cacheField name="Number of stores" numFmtId="0">
      <sharedItems>
        <s v="545"/>
        <s v="798"/>
        <s v="569"/>
        <s v="1"/>
        <s v="6"/>
        <s v="658"/>
        <s v="366"/>
        <s v="281"/>
        <s v="234"/>
        <s v="102"/>
        <s v="93"/>
        <s v="2"/>
        <s v="122"/>
        <s v="167"/>
        <s v="88"/>
        <s v="11"/>
        <s v="0"/>
        <s v="8174"/>
        <s v="8539"/>
        <s v="791"/>
        <s v="174"/>
        <s v="704"/>
        <s v="1738"/>
        <s v="1602"/>
        <s v="498"/>
        <s v="254"/>
        <s v="390"/>
        <s v="222"/>
        <s v="121"/>
        <s v="280"/>
        <s v="11628"/>
        <s v="15787"/>
        <s v="796"/>
        <s v="34"/>
        <s v="1820"/>
        <s v="2184"/>
        <s v="842"/>
        <s v="1879"/>
        <s v="96"/>
        <s v="8"/>
        <s v="48"/>
        <s v="289"/>
        <s v="75"/>
        <s v="114"/>
        <s v="558"/>
        <s v="810"/>
        <s v="587"/>
        <s v="10"/>
        <s v="668"/>
        <s v="237"/>
        <s v="105"/>
        <s v="343"/>
        <s v="208"/>
        <s v="77"/>
        <s v="124"/>
        <s v="165"/>
        <s v="87"/>
        <s v="62"/>
        <s v="8226"/>
        <s v="8143"/>
        <s v="777"/>
        <s v="273"/>
        <s v="941"/>
        <s v="1592"/>
        <s v="1955"/>
        <s v="507"/>
        <s v="279"/>
        <s v="213"/>
        <s v="206"/>
        <s v="11647"/>
        <s v="15152"/>
        <s v="780"/>
        <s v="30"/>
        <s v="12"/>
        <s v="1675"/>
        <s v="2062"/>
        <s v="800"/>
        <s v="2043"/>
        <s v="101"/>
        <s v="7"/>
        <s v="54"/>
        <s v="78"/>
        <s v="266"/>
        <s v="117"/>
        <s v="565"/>
        <s v="794"/>
        <s v="580"/>
        <s v="664"/>
        <s v="236"/>
        <s v="310"/>
        <s v="148"/>
        <s v="3"/>
        <s v="123"/>
        <s v="73"/>
        <s v="56"/>
        <s v="91"/>
        <s v="7304"/>
        <s v="8857"/>
        <s v="568"/>
        <s v="203"/>
        <s v="874"/>
        <s v="1817"/>
        <s v="2390"/>
        <s v="446"/>
        <s v="475"/>
        <s v="232"/>
        <s v="221"/>
        <s v="256"/>
        <s v="11876"/>
        <s v="15756"/>
        <s v="762"/>
        <s v="1692"/>
        <s v="1981"/>
        <s v="95"/>
        <s v="707"/>
        <s v="1904"/>
        <s v="353"/>
        <s v="118"/>
        <s v="570"/>
        <s v="628"/>
        <s v="260"/>
        <s v="100"/>
        <s v="21"/>
        <s v="131"/>
        <s v="60"/>
        <s v="154"/>
        <s v="6542"/>
        <s v="9222"/>
        <s v="625"/>
        <s v="846"/>
        <s v="1853"/>
        <s v="1868"/>
        <s v="461"/>
        <s v="3105"/>
        <s v="245"/>
        <s v="223"/>
        <s v="525"/>
        <s v="1065"/>
        <s v="10675"/>
        <s v="15822"/>
        <s v="644"/>
        <s v="190"/>
        <s v="1774"/>
        <s v="1975"/>
        <s v="107"/>
        <s v="49"/>
        <s v="421"/>
        <s v="1777"/>
        <s v="3919"/>
        <s v="201"/>
        <s v="116"/>
        <s v="788"/>
        <s v="573"/>
        <s v="9"/>
        <s v="645"/>
        <s v="98"/>
        <s v="229"/>
        <s v="205"/>
        <s v="85"/>
        <s v="207"/>
        <s v="16"/>
        <s v="164"/>
        <s v="46"/>
        <s v="7285"/>
        <s v="8658"/>
        <s v="566"/>
        <s v="173"/>
        <s v="904"/>
        <s v="1552"/>
        <s v="2250"/>
        <s v="138"/>
        <s v="2725"/>
        <s v="1325"/>
        <s v="386"/>
        <s v="3510"/>
        <s v="212"/>
        <s v="270"/>
        <s v="11852"/>
        <s v="15176"/>
        <s v="585"/>
        <s v="249"/>
        <s v="1844"/>
        <s v="7585"/>
        <s v="72"/>
        <s v="1670"/>
        <s v="4261"/>
        <s v="247"/>
        <s v="1403"/>
        <s v="3969"/>
        <s v="113"/>
        <s v="4"/>
        <s v="44"/>
        <s v="287"/>
        <s v="553"/>
        <s v="787"/>
        <s v="591"/>
        <s v="654"/>
        <s v="99"/>
        <s v="15"/>
        <s v="170"/>
        <s v="149"/>
        <s v="68"/>
        <s v="175"/>
        <s v="18"/>
        <s v="108"/>
        <s v="6761"/>
        <s v="7647"/>
        <s v="504"/>
        <s v="163"/>
        <s v="803"/>
        <s v="2335"/>
        <s v="2479"/>
        <s v="1387"/>
        <s v="3345"/>
        <s v="1483"/>
        <s v="3378"/>
        <s v="243"/>
        <s v="265"/>
        <s v="12120"/>
        <s v="13797"/>
        <s v="641"/>
        <s v="1767"/>
        <s v="7311"/>
        <s v="4054"/>
        <s v="1676"/>
        <s v="5559"/>
        <s v="5"/>
        <s v="356"/>
        <s v="1133"/>
        <s v="4110"/>
        <s v="176"/>
        <s v="782"/>
        <s v="676"/>
        <s v="754"/>
        <s v="19"/>
        <s v="171"/>
        <s v="369"/>
        <s v="83"/>
        <s v="66"/>
        <s v="37"/>
        <s v="109"/>
        <s v="103"/>
        <s v="7112"/>
        <s v="9029"/>
        <s v="506"/>
        <s v="914"/>
        <s v="1785"/>
        <s v="3381"/>
        <s v="1374"/>
        <s v="3268"/>
        <s v="4822"/>
        <s v="1115"/>
        <s v="352"/>
        <s v="549"/>
        <s v="253"/>
        <s v="210"/>
        <s v="12289"/>
        <s v="15057"/>
        <s v="693"/>
        <s v="252"/>
        <s v="2278"/>
        <s v="5403"/>
        <s v="5075"/>
        <s v="1629"/>
        <s v="5302"/>
        <s v="4586"/>
        <s v="1404"/>
        <s v="524"/>
        <s v="679"/>
        <s v="737"/>
        <s v="127"/>
        <s v="338"/>
        <s v="33"/>
        <s v="47"/>
        <s v="32"/>
        <s v="6264"/>
        <s v="9804"/>
        <s v="494"/>
        <s v="1760"/>
        <s v="3253"/>
        <s v="710"/>
        <s v="1386"/>
        <s v="2704"/>
        <s v="3735"/>
        <s v="1140"/>
        <s v="397"/>
        <s v="410"/>
        <s v="255"/>
        <s v="10517"/>
        <s v="17047"/>
        <s v="688"/>
        <s v="226"/>
        <s v="3561"/>
        <s v="5067"/>
        <s v="4648"/>
        <s v="1873"/>
        <s v="4277"/>
        <s v="3911"/>
        <s v="1025"/>
        <s v="503"/>
        <s v="793"/>
        <s v="672"/>
        <s v="702"/>
        <s v="20"/>
        <s v="172"/>
        <s v="283"/>
        <s v="36"/>
        <s v="81"/>
        <s v="5795"/>
        <s v="9782"/>
        <s v="1442"/>
        <s v="1468"/>
        <s v="2666"/>
        <s v="2241"/>
        <s v="2551"/>
        <s v="1723"/>
        <s v="899"/>
        <s v="320"/>
        <s v="575"/>
        <s v="188"/>
        <s v="10947"/>
        <s v="17799"/>
        <s v="701"/>
        <s v="3877"/>
        <s v="2108"/>
        <s v="4266"/>
        <s v="3606"/>
        <s v="3594"/>
        <s v="115"/>
        <s v="86"/>
        <s v="130"/>
        <s v="2679"/>
        <s v="2847"/>
        <s v="476"/>
        <s v="789"/>
        <s v="652"/>
        <s v="721"/>
        <s v="196"/>
        <s v="179"/>
        <s v="209"/>
        <s v="6076"/>
        <s v="10542"/>
        <s v="540"/>
        <s v="31"/>
        <s v="1257"/>
        <s v="3555"/>
        <s v="1348"/>
        <s v="1028"/>
        <s v="1367"/>
        <s v="686"/>
        <s v="739"/>
        <s v="193"/>
        <s v="1514"/>
        <s v="1215"/>
        <s v="11784"/>
        <s v="17949"/>
        <s v="680"/>
        <s v="225"/>
        <s v="4222"/>
        <s v="5351"/>
        <s v="268"/>
        <s v="1877"/>
        <s v="2973"/>
        <s v="1927"/>
        <s v="89"/>
        <s v="2408"/>
        <s v="1641"/>
        <s v="445"/>
        <s v="670"/>
        <s v="766"/>
        <s v="186"/>
        <s v="235"/>
        <s v="53"/>
        <s v="64"/>
        <s v="5924"/>
        <s v="10158"/>
        <s v="1619"/>
        <s v="3204"/>
        <s v="1420"/>
        <s v="1002"/>
        <s v="1671"/>
        <s v="673"/>
        <s v="111"/>
        <s v="660"/>
        <s v="1077"/>
        <s v="11309"/>
        <s v="17986"/>
        <s v="4650"/>
        <s v="299"/>
        <s v="1922"/>
        <s v="4821"/>
        <s v="2321"/>
        <s v="1202"/>
        <s v="39"/>
        <s v="2984"/>
        <s v="484"/>
        <s v="666"/>
        <s v="13"/>
        <s v="195"/>
        <s v="35"/>
        <s v="74"/>
        <s v="5837"/>
        <s v="10270"/>
        <s v="606"/>
        <s v="1638"/>
        <s v="3027"/>
        <s v="151"/>
        <s v="1359"/>
        <s v="785"/>
        <s v="408"/>
        <s v="1542"/>
        <s v="623"/>
        <s v="134"/>
        <s v="429"/>
        <s v="956"/>
        <s v="12028"/>
        <s v="17750"/>
        <s v="714"/>
        <s v="278"/>
        <s v="4678"/>
        <s v="312"/>
        <s v="1769"/>
        <s v="4837"/>
        <s v="1857"/>
        <s v="483"/>
        <s v="2940"/>
        <s v="511"/>
        <s v="1755"/>
        <s v="2038"/>
        <s v="1941"/>
        <s v="1923"/>
        <s v="543"/>
        <s v="1735"/>
        <s v="1862"/>
        <s v="1389"/>
        <s v="1647"/>
        <s v="539"/>
        <s v="1521"/>
        <s v="1773"/>
        <s v="588"/>
        <s v="1986"/>
        <s v="3011"/>
        <s v="689"/>
        <s v="2136"/>
        <s v="3823"/>
        <s v="2197"/>
        <s v="4198"/>
        <s v="563"/>
        <s v="2540"/>
        <s v="3746"/>
        <s v="468"/>
        <s v="1703"/>
        <s v="2625"/>
        <s v="1710"/>
        <s v="2387"/>
        <s v="428"/>
        <s v="1053"/>
        <s v="2407"/>
      </sharedItems>
    </cacheField>
    <cacheField name="Number of stores clean" numFmtId="0">
      <sharedItems containsSemiMixedTypes="0" containsString="0" containsNumber="1" containsInteger="1">
        <n v="545.0"/>
        <n v="798.0"/>
        <n v="569.0"/>
        <n v="1.0"/>
        <n v="6.0"/>
        <n v="658.0"/>
        <n v="366.0"/>
        <n v="281.0"/>
        <n v="234.0"/>
        <n v="102.0"/>
        <n v="93.0"/>
        <n v="2.0"/>
        <n v="122.0"/>
        <n v="167.0"/>
        <n v="88.0"/>
        <n v="11.0"/>
        <n v="0.0"/>
        <n v="8174.0"/>
        <n v="8539.0"/>
        <n v="791.0"/>
        <n v="174.0"/>
        <n v="704.0"/>
        <n v="1738.0"/>
        <n v="1602.0"/>
        <n v="498.0"/>
        <n v="254.0"/>
        <n v="390.0"/>
        <n v="222.0"/>
        <n v="121.0"/>
        <n v="280.0"/>
        <n v="11628.0"/>
        <n v="15787.0"/>
        <n v="796.0"/>
        <n v="34.0"/>
        <n v="1820.0"/>
        <n v="2184.0"/>
        <n v="842.0"/>
        <n v="1879.0"/>
        <n v="96.0"/>
        <n v="8.0"/>
        <n v="48.0"/>
        <n v="289.0"/>
        <n v="75.0"/>
        <n v="114.0"/>
        <n v="558.0"/>
        <n v="810.0"/>
        <n v="587.0"/>
        <n v="10.0"/>
        <n v="668.0"/>
        <n v="237.0"/>
        <n v="105.0"/>
        <n v="343.0"/>
        <n v="208.0"/>
        <n v="77.0"/>
        <n v="124.0"/>
        <n v="165.0"/>
        <n v="87.0"/>
        <n v="62.0"/>
        <n v="8226.0"/>
        <n v="8143.0"/>
        <n v="777.0"/>
        <n v="273.0"/>
        <n v="941.0"/>
        <n v="1592.0"/>
        <n v="1955.0"/>
        <n v="507.0"/>
        <n v="279.0"/>
        <n v="213.0"/>
        <n v="206.0"/>
        <n v="11647.0"/>
        <n v="15152.0"/>
        <n v="780.0"/>
        <n v="30.0"/>
        <n v="12.0"/>
        <n v="1675.0"/>
        <n v="2062.0"/>
        <n v="800.0"/>
        <n v="2043.0"/>
        <n v="101.0"/>
        <n v="7.0"/>
        <n v="54.0"/>
        <n v="78.0"/>
        <n v="266.0"/>
        <n v="117.0"/>
        <n v="565.0"/>
        <n v="794.0"/>
        <n v="580.0"/>
        <n v="664.0"/>
        <n v="236.0"/>
        <n v="310.0"/>
        <n v="148.0"/>
        <n v="3.0"/>
        <n v="123.0"/>
        <n v="73.0"/>
        <n v="56.0"/>
        <n v="91.0"/>
        <n v="7304.0"/>
        <n v="8857.0"/>
        <n v="568.0"/>
        <n v="203.0"/>
        <n v="874.0"/>
        <n v="1817.0"/>
        <n v="2390.0"/>
        <n v="446.0"/>
        <n v="475.0"/>
        <n v="232.0"/>
        <n v="221.0"/>
        <n v="256.0"/>
        <n v="11876.0"/>
        <n v="15756.0"/>
        <n v="762.0"/>
        <n v="1692.0"/>
        <n v="1981.0"/>
        <n v="95.0"/>
        <n v="707.0"/>
        <n v="1904.0"/>
        <n v="353.0"/>
        <n v="118.0"/>
        <n v="570.0"/>
        <n v="628.0"/>
        <n v="260.0"/>
        <n v="100.0"/>
        <n v="21.0"/>
        <n v="131.0"/>
        <n v="60.0"/>
        <n v="154.0"/>
        <n v="6542.0"/>
        <n v="9222.0"/>
        <n v="625.0"/>
        <n v="846.0"/>
        <n v="1853.0"/>
        <n v="1868.0"/>
        <n v="461.0"/>
        <n v="3105.0"/>
        <n v="245.0"/>
        <n v="223.0"/>
        <n v="525.0"/>
        <n v="1065.0"/>
        <n v="10675.0"/>
        <n v="15822.0"/>
        <n v="644.0"/>
        <n v="190.0"/>
        <n v="1774.0"/>
        <n v="1975.0"/>
        <n v="107.0"/>
        <n v="49.0"/>
        <n v="421.0"/>
        <n v="1777.0"/>
        <n v="3919.0"/>
        <n v="201.0"/>
        <n v="116.0"/>
        <n v="788.0"/>
        <n v="573.0"/>
        <n v="9.0"/>
        <n v="645.0"/>
        <n v="98.0"/>
        <n v="229.0"/>
        <n v="205.0"/>
        <n v="85.0"/>
        <n v="207.0"/>
        <n v="16.0"/>
        <n v="164.0"/>
        <n v="46.0"/>
        <n v="7285.0"/>
        <n v="8658.0"/>
        <n v="566.0"/>
        <n v="173.0"/>
        <n v="904.0"/>
        <n v="1552.0"/>
        <n v="2250.0"/>
        <n v="138.0"/>
        <n v="2725.0"/>
        <n v="1325.0"/>
        <n v="386.0"/>
        <n v="3510.0"/>
        <n v="212.0"/>
        <n v="270.0"/>
        <n v="11852.0"/>
        <n v="15176.0"/>
        <n v="585.0"/>
        <n v="249.0"/>
        <n v="1844.0"/>
        <n v="7585.0"/>
        <n v="72.0"/>
        <n v="1670.0"/>
        <n v="4261.0"/>
        <n v="247.0"/>
        <n v="1403.0"/>
        <n v="3969.0"/>
        <n v="113.0"/>
        <n v="4.0"/>
        <n v="44.0"/>
        <n v="287.0"/>
        <n v="553.0"/>
        <n v="787.0"/>
        <n v="591.0"/>
        <n v="654.0"/>
        <n v="99.0"/>
        <n v="15.0"/>
        <n v="170.0"/>
        <n v="149.0"/>
        <n v="68.0"/>
        <n v="175.0"/>
        <n v="18.0"/>
        <n v="108.0"/>
        <n v="6761.0"/>
        <n v="7647.0"/>
        <n v="504.0"/>
        <n v="163.0"/>
        <n v="803.0"/>
        <n v="2335.0"/>
        <n v="2479.0"/>
        <n v="1387.0"/>
        <n v="3345.0"/>
        <n v="1483.0"/>
        <n v="3378.0"/>
        <n v="243.0"/>
        <n v="265.0"/>
        <n v="12120.0"/>
        <n v="13797.0"/>
        <n v="641.0"/>
        <n v="1767.0"/>
        <n v="7311.0"/>
        <n v="4054.0"/>
        <n v="1676.0"/>
        <n v="5559.0"/>
        <n v="5.0"/>
        <n v="356.0"/>
        <n v="1133.0"/>
        <n v="4110.0"/>
        <n v="176.0"/>
        <n v="782.0"/>
        <n v="676.0"/>
        <n v="754.0"/>
        <n v="19.0"/>
        <n v="171.0"/>
        <n v="369.0"/>
        <n v="83.0"/>
        <n v="66.0"/>
        <n v="37.0"/>
        <n v="109.0"/>
        <n v="103.0"/>
        <n v="7112.0"/>
        <n v="9029.0"/>
        <n v="506.0"/>
        <n v="914.0"/>
        <n v="1785.0"/>
        <n v="3381.0"/>
        <n v="1374.0"/>
        <n v="3268.0"/>
        <n v="4822.0"/>
        <n v="1115.0"/>
        <n v="352.0"/>
        <n v="549.0"/>
        <n v="253.0"/>
        <n v="210.0"/>
        <n v="12289.0"/>
        <n v="15057.0"/>
        <n v="693.0"/>
        <n v="252.0"/>
        <n v="2278.0"/>
        <n v="5403.0"/>
        <n v="5075.0"/>
        <n v="1629.0"/>
        <n v="5302.0"/>
        <n v="4586.0"/>
        <n v="1404.0"/>
        <n v="524.0"/>
        <n v="679.0"/>
        <n v="737.0"/>
        <n v="127.0"/>
        <n v="338.0"/>
        <n v="33.0"/>
        <n v="47.0"/>
        <n v="32.0"/>
        <n v="6264.0"/>
        <n v="9804.0"/>
        <n v="494.0"/>
        <n v="1760.0"/>
        <n v="3253.0"/>
        <n v="710.0"/>
        <n v="1386.0"/>
        <n v="2704.0"/>
        <n v="3735.0"/>
        <n v="1140.0"/>
        <n v="397.0"/>
        <n v="410.0"/>
        <n v="255.0"/>
        <n v="10517.0"/>
        <n v="17047.0"/>
        <n v="688.0"/>
        <n v="226.0"/>
        <n v="3561.0"/>
        <n v="5067.0"/>
        <n v="4648.0"/>
        <n v="1873.0"/>
        <n v="4277.0"/>
        <n v="3911.0"/>
        <n v="1025.0"/>
        <n v="503.0"/>
        <n v="793.0"/>
        <n v="672.0"/>
        <n v="702.0"/>
        <n v="20.0"/>
        <n v="172.0"/>
        <n v="283.0"/>
        <n v="36.0"/>
        <n v="81.0"/>
        <n v="5795.0"/>
        <n v="9782.0"/>
        <n v="1442.0"/>
        <n v="1468.0"/>
        <n v="2666.0"/>
        <n v="2241.0"/>
        <n v="2551.0"/>
        <n v="1723.0"/>
        <n v="899.0"/>
        <n v="320.0"/>
        <n v="575.0"/>
        <n v="188.0"/>
        <n v="10947.0"/>
        <n v="17799.0"/>
        <n v="701.0"/>
        <n v="3877.0"/>
        <n v="2108.0"/>
        <n v="4266.0"/>
        <n v="3606.0"/>
        <n v="3594.0"/>
        <n v="115.0"/>
        <n v="86.0"/>
        <n v="130.0"/>
        <n v="2679.0"/>
        <n v="2847.0"/>
        <n v="476.0"/>
        <n v="789.0"/>
        <n v="652.0"/>
        <n v="721.0"/>
        <n v="196.0"/>
        <n v="179.0"/>
        <n v="209.0"/>
        <n v="6076.0"/>
        <n v="10542.0"/>
        <n v="540.0"/>
        <n v="31.0"/>
        <n v="1257.0"/>
        <n v="3555.0"/>
        <n v="1348.0"/>
        <n v="1028.0"/>
        <n v="1367.0"/>
        <n v="686.0"/>
        <n v="739.0"/>
        <n v="193.0"/>
        <n v="1514.0"/>
        <n v="1215.0"/>
        <n v="11784.0"/>
        <n v="17949.0"/>
        <n v="680.0"/>
        <n v="225.0"/>
        <n v="4222.0"/>
        <n v="5351.0"/>
        <n v="268.0"/>
        <n v="1877.0"/>
        <n v="2973.0"/>
        <n v="1927.0"/>
        <n v="89.0"/>
        <n v="2408.0"/>
        <n v="1641.0"/>
        <n v="445.0"/>
        <n v="670.0"/>
        <n v="766.0"/>
        <n v="186.0"/>
        <n v="235.0"/>
        <n v="53.0"/>
        <n v="64.0"/>
        <n v="5924.0"/>
        <n v="10158.0"/>
        <n v="1619.0"/>
        <n v="3204.0"/>
        <n v="1420.0"/>
        <n v="1002.0"/>
        <n v="1671.0"/>
        <n v="673.0"/>
        <n v="111.0"/>
        <n v="660.0"/>
        <n v="1077.0"/>
        <n v="11309.0"/>
        <n v="17986.0"/>
        <n v="4650.0"/>
        <n v="299.0"/>
        <n v="1922.0"/>
        <n v="4821.0"/>
        <n v="2321.0"/>
        <n v="1202.0"/>
        <n v="39.0"/>
        <n v="2984.0"/>
        <n v="484.0"/>
        <n v="666.0"/>
        <n v="13.0"/>
        <n v="195.0"/>
        <n v="35.0"/>
        <n v="74.0"/>
        <n v="5837.0"/>
        <n v="10270.0"/>
        <n v="606.0"/>
        <n v="1638.0"/>
        <n v="3027.0"/>
        <n v="151.0"/>
        <n v="1359.0"/>
        <n v="785.0"/>
        <n v="408.0"/>
        <n v="1542.0"/>
        <n v="623.0"/>
        <n v="134.0"/>
        <n v="429.0"/>
        <n v="956.0"/>
        <n v="12028.0"/>
        <n v="17750.0"/>
        <n v="714.0"/>
        <n v="278.0"/>
        <n v="4678.0"/>
        <n v="312.0"/>
        <n v="1769.0"/>
        <n v="4837.0"/>
        <n v="1857.0"/>
        <n v="483.0"/>
        <n v="2940.0"/>
        <n v="511.0"/>
        <n v="1755.0"/>
        <n v="2038.0"/>
        <n v="1941.0"/>
        <n v="1923.0"/>
        <n v="543.0"/>
        <n v="1735.0"/>
        <n v="1862.0"/>
        <n v="1389.0"/>
        <n v="1647.0"/>
        <n v="539.0"/>
        <n v="1521.0"/>
        <n v="1773.0"/>
        <n v="588.0"/>
        <n v="1986.0"/>
        <n v="3011.0"/>
        <n v="689.0"/>
        <n v="2136.0"/>
        <n v="3823.0"/>
        <n v="2197.0"/>
        <n v="4198.0"/>
        <n v="563.0"/>
        <n v="2540.0"/>
        <n v="3746.0"/>
        <n v="468.0"/>
        <n v="1703.0"/>
        <n v="2625.0"/>
        <n v="1710.0"/>
        <n v="2387.0"/>
        <n v="428.0"/>
        <n v="1053.0"/>
        <n v="2407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682" sheet="2022 txt"/>
  </cacheSource>
  <cacheFields>
    <cacheField name="Year" numFmtId="0">
      <sharedItems containsSemiMixedTypes="0" containsString="0" containsNumber="1" containsInteger="1">
        <n v="2022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White"/>
        <s v="Orange"/>
        <s v="Red"/>
        <s v="Yellow"/>
        <s v="Magenta"/>
        <s v="Purple"/>
        <s v="Pink"/>
        <s v="Cotton"/>
        <s v="Snow"/>
        <s v="Rosy"/>
        <s v="Lilac"/>
        <s v="Black"/>
        <s v="Deep"/>
        <s v="Vivid"/>
        <s v="Lime"/>
        <s v="Pearl"/>
        <s v="Dim"/>
        <s v="Macaroon"/>
        <s v="Rice"/>
        <s v="Linen"/>
        <s v="Bone"/>
        <s v="Daisy"/>
        <s v="Powder"/>
      </sharedItems>
    </cacheField>
    <cacheField name="Weight range" numFmtId="0">
      <sharedItems>
        <s v="200-249G"/>
        <s v="350-399G"/>
        <s v="400-599G"/>
        <s v="&lt;200G"/>
        <s v="250-299G"/>
        <s v="300-349G"/>
        <s v="600-899G"/>
        <s v="100-199G"/>
      </sharedItems>
    </cacheField>
    <cacheField name="Units (in 1000)">
      <sharedItems containsDate="1" containsMixedTypes="1">
        <s v="15.2249"/>
        <s v="58.2443"/>
        <s v="38.4102"/>
        <s v="0.1327"/>
        <s v="44.9287"/>
        <d v="8629-02-01T00:00:00Z"/>
        <s v="0.0225"/>
        <d v="5595-01-01T00:00:00Z"/>
        <n v="-372179.0"/>
        <s v="0.0005"/>
        <d v="4561-01-01T00:00:00Z"/>
        <s v="0.8941"/>
        <s v="0.1668"/>
        <s v="0.2026"/>
        <s v="0.0014"/>
        <s v="0.1902"/>
        <s v="88.4917"/>
        <s v="57.6908"/>
        <s v="2.834"/>
        <s v="0.2856"/>
        <s v="0.0974"/>
        <n v="-287597.0"/>
        <s v="0.6235"/>
        <d v="9015-11-01T00:00:00Z"/>
        <n v="-269335.0"/>
        <d v="4477-04-01T00:00:00Z"/>
        <d v="2066-02-01T00:00:00Z"/>
        <s v="0.1416"/>
        <n v="-78524.0"/>
        <s v="0.0036"/>
        <s v="0.0031"/>
        <s v="0.871"/>
        <d v="3608-01-01T00:00:00Z"/>
        <s v="0.0795"/>
        <n v="-388981.0"/>
        <s v="200.7302"/>
        <s v="159.5171"/>
        <d v="9211-09-01T00:00:00Z"/>
        <s v="0.0087"/>
        <d v="2303-01-01T00:00:00Z"/>
        <s v="56.187"/>
        <d v="5709-01-01T00:00:00Z"/>
        <s v="19.0162"/>
        <s v="14.6676"/>
        <d v="3848-05-01T00:00:00Z"/>
        <s v="0.4175"/>
        <n v="-174949.0"/>
        <s v="0.0118"/>
        <s v="0.0603"/>
        <d v="3623-01-01T00:00:00Z"/>
        <d v="1958-03-01T00:00:00Z"/>
        <s v="0.0084"/>
        <s v="0.0193"/>
        <d v="4654-01-01T00:00:00Z"/>
        <s v="0.2676"/>
        <s v="0.5965"/>
        <n v="-299558.0"/>
        <s v="47.1109"/>
        <s v="32.4152"/>
        <s v="0.0893"/>
        <s v="35.8498"/>
        <d v="5138-02-01T00:00:00Z"/>
        <s v="0.0093"/>
        <d v="6619-01-01T00:00:00Z"/>
        <s v="0.0039"/>
        <d v="5126-01-01T00:00:00Z"/>
        <s v="0.413"/>
        <s v="0.7527"/>
        <s v="0.157"/>
        <s v="0.202"/>
        <s v="0.1907"/>
        <s v="0.0044"/>
        <s v="82.455"/>
        <s v="54.6811"/>
        <d v="2303-03-01T00:00:00Z"/>
        <s v="0.2929"/>
        <s v="0.0863"/>
        <d v="6719-07-01T00:00:00Z"/>
        <s v="0.9638"/>
        <n v="-497277.0"/>
        <d v="7038-05-01T00:00:00Z"/>
        <d v="7931-02-01T00:00:00Z"/>
        <s v="0.2556"/>
        <s v="0.002"/>
        <n v="-513893.0"/>
        <d v="6042-01-01T00:00:00Z"/>
        <d v="2345-02-01T00:00:00Z"/>
        <n v="-199785.0"/>
        <s v="0.0531"/>
        <s v="0.4189"/>
        <s v="211.8291"/>
        <s v="129.5281"/>
        <d v="3785-07-01T00:00:00Z"/>
        <s v="0.0152"/>
        <s v="0.9859"/>
        <s v="29.5518"/>
        <d v="2895-02-01T00:00:00Z"/>
        <s v="26.0692"/>
        <n v="-636342.0"/>
        <s v="0.0114"/>
        <s v="0.0077"/>
        <d v="7361-03-01T00:00:00Z"/>
        <d v="3058-01-01T00:00:00Z"/>
        <s v="0.0144"/>
        <s v="0.0869"/>
        <d v="6976-04-01T00:00:00Z"/>
        <d v="8779-04-01T00:00:00Z"/>
        <s v="0.2908"/>
        <d v="7243-03-01T00:00:00Z"/>
        <s v="1.193"/>
        <s v="14.1119"/>
        <s v="73.7461"/>
        <s v="55.5542"/>
        <n v="-345823.0"/>
        <s v="45.207"/>
        <d v="8064-03-01T00:00:00Z"/>
        <s v="0.0135"/>
        <s v="2.299"/>
        <s v="0.0038"/>
        <d v="7622-02-01T00:00:00Z"/>
        <s v="0.7931"/>
        <d v="2496-01-01T00:00:00Z"/>
        <s v="0.4511"/>
        <s v="0.8319"/>
        <s v="0.2807"/>
        <s v="52.4857"/>
        <s v="62.9831"/>
        <d v="6111-03-01T00:00:00Z"/>
        <s v="0.3132"/>
        <s v="0.6268"/>
        <s v="19.7052"/>
        <n v="-289271.0"/>
        <d v="5989-11-01T00:00:00Z"/>
        <s v="5.496"/>
        <d v="3084-03-01T00:00:00Z"/>
        <s v="0.1235"/>
        <s v="0.0013"/>
        <s v="0.0062"/>
        <d v="2257-01-01T00:00:00Z"/>
        <d v="2679-02-01T00:00:00Z"/>
        <d v="5232-01-01T00:00:00Z"/>
        <s v="0.6503"/>
        <n v="-312980.0"/>
        <s v="161.9302"/>
        <s v="159.762"/>
        <s v="26.5525"/>
        <s v="0.0162"/>
        <d v="4626-01-01T00:00:00Z"/>
        <s v="73.7656"/>
        <d v="6452-02-01T00:00:00Z"/>
        <s v="32.6474"/>
        <s v="0.0097"/>
        <s v="0.043"/>
        <d v="5225-04-01T00:00:00Z"/>
        <d v="7233-10-01T00:00:00Z"/>
        <d v="3746-09-01T00:00:00Z"/>
        <d v="2362-02-01T00:00:00Z"/>
        <s v="0.051"/>
        <s v="0.1688"/>
        <d v="9659-07-01T00:00:00Z"/>
        <s v="0.4466"/>
        <s v="0.5306"/>
        <d v="4266-05-01T00:00:00Z"/>
        <s v="0.2713"/>
        <d v="3379-11-01T00:00:00Z"/>
        <s v="54.2457"/>
        <s v="25.783"/>
        <n v="-600032.0"/>
        <s v="29.1363"/>
        <s v="0.0126"/>
        <s v="2.839"/>
        <d v="7006-01-01T00:00:00Z"/>
        <s v="0.0046"/>
        <d v="3275-02-01T00:00:00Z"/>
        <s v="0.541"/>
        <d v="4503-01-01T00:00:00Z"/>
        <s v="0.7924"/>
        <s v="0.4853"/>
        <s v="0.2207"/>
        <s v="41.0183"/>
        <s v="61.0993"/>
        <d v="8634-02-01T00:00:00Z"/>
        <s v="0.303"/>
        <n v="-428428.0"/>
        <s v="17.8592"/>
        <s v="1.096"/>
        <n v="-44284.0"/>
        <d v="4525-04-01T00:00:00Z"/>
        <s v="2.022"/>
        <d v="6967-01-01T00:00:00Z"/>
        <s v="0.0007"/>
        <d v="2879-01-01T00:00:00Z"/>
        <d v="6755-01-01T00:00:00Z"/>
        <d v="2133-01-01T00:00:00Z"/>
        <n v="-270643.0"/>
        <d v="2441-01-01T00:00:00Z"/>
        <s v="0.0076"/>
        <s v="94.0721"/>
        <s v="150.4402"/>
        <d v="1963-12-01T00:00:00Z"/>
        <s v="0.0157"/>
        <d v="2804-01-01T00:00:00Z"/>
        <s v="41.0715"/>
        <d v="6467-02-01T00:00:00Z"/>
        <s v="32.6462"/>
        <s v="0.0052"/>
        <s v="0.0773"/>
        <d v="3507-04-01T00:00:00Z"/>
        <d v="2876-10-01T00:00:00Z"/>
        <d v="2897-02-01T00:00:00Z"/>
        <s v="0.024"/>
        <s v="0.1361"/>
        <d v="2296-06-01T00:00:00Z"/>
        <d v="4324-02-01T00:00:00Z"/>
        <s v="0.434"/>
        <s v="0.5333"/>
        <d v="2129-05-01T00:00:00Z"/>
        <s v="0.4653"/>
        <d v="4227-10-01T00:00:00Z"/>
        <s v="42.728"/>
        <s v="38.6723"/>
        <d v="3643-01-01T00:00:00Z"/>
        <s v="34.1818"/>
        <s v="0.0119"/>
        <d v="3142-04-01T00:00:00Z"/>
        <d v="6699-01-01T00:00:00Z"/>
        <s v="0.0619"/>
        <d v="3174-02-01T00:00:00Z"/>
        <d v="8145-02-01T00:00:00Z"/>
        <s v="0.4574"/>
        <s v="0.7986"/>
        <s v="0.4573"/>
        <s v="0.1885"/>
        <s v="38.1428"/>
        <s v="62.5334"/>
        <d v="8616-02-01T00:00:00Z"/>
        <s v="0.2933"/>
        <s v="0.5615"/>
        <d v="3387-11-01T00:00:00Z"/>
        <n v="-634424.0"/>
        <d v="2722-05-01T00:00:00Z"/>
        <d v="7601-04-01T00:00:00Z"/>
        <d v="8741-03-01T00:00:00Z"/>
        <s v="0.0092"/>
        <d v="3945-01-01T00:00:00Z"/>
        <n v="-528444.0"/>
        <s v="0.3384"/>
        <d v="4164-01-01T00:00:00Z"/>
        <d v="3728-01-01T00:00:00Z"/>
        <d v="5552-01-01T00:00:00Z"/>
        <s v="83.0088"/>
        <s v="139.1166"/>
        <d v="2546-11-01T00:00:00Z"/>
        <s v="0.0173"/>
        <d v="2908-01-01T00:00:00Z"/>
        <s v="30.6972"/>
        <d v="7366-02-01T00:00:00Z"/>
        <s v="23.6977"/>
        <s v="0.0088"/>
        <s v="0.0585"/>
        <d v="6614-04-01T00:00:00Z"/>
        <d v="1982-10-01T00:00:00Z"/>
        <d v="4933-06-01T00:00:00Z"/>
        <d v="5366-01-01T00:00:00Z"/>
        <s v="0.0253"/>
        <s v="0.0909"/>
        <n v="-34971.0"/>
        <d v="5991-04-01T00:00:00Z"/>
        <s v="0.3958"/>
        <s v="0.4543"/>
        <s v="0.1734"/>
        <d v="5261-07-01T00:00:00Z"/>
        <s v="56.8652"/>
        <s v="22.7316"/>
        <n v="-235579.0"/>
        <s v="27.2284"/>
        <s v="0.0095"/>
        <n v="-258165.0"/>
        <d v="9763-01-01T00:00:00Z"/>
        <s v="0.0432"/>
        <d v="9364-01-01T00:00:00Z"/>
        <s v="0.756"/>
        <d v="3609-01-01T00:00:00Z"/>
        <s v="0.5159"/>
        <s v="0.6942"/>
        <s v="0.205"/>
        <s v="23.0084"/>
        <s v="49.5326"/>
        <d v="6843-01-01T00:00:00Z"/>
        <s v="0.2838"/>
        <s v="0.4136"/>
        <n v="-443859.0"/>
        <s v="0.7601"/>
        <d v="6069-04-01T00:00:00Z"/>
        <d v="7427-03-01T00:00:00Z"/>
        <d v="3031-02-01T00:00:00Z"/>
        <d v="3916-02-01T00:00:00Z"/>
        <s v="0.3448"/>
        <s v="0.0057"/>
        <s v="0.7973"/>
        <d v="3516-01-01T00:00:00Z"/>
        <s v="0.7768"/>
        <n v="-257859.0"/>
        <s v="0.0027"/>
        <s v="51.0212"/>
        <s v="107.7345"/>
        <n v="-458561.0"/>
        <s v="0.0168"/>
        <d v="5532-01-01T00:00:00Z"/>
        <s v="29.5306"/>
        <d v="2017-02-01T00:00:00Z"/>
        <d v="8421-11-01T00:00:00Z"/>
        <s v="8.194"/>
        <s v="0.004"/>
        <s v="0.0437"/>
        <n v="-369592.0"/>
        <d v="4623-05-01T00:00:00Z"/>
        <d v="5873-06-01T00:00:00Z"/>
        <s v="0.3579"/>
        <n v="-45653.0"/>
        <s v="0.0141"/>
        <s v="0.0464"/>
        <d v="2146-01-01T00:00:00Z"/>
        <s v="0.2906"/>
        <s v="0.1318"/>
        <d v="9512-07-01T00:00:00Z"/>
        <s v="38.0089"/>
        <s v="24.3086"/>
        <s v="1.267"/>
        <s v="40.5318"/>
        <s v="0.0049"/>
        <d v="5055-02-01T00:00:00Z"/>
        <s v="2.336"/>
        <s v="0.0605"/>
        <d v="6689-02-01T00:00:00Z"/>
        <d v="5616-01-01T00:00:00Z"/>
        <s v="0.6761"/>
        <s v="0.4468"/>
        <s v="0.8097"/>
        <s v="0.6055"/>
        <s v="21.6452"/>
        <s v="59.8725"/>
        <d v="7909-01-01T00:00:00Z"/>
        <s v="0.486"/>
        <d v="2943-10-01T00:00:00Z"/>
        <n v="-533617.0"/>
        <d v="6272-06-01T00:00:00Z"/>
        <d v="7983-03-01T00:00:00Z"/>
        <s v="2.667"/>
        <s v="0.3178"/>
        <s v="0.7056"/>
        <d v="2556-01-01T00:00:00Z"/>
        <n v="-380215.0"/>
        <s v="0.5415"/>
        <d v="2143-01-01T00:00:00Z"/>
        <s v="40.0903"/>
        <s v="154.4919"/>
        <d v="9411-08-01T00:00:00Z"/>
        <d v="1961-01-01T00:00:00Z"/>
        <s v="40.7108"/>
        <d v="8408-02-01T00:00:00Z"/>
        <s v="23.9214"/>
        <n v="-68055.0"/>
        <s v="0.0231"/>
        <d v="3618-02-01T00:00:00Z"/>
        <s v="5.221"/>
        <d v="7889-05-01T00:00:00Z"/>
        <s v="0.4008"/>
        <s v="0.9701"/>
        <s v="0.0418"/>
        <d v="8847-03-01T00:00:00Z"/>
        <n v="-571968.0"/>
        <n v="-367584.0"/>
        <s v="30.6216"/>
        <s v="26.0514"/>
        <s v="0.4655"/>
        <s v="28.0768"/>
        <d v="3601-02-01T00:00:00Z"/>
        <d v="3197-03-01T00:00:00Z"/>
        <s v="0.0414"/>
        <d v="4137-02-01T00:00:00Z"/>
        <s v="2.399"/>
        <n v="-428397.0"/>
        <n v="-89847.0"/>
        <s v="0.9713"/>
        <s v="0.3917"/>
        <s v="17.5685"/>
        <s v="58.144"/>
        <d v="6274-02-01T00:00:00Z"/>
        <s v="0.648"/>
        <d v="7258-09-01T00:00:00Z"/>
        <n v="-524486.0"/>
        <d v="7551-06-01T00:00:00Z"/>
        <n v="-613881.0"/>
        <s v="0.9334"/>
        <d v="9098-01-01T00:00:00Z"/>
        <s v="0.0042"/>
        <s v="0.0024"/>
        <s v="0.6821"/>
        <n v="-199420.0"/>
        <s v="0.1485"/>
        <s v="0.4802"/>
        <s v="0.5155"/>
        <s v="43.9292"/>
        <s v="136.4948"/>
        <d v="7719-08-01T00:00:00Z"/>
        <d v="6219-01-01T00:00:00Z"/>
        <s v="35.4248"/>
        <d v="8089-02-01T00:00:00Z"/>
        <s v="13.5756"/>
        <d v="3312-12-01T00:00:00Z"/>
        <s v="0.0229"/>
        <d v="9689-01-01T00:00:00Z"/>
        <s v="5.577"/>
        <n v="-543479.0"/>
        <s v="0.0202"/>
        <s v="0.0375"/>
        <d v="6062-05-01T00:00:00Z"/>
        <n v="-343632.0"/>
        <s v="0.3683"/>
        <s v="0.3288"/>
        <s v="0.3392"/>
        <s v="0.2591"/>
        <s v="38.9673"/>
        <d v="4724-04-01T00:00:00Z"/>
        <s v="36.8494"/>
        <s v="20.1116"/>
        <s v="0.0055"/>
        <d v="7586-03-01T00:00:00Z"/>
        <d v="8968-02-01T00:00:00Z"/>
        <s v="0.0538"/>
        <d v="4313-02-01T00:00:00Z"/>
        <s v="0.9743"/>
        <s v="0.8491"/>
        <n v="-171297.0"/>
        <n v="-500015.0"/>
        <s v="0.2482"/>
        <s v="13.612"/>
        <s v="53.9114"/>
        <d v="1975-06-01T00:00:00Z"/>
        <s v="0.7031"/>
        <d v="1932-11-01T00:00:00Z"/>
        <s v="0.7827"/>
        <s v="14.0677"/>
        <d v="8074-03-01T00:00:00Z"/>
        <d v="9004-01-01T00:00:00Z"/>
        <d v="3414-01-01T00:00:00Z"/>
        <s v="0.6277"/>
        <s v="0.4061"/>
        <n v="-271373.0"/>
        <s v="0.1582"/>
        <s v="0.6077"/>
        <s v="33.5808"/>
        <s v="101.4127"/>
        <s v="20.624"/>
        <n v="-381311.0"/>
        <s v="31.0267"/>
        <d v="4692-02-01T00:00:00Z"/>
        <s v="26.1782"/>
        <d v="8075-11-01T00:00:00Z"/>
        <d v="7738-06-01T00:00:00Z"/>
        <s v="0.0103"/>
        <d v="7531-01-01T00:00:00Z"/>
        <n v="-70125.0"/>
        <s v="0.0381"/>
        <n v="-478679.0"/>
        <s v="0.1679"/>
        <n v="-472622.0"/>
        <s v="0.2399"/>
        <s v="0.4427"/>
        <n v="-304398.0"/>
        <s v="65.06"/>
        <s v="34.9698"/>
        <s v="0.1794"/>
        <s v="33.0304"/>
        <d v="8844-02-01T00:00:00Z"/>
        <d v="3938-02-01T00:00:00Z"/>
        <s v="0.0393"/>
        <d v="3325-02-01T00:00:00Z"/>
        <n v="-341865.0"/>
        <s v="0.7526"/>
        <d v="3633-01-01T00:00:00Z"/>
        <s v="0.2825"/>
        <s v="0.4912"/>
        <s v="14.0729"/>
        <s v="53.1301"/>
        <d v="8828-08-01T00:00:00Z"/>
        <s v="0.2968"/>
        <s v="0.6789"/>
        <d v="4224-12-01T00:00:00Z"/>
        <s v="0.848"/>
        <d v="3903-10-01T00:00:00Z"/>
        <s v="3.58"/>
        <d v="4011-02-01T00:00:00Z"/>
        <s v="0.8176"/>
        <s v="0.008"/>
        <s v="0.8336"/>
        <s v="0.9888"/>
        <d v="3274-01-01T00:00:00Z"/>
        <s v="0.5887"/>
        <s v="0.1517"/>
        <s v="41.8058"/>
        <s v="195.5282"/>
        <s v="23.9821"/>
        <s v="0.0249"/>
        <d v="2179-01-01T00:00:00Z"/>
        <s v="51.3505"/>
        <d v="7495-02-01T00:00:00Z"/>
        <s v="16.1191"/>
        <s v="14.5781"/>
        <s v="0.0198"/>
        <s v="0.017"/>
        <d v="9449-02-01T00:00:00Z"/>
        <s v="5.805"/>
        <n v="-411261.0"/>
        <s v="0.0145"/>
        <s v="0.0522"/>
        <d v="2663-04-01T00:00:00Z"/>
        <s v="0.1046"/>
        <d v="2193-01-01T00:00:00Z"/>
        <s v="0.2158"/>
        <s v="0.4922"/>
        <s v="0.1601"/>
        <s v="52.8388"/>
        <n v="-457861.0"/>
        <s v="49.6322"/>
        <s v="27.4366"/>
        <d v="9312-01-01T00:00:00Z"/>
        <d v="2651-02-01T00:00:00Z"/>
        <s v="0.0347"/>
        <d v="9806-01-01T00:00:00Z"/>
        <n v="-4015.0"/>
        <n v="-460569.0"/>
        <s v="0.3897"/>
        <s v="0.5391"/>
        <d v="3555-01-01T00:00:00Z"/>
        <s v="15.3058"/>
        <s v="33.4998"/>
        <n v="8.0"/>
        <s v="0.7257"/>
        <s v="16.7315"/>
        <s v="0.9453"/>
        <d v="4442-10-01T00:00:00Z"/>
        <d v="7107-02-01T00:00:00Z"/>
        <d v="4806-02-01T00:00:00Z"/>
        <s v="0.6578"/>
        <d v="3532-01-01T00:00:00Z"/>
        <n v="-452168.0"/>
        <d v="5963-01-01T00:00:00Z"/>
        <s v="32.9255"/>
        <s v="109.5556"/>
        <s v="25.0768"/>
        <s v="0.0241"/>
        <d v="3379-01-01T00:00:00Z"/>
        <s v="66.8762"/>
        <d v="8355-02-01T00:00:00Z"/>
        <s v="21.2083"/>
        <s v="16.0135"/>
        <s v="0.006"/>
        <s v="0.0133"/>
        <d v="6168-02-01T00:00:00Z"/>
        <d v="2792-01-01T00:00:00Z"/>
        <s v="0.0166"/>
        <s v="0.0546"/>
        <n v="-428642.0"/>
        <s v="0.2316"/>
        <s v="0.4989"/>
        <s v="0.9886"/>
        <d v="2503-02-01T00:00:00Z"/>
        <s v="0.1152"/>
        <s v="0.0972"/>
        <s v="41.7076"/>
        <d v="7783-05-01T00:00:00Z"/>
        <s v="26.398"/>
        <s v="30.0701"/>
        <d v="4055-02-01T00:00:00Z"/>
        <d v="4713-01-01T00:00:00Z"/>
        <s v="0.0355"/>
        <d v="4147-02-01T00:00:00Z"/>
        <n v="-290001.0"/>
        <s v="0.9899"/>
        <s v="0.3144"/>
        <s v="0.4026"/>
        <s v="0.5818"/>
        <s v="14.0254"/>
        <s v="41.9372"/>
        <d v="8174-08-01T00:00:00Z"/>
        <s v="0.5592"/>
        <s v="13.1007"/>
        <n v="-91673.0"/>
        <d v="7878-09-01T00:00:00Z"/>
        <d v="9301-04-01T00:00:00Z"/>
        <d v="3783-02-01T00:00:00Z"/>
        <s v="0.6349"/>
        <d v="9166-01-01T00:00:00Z"/>
        <s v="0.4561"/>
        <s v="0.9816"/>
        <s v="0.1945"/>
        <s v="27.5368"/>
        <s v="124.5474"/>
        <s v="22.1265"/>
        <d v="3947-01-01T00:00:00Z"/>
        <s v="50.754"/>
        <d v="4787-03-01T00:00:00Z"/>
        <s v="24.7325"/>
        <s v="13.8492"/>
        <s v="0.0155"/>
        <d v="6888-03-01T00:00:00Z"/>
        <d v="3492-01-01T00:00:00Z"/>
        <s v="0.013"/>
        <s v="0.0574"/>
        <d v="3833-05-01T00:00:00Z"/>
        <d v="3405-07-01T00:00:00Z"/>
        <d v="2131-01-01T00:00:00Z"/>
        <s v="0.2321"/>
        <s v="0.4155"/>
        <n v="-497550.0"/>
        <n v="-40753.0"/>
        <s v="17.2088"/>
        <d v="7913-09-01T00:00:00Z"/>
        <d v="6616-04-01T00:00:00Z"/>
        <n v="-242915.0"/>
        <s v="16.2433"/>
        <d v="9952-03-01T00:00:00Z"/>
        <s v="18.5283"/>
        <d v="3805-07-01T00:00:00Z"/>
        <d v="2591-04-01T00:00:00Z"/>
        <s v="28.0066"/>
        <d v="8373-06-01T00:00:00Z"/>
        <d v="7555-05-01T00:00:00Z"/>
        <s v="14.3789"/>
        <s v="5.748"/>
        <d v="8024-05-01T00:00:00Z"/>
        <s v="13.5144"/>
        <d v="6314-05-01T00:00:00Z"/>
        <d v="7074-03-01T00:00:00Z"/>
        <d v="8435-11-01T00:00:00Z"/>
        <d v="9947-04-01T00:00:00Z"/>
        <d v="7602-03-01T00:00:00Z"/>
        <s v="9.841"/>
        <d v="8004-02-01T00:00:00Z"/>
        <d v="9585-01-01T00:00:00Z"/>
        <d v="5783-07-01T00:00:00Z"/>
        <s v="0.5806"/>
        <d v="4261-01-01T00:00:00Z"/>
        <n v="-236189.0"/>
        <s v="0.5273"/>
        <s v="1.174"/>
        <d v="2365-04-01T00:00:00Z"/>
        <s v="0.1749"/>
        <n v="-330511.0"/>
        <d v="5092-02-01T00:00:00Z"/>
      </sharedItems>
    </cacheField>
    <cacheField name="Value (in 1000 rub)">
      <sharedItems containsDate="1" containsMixedTypes="1">
        <s v="899.265493"/>
        <s v="5622.580442"/>
        <s v="4457.22479"/>
        <s v="15.948333"/>
        <s v="7611.563208"/>
        <s v="307.946992"/>
        <s v="6.422605"/>
        <s v="212.469968"/>
        <s v="171.236944"/>
        <s v="0.029771"/>
        <s v="116.992414"/>
        <s v="95.339903"/>
        <s v="38.969667"/>
        <s v="34.905171"/>
        <s v="0.142028"/>
        <s v="32.450189"/>
        <s v="4389.809554"/>
        <s v="5967.119432"/>
        <s v="485.822233"/>
        <s v="46.13722"/>
        <s v="14.795735"/>
        <s v="1609.072208"/>
        <s v="38.73859"/>
        <s v="701.603394"/>
        <s v="700.442242"/>
        <s v="193.181003"/>
        <s v="164.704934"/>
        <s v="12.006769"/>
        <s v="135.056441"/>
        <s v="1.59307"/>
        <s v="0.95189"/>
        <s v="127.584278"/>
        <s v="98.695255"/>
        <s v="7.20621"/>
        <s v="96.79121"/>
        <s v="10271.13988"/>
        <s v="14567.6979"/>
        <s v="1323.619549"/>
        <s v="1.791126"/>
        <s v="147.988777"/>
        <s v="9934.412537"/>
        <s v="96.490976"/>
        <s v="1335.566377"/>
        <s v="1288.467984"/>
        <s v="403.571082"/>
        <s v="34.83502"/>
        <s v="359.109615"/>
        <s v="5.171741"/>
        <s v="31.900512"/>
        <s v="282.59374"/>
        <s v="280.300213"/>
        <s v="3.230365"/>
        <s v="6.086698"/>
        <s v="261.313471"/>
        <s v="46.087756"/>
        <s v="145.866054"/>
        <s v="729.821201+"/>
        <s v="4702.004113+"/>
        <s v="3969.19894+"/>
        <s v="11.329055+"/>
        <s v="5962.643043+"/>
        <s v="284.824342"/>
        <s v="2.950686"/>
        <s v="234.198798"/>
        <s v="0.20893"/>
        <s v="124.996153"/>
        <s v="75.322764"/>
        <s v="74.063678"/>
        <s v="34.985402"/>
        <s v="33.859989"/>
        <s v="32.362732"/>
        <s v="0.405462"/>
        <s v="4483.615135+"/>
        <s v="5765.421415+"/>
        <s v="555.281552+"/>
        <s v="47.309114+"/>
        <s v="13.461723+"/>
        <s v="1608.789744+"/>
        <s v="54.697267"/>
        <s v="530.288474"/>
        <s v="515.438104"/>
        <s v="192.427103"/>
        <s v="21.533492"/>
        <s v="0.908857"/>
        <s v="1.373464"/>
        <s v="156.258602"/>
        <s v="121.201788"/>
        <s v="106.804421"/>
        <s v="79.158238"/>
        <s v="5.084217"/>
        <s v="83.905488"/>
        <s v="11127.30868+"/>
        <s v="12648.513944+"/>
        <s v="1108.961017+"/>
        <s v="3.141648+"/>
        <s v="118.79017+"/>
        <s v="6283.969207+"/>
        <s v="130.569642"/>
        <s v="1788.133068"/>
        <s v="953.289157"/>
        <s v="4.713831"/>
        <s v="2.390466"/>
        <s v="756.533329"/>
        <s v="401.388021"/>
        <s v="6.543679"/>
        <s v="46.111162"/>
        <s v="410.970309"/>
        <s v="342.937167"/>
        <s v="28.097594"/>
        <s v="298.288386"/>
        <s v="256.508867"/>
        <s v="1000.988615"/>
        <s v="7356.761192"/>
        <s v="6568.246391"/>
        <s v="327.837154"/>
        <s v="9020.890311"/>
        <s v="424.69898"/>
        <s v="4.180465"/>
        <s v="346.640958"/>
        <s v="0.209196"/>
        <s v="225.403033"/>
        <s v="146.810783"/>
        <s v="117.282172"/>
        <s v="82.92376"/>
        <s v="75.031017"/>
        <s v="64.890698"/>
        <s v="3593.978608"/>
        <s v="6762.738663"/>
        <s v="602.117373"/>
        <s v="50.571637"/>
        <s v="67.629072"/>
        <s v="3567.870595"/>
        <s v="68.207659"/>
        <s v="762.579249"/>
        <s v="517.770552"/>
        <s v="227.97836"/>
        <s v="10.237458"/>
        <s v="0.489206"/>
        <d v="9124-01-01T00:00:00Z"/>
        <s v="191.383313"/>
        <s v="163.897989"/>
        <s v="136.057994"/>
        <s v="131.263071"/>
        <s v="110.584264"/>
        <s v="10159.89176"/>
        <s v="16676.61422"/>
        <s v="3433.774729"/>
        <s v="3.358336"/>
        <s v="186.268794"/>
        <s v="14237.19253"/>
        <s v="160.448018"/>
        <s v="2284.922391"/>
        <s v="3.930093"/>
        <s v="13.459402"/>
        <s v="1072.683641"/>
        <s v="982.058829"/>
        <s v="947.040142"/>
        <s v="709.715146"/>
        <s v="22.146691"/>
        <s v="88.881426"/>
        <s v="521.416723"/>
        <s v="200.891934"/>
        <s v="290.884253"/>
        <s v="395.156842"/>
        <s v="25.76972"/>
        <s v="820.416108+"/>
        <s v="5684.181431+"/>
        <s v="3564.350803+"/>
        <s v="318.203811+"/>
        <s v="6304.313433+"/>
        <s v="3.818633"/>
        <s v="475.48094"/>
        <s v="203.671087"/>
        <s v="0.27464"/>
        <s v="195.828471"/>
        <s v="104.952492"/>
        <s v="92.093955"/>
        <s v="73.897714"/>
        <s v="55.820227"/>
        <s v="52.923911"/>
        <s v="2841.10438+"/>
        <s v="6623.000018+"/>
        <s v="525.96028+"/>
        <s v="48.940376+"/>
        <s v="113.266212+"/>
        <s v="3527.423164+"/>
        <s v="63.418239"/>
        <s v="634.861232"/>
        <s v="416.924196"/>
        <s v="142.501286"/>
        <s v="141.081872"/>
        <s v="0.895596"/>
        <s v="0.238702"/>
        <s v="227.064729"/>
        <s v="152.961334"/>
        <s v="95.999383"/>
        <s v="89.912221"/>
        <s v="83.254229"/>
        <s v="1.029136"/>
        <s v="6235.15773+"/>
        <s v="15700.382104+"/>
        <s v="1938.389976+"/>
        <s v="3.249992+"/>
        <s v="166.170232+"/>
        <s v="8986.126968+"/>
        <s v="152.979037"/>
        <s v="2037.907029"/>
        <s v="2.054427"/>
        <s v="23.693545"/>
        <s v="1098.941175"/>
        <s v="955.543497"/>
        <s v="723.549708"/>
        <s v="10.674282"/>
        <s v="71.973048"/>
        <s v="631.506543"/>
        <s v="528.577778"/>
        <s v="183.839274"/>
        <s v="288.943805"/>
        <s v="362.237206"/>
        <s v="42.914679"/>
        <s v="773.766541"/>
        <s v="4568.309267"/>
        <s v="4738.784354"/>
        <s v="146.524473"/>
        <s v="6829.434676"/>
        <s v="3.743044"/>
        <s v="760.294077"/>
        <s v="200.276349"/>
        <s v="3.624223"/>
        <s v="190.920762"/>
        <s v="192.815258"/>
        <s v="88.075675"/>
        <s v="74.260342"/>
        <s v="52.727248"/>
        <s v="45.304416"/>
        <s v="2383.271661"/>
        <s v="6723.164019"/>
        <s v="523.029817"/>
        <s v="47.36375"/>
        <s v="72.253721"/>
        <s v="2381.702329"/>
        <s v="58.583002"/>
        <s v="410.251949"/>
        <s v="382.141359"/>
        <s v="350.53213"/>
        <s v="0.296985"/>
        <s v="2.811444"/>
        <s v="246.065794"/>
        <s v="174.863686"/>
        <s v="24.139055"/>
        <s v="129.822771"/>
        <s v="107.913191"/>
        <s v="76.888582"/>
        <s v="5184.360197"/>
        <s v="14277.08856"/>
        <s v="1644.230536"/>
        <s v="3.582185"/>
        <s v="183.721912"/>
        <s v="6818.829617"/>
        <s v="157.761561"/>
        <s v="1670.173912"/>
        <s v="3.545319"/>
        <s v="17.701399"/>
        <s v="1070.070585"/>
        <s v="934.2562"/>
        <s v="637.886115"/>
        <s v="489.37299"/>
        <s v="11.949414"/>
        <s v="47.841618"/>
        <s v="344.140954"/>
        <s v="302.883131"/>
        <s v="36.618056"/>
        <s v="194.672956"/>
        <s v="100.229246"/>
        <s v="562.876647+"/>
        <s v="5681.495903+"/>
        <s v="2922.396679+"/>
        <s v="121.087477+"/>
        <s v="5610.048795+"/>
        <s v="2.881198"/>
        <s v="536.896802"/>
        <s v="231.508429"/>
        <s v="2.459027"/>
        <s v="166.33235"/>
        <s v="130.466006"/>
        <s v="99.192219"/>
        <s v="65.759904"/>
        <s v="64.158082"/>
        <s v="47.942005"/>
        <s v="1685.635691+"/>
        <s v="5592.503082+"/>
        <s v="272.150799+"/>
        <s v="45.835925+"/>
        <s v="55.049286+"/>
        <s v="1936.799692+"/>
        <s v="47.310042"/>
        <s v="358.479509"/>
        <s v="338.563089"/>
        <s v="185.188337"/>
        <s v="125.774255"/>
        <s v="24.544915"/>
        <s v="0.436692"/>
        <s v="1.798287"/>
        <s v="130.889304"/>
        <s v="123.076725"/>
        <s v="77.288938"/>
        <s v="73.262568"/>
        <s v="0.424094"/>
        <s v="3597.991186+"/>
        <s v="12022.168798+"/>
        <s v="1132.86316+"/>
        <s v="3.46668+"/>
        <s v="186.218269+"/>
        <s v="6132.884335+"/>
        <s v="135.541072"/>
        <s v="998.023275"/>
        <s v="763.411125"/>
        <s v="1.783766"/>
        <s v="12.487819"/>
        <s v="570.032862"/>
        <s v="528.67611"/>
        <s v="378.791908"/>
        <s v="31.427352"/>
        <s v="383.185945"/>
        <s v="6.649438"/>
        <s v="24.763261"/>
        <s v="247.163292"/>
        <s v="122.495486"/>
        <s v="74.971474"/>
        <s v="593.09146"/>
        <s v="4003.448941"/>
        <s v="3206.174313"/>
        <s v="121.739067"/>
        <s v="7236.981536"/>
        <s v="1.591611"/>
        <s v="410.215547"/>
        <s v="263.524314"/>
        <s v="3.309734"/>
        <s v="170.500217"/>
        <s v="116.544716"/>
        <s v="116.102321"/>
        <s v="74.509653"/>
        <s v="70.919378"/>
        <s v="36.580792"/>
        <s v="1619.21498"/>
        <s v="6284.66363"/>
        <s v="304.384897"/>
        <s v="65.735039"/>
        <s v="1980.956217"/>
        <s v="59.966876"/>
        <s v="438.452184"/>
        <s v="348.845767"/>
        <s v="157.555681"/>
        <s v="22.29946"/>
        <s v="148.367583"/>
        <s v="115.030749"/>
        <s v="87.554178"/>
        <s v="0.279082"/>
        <s v="1.31538"/>
        <s v="82.367585"/>
        <s v="80.504517"/>
        <s v="0.106023"/>
        <s v="2873.741751"/>
        <s v="15221.22025"/>
        <s v="1254.763085"/>
        <s v="141.818135"/>
        <s v="7831.706976"/>
        <s v="162.031473"/>
        <s v="1649.091699"/>
        <s v="848.269895"/>
        <s v="0.525873"/>
        <s v="7.314819"/>
        <s v="597.382523"/>
        <s v="520.676349"/>
        <s v="309.182473"/>
        <s v="36.390825"/>
        <s v="318.702764"/>
        <s v="3.731573"/>
        <s v="22.339708"/>
        <s v="224.618831"/>
        <s v="198.984905"/>
        <s v="594.588783+"/>
        <s v="3368.865598+"/>
        <s v="3372.173873+"/>
        <s v="39.605675+"/>
        <s v="5767.139737+"/>
        <s v="0.850839"/>
        <s v="370.523807"/>
        <s v="345.179241"/>
        <s v="2.198378"/>
        <s v="161.854701"/>
        <s v="145.440369"/>
        <s v="109.779905"/>
        <s v="91.105465"/>
        <s v="82.145393"/>
        <s v="67.406085"/>
        <s v="1345.404076+"/>
        <s v="6175.532397+"/>
        <s v="400.438319+"/>
        <s v="47.36375+"/>
        <s v="79.544737+"/>
        <s v="1693.249683+"/>
        <s v="61.849902"/>
        <s v="479.086731"/>
        <s v="357.342625"/>
        <s v="200.051505"/>
        <s v="164.086365"/>
        <s v="1.334542"/>
        <s v="0.80237"/>
        <s v="114.579603"/>
        <s v="81.085424"/>
        <s v="13.757581"/>
        <s v="56.659264"/>
        <s v="52.392999"/>
        <s v="3039.610091+"/>
        <s v="0.046414+"/>
        <s v="13934.444727+"/>
        <s v="1290.311691+"/>
        <s v="3.582185+"/>
        <s v="225.965176+"/>
        <s v="7079.594405+"/>
        <s v="160.881395"/>
        <s v="1101.436074"/>
        <s v="1072.241114"/>
        <s v="1.720908"/>
        <s v="7.527529"/>
        <s v="514.083471"/>
        <s v="506.792389"/>
        <s v="345.818365"/>
        <s v="9.199635"/>
        <s v="20.010375"/>
        <s v="313.649181"/>
        <s v="202.807384"/>
        <s v="33.449024"/>
        <s v="83.087602"/>
        <s v="98.935482"/>
        <s v="21.931859"/>
        <s v="7477.973324"/>
        <s v="372.448738"/>
        <s v="3683.346589"/>
        <s v="2658.162426"/>
        <s v="1.191653"/>
        <s v="578.319131"/>
        <s v="309.261377"/>
        <s v="3.210473"/>
        <s v="168.272134"/>
        <s v="88.223206"/>
        <s v="78.136528"/>
        <s v="75.358835"/>
        <s v="56.502914"/>
        <s v="47.686528"/>
        <s v="1019.348168"/>
        <s v="5939.74968"/>
        <s v="813.651829"/>
        <s v="45.835925"/>
        <s v="83.168761"/>
        <s v="2009.118857"/>
        <s v="48.973263"/>
        <s v="770.718584"/>
        <s v="297.966205"/>
        <s v="167.379323"/>
        <s v="127.422027"/>
        <s v="1.132441"/>
        <s v="0.674333"/>
        <s v="100.602947"/>
        <s v="90.136534"/>
        <s v="72.697707"/>
        <s v="14.157008"/>
        <s v="63.000511"/>
        <s v="2550.810119"/>
        <s v="12097.78742"/>
        <s v="2737.040323"/>
        <s v="3.46668"/>
        <s v="141.04063"/>
        <s v="6399.18243"/>
        <s v="153.160915"/>
        <s v="1815.597704"/>
        <s v="1071.843543"/>
        <s v="517.055043"/>
        <s v="0.686201"/>
        <s v="3.466083"/>
        <s v="477.699541"/>
        <s v="382.119876"/>
        <s v="6.924144"/>
        <s v="20.303316"/>
        <s v="357.791053"/>
        <s v="19.158144"/>
        <s v="220.256091"/>
        <s v="62.670108"/>
        <s v="128.904763"/>
        <s v="618.481777+"/>
        <s v="5995.710542+"/>
        <s v="4346.872331+"/>
        <s v="17.551945+"/>
        <s v="6797.677053+"/>
        <s v="0.475945"/>
        <s v="443.897371"/>
        <s v="280.43919"/>
        <s v="2.333112"/>
        <s v="168.957275"/>
        <s v="99.10065"/>
        <s v="68.122721"/>
        <s v="66.180682"/>
        <s v="51.100826"/>
        <s v="47.016439"/>
        <s v="1104.70914+"/>
        <s v="5945.933384+"/>
        <s v="1161.74794+"/>
        <s v="47.929871+"/>
        <s v="87.049257+"/>
        <s v="2134.394888+"/>
        <s v="53.446204"/>
        <s v="648.876279"/>
        <s v="285.062911"/>
        <s v="208.763393"/>
        <s v="160.901353"/>
        <s v="2.637589"/>
        <s v="0.673736"/>
        <s v="142.366486"/>
        <s v="68.042955"/>
        <s v="51.798101"/>
        <s v="38.340356"/>
        <s v="13.15267"/>
        <s v="2955.440042+"/>
        <s v="18673.789433+"/>
        <s v="3245.029801+"/>
        <s v="5.149395+"/>
        <s v="171.423595+"/>
        <s v="9478.159229+"/>
        <s v="170.628453"/>
        <s v="1233.112563"/>
        <s v="1298.676268"/>
        <s v="3.019777"/>
        <s v="5.180294"/>
        <s v="724.666235"/>
        <s v="475.925125"/>
        <s v="357.692522"/>
        <s v="6.70971"/>
        <s v="27.388981"/>
        <s v="271.082675"/>
        <s v="13.200875"/>
        <s v="243.123197"/>
        <s v="60.715272"/>
        <s v="143.892056"/>
        <s v="16.871048"/>
        <s v="9408.441847"/>
        <s v="496.745959"/>
        <s v="4540.566278"/>
        <s v="3393.635887"/>
        <s v="0.748993"/>
        <s v="324.043187"/>
        <s v="272.690067"/>
        <s v="2.105549"/>
        <s v="150.151548"/>
        <s v="106.11928"/>
        <s v="88.332611"/>
        <s v="64.83573"/>
        <s v="49.349484"/>
        <s v="43.21783"/>
        <s v="1228.08464"/>
        <s v="4286.652432"/>
        <s v="1120.362013"/>
        <s v="88.458725"/>
        <s v="2785.755125"/>
        <s v="61.275691"/>
        <s v="688.064093"/>
        <s v="224.938493"/>
        <s v="168.139456"/>
        <s v="138.358881"/>
        <s v="0.849911"/>
        <s v="0.229419"/>
        <s v="106.645087"/>
        <s v="95.727793"/>
        <s v="94.908582"/>
        <s v="91.942844"/>
        <s v="2573.47519"/>
        <s v="12847.27447"/>
        <s v="3373.018281"/>
        <s v="4.983299"/>
        <s v="183.446344"/>
        <s v="11510.50218"/>
        <s v="186.037718"/>
        <s v="1613.689563"/>
        <s v="1377.68061"/>
        <s v="1.13821"/>
        <s v="3.815782"/>
        <s v="672.520492"/>
        <s v="430.258213"/>
        <s v="7.83141"/>
        <s v="29.143439"/>
        <s v="460.246591"/>
        <s v="68.187833"/>
        <s v="148.325346"/>
        <s v="209.659188"/>
        <s v="177.459237"/>
        <s v="16.475533"/>
        <s v="12.649938+"/>
        <s v="7988.045344+"/>
        <s v="479.591585+"/>
        <s v="3098.274716+"/>
        <s v="3720.114364+"/>
        <s v="288.650467"/>
        <s v="268.38488"/>
        <s v="2.076109"/>
        <s v="179.241611"/>
        <s v="98.254187"/>
        <s v="81.820759"/>
        <s v="53.44269"/>
        <s v="44.385878"/>
        <s v="34.264124"/>
        <s v="1104.694685+"/>
        <s v="5315.236504+"/>
        <s v="1180.550683+"/>
        <s v="70.359689+"/>
        <s v="2332.304375+"/>
        <s v="74.095638"/>
        <s v="674.819854"/>
        <s v="253.993082"/>
        <s v="211.175607"/>
        <s v="140.682445"/>
        <s v="127.604833"/>
        <s v="100.668722"/>
        <s v="92.915289"/>
        <s v="41.641205"/>
        <s v="2257.732329+"/>
        <s v="14747.014971+"/>
        <s v="2942.582832+"/>
        <s v="182.294011+"/>
        <s v="9074.154704+"/>
        <s v="220.706441"/>
        <s v="1815.368418"/>
        <s v="1260.041579"/>
        <s v="4.619411"/>
        <s v="790.268994"/>
        <s v="434.616644"/>
        <s v="6.659516"/>
        <s v="30.069205"/>
        <s v="408.107014"/>
        <s v="308.903722"/>
        <s v="257.234189"/>
        <s v="71.738722"/>
        <s v="138.916582"/>
        <s v="732.9798"/>
        <s v="460.2065"/>
        <s v="1310.1595"/>
        <s v="666.1454+"/>
        <s v="367.6882+"/>
        <s v="992.1755+"/>
        <s v="1111.4856"/>
        <s v="333.6765"/>
        <n v="-216556.0"/>
        <s v="577.6599+"/>
        <s v="348.504+"/>
        <s v="1561.4301+"/>
        <s v="551.1929"/>
        <s v="467.6434"/>
        <s v="1050.2044"/>
        <s v="460.8189+"/>
        <s v="436.7045+"/>
        <s v="1010.165+"/>
        <s v="432.3733"/>
        <s v="311.9152"/>
        <s v="894.3061"/>
        <s v="350.6479+"/>
        <s v="312.313+"/>
        <s v="794.332+"/>
        <s v="175.3501"/>
        <s v="150.9338"/>
        <s v="633.9507"/>
        <s v="42.9389+"/>
        <s v="96.6346+"/>
        <s v="461.7895+"/>
        <s v="37.7528"/>
        <s v="97.2256"/>
        <s v="353.291"/>
        <s v="14.3406+"/>
        <s v="123.6008+"/>
        <s v="223.1901+"/>
      </sharedItems>
    </cacheField>
    <cacheField name="Value clean" numFmtId="0">
      <sharedItems containsSemiMixedTypes="0" containsString="0" containsNumber="1">
        <n v="899.265493"/>
        <n v="5622.580442"/>
        <n v="4457.22479"/>
        <n v="15.948333"/>
        <n v="7611.563208"/>
        <n v="307.946992"/>
        <n v="6.422605"/>
        <n v="212.469968"/>
        <n v="171.236944"/>
        <n v="0.029771"/>
        <n v="116.992414"/>
        <n v="95.339903"/>
        <n v="38.969667"/>
        <n v="34.905171"/>
        <n v="0.142028"/>
        <n v="32.450189"/>
        <n v="4389.809554"/>
        <n v="5967.119432"/>
        <n v="485.822233"/>
        <n v="46.13722"/>
        <n v="14.795735"/>
        <n v="1609.072208"/>
        <n v="38.73859"/>
        <n v="701.603394"/>
        <n v="700.442242"/>
        <n v="193.181003"/>
        <n v="164.704934"/>
        <n v="12.006769"/>
        <n v="135.056441"/>
        <n v="1.59307"/>
        <n v="0.95189"/>
        <n v="127.584278"/>
        <n v="98.695255"/>
        <n v="7.20621"/>
        <n v="96.79121"/>
        <n v="10271.13988"/>
        <n v="14567.6979"/>
        <n v="1323.619549"/>
        <n v="1.791126"/>
        <n v="147.988777"/>
        <n v="9934.412537"/>
        <n v="96.490976"/>
        <n v="1335.566377"/>
        <n v="1288.467984"/>
        <n v="403.571082"/>
        <n v="34.83502"/>
        <n v="359.109615"/>
        <n v="5.171741"/>
        <n v="31.900512"/>
        <n v="282.59374"/>
        <n v="280.300213"/>
        <n v="3.230365"/>
        <n v="6.086698"/>
        <n v="261.313471"/>
        <n v="46.087756"/>
        <n v="145.866054"/>
        <n v="729.821201"/>
        <n v="4702.004113"/>
        <n v="3969.19894"/>
        <n v="11.329055"/>
        <n v="5962.643043"/>
        <n v="284.824342"/>
        <n v="2.950686"/>
        <n v="234.198798"/>
        <n v="0.20893"/>
        <n v="124.996153"/>
        <n v="75.322764"/>
        <n v="74.063678"/>
        <n v="34.985402"/>
        <n v="33.859989"/>
        <n v="32.362732"/>
        <n v="0.405462"/>
        <n v="4483.615135"/>
        <n v="5765.421415"/>
        <n v="555.281552"/>
        <n v="47.309114"/>
        <n v="13.461723"/>
        <n v="1608.789744"/>
        <n v="54.697267"/>
        <n v="530.288474"/>
        <n v="515.438104"/>
        <n v="192.427103"/>
        <n v="21.533492"/>
        <n v="0.908857"/>
        <n v="1.373464"/>
        <n v="156.258602"/>
        <n v="121.201788"/>
        <n v="106.804421"/>
        <n v="79.158238"/>
        <n v="5.084217"/>
        <n v="83.905488"/>
        <n v="11127.30868"/>
        <n v="12648.513944"/>
        <n v="1108.961017"/>
        <n v="3.141648"/>
        <n v="118.79017"/>
        <n v="6283.969207"/>
        <n v="130.569642"/>
        <n v="1788.133068"/>
        <n v="953.289157"/>
        <n v="4.713831"/>
        <n v="2.390466"/>
        <n v="756.533329"/>
        <n v="401.388021"/>
        <n v="6.543679"/>
        <n v="46.111162"/>
        <n v="410.970309"/>
        <n v="342.937167"/>
        <n v="28.097594"/>
        <n v="298.288386"/>
        <n v="256.508867"/>
        <n v="1000.988615"/>
        <n v="7356.761192"/>
        <n v="6568.246391"/>
        <n v="327.837154"/>
        <n v="9020.890311"/>
        <n v="424.69898"/>
        <n v="4.180465"/>
        <n v="346.640958"/>
        <n v="0.209196"/>
        <n v="225.403033"/>
        <n v="146.810783"/>
        <n v="117.282172"/>
        <n v="82.92376"/>
        <n v="75.031017"/>
        <n v="64.890698"/>
        <n v="3593.978608"/>
        <n v="6762.738663"/>
        <n v="602.117373"/>
        <n v="50.571637"/>
        <n v="67.629072"/>
        <n v="3567.870595"/>
        <n v="68.207659"/>
        <n v="762.579249"/>
        <n v="517.770552"/>
        <n v="227.97836"/>
        <n v="10.237458"/>
        <n v="0.489206"/>
        <n v="1.9124"/>
        <n v="191.383313"/>
        <n v="163.897989"/>
        <n v="136.057994"/>
        <n v="131.263071"/>
        <n v="110.584264"/>
        <n v="10159.89176"/>
        <n v="16676.61422"/>
        <n v="3433.774729"/>
        <n v="3.358336"/>
        <n v="186.268794"/>
        <n v="14237.19253"/>
        <n v="160.448018"/>
        <n v="2284.922391"/>
        <n v="3.930093"/>
        <n v="13.459402"/>
        <n v="1072.683641"/>
        <n v="982.058829"/>
        <n v="947.040142"/>
        <n v="709.715146"/>
        <n v="22.146691"/>
        <n v="88.881426"/>
        <n v="521.416723"/>
        <n v="200.891934"/>
        <n v="290.884253"/>
        <n v="395.156842"/>
        <n v="25.76972"/>
        <n v="820.416108"/>
        <n v="5684.181431"/>
        <n v="3564.350803"/>
        <n v="318.203811"/>
        <n v="6304.313433"/>
        <n v="3.818633"/>
        <n v="475.48094"/>
        <n v="203.671087"/>
        <n v="0.27464"/>
        <n v="195.828471"/>
        <n v="104.952492"/>
        <n v="92.093955"/>
        <n v="73.897714"/>
        <n v="55.820227"/>
        <n v="52.923911"/>
        <n v="2841.10438"/>
        <n v="6623.000018"/>
        <n v="525.96028"/>
        <n v="48.940376"/>
        <n v="113.266212"/>
        <n v="3527.423164"/>
        <n v="63.418239"/>
        <n v="634.861232"/>
        <n v="416.924196"/>
        <n v="142.501286"/>
        <n v="141.081872"/>
        <n v="0.895596"/>
        <n v="0.238702"/>
        <n v="227.064729"/>
        <n v="152.961334"/>
        <n v="95.999383"/>
        <n v="89.912221"/>
        <n v="83.254229"/>
        <n v="1.029136"/>
        <n v="6235.15773"/>
        <n v="15700.382104"/>
        <n v="1938.389976"/>
        <n v="3.249992"/>
        <n v="166.170232"/>
        <n v="8986.126968"/>
        <n v="152.979037"/>
        <n v="2037.907029"/>
        <n v="2.054427"/>
        <n v="23.693545"/>
        <n v="1098.941175"/>
        <n v="955.543497"/>
        <n v="723.549708"/>
        <n v="10.674282"/>
        <n v="71.973048"/>
        <n v="631.506543"/>
        <n v="528.577778"/>
        <n v="183.839274"/>
        <n v="288.943805"/>
        <n v="362.237206"/>
        <n v="42.914679"/>
        <n v="773.766541"/>
        <n v="4568.309267"/>
        <n v="4738.784354"/>
        <n v="146.524473"/>
        <n v="6829.434676"/>
        <n v="3.743044"/>
        <n v="760.294077"/>
        <n v="200.276349"/>
        <n v="3.624223"/>
        <n v="190.920762"/>
        <n v="192.815258"/>
        <n v="88.075675"/>
        <n v="74.260342"/>
        <n v="52.727248"/>
        <n v="45.304416"/>
        <n v="2383.271661"/>
        <n v="6723.164019"/>
        <n v="523.029817"/>
        <n v="47.36375"/>
        <n v="72.253721"/>
        <n v="2381.702329"/>
        <n v="58.583002"/>
        <n v="410.251949"/>
        <n v="382.141359"/>
        <n v="350.53213"/>
        <n v="0.296985"/>
        <n v="2.811444"/>
        <n v="246.065794"/>
        <n v="174.863686"/>
        <n v="24.139055"/>
        <n v="129.822771"/>
        <n v="107.913191"/>
        <n v="76.888582"/>
        <n v="5184.360197"/>
        <n v="14277.08856"/>
        <n v="1644.230536"/>
        <n v="3.582185"/>
        <n v="183.721912"/>
        <n v="6818.829617"/>
        <n v="157.761561"/>
        <n v="1670.173912"/>
        <n v="3.545319"/>
        <n v="17.701399"/>
        <n v="1070.070585"/>
        <n v="934.2562"/>
        <n v="637.886115"/>
        <n v="489.37299"/>
        <n v="11.949414"/>
        <n v="47.841618"/>
        <n v="344.140954"/>
        <n v="302.883131"/>
        <n v="36.618056"/>
        <n v="194.672956"/>
        <n v="100.229246"/>
        <n v="562.876647"/>
        <n v="5681.495903"/>
        <n v="2922.396679"/>
        <n v="121.087477"/>
        <n v="5610.048795"/>
        <n v="2.881198"/>
        <n v="536.896802"/>
        <n v="231.508429"/>
        <n v="2.459027"/>
        <n v="166.33235"/>
        <n v="130.466006"/>
        <n v="99.192219"/>
        <n v="65.759904"/>
        <n v="64.158082"/>
        <n v="47.942005"/>
        <n v="1685.635691"/>
        <n v="5592.503082"/>
        <n v="272.150799"/>
        <n v="45.835925"/>
        <n v="55.049286"/>
        <n v="1936.799692"/>
        <n v="47.310042"/>
        <n v="358.479509"/>
        <n v="338.563089"/>
        <n v="185.188337"/>
        <n v="125.774255"/>
        <n v="24.544915"/>
        <n v="0.436692"/>
        <n v="1.798287"/>
        <n v="130.889304"/>
        <n v="123.076725"/>
        <n v="77.288938"/>
        <n v="73.262568"/>
        <n v="0.424094"/>
        <n v="3597.991186"/>
        <n v="12022.168798"/>
        <n v="1132.86316"/>
        <n v="3.46668"/>
        <n v="186.218269"/>
        <n v="6132.884335"/>
        <n v="135.541072"/>
        <n v="998.023275"/>
        <n v="763.411125"/>
        <n v="1.783766"/>
        <n v="12.487819"/>
        <n v="570.032862"/>
        <n v="528.67611"/>
        <n v="378.791908"/>
        <n v="31.427352"/>
        <n v="383.185945"/>
        <n v="6.649438"/>
        <n v="24.763261"/>
        <n v="247.163292"/>
        <n v="122.495486"/>
        <n v="74.971474"/>
        <n v="593.09146"/>
        <n v="4003.448941"/>
        <n v="3206.174313"/>
        <n v="121.739067"/>
        <n v="7236.981536"/>
        <n v="1.591611"/>
        <n v="410.215547"/>
        <n v="263.524314"/>
        <n v="3.309734"/>
        <n v="170.500217"/>
        <n v="116.544716"/>
        <n v="116.102321"/>
        <n v="74.509653"/>
        <n v="70.919378"/>
        <n v="36.580792"/>
        <n v="1619.21498"/>
        <n v="6284.66363"/>
        <n v="304.384897"/>
        <n v="65.735039"/>
        <n v="1980.956217"/>
        <n v="59.966876"/>
        <n v="438.452184"/>
        <n v="348.845767"/>
        <n v="157.555681"/>
        <n v="22.29946"/>
        <n v="148.367583"/>
        <n v="115.030749"/>
        <n v="87.554178"/>
        <n v="0.279082"/>
        <n v="1.31538"/>
        <n v="82.367585"/>
        <n v="80.504517"/>
        <n v="0.106023"/>
        <n v="2873.741751"/>
        <n v="15221.22025"/>
        <n v="1254.763085"/>
        <n v="141.818135"/>
        <n v="7831.706976"/>
        <n v="162.031473"/>
        <n v="1649.091699"/>
        <n v="848.269895"/>
        <n v="0.525873"/>
        <n v="7.314819"/>
        <n v="597.382523"/>
        <n v="520.676349"/>
        <n v="309.182473"/>
        <n v="36.390825"/>
        <n v="318.702764"/>
        <n v="3.731573"/>
        <n v="22.339708"/>
        <n v="224.618831"/>
        <n v="198.984905"/>
        <n v="594.588783"/>
        <n v="3368.865598"/>
        <n v="3372.173873"/>
        <n v="39.605675"/>
        <n v="5767.139737"/>
        <n v="0.850839"/>
        <n v="370.523807"/>
        <n v="345.179241"/>
        <n v="2.198378"/>
        <n v="161.854701"/>
        <n v="145.440369"/>
        <n v="109.779905"/>
        <n v="91.105465"/>
        <n v="82.145393"/>
        <n v="67.406085"/>
        <n v="1345.404076"/>
        <n v="6175.532397"/>
        <n v="400.438319"/>
        <n v="79.544737"/>
        <n v="1693.249683"/>
        <n v="61.849902"/>
        <n v="479.086731"/>
        <n v="357.342625"/>
        <n v="200.051505"/>
        <n v="164.086365"/>
        <n v="1.334542"/>
        <n v="0.80237"/>
        <n v="114.579603"/>
        <n v="81.085424"/>
        <n v="13.757581"/>
        <n v="56.659264"/>
        <n v="52.392999"/>
        <n v="3039.610091"/>
        <n v="0.046414"/>
        <n v="13934.444727"/>
        <n v="1290.311691"/>
        <n v="225.965176"/>
        <n v="7079.594405"/>
        <n v="160.881395"/>
        <n v="1101.436074"/>
        <n v="1072.241114"/>
        <n v="1.720908"/>
        <n v="7.527529"/>
        <n v="514.083471"/>
        <n v="506.792389"/>
        <n v="345.818365"/>
        <n v="9.199635"/>
        <n v="20.010375"/>
        <n v="313.649181"/>
        <n v="202.807384"/>
        <n v="33.449024"/>
        <n v="83.087602"/>
        <n v="98.935482"/>
        <n v="21.931859"/>
        <n v="7477.973324"/>
        <n v="372.448738"/>
        <n v="3683.346589"/>
        <n v="2658.162426"/>
        <n v="1.191653"/>
        <n v="578.319131"/>
        <n v="309.261377"/>
        <n v="3.210473"/>
        <n v="168.272134"/>
        <n v="88.223206"/>
        <n v="78.136528"/>
        <n v="75.358835"/>
        <n v="56.502914"/>
        <n v="47.686528"/>
        <n v="1019.348168"/>
        <n v="5939.74968"/>
        <n v="813.651829"/>
        <n v="83.168761"/>
        <n v="2009.118857"/>
        <n v="48.973263"/>
        <n v="770.718584"/>
        <n v="297.966205"/>
        <n v="167.379323"/>
        <n v="127.422027"/>
        <n v="1.132441"/>
        <n v="0.674333"/>
        <n v="100.602947"/>
        <n v="90.136534"/>
        <n v="72.697707"/>
        <n v="14.157008"/>
        <n v="63.000511"/>
        <n v="2550.810119"/>
        <n v="12097.78742"/>
        <n v="2737.040323"/>
        <n v="141.04063"/>
        <n v="6399.18243"/>
        <n v="153.160915"/>
        <n v="1815.597704"/>
        <n v="1071.843543"/>
        <n v="517.055043"/>
        <n v="0.686201"/>
        <n v="3.466083"/>
        <n v="477.699541"/>
        <n v="382.119876"/>
        <n v="6.924144"/>
        <n v="20.303316"/>
        <n v="357.791053"/>
        <n v="19.158144"/>
        <n v="220.256091"/>
        <n v="62.670108"/>
        <n v="128.904763"/>
        <n v="618.481777"/>
        <n v="5995.710542"/>
        <n v="4346.872331"/>
        <n v="17.551945"/>
        <n v="6797.677053"/>
        <n v="0.475945"/>
        <n v="443.897371"/>
        <n v="280.43919"/>
        <n v="2.333112"/>
        <n v="168.957275"/>
        <n v="99.10065"/>
        <n v="68.122721"/>
        <n v="66.180682"/>
        <n v="51.100826"/>
        <n v="47.016439"/>
        <n v="1104.70914"/>
        <n v="5945.933384"/>
        <n v="1161.74794"/>
        <n v="47.929871"/>
        <n v="87.049257"/>
        <n v="2134.394888"/>
        <n v="53.446204"/>
        <n v="648.876279"/>
        <n v="285.062911"/>
        <n v="208.763393"/>
        <n v="160.901353"/>
        <n v="2.637589"/>
        <n v="0.673736"/>
        <n v="142.366486"/>
        <n v="68.042955"/>
        <n v="51.798101"/>
        <n v="38.340356"/>
        <n v="13.15267"/>
        <n v="2955.440042"/>
        <n v="18673.789433"/>
        <n v="3245.029801"/>
        <n v="5.149395"/>
        <n v="171.423595"/>
        <n v="9478.159229"/>
        <n v="170.628453"/>
        <n v="1233.112563"/>
        <n v="1298.676268"/>
        <n v="3.019777"/>
        <n v="5.180294"/>
        <n v="724.666235"/>
        <n v="475.925125"/>
        <n v="357.692522"/>
        <n v="6.70971"/>
        <n v="27.388981"/>
        <n v="271.082675"/>
        <n v="13.200875"/>
        <n v="243.123197"/>
        <n v="60.715272"/>
        <n v="143.892056"/>
        <n v="16.871048"/>
        <n v="9408.441847"/>
        <n v="496.745959"/>
        <n v="4540.566278"/>
        <n v="3393.635887"/>
        <n v="0.748993"/>
        <n v="324.043187"/>
        <n v="272.690067"/>
        <n v="2.105549"/>
        <n v="150.151548"/>
        <n v="106.11928"/>
        <n v="88.332611"/>
        <n v="64.83573"/>
        <n v="49.349484"/>
        <n v="43.21783"/>
        <n v="1228.08464"/>
        <n v="4286.652432"/>
        <n v="1120.362013"/>
        <n v="88.458725"/>
        <n v="2785.755125"/>
        <n v="61.275691"/>
        <n v="688.064093"/>
        <n v="224.938493"/>
        <n v="168.139456"/>
        <n v="138.358881"/>
        <n v="0.849911"/>
        <n v="0.229419"/>
        <n v="106.645087"/>
        <n v="95.727793"/>
        <n v="94.908582"/>
        <n v="91.942844"/>
        <n v="2573.47519"/>
        <n v="12847.27447"/>
        <n v="3373.018281"/>
        <n v="4.983299"/>
        <n v="183.446344"/>
        <n v="11510.50218"/>
        <n v="186.037718"/>
        <n v="1613.689563"/>
        <n v="1377.68061"/>
        <n v="1.13821"/>
        <n v="3.815782"/>
        <n v="672.520492"/>
        <n v="430.258213"/>
        <n v="7.83141"/>
        <n v="29.143439"/>
        <n v="460.246591"/>
        <n v="68.187833"/>
        <n v="148.325346"/>
        <n v="209.659188"/>
        <n v="177.459237"/>
        <n v="16.475533"/>
        <n v="12.649938"/>
        <n v="7988.045344"/>
        <n v="479.591585"/>
        <n v="3098.274716"/>
        <n v="3720.114364"/>
        <n v="288.650467"/>
        <n v="268.38488"/>
        <n v="2.076109"/>
        <n v="179.241611"/>
        <n v="98.254187"/>
        <n v="81.820759"/>
        <n v="53.44269"/>
        <n v="44.385878"/>
        <n v="34.264124"/>
        <n v="1104.694685"/>
        <n v="5315.236504"/>
        <n v="1180.550683"/>
        <n v="70.359689"/>
        <n v="2332.304375"/>
        <n v="74.095638"/>
        <n v="674.819854"/>
        <n v="253.993082"/>
        <n v="211.175607"/>
        <n v="140.682445"/>
        <n v="127.604833"/>
        <n v="100.668722"/>
        <n v="92.915289"/>
        <n v="41.641205"/>
        <n v="2257.732329"/>
        <n v="14747.014971"/>
        <n v="2942.582832"/>
        <n v="182.294011"/>
        <n v="9074.154704"/>
        <n v="220.706441"/>
        <n v="1815.368418"/>
        <n v="1260.041579"/>
        <n v="4.619411"/>
        <n v="790.268994"/>
        <n v="434.616644"/>
        <n v="6.659516"/>
        <n v="30.069205"/>
        <n v="408.107014"/>
        <n v="308.903722"/>
        <n v="257.234189"/>
        <n v="71.738722"/>
        <n v="138.916582"/>
        <n v="732.9798"/>
        <n v="460.2065"/>
        <n v="1310.1595"/>
        <n v="666.1454"/>
        <n v="367.6882"/>
        <n v="992.1755"/>
        <n v="1111.4856"/>
        <n v="333.6765"/>
        <n v="1307.2"/>
        <n v="577.6599"/>
        <n v="348.504"/>
        <n v="1561.4301"/>
        <n v="551.1929"/>
        <n v="467.6434"/>
        <n v="1050.2044"/>
        <n v="460.8189"/>
        <n v="436.7045"/>
        <n v="1010.165"/>
        <n v="432.3733"/>
        <n v="311.9152"/>
        <n v="894.3061"/>
        <n v="350.6479"/>
        <n v="312.313"/>
        <n v="794.332"/>
        <n v="175.3501"/>
        <n v="150.9338"/>
        <n v="633.9507"/>
        <n v="42.9389"/>
        <n v="96.6346"/>
        <n v="461.7895"/>
        <n v="37.7528"/>
        <n v="97.2256"/>
        <n v="353.291"/>
        <n v="14.3406"/>
        <n v="123.6008"/>
        <n v="223.1901"/>
      </sharedItems>
    </cacheField>
    <cacheField name="Volume (in 1000 kg)">
      <sharedItems containsDate="1" containsMixedTypes="1">
        <d v="1972-03-01T00:00:00Z"/>
        <s v="20.3855"/>
        <s v="19.2051"/>
        <s v="0.0265"/>
        <s v="17.9715"/>
        <s v="0.5153"/>
        <s v="0.0063"/>
        <s v="0.6237"/>
        <s v="0.4026"/>
        <s v="0.0001"/>
        <s v="0.5242"/>
        <s v="0.2861"/>
        <s v="0.0667"/>
        <s v="0.0385"/>
        <s v="0.0005"/>
        <s v="0.0865"/>
        <s v="18.5833"/>
        <s v="20.1918"/>
        <d v="4171-01-01T00:00:00Z"/>
        <s v="0.2142"/>
        <s v="0.0195"/>
        <d v="2445-03-01T00:00:00Z"/>
        <s v="0.1621"/>
        <d v="2846-04-01T00:00:00Z"/>
        <d v="4609-01-01T00:00:00Z"/>
        <d v="5567-01-01T00:00:00Z"/>
        <s v="0.8496"/>
        <s v="0.0694"/>
        <s v="0.4674"/>
        <s v="0.001"/>
        <s v="0.0009"/>
        <s v="0.3483"/>
        <s v="0.313"/>
        <s v="0.0358"/>
        <s v="0.3467"/>
        <s v="42.1534"/>
        <s v="55.8309"/>
        <d v="9606-04-01T00:00:00Z"/>
        <s v="0.0065"/>
        <s v="0.2461"/>
        <s v="22.4747"/>
        <s v="0.4084"/>
        <d v="8459-06-01T00:00:00Z"/>
        <d v="6402-02-01T00:00:00Z"/>
        <n v="-426936.0"/>
        <s v="0.2046"/>
        <s v="0.217"/>
        <s v="0.0042"/>
        <s v="0.0302"/>
        <s v="0.504"/>
        <s v="0.9618"/>
        <s v="0.0024"/>
        <s v="0.0058"/>
        <s v="0.5861"/>
        <s v="0.0481"/>
        <s v="0.2087"/>
        <d v="3326-02-01T00:00:00Z"/>
        <s v="16.4889"/>
        <s v="16.2075"/>
        <s v="0.0178"/>
        <s v="14.3399"/>
        <s v="0.4525"/>
        <s v="0.0027"/>
        <s v="0.6647"/>
        <s v="0.5445"/>
        <s v="0.1528"/>
        <s v="0.2409"/>
        <s v="0.0628"/>
        <s v="0.0808"/>
        <s v="0.0362"/>
        <s v="0.0017"/>
        <s v="17.3156"/>
        <s v="19.1384"/>
        <d v="6151-01-01T00:00:00Z"/>
        <s v="0.2197"/>
        <s v="0.0172"/>
        <n v="-442612.0"/>
        <s v="0.2506"/>
        <d v="5393-02-01T00:00:00Z"/>
        <n v="-596439.0"/>
        <n v="-418566.0"/>
        <s v="0.1253"/>
        <s v="0.0006"/>
        <s v="0.0013"/>
        <s v="0.4197"/>
        <s v="0.5133"/>
        <s v="0.7821"/>
        <s v="0.2611"/>
        <s v="0.0239"/>
        <s v="0.155"/>
        <s v="44.4841"/>
        <s v="45.3348"/>
        <d v="6893-03-01T00:00:00Z"/>
        <s v="0.0114"/>
        <s v="0.1972"/>
        <d v="8206-11-01T00:00:00Z"/>
        <s v="0.5952"/>
        <d v="3849-09-01T00:00:00Z"/>
        <d v="8028-01-01T00:00:00Z"/>
        <s v="0.0032"/>
        <s v="0.0023"/>
        <d v="4945-01-01T00:00:00Z"/>
        <s v="0.2481"/>
        <s v="0.0051"/>
        <s v="0.0435"/>
        <d v="6441-01-01T00:00:00Z"/>
        <s v="1.878"/>
        <s v="0.1425"/>
        <d v="1918-01-01T00:00:00Z"/>
        <s v="0.4414"/>
        <d v="9635-02-01T00:00:00Z"/>
        <s v="25.8113"/>
        <s v="27.7771"/>
        <s v="0.6191"/>
        <s v="18.0827"/>
        <s v="0.6851"/>
        <s v="0.0038"/>
        <s v="0.9196"/>
        <s v="0.9944"/>
        <s v="0.2935"/>
        <s v="0.3999"/>
        <s v="0.1804"/>
        <s v="0.2911"/>
        <s v="0.1123"/>
        <s v="11.022"/>
        <s v="22.0441"/>
        <d v="8055-01-01T00:00:00Z"/>
        <s v="0.2349"/>
        <s v="0.1254"/>
        <d v="8821-07-01T00:00:00Z"/>
        <s v="0.2888"/>
        <n v="-52502.0"/>
        <s v="0.9893"/>
        <d v="2737-01-01T00:00:00Z"/>
        <s v="0.0605"/>
        <s v="0.0004"/>
        <s v="0.0019"/>
        <s v="0.4904"/>
        <s v="0.7257"/>
        <s v="0.5331"/>
        <s v="0.2406"/>
        <s v="0.7365"/>
        <s v="34.0053"/>
        <s v="55.9166"/>
        <s v="13.2763"/>
        <s v="0.0122"/>
        <s v="0.2925"/>
        <s v="29.5063"/>
        <s v="0.6877"/>
        <s v="11.753"/>
        <s v="0.0129"/>
        <s v="1.809"/>
        <d v="7531-03-01T00:00:00Z"/>
        <d v="6874-01-01T00:00:00Z"/>
        <s v="0.4248"/>
        <s v="0.018"/>
        <s v="0.0844"/>
        <d v="5491-02-01T00:00:00Z"/>
        <s v="0.1563"/>
        <s v="0.2229"/>
        <n v="-368131.0"/>
        <s v="0.1329"/>
        <d v="3809-02-01T00:00:00Z"/>
        <s v="18.986"/>
        <d v="8916-12-01T00:00:00Z"/>
        <s v="0.6051"/>
        <d v="6546-11-01T00:00:00Z"/>
        <s v="0.0035"/>
        <n v="-198690.0"/>
        <s v="0.3061"/>
        <s v="0.0012"/>
        <s v="0.8379"/>
        <s v="0.2001"/>
        <s v="0.5076"/>
        <s v="0.2774"/>
        <s v="0.1553"/>
        <s v="0.0883"/>
        <d v="6138-08-01T00:00:00Z"/>
        <s v="21.3847"/>
        <d v="4317-01-01T00:00:00Z"/>
        <s v="0.2273"/>
        <s v="0.2146"/>
        <n v="-168924.0"/>
        <s v="0.285"/>
        <d v="6641-03-01T00:00:00Z"/>
        <s v="0.8014"/>
        <s v="0.7784"/>
        <s v="0.8314"/>
        <s v="0.0002"/>
        <s v="0.5152"/>
        <s v="0.5864"/>
        <s v="0.3882"/>
        <s v="0.3905"/>
        <s v="0.2862"/>
        <s v="0.0034"/>
        <s v="19.7551"/>
        <s v="52.6541"/>
        <n v="-335504.0"/>
        <s v="0.0118"/>
        <s v="0.2561"/>
        <s v="16.4286"/>
        <s v="0.6881"/>
        <d v="7526-11-01T00:00:00Z"/>
        <s v="0.0014"/>
        <s v="0.0232"/>
        <d v="7402-01-01T00:00:00Z"/>
        <d v="6007-03-01T00:00:00Z"/>
        <s v="0.435"/>
        <s v="0.0086"/>
        <s v="0.068"/>
        <n v="-250919.0"/>
        <s v="0.9"/>
        <s v="0.1519"/>
        <s v="0.224"/>
        <s v="2.007"/>
        <s v="0.228"/>
        <n v="-4350.0"/>
        <s v="14.9549"/>
        <s v="19.3361"/>
        <s v="0.2729"/>
        <s v="13.6727"/>
        <d v="7256-01-01T00:00:00Z"/>
        <s v="0.3006"/>
        <s v="0.0161"/>
        <s v="0.8343"/>
        <s v="0.9851"/>
        <s v="0.1692"/>
        <s v="0.2795"/>
        <s v="0.1463"/>
        <s v="0.0754"/>
        <d v="2026-01-08T00:00:00Z"/>
        <s v="21.8865"/>
        <d v="4308-01-01T00:00:00Z"/>
        <s v="0.2199"/>
        <d v="5355-04-01T00:00:00Z"/>
        <s v="0.2642"/>
        <d v="8979-01-01T00:00:00Z"/>
        <d v="6661-01-01T00:00:00Z"/>
        <s v="0.6973"/>
        <s v="0.0028"/>
        <s v="0.5578"/>
        <n v="-64281.0"/>
        <s v="0.1658"/>
        <s v="0.4957"/>
        <s v="0.4393"/>
        <s v="0.5444"/>
        <s v="17.4319"/>
        <s v="48.6907"/>
        <d v="6273-05-01T00:00:00Z"/>
        <s v="0.013"/>
        <s v="0.2582"/>
        <d v="2789-12-01T00:00:00Z"/>
        <s v="0.7115"/>
        <d v="5312-08-01T00:00:00Z"/>
        <s v="0.0025"/>
        <s v="0.0176"/>
        <d v="8646-01-01T00:00:00Z"/>
        <d v="5029-03-01T00:00:00Z"/>
        <n v="-77429.0"/>
        <s v="0.2919"/>
        <s v="0.009"/>
        <s v="0.0455"/>
        <d v="4631-01-01T00:00:00Z"/>
        <d v="7706-01-01T00:00:00Z"/>
        <s v="0.1939"/>
        <s v="0.159"/>
        <s v="0.0728"/>
        <d v="5805-01-01T00:00:00Z"/>
        <s v="19.9028"/>
        <d v="3659-11-01T00:00:00Z"/>
        <s v="0.2251"/>
        <d v="8914-10-01T00:00:00Z"/>
        <d v="2478-01-01T00:00:00Z"/>
        <s v="0.3557"/>
        <s v="0.0112"/>
        <s v="0.6971"/>
        <s v="0.2797"/>
        <s v="0.4763"/>
        <s v="0.2064"/>
        <s v="0.2429"/>
        <s v="0.082"/>
        <d v="8318-04-01T00:00:00Z"/>
        <s v="17.3364"/>
        <s v="0.8422"/>
        <s v="0.2128"/>
        <s v="0.0827"/>
        <n v="-593792.0"/>
        <s v="0.1977"/>
        <d v="6584-01-01T00:00:00Z"/>
        <s v="0.6737"/>
        <s v="0.8061"/>
        <s v="0.9208"/>
        <s v="0.1689"/>
        <s v="0.3189"/>
        <s v="0.4731"/>
        <s v="0.2486"/>
        <s v="0.2575"/>
        <d v="7144-10-01T00:00:00Z"/>
        <s v="37.707"/>
        <d v="5321-03-01T00:00:00Z"/>
        <s v="0.0126"/>
        <s v="0.3106"/>
        <d v="8122-11-01T00:00:00Z"/>
        <s v="0.5724"/>
        <d v="2631-04-01T00:00:00Z"/>
        <d v="8679-02-01T00:00:00Z"/>
        <s v="0.0011"/>
        <s v="0.0131"/>
        <s v="0.8355"/>
        <s v="0.9833"/>
        <d v="5361-02-01T00:00:00Z"/>
        <s v="0.1754"/>
        <s v="0.2237"/>
        <s v="0.0049"/>
        <s v="0.4494"/>
        <s v="0.1017"/>
        <s v="0.0553"/>
        <d v="6698-01-01T00:00:00Z"/>
        <s v="13.3033"/>
        <n v="-129690.0"/>
        <s v="0.2534"/>
        <s v="16.2127"/>
        <d v="2021-01-01T00:00:00Z"/>
        <s v="0.4205"/>
        <s v="0.0157"/>
        <s v="0.9608"/>
        <s v="0.5466"/>
        <s v="0.2502"/>
        <s v="0.1787"/>
        <s v="0.2833"/>
        <s v="0.2119"/>
        <d v="5455-04-01T00:00:00Z"/>
        <s v="20.9554"/>
        <s v="0.8954"/>
        <s v="0.0972"/>
        <n v="-263978.0"/>
        <s v="0.2715"/>
        <d v="3858-02-01T00:00:00Z"/>
        <s v="0.6837"/>
        <s v="0.1557"/>
        <s v="0.4395"/>
        <s v="0.3801"/>
        <s v="0.2166"/>
        <s v="0.2793"/>
        <s v="0.0003"/>
        <d v="4189-08-01T00:00:00Z"/>
        <s v="54.0723"/>
        <d v="4704-04-01T00:00:00Z"/>
        <s v="0.2012"/>
        <s v="16.2843"/>
        <s v="0.7386"/>
        <d v="6118-08-01T00:00:00Z"/>
        <d v="2099-03-01T00:00:00Z"/>
        <s v="0.007"/>
        <s v="0.9447"/>
        <s v="0.9398"/>
        <d v="2287-02-01T00:00:00Z"/>
        <s v="0.1964"/>
        <s v="0.1843"/>
        <s v="0.021"/>
        <d v="3597-01-01T00:00:00Z"/>
        <s v="0.4133"/>
        <d v="6988-01-01T00:00:00Z"/>
        <d v="7176-10-01T00:00:00Z"/>
        <s v="13.0236"/>
        <s v="0.0932"/>
        <d v="2308-11-01T00:00:00Z"/>
        <s v="0.0007"/>
        <s v="0.944"/>
        <s v="0.5976"/>
        <s v="0.0107"/>
        <s v="0.8689"/>
        <s v="0.5997"/>
        <s v="0.7254"/>
        <s v="0.4078"/>
        <s v="0.34"/>
        <s v="0.1567"/>
        <d v="6894-03-01T00:00:00Z"/>
        <s v="20.3505"/>
        <d v="3064-01-01T00:00:00Z"/>
        <s v="0.1296"/>
        <d v="8904-03-01T00:00:00Z"/>
        <s v="0.2721"/>
        <d v="4318-02-01T00:00:00Z"/>
        <s v="0.7239"/>
        <s v="0.3454"/>
        <s v="0.6684"/>
        <s v="0.2728"/>
        <s v="0.4371"/>
        <s v="0.0727"/>
        <s v="0.1921"/>
        <s v="0.165"/>
        <d v="2251-09-01T00:00:00Z"/>
        <s v="47.7732"/>
        <s v="4.363"/>
        <s v="0.3244"/>
        <s v="14.1701"/>
        <s v="0.7303"/>
        <d v="8872-04-01T00:00:00Z"/>
        <d v="3159-04-01T00:00:00Z"/>
        <s v="0.0069"/>
        <s v="0.7876"/>
        <d v="1939-01-01T00:00:00Z"/>
        <s v="0.1978"/>
        <s v="0.0072"/>
        <s v="0.0188"/>
        <d v="9622-01-01T00:00:00Z"/>
        <d v="1919-01-01T00:00:00Z"/>
        <s v="0.0592"/>
        <s v="0.1187"/>
        <s v="0.0518"/>
        <s v="15.587"/>
        <s v="0.9392"/>
        <d v="8973-12-01T00:00:00Z"/>
        <n v="-527500.0"/>
        <s v="0.0015"/>
        <d v="5034-01-01T00:00:00Z"/>
        <s v="0.5214"/>
        <s v="0.014"/>
        <s v="0.8753"/>
        <s v="0.341"/>
        <s v="0.2972"/>
        <s v="0.2858"/>
        <s v="0.3686"/>
        <s v="0.0918"/>
        <d v="8586-02-01T00:00:00Z"/>
        <s v="18.869"/>
        <n v="-507261.0"/>
        <s v="0.1406"/>
        <d v="4013-04-01T00:00:00Z"/>
        <s v="0.2035"/>
        <n v="-458988.0"/>
        <s v="0.6853"/>
        <s v="0.6651"/>
        <s v="0.3354"/>
        <s v="0.2511"/>
        <s v="0.1502"/>
        <s v="0.4295"/>
        <s v="0.0775"/>
        <s v="0.1945"/>
        <s v="7.052"/>
        <s v="35.4944"/>
        <d v="1936-10-01T00:00:00Z"/>
        <s v="0.2171"/>
        <d v="4106-12-01T00:00:00Z"/>
        <s v="0.642"/>
        <d v="4241-09-01T00:00:00Z"/>
        <n v="-209557.0"/>
        <d v="2192-01-01T00:00:00Z"/>
        <s v="0.0031"/>
        <s v="0.7013"/>
        <s v="0.2225"/>
        <s v="0.005"/>
        <s v="0.019"/>
        <s v="0.0823"/>
        <s v="0.3924"/>
        <s v="0.0432"/>
        <d v="7024-01-01T00:00:00Z"/>
        <s v="22.771"/>
        <s v="17.4737"/>
        <s v="0.0359"/>
        <s v="13.2122"/>
        <n v="-132581.0"/>
        <s v="0.4309"/>
        <s v="0.0102"/>
        <s v="0.8397"/>
        <s v="0.3838"/>
        <s v="0.2634"/>
        <s v="0.3408"/>
        <s v="0.1046"/>
        <s v="0.1891"/>
        <d v="9553-02-01T00:00:00Z"/>
        <s v="18.5955"/>
        <d v="3691-04-01T00:00:00Z"/>
        <s v="0.2226"/>
        <s v="0.1358"/>
        <s v="4.969"/>
        <s v="0.2205"/>
        <d v="7405-03-01T00:00:00Z"/>
        <s v="0.6444"/>
        <s v="0.8404"/>
        <s v="0.3026"/>
        <s v="0.3335"/>
        <s v="0.356"/>
        <s v="0.4646"/>
        <s v="0.2266"/>
        <s v="0.0743"/>
        <d v="7792-08-01T00:00:00Z"/>
        <s v="68.435"/>
        <d v="8374-11-01T00:00:00Z"/>
        <s v="0.0187"/>
        <s v="0.2436"/>
        <s v="20.5402"/>
        <s v="0.7149"/>
        <d v="8029-05-01T00:00:00Z"/>
        <n v="-319830.0"/>
        <s v="0.0056"/>
        <n v="-44192.0"/>
        <n v="-529964.0"/>
        <s v="0.0052"/>
        <s v="0.0261"/>
        <d v="6425-01-01T00:00:00Z"/>
        <s v="0.0513"/>
        <s v="0.4511"/>
        <s v="0.0389"/>
        <s v="0.1722"/>
        <s v="0.032"/>
        <s v="21.1356"/>
        <d v="2735-01-01T00:00:00Z"/>
        <s v="17.3713"/>
        <s v="13.7086"/>
        <s v="0.7725"/>
        <s v="0.4077"/>
        <s v="0.713"/>
        <s v="0.4161"/>
        <s v="0.3724"/>
        <s v="0.1442"/>
        <s v="0.2075"/>
        <s v="0.3389"/>
        <d v="2142-03-01T00:00:00Z"/>
        <d v="7249-11-01T00:00:00Z"/>
        <s v="3.94"/>
        <s v="0.1451"/>
        <d v="6926-06-01T00:00:00Z"/>
        <s v="0.2457"/>
        <s v="3.76"/>
        <s v="0.9488"/>
        <s v="0.4465"/>
        <s v="0.2433"/>
        <s v="0.1736"/>
        <s v="0.4872"/>
        <s v="0.2666"/>
        <s v="0.5587"/>
        <d v="9144-06-01T00:00:00Z"/>
        <s v="38.3445"/>
        <d v="3856-12-01T00:00:00Z"/>
        <s v="0.2675"/>
        <s v="26.7505"/>
        <s v="0.7373"/>
        <d v="6349-07-01T00:00:00Z"/>
        <d v="6047-05-01T00:00:00Z"/>
        <s v="0.004"/>
        <n v="-523390.0"/>
        <s v="0.2431"/>
        <s v="0.0273"/>
        <n v="-353918.0"/>
        <s v="0.0416"/>
        <s v="0.1746"/>
        <s v="0.3658"/>
        <s v="0.8664"/>
        <s v="0.0564"/>
        <s v="0.0194"/>
        <s v="16.6831"/>
        <d v="2135-01-01T00:00:00Z"/>
        <d v="2393-09-01T00:00:00Z"/>
        <s v="15.0265"/>
        <s v="0.433"/>
        <s v="0.5885"/>
        <s v="0.0092"/>
        <s v="0.8693"/>
        <s v="0.3886"/>
        <s v="0.3464"/>
        <s v="0.1163"/>
        <s v="0.0698"/>
        <d v="9453-02-01T00:00:00Z"/>
        <s v="14.678"/>
        <s v="4.336"/>
        <s v="0.1119"/>
        <d v="2404-05-01T00:00:00Z"/>
        <s v="0.3029"/>
        <d v="5236-03-01T00:00:00Z"/>
        <d v="7255-01-01T00:00:00Z"/>
        <s v="0.8324"/>
        <s v="0.3449"/>
        <s v="0.1824"/>
        <s v="0.2454"/>
        <s v="0.0778"/>
        <d v="7828-05-01T00:00:00Z"/>
        <s v="43.5916"/>
        <d v="9131-10-01T00:00:00Z"/>
        <s v="0.2789"/>
        <s v="20.3016"/>
        <s v="0.9045"/>
        <d v="9037-08-01T00:00:00Z"/>
        <d v="8472-04-01T00:00:00Z"/>
        <s v="0.0046"/>
        <d v="4754-01-01T00:00:00Z"/>
        <s v="0.2563"/>
        <s v="0.0045"/>
        <s v="0.0287"/>
        <s v="0.969"/>
        <d v="5692-02-01T00:00:00Z"/>
        <s v="0.4488"/>
        <s v="0.0418"/>
        <s v="0.1454"/>
        <n v="-654847.0"/>
        <d v="2358-01-01T00:00:00Z"/>
        <d v="4417-03-01T00:00:00Z"/>
        <d v="9584-01-01T00:00:00Z"/>
        <s v="0.9324"/>
        <d v="4246-02-01T00:00:00Z"/>
        <d v="2486-03-01T00:00:00Z"/>
        <s v="0.7989"/>
        <d v="7056-03-01T00:00:00Z"/>
        <d v="4761-01-01T00:00:00Z"/>
        <s v="0.8519"/>
        <d v="6012-05-01T00:00:00Z"/>
        <d v="3675-01-01T00:00:00Z"/>
        <s v="1.151"/>
        <d v="8758-02-01T00:00:00Z"/>
        <n v="-147556.0"/>
        <n v="-107744.0"/>
        <d v="7029-02-01T00:00:00Z"/>
        <n v="-233022.0"/>
        <s v="0.7414"/>
        <d v="3686-02-01T00:00:00Z"/>
        <s v="0.9989"/>
        <s v="0.7519"/>
        <d v="9682-01-01T00:00:00Z"/>
        <s v="0.5601"/>
        <s v="0.3917"/>
        <d v="5157-01-01T00:00:00Z"/>
        <s v="0.1161"/>
        <s v="0.2852"/>
        <n v="-601918.0"/>
        <s v="0.1054"/>
        <s v="0.2348"/>
        <s v="0.8473"/>
        <s v="0.035"/>
        <s v="0.42"/>
        <s v="0.5018"/>
      </sharedItems>
    </cacheField>
    <cacheField name="Number of stores" numFmtId="0">
      <sharedItems containsSemiMixedTypes="0" containsString="0" containsNumber="1" containsInteger="1">
        <n v="536.0"/>
        <n v="758.0"/>
        <n v="633.0"/>
        <n v="10.0"/>
        <n v="728.0"/>
        <n v="210.0"/>
        <n v="13.0"/>
        <n v="178.0"/>
        <n v="39.0"/>
        <n v="2.0"/>
        <n v="155.0"/>
        <n v="209.0"/>
        <n v="110.0"/>
        <n v="80.0"/>
        <n v="1.0"/>
        <n v="0.0"/>
        <n v="9100.0"/>
        <n v="9322.0"/>
        <n v="721.0"/>
        <n v="163.0"/>
        <n v="24.0"/>
        <n v="1351.0"/>
        <n v="128.0"/>
        <n v="1386.0"/>
        <n v="2897.0"/>
        <n v="435.0"/>
        <n v="769.0"/>
        <n v="56.0"/>
        <n v="422.0"/>
        <n v="97.0"/>
        <n v="921.0"/>
        <n v="17167.0"/>
        <n v="17397.0"/>
        <n v="729.0"/>
        <n v="3.0"/>
        <n v="286.0"/>
        <n v="4241.0"/>
        <n v="309.0"/>
        <n v="1751.0"/>
        <n v="4284.0"/>
        <n v="1598.0"/>
        <n v="201.0"/>
        <n v="112.0"/>
        <n v="5.0"/>
        <n v="44.0"/>
        <n v="2426.0"/>
        <n v="4.0"/>
        <n v="14.0"/>
        <n v="188.0"/>
        <n v="533.0"/>
        <n v="744.0"/>
        <n v="641.0"/>
        <n v="694.0"/>
        <n v="202.0"/>
        <n v="7.0"/>
        <n v="171.0"/>
        <n v="151.0"/>
        <n v="34.0"/>
        <n v="251.0"/>
        <n v="108.0"/>
        <n v="82.0"/>
        <n v="9842.0"/>
        <n v="8884.0"/>
        <n v="698.0"/>
        <n v="179.0"/>
        <n v="22.0"/>
        <n v="1087.0"/>
        <n v="153.0"/>
        <n v="1340.0"/>
        <n v="2437.0"/>
        <n v="960.0"/>
        <n v="180.0"/>
        <n v="1290.0"/>
        <n v="463.0"/>
        <n v="359.0"/>
        <n v="52.0"/>
        <n v="18131.0"/>
        <n v="16535.0"/>
        <n v="690.0"/>
        <n v="276.0"/>
        <n v="3996.0"/>
        <n v="321.0"/>
        <n v="1739.0"/>
        <n v="3804.0"/>
        <n v="411.0"/>
        <n v="99.0"/>
        <n v="42.0"/>
        <n v="2630.0"/>
        <n v="1629.0"/>
        <n v="145.0"/>
        <n v="2653.0"/>
        <n v="478.0"/>
        <n v="710.0"/>
        <n v="618.0"/>
        <n v="92.0"/>
        <n v="675.0"/>
        <n v="191.0"/>
        <n v="8.0"/>
        <n v="169.0"/>
        <n v="148.0"/>
        <n v="30.0"/>
        <n v="291.0"/>
        <n v="117.0"/>
        <n v="8349.0"/>
        <n v="9221.0"/>
        <n v="786.0"/>
        <n v="64.0"/>
        <n v="2934.0"/>
        <n v="136.0"/>
        <n v="1371.0"/>
        <n v="2432.0"/>
        <n v="868.0"/>
        <n v="147.0"/>
        <n v="385.0"/>
        <n v="1604.0"/>
        <n v="642.0"/>
        <n v="454.0"/>
        <n v="16513.0"/>
        <n v="17796.0"/>
        <n v="918.0"/>
        <n v="281.0"/>
        <n v="5015.0"/>
        <n v="335.0"/>
        <n v="1770.0"/>
        <n v="15.0"/>
        <n v="470.0"/>
        <n v="3545.0"/>
        <n v="3564.0"/>
        <n v="116.0"/>
        <n v="6.0"/>
        <n v="3499.0"/>
        <n v="1692.0"/>
        <n v="135.0"/>
        <n v="442.0"/>
        <n v="679.0"/>
        <n v="538.0"/>
        <n v="167.0"/>
        <n v="140.0"/>
        <n v="104.0"/>
        <n v="245.0"/>
        <n v="125.0"/>
        <n v="7512.0"/>
        <n v="8855.0"/>
        <n v="472.0"/>
        <n v="73.0"/>
        <n v="2396.0"/>
        <n v="1409.0"/>
        <n v="1675.0"/>
        <n v="883.0"/>
        <n v="388.0"/>
        <n v="814.0"/>
        <n v="1026.0"/>
        <n v="566.0"/>
        <n v="13935.0"/>
        <n v="17610.0"/>
        <n v="971.0"/>
        <n v="230.0"/>
        <n v="4466.0"/>
        <n v="337.0"/>
        <n v="1760.0"/>
        <n v="28.0"/>
        <n v="426.0"/>
        <n v="3276.0"/>
        <n v="122.0"/>
        <n v="2641.0"/>
        <n v="1569.0"/>
        <n v="130.0"/>
        <n v="423.0"/>
        <n v="677.0"/>
        <n v="554.0"/>
        <n v="89.0"/>
        <n v="649.0"/>
        <n v="9.0"/>
        <n v="166.0"/>
        <n v="159.0"/>
        <n v="132.0"/>
        <n v="109.0"/>
        <n v="234.0"/>
        <n v="6985.0"/>
        <n v="8839.0"/>
        <n v="438.0"/>
        <n v="168.0"/>
        <n v="72.0"/>
        <n v="1918.0"/>
        <n v="134.0"/>
        <n v="1380.0"/>
        <n v="870.0"/>
        <n v="1441.0"/>
        <n v="11.0"/>
        <n v="345.0"/>
        <n v="915.0"/>
        <n v="144.0"/>
        <n v="529.0"/>
        <n v="1203.0"/>
        <n v="336.0"/>
        <n v="12256.0"/>
        <n v="18024.0"/>
        <n v="891.0"/>
        <n v="293.0"/>
        <n v="4051.0"/>
        <n v="352.0"/>
        <n v="1669.0"/>
        <n v="33.0"/>
        <n v="447.0"/>
        <n v="3211.0"/>
        <n v="2563.0"/>
        <n v="121.0"/>
        <n v="1506.0"/>
        <n v="403.0"/>
        <n v="681.0"/>
        <n v="558.0"/>
        <n v="85.0"/>
        <n v="636.0"/>
        <n v="189.0"/>
        <n v="156.0"/>
        <n v="123.0"/>
        <n v="111.0"/>
        <n v="129.0"/>
        <n v="5156.0"/>
        <n v="9047.0"/>
        <n v="405.0"/>
        <n v="79.0"/>
        <n v="1724.0"/>
        <n v="1378.0"/>
        <n v="1548.0"/>
        <n v="800.0"/>
        <n v="735.0"/>
        <n v="139.0"/>
        <n v="569.0"/>
        <n v="548.0"/>
        <n v="9488.0"/>
        <n v="17303.0"/>
        <n v="824.0"/>
        <n v="4155.0"/>
        <n v="1694.0"/>
        <n v="2990.0"/>
        <n v="31.0"/>
        <n v="353.0"/>
        <n v="2267.0"/>
        <n v="1670.0"/>
        <n v="106.0"/>
        <n v="37.0"/>
        <n v="431.0"/>
        <n v="654.0"/>
        <n v="540.0"/>
        <n v="81.0"/>
        <n v="627.0"/>
        <n v="176.0"/>
        <n v="157.0"/>
        <n v="107.0"/>
        <n v="146.0"/>
        <n v="114.0"/>
        <n v="4711.0"/>
        <n v="9650.0"/>
        <n v="432.0"/>
        <n v="83.0"/>
        <n v="1693.0"/>
        <n v="133.0"/>
        <n v="1430.0"/>
        <n v="1365.0"/>
        <n v="780.0"/>
        <n v="525.0"/>
        <n v="7904.0"/>
        <n v="18868.0"/>
        <n v="724.0"/>
        <n v="224.0"/>
        <n v="3981.0"/>
        <n v="357.0"/>
        <n v="1727.0"/>
        <n v="3168.0"/>
        <n v="29.0"/>
        <n v="406.0"/>
        <n v="2169.0"/>
        <n v="1453.0"/>
        <n v="36.0"/>
        <n v="408.0"/>
        <n v="490.0"/>
        <n v="65.0"/>
        <n v="620.0"/>
        <n v="115.0"/>
        <n v="3957.0"/>
        <n v="9622.0"/>
        <n v="873.0"/>
        <n v="1743.0"/>
        <n v="200.0"/>
        <n v="1405.0"/>
        <n v="1354.0"/>
        <n v="856.0"/>
        <n v="254.0"/>
        <n v="676.0"/>
        <n v="101.0"/>
        <n v="424.0"/>
        <n v="7021.0"/>
        <n v="19290.0"/>
        <n v="2403.0"/>
        <n v="262.0"/>
        <n v="3846.0"/>
        <n v="350.0"/>
        <n v="1795.0"/>
        <n v="3741.0"/>
        <n v="20.0"/>
        <n v="413.0"/>
        <n v="2265.0"/>
        <n v="35.0"/>
        <n v="131.0"/>
        <n v="1758.0"/>
        <n v="120.0"/>
        <n v="32.0"/>
        <n v="622.0"/>
        <n v="561.0"/>
        <n v="459.0"/>
        <n v="164.0"/>
        <n v="3207.0"/>
        <n v="8071.0"/>
        <n v="1798.0"/>
        <n v="1621.0"/>
        <n v="1396.0"/>
        <n v="984.0"/>
        <n v="825.0"/>
        <n v="322.0"/>
        <n v="487.0"/>
        <n v="5417.0"/>
        <n v="16888.0"/>
        <n v="4012.0"/>
        <n v="3549.0"/>
        <n v="338.0"/>
        <n v="1827.0"/>
        <n v="3759.0"/>
        <n v="2145.0"/>
        <n v="12.0"/>
        <n v="375.0"/>
        <n v="1472.0"/>
        <n v="78.0"/>
        <n v="392.0"/>
        <n v="624.0"/>
        <n v="522.0"/>
        <n v="629.0"/>
        <n v="162.0"/>
        <n v="113.0"/>
        <n v="67.0"/>
        <n v="137.0"/>
        <n v="2918.0"/>
        <n v="8665.0"/>
        <n v="2423.0"/>
        <n v="170.0"/>
        <n v="1809.0"/>
        <n v="193.0"/>
        <n v="1361.0"/>
        <n v="1455.0"/>
        <n v="1064.0"/>
        <n v="312.0"/>
        <n v="341.0"/>
        <n v="441.0"/>
        <n v="103.0"/>
        <n v="4562.0"/>
        <n v="18126.0"/>
        <n v="4735.0"/>
        <n v="317.0"/>
        <n v="3575.0"/>
        <n v="340.0"/>
        <n v="1747.0"/>
        <n v="3925.0"/>
        <n v="1957.0"/>
        <n v="1321.0"/>
        <n v="69.0"/>
        <n v="623.0"/>
        <n v="530.0"/>
        <n v="158.0"/>
        <n v="76.0"/>
        <n v="2865.0"/>
        <n v="8472.0"/>
        <n v="3215.0"/>
        <n v="211.0"/>
        <n v="2672.0"/>
        <n v="143.0"/>
        <n v="1374.0"/>
        <n v="820.0"/>
        <n v="1008.0"/>
        <n v="174.0"/>
        <n v="382.0"/>
        <n v="782.0"/>
        <n v="4883.0"/>
        <n v="17478.0"/>
        <n v="5795.0"/>
        <n v="343.0"/>
        <n v="8509.0"/>
        <n v="1850.0"/>
        <n v="4305.0"/>
        <n v="18.0"/>
        <n v="564.0"/>
        <n v="102.0"/>
        <n v="2059.0"/>
        <n v="1080.0"/>
        <n v="74.0"/>
        <n v="615.0"/>
        <n v="389.0"/>
        <n v="596.0"/>
        <n v="501.0"/>
        <n v="119.0"/>
        <n v="75.0"/>
        <n v="2688.0"/>
        <n v="7912.0"/>
        <n v="3076.0"/>
        <n v="229.0"/>
        <n v="2389.0"/>
        <n v="1357.0"/>
        <n v="686.0"/>
        <n v="1073.0"/>
        <n v="946.0"/>
        <n v="244.0"/>
        <n v="547.0"/>
        <n v="4364.0"/>
        <n v="16029.0"/>
        <n v="6072.0"/>
        <n v="295.0"/>
        <n v="8459.0"/>
        <n v="354.0"/>
        <n v="1841.0"/>
        <n v="3776.0"/>
        <n v="1083.0"/>
        <n v="43.0"/>
        <n v="1679.0"/>
        <n v="840.0"/>
        <n v="1101.0"/>
        <n v="1929.0"/>
        <n v="843.0"/>
        <n v="1624.0"/>
        <n v="339.0"/>
        <n v="791.0"/>
        <n v="1466.0"/>
        <n v="310.0"/>
        <n v="778.0"/>
        <n v="1607.0"/>
        <n v="1236.0"/>
        <n v="315.0"/>
        <n v="846.0"/>
        <n v="1255.0"/>
        <n v="301.0"/>
        <n v="589.0"/>
        <n v="1201.0"/>
        <n v="813.0"/>
        <n v="154.0"/>
        <n v="311.0"/>
        <n v="1050.0"/>
        <n v="46.0"/>
        <n v="404.0"/>
        <n v="858.0"/>
        <n v="187.0"/>
        <n v="514.0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82" sheet="2022 raw"/>
  </cacheSource>
  <cacheFields>
    <cacheField name="Year" numFmtId="0">
      <sharedItems>
        <s v="2022"/>
      </sharedItems>
    </cacheField>
    <cacheField name="Month" numFmtId="0">
      <sharedItems>
        <s v="1"/>
        <s v="2"/>
        <s v="3"/>
        <s v="4"/>
        <s v="5"/>
        <s v="6"/>
        <s v="7"/>
        <s v="8"/>
        <s v="9"/>
        <s v="10"/>
        <s v="11"/>
        <s v="12"/>
      </sharedItems>
    </cacheField>
    <cacheField name="Month clean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White"/>
        <s v="Orange"/>
        <s v="Red"/>
        <s v="Yellow"/>
        <s v="Magenta"/>
        <s v="Purple"/>
        <s v="Pink"/>
        <s v="Cotton"/>
        <s v="Snow"/>
        <s v="Rosy"/>
        <s v="Lilac"/>
        <s v="Black"/>
        <s v="Deep"/>
        <s v="Vivid"/>
        <s v="Lime"/>
        <s v="Pearl"/>
        <s v="Dim"/>
        <s v="Macaroon"/>
        <s v="Rice"/>
        <s v="Linen"/>
        <s v="Bone"/>
        <s v="Daisy"/>
        <s v="Powder"/>
      </sharedItems>
    </cacheField>
    <cacheField name="Weight range" numFmtId="0">
      <sharedItems>
        <s v="200-249G"/>
        <s v="350-399G"/>
        <s v="400-599G"/>
        <s v="&lt;200G"/>
        <s v="250-299G"/>
        <s v="300-349G"/>
        <s v="600-899G"/>
        <s v="100-199G"/>
      </sharedItems>
    </cacheField>
    <cacheField name="Units (in 1000)" numFmtId="0">
      <sharedItems>
        <s v="15.2249"/>
        <s v="58.2443"/>
        <s v="38.4102"/>
        <s v="0.1327"/>
        <s v="44.9287"/>
        <s v="2.8629"/>
        <s v="0.0225"/>
        <s v="1.5595"/>
        <s v="1.0881"/>
        <s v="0.0005"/>
        <s v="1.4561"/>
        <s v="0.8941"/>
        <s v="0.1668"/>
        <s v="0.2026"/>
        <s v="0.0014"/>
        <s v="0.1902"/>
        <s v="88.4917"/>
        <s v="57.6908"/>
        <s v="2.834"/>
        <s v="0.2856"/>
        <s v="0.0974"/>
        <s v="8.1112"/>
        <s v="0.6235"/>
        <s v="11.9015"/>
        <s v="8.1162"/>
        <s v="4.4477"/>
        <s v="2.2066"/>
        <s v="0.1416"/>
        <s v="1.1685"/>
        <s v="0.0036"/>
        <s v="0.0031"/>
        <s v="0.871"/>
        <s v="1.3608"/>
        <s v="0.0795"/>
        <s v="1.0835"/>
        <s v="200.7302"/>
        <s v="159.5171"/>
        <s v="9.9211"/>
        <s v="0.0087"/>
        <s v="1.2303"/>
        <s v="56.187"/>
        <s v="1.5709"/>
        <s v="19.0162"/>
        <s v="14.6676"/>
        <s v="5.3848"/>
        <s v="0.4175"/>
        <s v="1.1421"/>
        <s v="0.0118"/>
        <s v="0.0603"/>
        <s v="1.3623"/>
        <s v="3.0058"/>
        <s v="0.0084"/>
        <s v="0.0193"/>
        <s v="1.4654"/>
        <s v="0.2676"/>
        <s v="0.5965"/>
        <s v="11.1079"/>
        <s v="47.1109"/>
        <s v="32.4152"/>
        <s v="0.0893"/>
        <s v="35.8498"/>
        <s v="2.5138"/>
        <s v="0.0093"/>
        <s v="1.6619"/>
        <s v="0.0039"/>
        <s v="1.5126"/>
        <s v="0.413"/>
        <s v="0.7527"/>
        <s v="0.157"/>
        <s v="0.202"/>
        <s v="0.1907"/>
        <s v="0.0044"/>
        <s v="82.455"/>
        <s v="54.6811"/>
        <s v="3.2303"/>
        <s v="0.2929"/>
        <s v="0.0863"/>
        <s v="7.6719"/>
        <s v="0.9638"/>
        <s v="7.0538"/>
        <s v="5.7038"/>
        <s v="2.7931"/>
        <s v="0.2556"/>
        <s v="0.002"/>
        <s v="1.0493"/>
        <s v="1.6042"/>
        <s v="2.2345"/>
        <s v="1.1353"/>
        <s v="0.0531"/>
        <s v="0.4189"/>
        <s v="211.8291"/>
        <s v="129.5281"/>
        <s v="7.3785"/>
        <s v="0.0152"/>
        <s v="0.9859"/>
        <s v="29.5518"/>
        <s v="2.2895"/>
        <s v="26.0692"/>
        <s v="10.0157"/>
        <s v="0.0114"/>
        <s v="0.0077"/>
        <s v="3.7361"/>
        <s v="1.3058"/>
        <s v="0.0144"/>
        <s v="0.0869"/>
        <s v="4.6976"/>
        <s v="4.8779"/>
        <s v="0.2908"/>
        <s v="3.7243"/>
        <s v="1.193"/>
        <s v="14.1119"/>
        <s v="73.7461"/>
        <s v="55.5542"/>
        <s v="3.0953"/>
        <s v="45.207"/>
        <s v="3.8064"/>
        <s v="0.0135"/>
        <s v="2.299"/>
        <s v="0.0038"/>
        <s v="2.7622"/>
        <s v="0.7931"/>
        <s v="1.2496"/>
        <s v="0.4511"/>
        <s v="0.8319"/>
        <s v="0.2807"/>
        <s v="52.4857"/>
        <s v="62.9831"/>
        <s v="3.6111"/>
        <s v="0.3132"/>
        <s v="0.6268"/>
        <s v="19.7052"/>
        <s v="1.1108"/>
        <s v="11.5989"/>
        <s v="5.496"/>
        <s v="3.3084"/>
        <s v="0.1235"/>
        <s v="0.0013"/>
        <s v="0.0062"/>
        <s v="1.2257"/>
        <s v="2.2679"/>
        <s v="1.5232"/>
        <s v="0.6503"/>
        <s v="2.1043"/>
        <s v="161.9302"/>
        <s v="159.762"/>
        <s v="26.5525"/>
        <s v="0.0162"/>
        <s v="1.4626"/>
        <s v="73.7656"/>
        <s v="2.6452"/>
        <s v="32.6474"/>
        <s v="0.0097"/>
        <s v="0.043"/>
        <s v="4.5225"/>
        <s v="10.7233"/>
        <s v="9.3746"/>
        <s v="2.2362"/>
        <s v="0.051"/>
        <s v="0.1688"/>
        <s v="7.9659"/>
        <s v="0.4466"/>
        <s v="0.5306"/>
        <s v="5.4266"/>
        <s v="0.2713"/>
        <s v="11.3379"/>
        <s v="54.2457"/>
        <s v="25.783"/>
        <s v="3.0257"/>
        <s v="29.1363"/>
        <s v="0.0126"/>
        <s v="2.839"/>
        <s v="1.7006"/>
        <s v="0.0046"/>
        <s v="2.3275"/>
        <s v="0.541"/>
        <s v="1.4503"/>
        <s v="0.7924"/>
        <s v="0.4853"/>
        <s v="0.2207"/>
        <s v="41.0183"/>
        <s v="61.0993"/>
        <s v="2.8634"/>
        <s v="0.303"/>
        <s v="1.0727"/>
        <s v="17.8592"/>
        <s v="1.096"/>
        <s v="10.1778"/>
        <s v="4.4525"/>
        <s v="2.022"/>
        <s v="1.6967"/>
        <s v="0.0007"/>
        <s v="1.2879"/>
        <s v="1.6755"/>
        <s v="1.2133"/>
        <s v="1.1159"/>
        <s v="1.2441"/>
        <s v="0.0076"/>
        <s v="94.0721"/>
        <s v="150.4402"/>
        <s v="12.1963"/>
        <s v="0.0157"/>
        <s v="1.2804"/>
        <s v="41.0715"/>
        <s v="2.6467"/>
        <s v="32.6462"/>
        <s v="0.0052"/>
        <s v="0.0773"/>
        <s v="4.3507"/>
        <s v="10.2876"/>
        <s v="2.2897"/>
        <s v="0.024"/>
        <s v="0.1361"/>
        <s v="6.2296"/>
        <s v="2.4324"/>
        <s v="0.434"/>
        <s v="0.5333"/>
        <s v="5.2129"/>
        <s v="0.4653"/>
        <s v="10.4227"/>
        <s v="42.728"/>
        <s v="38.6723"/>
        <s v="1.3643"/>
        <s v="34.1818"/>
        <s v="0.0119"/>
        <s v="4.3142"/>
        <s v="1.6699"/>
        <s v="0.0619"/>
        <s v="2.3174"/>
        <s v="2.8145"/>
        <s v="0.4574"/>
        <s v="0.7986"/>
        <s v="0.4573"/>
        <s v="0.1885"/>
        <s v="38.1428"/>
        <s v="62.5334"/>
        <s v="2.8616"/>
        <s v="0.2933"/>
        <s v="0.5615"/>
        <s v="11.3387"/>
        <s v="1.0163"/>
        <s v="5.2722"/>
        <s v="4.7601"/>
        <s v="3.8741"/>
        <s v="0.0092"/>
        <s v="1.3945"/>
        <s v="3.0453"/>
        <s v="0.3384"/>
        <s v="1.4164"/>
        <s v="1.3728"/>
        <s v="1.5552"/>
        <s v="83.0088"/>
        <s v="139.1166"/>
        <s v="11.2546"/>
        <s v="0.0173"/>
        <s v="1.2908"/>
        <s v="30.6972"/>
        <s v="2.7366"/>
        <s v="23.6977"/>
        <s v="0.0088"/>
        <s v="0.0585"/>
        <s v="4.6614"/>
        <s v="10.0082"/>
        <s v="6.4933"/>
        <s v="1.5366"/>
        <s v="0.0253"/>
        <s v="0.0909"/>
        <s v="4.1804"/>
        <s v="4.5991"/>
        <s v="0.3958"/>
        <s v="0.4543"/>
        <s v="0.1734"/>
        <s v="7.5261"/>
        <s v="56.8652"/>
        <s v="22.7316"/>
        <s v="1.1255"/>
        <s v="27.2284"/>
        <s v="0.0095"/>
        <s v="3.1193"/>
        <s v="1.9763"/>
        <s v="0.0432"/>
        <s v="1.9364"/>
        <s v="0.756"/>
        <s v="1.3609"/>
        <s v="0.5159"/>
        <s v="0.6942"/>
        <s v="0.205"/>
        <s v="23.0084"/>
        <s v="49.5326"/>
        <s v="1.6843"/>
        <s v="0.2838"/>
        <s v="0.4136"/>
        <s v="10.0684"/>
        <s v="0.7601"/>
        <s v="4.6069"/>
        <s v="3.7427"/>
        <s v="2.3031"/>
        <s v="2.3916"/>
        <s v="0.3448"/>
        <s v="0.0057"/>
        <s v="0.7973"/>
        <s v="1.3516"/>
        <s v="0.7768"/>
        <s v="1.1194"/>
        <s v="0.0027"/>
        <s v="51.0212"/>
        <s v="107.7345"/>
        <s v="7.0644"/>
        <s v="0.0168"/>
        <s v="1.5532"/>
        <s v="29.5306"/>
        <s v="2.2017"/>
        <s v="11.8421"/>
        <s v="8.194"/>
        <s v="0.004"/>
        <s v="0.0437"/>
        <s v="2.0888"/>
        <s v="5.4623"/>
        <s v="6.5873"/>
        <s v="0.3579"/>
        <s v="1.1775"/>
        <s v="0.0141"/>
        <s v="0.0464"/>
        <s v="1.2146"/>
        <s v="0.2906"/>
        <s v="0.1318"/>
        <s v="7.9512"/>
        <s v="38.0089"/>
        <s v="24.3086"/>
        <s v="1.267"/>
        <s v="40.5318"/>
        <s v="0.0049"/>
        <s v="2.5055"/>
        <s v="2.336"/>
        <s v="0.0605"/>
        <s v="2.6689"/>
        <s v="1.5616"/>
        <s v="0.6761"/>
        <s v="0.4468"/>
        <s v="0.8097"/>
        <s v="0.6055"/>
        <s v="21.6452"/>
        <s v="59.8725"/>
        <s v="1.7909"/>
        <s v="0.486"/>
        <s v="10.2943"/>
        <s v="1.0439"/>
        <s v="6.6272"/>
        <s v="3.7983"/>
        <s v="2.667"/>
        <s v="0.3178"/>
        <s v="0.7056"/>
        <s v="1.2556"/>
        <s v="1.0859"/>
        <s v="0.5415"/>
        <s v="1.2143"/>
        <s v="40.0903"/>
        <s v="154.4919"/>
        <s v="8.9411"/>
        <s v="1.0061"/>
        <s v="40.7108"/>
        <s v="2.8408"/>
        <s v="23.9214"/>
        <s v="9.1713"/>
        <s v="0.0231"/>
        <s v="2.3618"/>
        <s v="5.221"/>
        <s v="5.7889"/>
        <s v="0.4008"/>
        <s v="0.9701"/>
        <s v="0.0418"/>
        <s v="3.8847"/>
        <s v="1.0334"/>
        <s v="8.0893"/>
        <s v="30.6216"/>
        <s v="26.0514"/>
        <s v="0.4655"/>
        <s v="28.0768"/>
        <s v="2.3601"/>
        <s v="3.3197"/>
        <s v="0.0414"/>
        <s v="2.4137"/>
        <s v="2.399"/>
        <s v="2.0727"/>
        <s v="1.1654"/>
        <s v="0.9713"/>
        <s v="0.3917"/>
        <s v="17.5685"/>
        <s v="58.144"/>
        <s v="2.6274"/>
        <s v="0.648"/>
        <s v="9.7258"/>
        <s v="1.0464"/>
        <s v="6.7551"/>
        <s v="4.0219"/>
        <s v="0.9334"/>
        <s v="1.9098"/>
        <s v="0.0042"/>
        <s v="0.0024"/>
        <s v="0.6821"/>
        <s v="1.1354"/>
        <s v="0.1485"/>
        <s v="0.4802"/>
        <s v="0.5155"/>
        <s v="43.9292"/>
        <s v="136.4948"/>
        <s v="8.7719"/>
        <s v="1.6219"/>
        <s v="35.4248"/>
        <s v="2.8089"/>
        <s v="13.5756"/>
        <s v="12.3312"/>
        <s v="0.0229"/>
        <s v="1.9689"/>
        <s v="5.577"/>
        <s v="1.0412"/>
        <s v="0.0202"/>
        <s v="0.0375"/>
        <s v="5.6062"/>
        <s v="3.0959"/>
        <s v="0.3683"/>
        <s v="0.3288"/>
        <s v="0.3392"/>
        <s v="0.2591"/>
        <s v="38.9673"/>
        <s v="4.4724"/>
        <s v="36.8494"/>
        <s v="20.1116"/>
        <s v="0.0055"/>
        <s v="3.7586"/>
        <s v="2.8968"/>
        <s v="0.0538"/>
        <s v="2.4313"/>
        <s v="0.9743"/>
        <s v="0.8491"/>
        <s v="1.1431"/>
        <s v="1.0531"/>
        <s v="0.2482"/>
        <s v="13.612"/>
        <s v="53.9114"/>
        <s v="6.1975"/>
        <s v="0.7031"/>
        <s v="11.0032"/>
        <s v="0.7827"/>
        <s v="14.0677"/>
        <s v="3.8074"/>
        <s v="1.9004"/>
        <s v="1.3414"/>
        <s v="0.6277"/>
        <s v="0.4061"/>
        <s v="1.1157"/>
        <s v="0.1582"/>
        <s v="0.6077"/>
        <s v="33.5808"/>
        <s v="101.4127"/>
        <s v="20.624"/>
        <s v="1.0856"/>
        <s v="31.0267"/>
        <s v="2.4692"/>
        <s v="26.1782"/>
        <s v="11.8075"/>
        <s v="6.7738"/>
        <s v="0.0103"/>
        <s v="1.7531"/>
        <s v="1.1708"/>
        <s v="0.0381"/>
        <s v="6.0589"/>
        <s v="0.1679"/>
        <s v="1.0606"/>
        <s v="0.2399"/>
        <s v="0.4427"/>
        <s v="8.1066"/>
        <s v="65.06"/>
        <s v="34.9698"/>
        <s v="0.1794"/>
        <s v="33.0304"/>
        <s v="2.8844"/>
        <s v="2.3938"/>
        <s v="0.0393"/>
        <s v="2.3325"/>
        <s v="1.0964"/>
        <s v="0.7526"/>
        <s v="1.3633"/>
        <s v="0.2825"/>
        <s v="0.4912"/>
        <s v="14.0729"/>
        <s v="53.1301"/>
        <s v="8.8828"/>
        <s v="0.2968"/>
        <s v="0.6789"/>
        <s v="12.4224"/>
        <s v="0.848"/>
        <s v="10.3903"/>
        <s v="3.58"/>
        <s v="2.4011"/>
        <s v="0.8176"/>
        <s v="0.008"/>
        <s v="0.8336"/>
        <s v="0.9888"/>
        <s v="1.3274"/>
        <s v="0.5887"/>
        <s v="0.1517"/>
        <s v="41.8058"/>
        <s v="195.5282"/>
        <s v="23.9821"/>
        <s v="0.0249"/>
        <s v="1.2179"/>
        <s v="51.3505"/>
        <s v="2.7495"/>
        <s v="16.1191"/>
        <s v="14.5781"/>
        <s v="0.0198"/>
        <s v="0.017"/>
        <s v="2.9449"/>
        <s v="5.805"/>
        <s v="1.0774"/>
        <s v="0.0145"/>
        <s v="0.0522"/>
        <s v="4.2663"/>
        <s v="0.1046"/>
        <s v="1.2193"/>
        <s v="0.2158"/>
        <s v="0.4922"/>
        <s v="0.1601"/>
        <s v="52.8388"/>
        <s v="6.0646"/>
        <s v="49.6322"/>
        <s v="27.4366"/>
        <s v="1.9312"/>
        <s v="2.2651"/>
        <s v="0.0347"/>
        <s v="1.9806"/>
        <s v="1.1889"/>
        <s v="1.0639"/>
        <s v="0.3897"/>
        <s v="0.5391"/>
        <s v="1.3555"/>
        <s v="15.3058"/>
        <s v="33.4998"/>
        <s v="8"/>
        <s v="0.7257"/>
        <s v="16.7315"/>
        <s v="0.9453"/>
        <s v="10.4442"/>
        <s v="2.7107"/>
        <s v="2.4806"/>
        <s v="0.6578"/>
        <s v="1.3532"/>
        <s v="1.0662"/>
        <s v="1.5963"/>
        <s v="32.9255"/>
        <s v="109.5556"/>
        <s v="25.0768"/>
        <s v="0.0241"/>
        <s v="1.3379"/>
        <s v="66.8762"/>
        <s v="2.8355"/>
        <s v="21.2083"/>
        <s v="16.0135"/>
        <s v="0.006"/>
        <s v="0.0133"/>
        <s v="2.6168"/>
        <s v="1.2792"/>
        <s v="0.0166"/>
        <s v="0.0546"/>
        <s v="6.0726"/>
        <s v="0.2316"/>
        <s v="0.4989"/>
        <s v="0.9886"/>
        <s v="2.2503"/>
        <s v="0.1152"/>
        <s v="0.0972"/>
        <s v="41.7076"/>
        <s v="5.7783"/>
        <s v="26.398"/>
        <s v="30.0701"/>
        <s v="2.4055"/>
        <s v="1.4713"/>
        <s v="0.0355"/>
        <s v="2.4147"/>
        <s v="1.1106"/>
        <s v="0.9899"/>
        <s v="0.3144"/>
        <s v="0.4026"/>
        <s v="0.5818"/>
        <s v="14.0254"/>
        <s v="41.9372"/>
        <s v="8.8174"/>
        <s v="0.5592"/>
        <s v="13.1007"/>
        <s v="1.1649"/>
        <s v="9.7878"/>
        <s v="4.9301"/>
        <s v="2.3783"/>
        <s v="0.6349"/>
        <s v="1.9166"/>
        <s v="0.4561"/>
        <s v="0.9816"/>
        <s v="0.1945"/>
        <s v="27.5368"/>
        <s v="124.5474"/>
        <s v="22.1265"/>
        <s v="1.3947"/>
        <s v="50.754"/>
        <s v="3.4787"/>
        <s v="24.7325"/>
        <s v="13.8492"/>
        <s v="0.0155"/>
        <s v="3.6888"/>
        <s v="1.3492"/>
        <s v="0.013"/>
        <s v="0.0574"/>
        <s v="5.3833"/>
        <s v="7.3405"/>
        <s v="1.2131"/>
        <s v="0.2321"/>
        <s v="0.4155"/>
        <s v="10.0537"/>
        <s v="6.1788"/>
        <s v="17.2088"/>
        <s v="9.7913"/>
        <s v="4.6616"/>
        <s v="12.1234"/>
        <s v="16.2433"/>
        <s v="3.9952"/>
        <s v="18.5283"/>
        <s v="7.3805"/>
        <s v="4.2591"/>
        <s v="28.0066"/>
        <s v="6.8373"/>
        <s v="5.7555"/>
        <s v="14.3789"/>
        <s v="5.748"/>
        <s v="5.8024"/>
        <s v="13.5144"/>
        <s v="5.6314"/>
        <s v="3.7074"/>
        <s v="11.8435"/>
        <s v="4.9947"/>
        <s v="3.7602"/>
        <s v="9.841"/>
        <s v="2.8004"/>
        <s v="1.9585"/>
        <s v="7.5783"/>
        <s v="0.5806"/>
        <s v="1.4261"/>
        <s v="5.1253"/>
        <s v="0.5273"/>
        <s v="1.174"/>
        <s v="4.2365"/>
        <s v="0.1749"/>
        <s v="2.0995"/>
        <s v="2.5092"/>
      </sharedItems>
    </cacheField>
    <cacheField name="Units clean" numFmtId="0">
      <sharedItems containsSemiMixedTypes="0" containsString="0" containsNumber="1">
        <n v="15.2249"/>
        <n v="58.2443"/>
        <n v="38.4102"/>
        <n v="0.1327"/>
        <n v="44.9287"/>
        <n v="2.8629"/>
        <n v="0.0225"/>
        <n v="1.5595"/>
        <n v="1.0881"/>
        <n v="5.0E-4"/>
        <n v="1.4561"/>
        <n v="0.8941"/>
        <n v="0.1668"/>
        <n v="0.2026"/>
        <n v="0.0014"/>
        <n v="0.1902"/>
        <n v="88.4917"/>
        <n v="57.6908"/>
        <n v="2.834"/>
        <n v="0.2856"/>
        <n v="0.0974"/>
        <n v="8.1112"/>
        <n v="0.6235"/>
        <n v="11.9015"/>
        <n v="8.1162"/>
        <n v="4.4477"/>
        <n v="2.2066"/>
        <n v="0.1416"/>
        <n v="1.1685"/>
        <n v="0.0036"/>
        <n v="0.0031"/>
        <n v="0.871"/>
        <n v="1.3608"/>
        <n v="0.0795"/>
        <n v="1.0835"/>
        <n v="200.7302"/>
        <n v="159.5171"/>
        <n v="9.9211"/>
        <n v="0.0087"/>
        <n v="1.2303"/>
        <n v="56.187"/>
        <n v="1.5709"/>
        <n v="19.0162"/>
        <n v="14.6676"/>
        <n v="5.3848"/>
        <n v="0.4175"/>
        <n v="1.1421"/>
        <n v="0.0118"/>
        <n v="0.0603"/>
        <n v="1.3623"/>
        <n v="3.0058"/>
        <n v="0.0084"/>
        <n v="0.0193"/>
        <n v="1.4654"/>
        <n v="0.2676"/>
        <n v="0.5965"/>
        <n v="11.1079"/>
        <n v="47.1109"/>
        <n v="32.4152"/>
        <n v="0.0893"/>
        <n v="35.8498"/>
        <n v="2.5138"/>
        <n v="0.0093"/>
        <n v="1.6619"/>
        <n v="0.0039"/>
        <n v="1.5126"/>
        <n v="0.413"/>
        <n v="0.7527"/>
        <n v="0.157"/>
        <n v="0.202"/>
        <n v="0.1907"/>
        <n v="0.0044"/>
        <n v="82.455"/>
        <n v="54.6811"/>
        <n v="3.2303"/>
        <n v="0.2929"/>
        <n v="0.0863"/>
        <n v="7.6719"/>
        <n v="0.9638"/>
        <n v="7.0538"/>
        <n v="5.7038"/>
        <n v="2.7931"/>
        <n v="0.2556"/>
        <n v="0.002"/>
        <n v="1.0493"/>
        <n v="1.6042"/>
        <n v="2.2345"/>
        <n v="1.1353"/>
        <n v="0.0531"/>
        <n v="0.4189"/>
        <n v="211.8291"/>
        <n v="129.5281"/>
        <n v="7.3785"/>
        <n v="0.0152"/>
        <n v="0.9859"/>
        <n v="29.5518"/>
        <n v="2.2895"/>
        <n v="26.0692"/>
        <n v="10.0157"/>
        <n v="0.0114"/>
        <n v="0.0077"/>
        <n v="3.7361"/>
        <n v="1.3058"/>
        <n v="0.0144"/>
        <n v="0.0869"/>
        <n v="4.6976"/>
        <n v="4.8779"/>
        <n v="0.2908"/>
        <n v="3.7243"/>
        <n v="1.193"/>
        <n v="14.1119"/>
        <n v="73.7461"/>
        <n v="55.5542"/>
        <n v="3.0953"/>
        <n v="45.207"/>
        <n v="3.8064"/>
        <n v="0.0135"/>
        <n v="2.299"/>
        <n v="0.0038"/>
        <n v="2.7622"/>
        <n v="0.7931"/>
        <n v="1.2496"/>
        <n v="0.4511"/>
        <n v="0.8319"/>
        <n v="0.2807"/>
        <n v="52.4857"/>
        <n v="62.9831"/>
        <n v="3.6111"/>
        <n v="0.3132"/>
        <n v="0.6268"/>
        <n v="19.7052"/>
        <n v="1.1108"/>
        <n v="11.5989"/>
        <n v="5.496"/>
        <n v="3.3084"/>
        <n v="0.1235"/>
        <n v="0.0013"/>
        <n v="0.0062"/>
        <n v="1.2257"/>
        <n v="2.2679"/>
        <n v="1.5232"/>
        <n v="0.6503"/>
        <n v="2.1043"/>
        <n v="161.9302"/>
        <n v="159.762"/>
        <n v="26.5525"/>
        <n v="0.0162"/>
        <n v="1.4626"/>
        <n v="73.7656"/>
        <n v="2.6452"/>
        <n v="32.6474"/>
        <n v="0.0097"/>
        <n v="0.043"/>
        <n v="4.5225"/>
        <n v="10.7233"/>
        <n v="9.3746"/>
        <n v="2.2362"/>
        <n v="0.051"/>
        <n v="0.1688"/>
        <n v="7.9659"/>
        <n v="0.4466"/>
        <n v="0.5306"/>
        <n v="5.4266"/>
        <n v="0.2713"/>
        <n v="11.3379"/>
        <n v="54.2457"/>
        <n v="25.783"/>
        <n v="3.0257"/>
        <n v="29.1363"/>
        <n v="0.0126"/>
        <n v="2.839"/>
        <n v="1.7006"/>
        <n v="0.0046"/>
        <n v="2.3275"/>
        <n v="0.541"/>
        <n v="1.4503"/>
        <n v="0.7924"/>
        <n v="0.4853"/>
        <n v="0.2207"/>
        <n v="41.0183"/>
        <n v="61.0993"/>
        <n v="2.8634"/>
        <n v="0.303"/>
        <n v="1.0727"/>
        <n v="17.8592"/>
        <n v="1.096"/>
        <n v="10.1778"/>
        <n v="4.4525"/>
        <n v="2.022"/>
        <n v="1.6967"/>
        <n v="7.0E-4"/>
        <n v="1.2879"/>
        <n v="1.6755"/>
        <n v="1.2133"/>
        <n v="1.1159"/>
        <n v="1.2441"/>
        <n v="0.0076"/>
        <n v="94.0721"/>
        <n v="150.4402"/>
        <n v="12.1963"/>
        <n v="0.0157"/>
        <n v="1.2804"/>
        <n v="41.0715"/>
        <n v="2.6467"/>
        <n v="32.6462"/>
        <n v="0.0052"/>
        <n v="0.0773"/>
        <n v="4.3507"/>
        <n v="10.2876"/>
        <n v="2.2897"/>
        <n v="0.024"/>
        <n v="0.1361"/>
        <n v="6.2296"/>
        <n v="2.4324"/>
        <n v="0.434"/>
        <n v="0.5333"/>
        <n v="5.2129"/>
        <n v="0.4653"/>
        <n v="10.4227"/>
        <n v="42.728"/>
        <n v="38.6723"/>
        <n v="1.3643"/>
        <n v="34.1818"/>
        <n v="0.0119"/>
        <n v="4.3142"/>
        <n v="1.6699"/>
        <n v="0.0619"/>
        <n v="2.3174"/>
        <n v="2.8145"/>
        <n v="0.4574"/>
        <n v="0.7986"/>
        <n v="0.4573"/>
        <n v="0.1885"/>
        <n v="38.1428"/>
        <n v="62.5334"/>
        <n v="2.8616"/>
        <n v="0.2933"/>
        <n v="0.5615"/>
        <n v="11.3387"/>
        <n v="1.0163"/>
        <n v="5.2722"/>
        <n v="4.7601"/>
        <n v="3.8741"/>
        <n v="0.0092"/>
        <n v="1.3945"/>
        <n v="3.0453"/>
        <n v="0.3384"/>
        <n v="1.4164"/>
        <n v="1.3728"/>
        <n v="1.5552"/>
        <n v="83.0088"/>
        <n v="139.1166"/>
        <n v="11.2546"/>
        <n v="0.0173"/>
        <n v="1.2908"/>
        <n v="30.6972"/>
        <n v="2.7366"/>
        <n v="23.6977"/>
        <n v="0.0088"/>
        <n v="0.0585"/>
        <n v="4.6614"/>
        <n v="10.0082"/>
        <n v="6.4933"/>
        <n v="1.5366"/>
        <n v="0.0253"/>
        <n v="0.0909"/>
        <n v="4.1804"/>
        <n v="4.5991"/>
        <n v="0.3958"/>
        <n v="0.4543"/>
        <n v="0.1734"/>
        <n v="7.5261"/>
        <n v="56.8652"/>
        <n v="22.7316"/>
        <n v="1.1255"/>
        <n v="27.2284"/>
        <n v="0.0095"/>
        <n v="3.1193"/>
        <n v="1.9763"/>
        <n v="0.0432"/>
        <n v="1.9364"/>
        <n v="0.756"/>
        <n v="1.3609"/>
        <n v="0.5159"/>
        <n v="0.6942"/>
        <n v="0.205"/>
        <n v="23.0084"/>
        <n v="49.5326"/>
        <n v="1.6843"/>
        <n v="0.2838"/>
        <n v="0.4136"/>
        <n v="10.0684"/>
        <n v="0.7601"/>
        <n v="4.6069"/>
        <n v="3.7427"/>
        <n v="2.3031"/>
        <n v="2.3916"/>
        <n v="0.3448"/>
        <n v="0.0057"/>
        <n v="0.7973"/>
        <n v="1.3516"/>
        <n v="0.7768"/>
        <n v="1.1194"/>
        <n v="0.0027"/>
        <n v="51.0212"/>
        <n v="107.7345"/>
        <n v="7.0644"/>
        <n v="0.0168"/>
        <n v="1.5532"/>
        <n v="29.5306"/>
        <n v="2.2017"/>
        <n v="11.8421"/>
        <n v="8.194"/>
        <n v="0.004"/>
        <n v="0.0437"/>
        <n v="2.0888"/>
        <n v="5.4623"/>
        <n v="6.5873"/>
        <n v="0.3579"/>
        <n v="1.1775"/>
        <n v="0.0141"/>
        <n v="0.0464"/>
        <n v="1.2146"/>
        <n v="0.2906"/>
        <n v="0.1318"/>
        <n v="7.9512"/>
        <n v="38.0089"/>
        <n v="24.3086"/>
        <n v="1.267"/>
        <n v="40.5318"/>
        <n v="0.0049"/>
        <n v="2.5055"/>
        <n v="2.336"/>
        <n v="0.0605"/>
        <n v="2.6689"/>
        <n v="1.5616"/>
        <n v="0.6761"/>
        <n v="0.4468"/>
        <n v="0.8097"/>
        <n v="0.6055"/>
        <n v="21.6452"/>
        <n v="59.8725"/>
        <n v="1.7909"/>
        <n v="0.486"/>
        <n v="10.2943"/>
        <n v="1.0439"/>
        <n v="6.6272"/>
        <n v="3.7983"/>
        <n v="2.667"/>
        <n v="0.3178"/>
        <n v="0.7056"/>
        <n v="1.2556"/>
        <n v="1.0859"/>
        <n v="0.5415"/>
        <n v="1.2143"/>
        <n v="40.0903"/>
        <n v="154.4919"/>
        <n v="8.9411"/>
        <n v="1.0061"/>
        <n v="40.7108"/>
        <n v="2.8408"/>
        <n v="23.9214"/>
        <n v="9.1713"/>
        <n v="0.0231"/>
        <n v="2.3618"/>
        <n v="5.221"/>
        <n v="5.7889"/>
        <n v="0.4008"/>
        <n v="0.9701"/>
        <n v="0.0418"/>
        <n v="3.8847"/>
        <n v="1.0334"/>
        <n v="8.0893"/>
        <n v="30.6216"/>
        <n v="26.0514"/>
        <n v="0.4655"/>
        <n v="28.0768"/>
        <n v="2.3601"/>
        <n v="3.3197"/>
        <n v="0.0414"/>
        <n v="2.4137"/>
        <n v="2.399"/>
        <n v="2.0727"/>
        <n v="1.1654"/>
        <n v="0.9713"/>
        <n v="0.3917"/>
        <n v="17.5685"/>
        <n v="58.144"/>
        <n v="2.6274"/>
        <n v="0.648"/>
        <n v="9.7258"/>
        <n v="1.0464"/>
        <n v="6.7551"/>
        <n v="4.0219"/>
        <n v="0.9334"/>
        <n v="1.9098"/>
        <n v="0.0042"/>
        <n v="0.0024"/>
        <n v="0.6821"/>
        <n v="1.1354"/>
        <n v="0.1485"/>
        <n v="0.4802"/>
        <n v="0.5155"/>
        <n v="43.9292"/>
        <n v="136.4948"/>
        <n v="8.7719"/>
        <n v="1.6219"/>
        <n v="35.4248"/>
        <n v="2.8089"/>
        <n v="13.5756"/>
        <n v="12.3312"/>
        <n v="0.0229"/>
        <n v="1.9689"/>
        <n v="5.577"/>
        <n v="1.0412"/>
        <n v="0.0202"/>
        <n v="0.0375"/>
        <n v="5.6062"/>
        <n v="3.0959"/>
        <n v="0.3683"/>
        <n v="0.3288"/>
        <n v="0.3392"/>
        <n v="0.2591"/>
        <n v="38.9673"/>
        <n v="4.4724"/>
        <n v="36.8494"/>
        <n v="20.1116"/>
        <n v="0.0055"/>
        <n v="3.7586"/>
        <n v="2.8968"/>
        <n v="0.0538"/>
        <n v="2.4313"/>
        <n v="0.9743"/>
        <n v="0.8491"/>
        <n v="1.1431"/>
        <n v="1.0531"/>
        <n v="0.2482"/>
        <n v="13.612"/>
        <n v="53.9114"/>
        <n v="6.1975"/>
        <n v="0.7031"/>
        <n v="11.0032"/>
        <n v="0.7827"/>
        <n v="14.0677"/>
        <n v="3.8074"/>
        <n v="1.9004"/>
        <n v="1.3414"/>
        <n v="0.6277"/>
        <n v="0.4061"/>
        <n v="1.1157"/>
        <n v="0.1582"/>
        <n v="0.6077"/>
        <n v="33.5808"/>
        <n v="101.4127"/>
        <n v="20.624"/>
        <n v="1.0856"/>
        <n v="31.0267"/>
        <n v="2.4692"/>
        <n v="26.1782"/>
        <n v="11.8075"/>
        <n v="6.7738"/>
        <n v="0.0103"/>
        <n v="1.7531"/>
        <n v="1.1708"/>
        <n v="0.0381"/>
        <n v="6.0589"/>
        <n v="0.1679"/>
        <n v="1.0606"/>
        <n v="0.2399"/>
        <n v="0.4427"/>
        <n v="8.1066"/>
        <n v="65.06"/>
        <n v="34.9698"/>
        <n v="0.1794"/>
        <n v="33.0304"/>
        <n v="2.8844"/>
        <n v="2.3938"/>
        <n v="0.0393"/>
        <n v="2.3325"/>
        <n v="1.0964"/>
        <n v="0.7526"/>
        <n v="1.3633"/>
        <n v="0.2825"/>
        <n v="0.4912"/>
        <n v="14.0729"/>
        <n v="53.1301"/>
        <n v="8.8828"/>
        <n v="0.2968"/>
        <n v="0.6789"/>
        <n v="12.4224"/>
        <n v="0.848"/>
        <n v="10.3903"/>
        <n v="3.58"/>
        <n v="2.4011"/>
        <n v="0.8176"/>
        <n v="0.008"/>
        <n v="0.8336"/>
        <n v="0.9888"/>
        <n v="1.3274"/>
        <n v="0.5887"/>
        <n v="0.1517"/>
        <n v="41.8058"/>
        <n v="195.5282"/>
        <n v="23.9821"/>
        <n v="0.0249"/>
        <n v="1.2179"/>
        <n v="51.3505"/>
        <n v="2.7495"/>
        <n v="16.1191"/>
        <n v="14.5781"/>
        <n v="0.0198"/>
        <n v="0.017"/>
        <n v="2.9449"/>
        <n v="5.805"/>
        <n v="1.0774"/>
        <n v="0.0145"/>
        <n v="0.0522"/>
        <n v="4.2663"/>
        <n v="0.1046"/>
        <n v="1.2193"/>
        <n v="0.2158"/>
        <n v="0.4922"/>
        <n v="0.1601"/>
        <n v="52.8388"/>
        <n v="6.0646"/>
        <n v="49.6322"/>
        <n v="27.4366"/>
        <n v="1.9312"/>
        <n v="2.2651"/>
        <n v="0.0347"/>
        <n v="1.9806"/>
        <n v="1.1889"/>
        <n v="1.0639"/>
        <n v="0.3897"/>
        <n v="0.5391"/>
        <n v="1.3555"/>
        <n v="15.3058"/>
        <n v="33.4998"/>
        <n v="8.0"/>
        <n v="0.7257"/>
        <n v="16.7315"/>
        <n v="0.9453"/>
        <n v="10.4442"/>
        <n v="2.7107"/>
        <n v="2.4806"/>
        <n v="0.6578"/>
        <n v="1.3532"/>
        <n v="1.0662"/>
        <n v="1.5963"/>
        <n v="32.9255"/>
        <n v="109.5556"/>
        <n v="25.0768"/>
        <n v="0.0241"/>
        <n v="1.3379"/>
        <n v="66.8762"/>
        <n v="2.8355"/>
        <n v="21.2083"/>
        <n v="16.0135"/>
        <n v="0.006"/>
        <n v="0.0133"/>
        <n v="2.6168"/>
        <n v="1.2792"/>
        <n v="0.0166"/>
        <n v="0.0546"/>
        <n v="6.0726"/>
        <n v="0.2316"/>
        <n v="0.4989"/>
        <n v="0.9886"/>
        <n v="2.2503"/>
        <n v="0.1152"/>
        <n v="0.0972"/>
        <n v="41.7076"/>
        <n v="5.7783"/>
        <n v="26.398"/>
        <n v="30.0701"/>
        <n v="2.4055"/>
        <n v="1.4713"/>
        <n v="0.0355"/>
        <n v="2.4147"/>
        <n v="1.1106"/>
        <n v="0.9899"/>
        <n v="0.3144"/>
        <n v="0.4026"/>
        <n v="0.5818"/>
        <n v="14.0254"/>
        <n v="41.9372"/>
        <n v="8.8174"/>
        <n v="0.5592"/>
        <n v="13.1007"/>
        <n v="1.1649"/>
        <n v="9.7878"/>
        <n v="4.9301"/>
        <n v="2.3783"/>
        <n v="0.6349"/>
        <n v="1.9166"/>
        <n v="0.4561"/>
        <n v="0.9816"/>
        <n v="0.1945"/>
        <n v="27.5368"/>
        <n v="124.5474"/>
        <n v="22.1265"/>
        <n v="1.3947"/>
        <n v="50.754"/>
        <n v="3.4787"/>
        <n v="24.7325"/>
        <n v="13.8492"/>
        <n v="0.0155"/>
        <n v="3.6888"/>
        <n v="1.3492"/>
        <n v="0.013"/>
        <n v="0.0574"/>
        <n v="5.3833"/>
        <n v="7.3405"/>
        <n v="1.2131"/>
        <n v="0.2321"/>
        <n v="0.4155"/>
        <n v="10.0537"/>
        <n v="6.1788"/>
        <n v="17.2088"/>
        <n v="9.7913"/>
        <n v="4.6616"/>
        <n v="12.1234"/>
        <n v="16.2433"/>
        <n v="3.9952"/>
        <n v="18.5283"/>
        <n v="7.3805"/>
        <n v="4.2591"/>
        <n v="28.0066"/>
        <n v="6.8373"/>
        <n v="5.7555"/>
        <n v="14.3789"/>
        <n v="5.748"/>
        <n v="5.8024"/>
        <n v="13.5144"/>
        <n v="5.6314"/>
        <n v="3.7074"/>
        <n v="11.8435"/>
        <n v="4.9947"/>
        <n v="3.7602"/>
        <n v="9.841"/>
        <n v="2.8004"/>
        <n v="1.9585"/>
        <n v="7.5783"/>
        <n v="0.5806"/>
        <n v="1.4261"/>
        <n v="5.1253"/>
        <n v="0.5273"/>
        <n v="1.174"/>
        <n v="4.2365"/>
        <n v="0.1749"/>
        <n v="2.0995"/>
        <n v="2.5092"/>
      </sharedItems>
    </cacheField>
    <cacheField name="Value (in 1000 rub)" numFmtId="0">
      <sharedItems>
        <s v="899.265493"/>
        <s v="5622.580442"/>
        <s v="4457.22479"/>
        <s v="15.948333"/>
        <s v="7611.563208"/>
        <s v="307.946992"/>
        <s v="6.422605"/>
        <s v="212.469968"/>
        <s v="171.236944"/>
        <s v="0.029771"/>
        <s v="116.992414"/>
        <s v="95.339903"/>
        <s v="38.969667"/>
        <s v="34.905171"/>
        <s v="0.142028"/>
        <s v="32.450189"/>
        <s v="4389.809554"/>
        <s v="5967.119432"/>
        <s v="485.822233"/>
        <s v="46.13722"/>
        <s v="14.795735"/>
        <s v="1609.072208"/>
        <s v="38.73859"/>
        <s v="701.603394"/>
        <s v="700.442242"/>
        <s v="193.181003"/>
        <s v="164.704934"/>
        <s v="12.006769"/>
        <s v="135.056441"/>
        <s v="1.59307"/>
        <s v="0.95189"/>
        <s v="127.584278"/>
        <s v="98.695255"/>
        <s v="7.20621"/>
        <s v="96.79121"/>
        <s v="10271.13988"/>
        <s v="14567.6979"/>
        <s v="1323.619549"/>
        <s v="1.791126"/>
        <s v="147.988777"/>
        <s v="9934.412537"/>
        <s v="96.490976"/>
        <s v="1335.566377"/>
        <s v="1288.467984"/>
        <s v="403.571082"/>
        <s v="34.83502"/>
        <s v="359.109615"/>
        <s v="5.171741"/>
        <s v="31.900512"/>
        <s v="282.59374"/>
        <s v="280.300213"/>
        <s v="3.230365"/>
        <s v="6.086698"/>
        <s v="261.313471"/>
        <s v="46.087756"/>
        <s v="145.866054"/>
        <s v="729.821201+"/>
        <s v="4702.004113+"/>
        <s v="3969.19894+"/>
        <s v="11.329055+"/>
        <s v="5962.643043+"/>
        <s v="284.824342"/>
        <s v="2.950686"/>
        <s v="234.198798"/>
        <s v="0.20893"/>
        <s v="124.996153"/>
        <s v="75.322764"/>
        <s v="74.063678"/>
        <s v="34.985402"/>
        <s v="33.859989"/>
        <s v="32.362732"/>
        <s v="0.405462"/>
        <s v="4483.615135+"/>
        <s v="5765.421415+"/>
        <s v="555.281552+"/>
        <s v="47.309114+"/>
        <s v="13.461723+"/>
        <s v="1608.789744+"/>
        <s v="54.697267"/>
        <s v="530.288474"/>
        <s v="515.438104"/>
        <s v="192.427103"/>
        <s v="21.533492"/>
        <s v="0.908857"/>
        <s v="1.373464"/>
        <s v="156.258602"/>
        <s v="121.201788"/>
        <s v="106.804421"/>
        <s v="79.158238"/>
        <s v="5.084217"/>
        <s v="83.905488"/>
        <s v="11127.30868+"/>
        <s v="12648.513944+"/>
        <s v="1108.961017+"/>
        <s v="3.141648+"/>
        <s v="118.79017+"/>
        <s v="6283.969207+"/>
        <s v="130.569642"/>
        <s v="1788.133068"/>
        <s v="953.289157"/>
        <s v="4.713831"/>
        <s v="2.390466"/>
        <s v="756.533329"/>
        <s v="401.388021"/>
        <s v="6.543679"/>
        <s v="46.111162"/>
        <s v="410.970309"/>
        <s v="342.937167"/>
        <s v="28.097594"/>
        <s v="298.288386"/>
        <s v="256.508867"/>
        <s v="1000.988615"/>
        <s v="7356.761192"/>
        <s v="6568.246391"/>
        <s v="327.837154"/>
        <s v="9020.890311"/>
        <s v="424.69898"/>
        <s v="4.180465"/>
        <s v="346.640958"/>
        <s v="0.209196"/>
        <s v="225.403033"/>
        <s v="146.810783"/>
        <s v="117.282172"/>
        <s v="82.92376"/>
        <s v="75.031017"/>
        <s v="64.890698"/>
        <s v="3593.978608"/>
        <s v="6762.738663"/>
        <s v="602.117373"/>
        <s v="50.571637"/>
        <s v="67.629072"/>
        <s v="3567.870595"/>
        <s v="68.207659"/>
        <s v="762.579249"/>
        <s v="517.770552"/>
        <s v="227.97836"/>
        <s v="10.237458"/>
        <s v="0.489206"/>
        <s v="1.9124"/>
        <s v="191.383313"/>
        <s v="163.897989"/>
        <s v="136.057994"/>
        <s v="131.263071"/>
        <s v="110.584264"/>
        <s v="10159.89176"/>
        <s v="16676.61422"/>
        <s v="3433.774729"/>
        <s v="3.358336"/>
        <s v="186.268794"/>
        <s v="14237.19253"/>
        <s v="160.448018"/>
        <s v="2284.922391"/>
        <s v="3.930093"/>
        <s v="13.459402"/>
        <s v="1072.683641"/>
        <s v="982.058829"/>
        <s v="947.040142"/>
        <s v="709.715146"/>
        <s v="22.146691"/>
        <s v="88.881426"/>
        <s v="521.416723"/>
        <s v="200.891934"/>
        <s v="290.884253"/>
        <s v="395.156842"/>
        <s v="25.76972"/>
        <s v="820.416108+"/>
        <s v="5684.181431+"/>
        <s v="3564.350803+"/>
        <s v="318.203811+"/>
        <s v="6304.313433+"/>
        <s v="3.818633"/>
        <s v="475.48094"/>
        <s v="203.671087"/>
        <s v="0.27464"/>
        <s v="195.828471"/>
        <s v="104.952492"/>
        <s v="92.093955"/>
        <s v="73.897714"/>
        <s v="55.820227"/>
        <s v="52.923911"/>
        <s v="2841.10438+"/>
        <s v="6623.000018+"/>
        <s v="525.96028+"/>
        <s v="48.940376+"/>
        <s v="113.266212+"/>
        <s v="3527.423164+"/>
        <s v="63.418239"/>
        <s v="634.861232"/>
        <s v="416.924196"/>
        <s v="142.501286"/>
        <s v="141.081872"/>
        <s v="0.895596"/>
        <s v="0.238702"/>
        <s v="227.064729"/>
        <s v="152.961334"/>
        <s v="95.999383"/>
        <s v="89.912221"/>
        <s v="83.254229"/>
        <s v="1.029136"/>
        <s v="6235.15773+"/>
        <s v="15700.382104+"/>
        <s v="1938.389976+"/>
        <s v="3.249992+"/>
        <s v="166.170232+"/>
        <s v="8986.126968+"/>
        <s v="152.979037"/>
        <s v="2037.907029"/>
        <s v="2.054427"/>
        <s v="23.693545"/>
        <s v="1098.941175"/>
        <s v="955.543497"/>
        <s v="723.549708"/>
        <s v="10.674282"/>
        <s v="71.973048"/>
        <s v="631.506543"/>
        <s v="528.577778"/>
        <s v="183.839274"/>
        <s v="288.943805"/>
        <s v="362.237206"/>
        <s v="42.914679"/>
        <s v="773.766541"/>
        <s v="4568.309267"/>
        <s v="4738.784354"/>
        <s v="146.524473"/>
        <s v="6829.434676"/>
        <s v="3.743044"/>
        <s v="760.294077"/>
        <s v="200.276349"/>
        <s v="3.624223"/>
        <s v="190.920762"/>
        <s v="192.815258"/>
        <s v="88.075675"/>
        <s v="74.260342"/>
        <s v="52.727248"/>
        <s v="45.304416"/>
        <s v="2383.271661"/>
        <s v="6723.164019"/>
        <s v="523.029817"/>
        <s v="47.36375"/>
        <s v="72.253721"/>
        <s v="2381.702329"/>
        <s v="58.583002"/>
        <s v="410.251949"/>
        <s v="382.141359"/>
        <s v="350.53213"/>
        <s v="0.296985"/>
        <s v="2.811444"/>
        <s v="246.065794"/>
        <s v="174.863686"/>
        <s v="24.139055"/>
        <s v="129.822771"/>
        <s v="107.913191"/>
        <s v="76.888582"/>
        <s v="5184.360197"/>
        <s v="14277.08856"/>
        <s v="1644.230536"/>
        <s v="3.582185"/>
        <s v="183.721912"/>
        <s v="6818.829617"/>
        <s v="157.761561"/>
        <s v="1670.173912"/>
        <s v="3.545319"/>
        <s v="17.701399"/>
        <s v="1070.070585"/>
        <s v="934.2562"/>
        <s v="637.886115"/>
        <s v="489.37299"/>
        <s v="11.949414"/>
        <s v="47.841618"/>
        <s v="344.140954"/>
        <s v="302.883131"/>
        <s v="36.618056"/>
        <s v="194.672956"/>
        <s v="100.229246"/>
        <s v="562.876647+"/>
        <s v="5681.495903+"/>
        <s v="2922.396679+"/>
        <s v="121.087477+"/>
        <s v="5610.048795+"/>
        <s v="2.881198"/>
        <s v="536.896802"/>
        <s v="231.508429"/>
        <s v="2.459027"/>
        <s v="166.33235"/>
        <s v="130.466006"/>
        <s v="99.192219"/>
        <s v="65.759904"/>
        <s v="64.158082"/>
        <s v="47.942005"/>
        <s v="1685.635691+"/>
        <s v="5592.503082+"/>
        <s v="272.150799+"/>
        <s v="45.835925+"/>
        <s v="55.049286+"/>
        <s v="1936.799692+"/>
        <s v="47.310042"/>
        <s v="358.479509"/>
        <s v="338.563089"/>
        <s v="185.188337"/>
        <s v="125.774255"/>
        <s v="24.544915"/>
        <s v="0.436692"/>
        <s v="1.798287"/>
        <s v="130.889304"/>
        <s v="123.076725"/>
        <s v="77.288938"/>
        <s v="73.262568"/>
        <s v="0.424094"/>
        <s v="3597.991186+"/>
        <s v="12022.168798+"/>
        <s v="1132.86316+"/>
        <s v="3.46668+"/>
        <s v="186.218269+"/>
        <s v="6132.884335+"/>
        <s v="135.541072"/>
        <s v="998.023275"/>
        <s v="763.411125"/>
        <s v="1.783766"/>
        <s v="12.487819"/>
        <s v="570.032862"/>
        <s v="528.67611"/>
        <s v="378.791908"/>
        <s v="31.427352"/>
        <s v="383.185945"/>
        <s v="6.649438"/>
        <s v="24.763261"/>
        <s v="247.163292"/>
        <s v="122.495486"/>
        <s v="74.971474"/>
        <s v="593.09146"/>
        <s v="4003.448941"/>
        <s v="3206.174313"/>
        <s v="121.739067"/>
        <s v="7236.981536"/>
        <s v="1.591611"/>
        <s v="410.215547"/>
        <s v="263.524314"/>
        <s v="3.309734"/>
        <s v="170.500217"/>
        <s v="116.544716"/>
        <s v="116.102321"/>
        <s v="74.509653"/>
        <s v="70.919378"/>
        <s v="36.580792"/>
        <s v="1619.21498"/>
        <s v="6284.66363"/>
        <s v="304.384897"/>
        <s v="65.735039"/>
        <s v="1980.956217"/>
        <s v="59.966876"/>
        <s v="438.452184"/>
        <s v="348.845767"/>
        <s v="157.555681"/>
        <s v="22.29946"/>
        <s v="148.367583"/>
        <s v="115.030749"/>
        <s v="87.554178"/>
        <s v="0.279082"/>
        <s v="1.31538"/>
        <s v="82.367585"/>
        <s v="80.504517"/>
        <s v="0.106023"/>
        <s v="2873.741751"/>
        <s v="15221.22025"/>
        <s v="1254.763085"/>
        <s v="141.818135"/>
        <s v="7831.706976"/>
        <s v="162.031473"/>
        <s v="1649.091699"/>
        <s v="848.269895"/>
        <s v="0.525873"/>
        <s v="7.314819"/>
        <s v="597.382523"/>
        <s v="520.676349"/>
        <s v="309.182473"/>
        <s v="36.390825"/>
        <s v="318.702764"/>
        <s v="3.731573"/>
        <s v="22.339708"/>
        <s v="224.618831"/>
        <s v="198.984905"/>
        <s v="594.588783+"/>
        <s v="3368.865598+"/>
        <s v="3372.173873+"/>
        <s v="39.605675+"/>
        <s v="5767.139737+"/>
        <s v="0.850839"/>
        <s v="370.523807"/>
        <s v="345.179241"/>
        <s v="2.198378"/>
        <s v="161.854701"/>
        <s v="145.440369"/>
        <s v="109.779905"/>
        <s v="91.105465"/>
        <s v="82.145393"/>
        <s v="67.406085"/>
        <s v="1345.404076+"/>
        <s v="6175.532397+"/>
        <s v="400.438319+"/>
        <s v="47.36375+"/>
        <s v="79.544737+"/>
        <s v="1693.249683+"/>
        <s v="61.849902"/>
        <s v="479.086731"/>
        <s v="357.342625"/>
        <s v="200.051505"/>
        <s v="164.086365"/>
        <s v="1.334542"/>
        <s v="0.80237"/>
        <s v="114.579603"/>
        <s v="81.085424"/>
        <s v="13.757581"/>
        <s v="56.659264"/>
        <s v="52.392999"/>
        <s v="3039.610091+"/>
        <s v="0.046414+"/>
        <s v="13934.444727+"/>
        <s v="1290.311691+"/>
        <s v="3.582185+"/>
        <s v="225.965176+"/>
        <s v="7079.594405+"/>
        <s v="160.881395"/>
        <s v="1101.436074"/>
        <s v="1072.241114"/>
        <s v="1.720908"/>
        <s v="7.527529"/>
        <s v="514.083471"/>
        <s v="506.792389"/>
        <s v="345.818365"/>
        <s v="9.199635"/>
        <s v="20.010375"/>
        <s v="313.649181"/>
        <s v="202.807384"/>
        <s v="33.449024"/>
        <s v="83.087602"/>
        <s v="98.935482"/>
        <s v="21.931859"/>
        <s v="7477.973324"/>
        <s v="372.448738"/>
        <s v="3683.346589"/>
        <s v="2658.162426"/>
        <s v="1.191653"/>
        <s v="578.319131"/>
        <s v="309.261377"/>
        <s v="3.210473"/>
        <s v="168.272134"/>
        <s v="88.223206"/>
        <s v="78.136528"/>
        <s v="75.358835"/>
        <s v="56.502914"/>
        <s v="47.686528"/>
        <s v="1019.348168"/>
        <s v="5939.74968"/>
        <s v="813.651829"/>
        <s v="45.835925"/>
        <s v="83.168761"/>
        <s v="2009.118857"/>
        <s v="48.973263"/>
        <s v="770.718584"/>
        <s v="297.966205"/>
        <s v="167.379323"/>
        <s v="127.422027"/>
        <s v="1.132441"/>
        <s v="0.674333"/>
        <s v="100.602947"/>
        <s v="90.136534"/>
        <s v="72.697707"/>
        <s v="14.157008"/>
        <s v="63.000511"/>
        <s v="2550.810119"/>
        <s v="12097.78742"/>
        <s v="2737.040323"/>
        <s v="3.46668"/>
        <s v="141.04063"/>
        <s v="6399.18243"/>
        <s v="153.160915"/>
        <s v="1815.597704"/>
        <s v="1071.843543"/>
        <s v="517.055043"/>
        <s v="0.686201"/>
        <s v="3.466083"/>
        <s v="477.699541"/>
        <s v="382.119876"/>
        <s v="6.924144"/>
        <s v="20.303316"/>
        <s v="357.791053"/>
        <s v="19.158144"/>
        <s v="220.256091"/>
        <s v="62.670108"/>
        <s v="128.904763"/>
        <s v="618.481777+"/>
        <s v="5995.710542+"/>
        <s v="4346.872331+"/>
        <s v="17.551945+"/>
        <s v="6797.677053+"/>
        <s v="0.475945"/>
        <s v="443.897371"/>
        <s v="280.43919"/>
        <s v="2.333112"/>
        <s v="168.957275"/>
        <s v="99.10065"/>
        <s v="68.122721"/>
        <s v="66.180682"/>
        <s v="51.100826"/>
        <s v="47.016439"/>
        <s v="1104.70914+"/>
        <s v="5945.933384+"/>
        <s v="1161.74794+"/>
        <s v="47.929871+"/>
        <s v="87.049257+"/>
        <s v="2134.394888+"/>
        <s v="53.446204"/>
        <s v="648.876279"/>
        <s v="285.062911"/>
        <s v="208.763393"/>
        <s v="160.901353"/>
        <s v="2.637589"/>
        <s v="0.673736"/>
        <s v="142.366486"/>
        <s v="68.042955"/>
        <s v="51.798101"/>
        <s v="38.340356"/>
        <s v="13.15267"/>
        <s v="2955.440042+"/>
        <s v="18673.789433+"/>
        <s v="3245.029801+"/>
        <s v="5.149395+"/>
        <s v="171.423595+"/>
        <s v="9478.159229+"/>
        <s v="170.628453"/>
        <s v="1233.112563"/>
        <s v="1298.676268"/>
        <s v="3.019777"/>
        <s v="5.180294"/>
        <s v="724.666235"/>
        <s v="475.925125"/>
        <s v="357.692522"/>
        <s v="6.70971"/>
        <s v="27.388981"/>
        <s v="271.082675"/>
        <s v="13.200875"/>
        <s v="243.123197"/>
        <s v="60.715272"/>
        <s v="143.892056"/>
        <s v="16.871048"/>
        <s v="9408.441847"/>
        <s v="496.745959"/>
        <s v="4540.566278"/>
        <s v="3393.635887"/>
        <s v="0.748993"/>
        <s v="324.043187"/>
        <s v="272.690067"/>
        <s v="2.105549"/>
        <s v="150.151548"/>
        <s v="106.11928"/>
        <s v="88.332611"/>
        <s v="64.83573"/>
        <s v="49.349484"/>
        <s v="43.21783"/>
        <s v="1228.08464"/>
        <s v="4286.652432"/>
        <s v="1120.362013"/>
        <s v="88.458725"/>
        <s v="2785.755125"/>
        <s v="61.275691"/>
        <s v="688.064093"/>
        <s v="224.938493"/>
        <s v="168.139456"/>
        <s v="138.358881"/>
        <s v="0.849911"/>
        <s v="0.229419"/>
        <s v="106.645087"/>
        <s v="95.727793"/>
        <s v="94.908582"/>
        <s v="91.942844"/>
        <s v="2573.47519"/>
        <s v="12847.27447"/>
        <s v="3373.018281"/>
        <s v="4.983299"/>
        <s v="183.446344"/>
        <s v="11510.50218"/>
        <s v="186.037718"/>
        <s v="1613.689563"/>
        <s v="1377.68061"/>
        <s v="1.13821"/>
        <s v="3.815782"/>
        <s v="672.520492"/>
        <s v="430.258213"/>
        <s v="7.83141"/>
        <s v="29.143439"/>
        <s v="460.246591"/>
        <s v="68.187833"/>
        <s v="148.325346"/>
        <s v="209.659188"/>
        <s v="177.459237"/>
        <s v="16.475533"/>
        <s v="12.649938+"/>
        <s v="7988.045344+"/>
        <s v="479.591585+"/>
        <s v="3098.274716+"/>
        <s v="3720.114364+"/>
        <s v="288.650467"/>
        <s v="268.38488"/>
        <s v="2.076109"/>
        <s v="179.241611"/>
        <s v="98.254187"/>
        <s v="81.820759"/>
        <s v="53.44269"/>
        <s v="44.385878"/>
        <s v="34.264124"/>
        <s v="1104.694685+"/>
        <s v="5315.236504+"/>
        <s v="1180.550683+"/>
        <s v="70.359689+"/>
        <s v="2332.304375+"/>
        <s v="74.095638"/>
        <s v="674.819854"/>
        <s v="253.993082"/>
        <s v="211.175607"/>
        <s v="140.682445"/>
        <s v="127.604833"/>
        <s v="100.668722"/>
        <s v="92.915289"/>
        <s v="41.641205"/>
        <s v="2257.732329+"/>
        <s v="14747.014971+"/>
        <s v="2942.582832+"/>
        <s v="182.294011+"/>
        <s v="9074.154704+"/>
        <s v="220.706441"/>
        <s v="1815.368418"/>
        <s v="1260.041579"/>
        <s v="4.619411"/>
        <s v="790.268994"/>
        <s v="434.616644"/>
        <s v="6.659516"/>
        <s v="30.069205"/>
        <s v="408.107014"/>
        <s v="308.903722"/>
        <s v="257.234189"/>
        <s v="71.738722"/>
        <s v="138.916582"/>
        <s v="732.9798"/>
        <s v="460.2065"/>
        <s v="1310.1595"/>
        <s v="666.1454+"/>
        <s v="367.6882+"/>
        <s v="992.1755+"/>
        <s v="1111.4856"/>
        <s v="333.6765"/>
        <s v="1307.2"/>
        <s v="577.6599+"/>
        <s v="348.504+"/>
        <s v="1561.4301+"/>
        <s v="551.1929"/>
        <s v="467.6434"/>
        <s v="1050.2044"/>
        <s v="460.8189+"/>
        <s v="436.7045+"/>
        <s v="1010.165+"/>
        <s v="432.3733"/>
        <s v="311.9152"/>
        <s v="894.3061"/>
        <s v="350.6479+"/>
        <s v="312.313+"/>
        <s v="794.332+"/>
        <s v="175.3501"/>
        <s v="150.9338"/>
        <s v="633.9507"/>
        <s v="42.9389+"/>
        <s v="96.6346+"/>
        <s v="461.7895+"/>
        <s v="37.7528"/>
        <s v="97.2256"/>
        <s v="353.291"/>
        <s v="14.3406+"/>
        <s v="123.6008+"/>
        <s v="223.1901+"/>
      </sharedItems>
    </cacheField>
    <cacheField name="Value clean" numFmtId="0">
      <sharedItems containsSemiMixedTypes="0" containsString="0" containsNumber="1">
        <n v="899.265493"/>
        <n v="5622.580442"/>
        <n v="4457.22479"/>
        <n v="15.948333"/>
        <n v="7611.563208"/>
        <n v="307.946992"/>
        <n v="6.422605"/>
        <n v="212.469968"/>
        <n v="171.236944"/>
        <n v="0.029771"/>
        <n v="116.992414"/>
        <n v="95.339903"/>
        <n v="38.969667"/>
        <n v="34.905171"/>
        <n v="0.142028"/>
        <n v="32.450189"/>
        <n v="4389.809554"/>
        <n v="5967.119432"/>
        <n v="485.822233"/>
        <n v="46.13722"/>
        <n v="14.795735"/>
        <n v="1609.072208"/>
        <n v="38.73859"/>
        <n v="701.603394"/>
        <n v="700.442242"/>
        <n v="193.181003"/>
        <n v="164.704934"/>
        <n v="12.006769"/>
        <n v="135.056441"/>
        <n v="1.59307"/>
        <n v="0.95189"/>
        <n v="127.584278"/>
        <n v="98.695255"/>
        <n v="7.20621"/>
        <n v="96.79121"/>
        <n v="10271.13988"/>
        <n v="14567.6979"/>
        <n v="1323.619549"/>
        <n v="1.791126"/>
        <n v="147.988777"/>
        <n v="9934.412537"/>
        <n v="96.490976"/>
        <n v="1335.566377"/>
        <n v="1288.467984"/>
        <n v="403.571082"/>
        <n v="34.83502"/>
        <n v="359.109615"/>
        <n v="5.171741"/>
        <n v="31.900512"/>
        <n v="282.59374"/>
        <n v="280.300213"/>
        <n v="3.230365"/>
        <n v="6.086698"/>
        <n v="261.313471"/>
        <n v="46.087756"/>
        <n v="145.866054"/>
        <n v="729.821201"/>
        <n v="4702.004113"/>
        <n v="3969.19894"/>
        <n v="11.329055"/>
        <n v="5962.643043"/>
        <n v="284.824342"/>
        <n v="2.950686"/>
        <n v="234.198798"/>
        <n v="0.20893"/>
        <n v="124.996153"/>
        <n v="75.322764"/>
        <n v="74.063678"/>
        <n v="34.985402"/>
        <n v="33.859989"/>
        <n v="32.362732"/>
        <n v="0.405462"/>
        <n v="4483.615135"/>
        <n v="5765.421415"/>
        <n v="555.281552"/>
        <n v="47.309114"/>
        <n v="13.461723"/>
        <n v="1608.789744"/>
        <n v="54.697267"/>
        <n v="530.288474"/>
        <n v="515.438104"/>
        <n v="192.427103"/>
        <n v="21.533492"/>
        <n v="0.908857"/>
        <n v="1.373464"/>
        <n v="156.258602"/>
        <n v="121.201788"/>
        <n v="106.804421"/>
        <n v="79.158238"/>
        <n v="5.084217"/>
        <n v="83.905488"/>
        <n v="11127.30868"/>
        <n v="12648.513944"/>
        <n v="1108.961017"/>
        <n v="3.141648"/>
        <n v="118.79017"/>
        <n v="6283.969207"/>
        <n v="130.569642"/>
        <n v="1788.133068"/>
        <n v="953.289157"/>
        <n v="4.713831"/>
        <n v="2.390466"/>
        <n v="756.533329"/>
        <n v="401.388021"/>
        <n v="6.543679"/>
        <n v="46.111162"/>
        <n v="410.970309"/>
        <n v="342.937167"/>
        <n v="28.097594"/>
        <n v="298.288386"/>
        <n v="256.508867"/>
        <n v="1000.988615"/>
        <n v="7356.761192"/>
        <n v="6568.246391"/>
        <n v="327.837154"/>
        <n v="9020.890311"/>
        <n v="424.69898"/>
        <n v="4.180465"/>
        <n v="346.640958"/>
        <n v="0.209196"/>
        <n v="225.403033"/>
        <n v="146.810783"/>
        <n v="117.282172"/>
        <n v="82.92376"/>
        <n v="75.031017"/>
        <n v="64.890698"/>
        <n v="3593.978608"/>
        <n v="6762.738663"/>
        <n v="602.117373"/>
        <n v="50.571637"/>
        <n v="67.629072"/>
        <n v="3567.870595"/>
        <n v="68.207659"/>
        <n v="762.579249"/>
        <n v="517.770552"/>
        <n v="227.97836"/>
        <n v="10.237458"/>
        <n v="0.489206"/>
        <n v="1.9124"/>
        <n v="191.383313"/>
        <n v="163.897989"/>
        <n v="136.057994"/>
        <n v="131.263071"/>
        <n v="110.584264"/>
        <n v="10159.89176"/>
        <n v="16676.61422"/>
        <n v="3433.774729"/>
        <n v="3.358336"/>
        <n v="186.268794"/>
        <n v="14237.19253"/>
        <n v="160.448018"/>
        <n v="2284.922391"/>
        <n v="3.930093"/>
        <n v="13.459402"/>
        <n v="1072.683641"/>
        <n v="982.058829"/>
        <n v="947.040142"/>
        <n v="709.715146"/>
        <n v="22.146691"/>
        <n v="88.881426"/>
        <n v="521.416723"/>
        <n v="200.891934"/>
        <n v="290.884253"/>
        <n v="395.156842"/>
        <n v="25.76972"/>
        <n v="820.416108"/>
        <n v="5684.181431"/>
        <n v="3564.350803"/>
        <n v="318.203811"/>
        <n v="6304.313433"/>
        <n v="3.818633"/>
        <n v="475.48094"/>
        <n v="203.671087"/>
        <n v="0.27464"/>
        <n v="195.828471"/>
        <n v="104.952492"/>
        <n v="92.093955"/>
        <n v="73.897714"/>
        <n v="55.820227"/>
        <n v="52.923911"/>
        <n v="2841.10438"/>
        <n v="6623.000018"/>
        <n v="525.96028"/>
        <n v="48.940376"/>
        <n v="113.266212"/>
        <n v="3527.423164"/>
        <n v="63.418239"/>
        <n v="634.861232"/>
        <n v="416.924196"/>
        <n v="142.501286"/>
        <n v="141.081872"/>
        <n v="0.895596"/>
        <n v="0.238702"/>
        <n v="227.064729"/>
        <n v="152.961334"/>
        <n v="95.999383"/>
        <n v="89.912221"/>
        <n v="83.254229"/>
        <n v="1.029136"/>
        <n v="6235.15773"/>
        <n v="15700.382104"/>
        <n v="1938.389976"/>
        <n v="3.249992"/>
        <n v="166.170232"/>
        <n v="8986.126968"/>
        <n v="152.979037"/>
        <n v="2037.907029"/>
        <n v="2.054427"/>
        <n v="23.693545"/>
        <n v="1098.941175"/>
        <n v="955.543497"/>
        <n v="723.549708"/>
        <n v="10.674282"/>
        <n v="71.973048"/>
        <n v="631.506543"/>
        <n v="528.577778"/>
        <n v="183.839274"/>
        <n v="288.943805"/>
        <n v="362.237206"/>
        <n v="42.914679"/>
        <n v="773.766541"/>
        <n v="4568.309267"/>
        <n v="4738.784354"/>
        <n v="146.524473"/>
        <n v="6829.434676"/>
        <n v="3.743044"/>
        <n v="760.294077"/>
        <n v="200.276349"/>
        <n v="3.624223"/>
        <n v="190.920762"/>
        <n v="192.815258"/>
        <n v="88.075675"/>
        <n v="74.260342"/>
        <n v="52.727248"/>
        <n v="45.304416"/>
        <n v="2383.271661"/>
        <n v="6723.164019"/>
        <n v="523.029817"/>
        <n v="47.36375"/>
        <n v="72.253721"/>
        <n v="2381.702329"/>
        <n v="58.583002"/>
        <n v="410.251949"/>
        <n v="382.141359"/>
        <n v="350.53213"/>
        <n v="0.296985"/>
        <n v="2.811444"/>
        <n v="246.065794"/>
        <n v="174.863686"/>
        <n v="24.139055"/>
        <n v="129.822771"/>
        <n v="107.913191"/>
        <n v="76.888582"/>
        <n v="5184.360197"/>
        <n v="14277.08856"/>
        <n v="1644.230536"/>
        <n v="3.582185"/>
        <n v="183.721912"/>
        <n v="6818.829617"/>
        <n v="157.761561"/>
        <n v="1670.173912"/>
        <n v="3.545319"/>
        <n v="17.701399"/>
        <n v="1070.070585"/>
        <n v="934.2562"/>
        <n v="637.886115"/>
        <n v="489.37299"/>
        <n v="11.949414"/>
        <n v="47.841618"/>
        <n v="344.140954"/>
        <n v="302.883131"/>
        <n v="36.618056"/>
        <n v="194.672956"/>
        <n v="100.229246"/>
        <n v="562.876647"/>
        <n v="5681.495903"/>
        <n v="2922.396679"/>
        <n v="121.087477"/>
        <n v="5610.048795"/>
        <n v="2.881198"/>
        <n v="536.896802"/>
        <n v="231.508429"/>
        <n v="2.459027"/>
        <n v="166.33235"/>
        <n v="130.466006"/>
        <n v="99.192219"/>
        <n v="65.759904"/>
        <n v="64.158082"/>
        <n v="47.942005"/>
        <n v="1685.635691"/>
        <n v="5592.503082"/>
        <n v="272.150799"/>
        <n v="45.835925"/>
        <n v="55.049286"/>
        <n v="1936.799692"/>
        <n v="47.310042"/>
        <n v="358.479509"/>
        <n v="338.563089"/>
        <n v="185.188337"/>
        <n v="125.774255"/>
        <n v="24.544915"/>
        <n v="0.436692"/>
        <n v="1.798287"/>
        <n v="130.889304"/>
        <n v="123.076725"/>
        <n v="77.288938"/>
        <n v="73.262568"/>
        <n v="0.424094"/>
        <n v="3597.991186"/>
        <n v="12022.168798"/>
        <n v="1132.86316"/>
        <n v="3.46668"/>
        <n v="186.218269"/>
        <n v="6132.884335"/>
        <n v="135.541072"/>
        <n v="998.023275"/>
        <n v="763.411125"/>
        <n v="1.783766"/>
        <n v="12.487819"/>
        <n v="570.032862"/>
        <n v="528.67611"/>
        <n v="378.791908"/>
        <n v="31.427352"/>
        <n v="383.185945"/>
        <n v="6.649438"/>
        <n v="24.763261"/>
        <n v="247.163292"/>
        <n v="122.495486"/>
        <n v="74.971474"/>
        <n v="593.09146"/>
        <n v="4003.448941"/>
        <n v="3206.174313"/>
        <n v="121.739067"/>
        <n v="7236.981536"/>
        <n v="1.591611"/>
        <n v="410.215547"/>
        <n v="263.524314"/>
        <n v="3.309734"/>
        <n v="170.500217"/>
        <n v="116.544716"/>
        <n v="116.102321"/>
        <n v="74.509653"/>
        <n v="70.919378"/>
        <n v="36.580792"/>
        <n v="1619.21498"/>
        <n v="6284.66363"/>
        <n v="304.384897"/>
        <n v="65.735039"/>
        <n v="1980.956217"/>
        <n v="59.966876"/>
        <n v="438.452184"/>
        <n v="348.845767"/>
        <n v="157.555681"/>
        <n v="22.29946"/>
        <n v="148.367583"/>
        <n v="115.030749"/>
        <n v="87.554178"/>
        <n v="0.279082"/>
        <n v="1.31538"/>
        <n v="82.367585"/>
        <n v="80.504517"/>
        <n v="0.106023"/>
        <n v="2873.741751"/>
        <n v="15221.22025"/>
        <n v="1254.763085"/>
        <n v="141.818135"/>
        <n v="7831.706976"/>
        <n v="162.031473"/>
        <n v="1649.091699"/>
        <n v="848.269895"/>
        <n v="0.525873"/>
        <n v="7.314819"/>
        <n v="597.382523"/>
        <n v="520.676349"/>
        <n v="309.182473"/>
        <n v="36.390825"/>
        <n v="318.702764"/>
        <n v="3.731573"/>
        <n v="22.339708"/>
        <n v="224.618831"/>
        <n v="198.984905"/>
        <n v="594.588783"/>
        <n v="3368.865598"/>
        <n v="3372.173873"/>
        <n v="39.605675"/>
        <n v="5767.139737"/>
        <n v="0.850839"/>
        <n v="370.523807"/>
        <n v="345.179241"/>
        <n v="2.198378"/>
        <n v="161.854701"/>
        <n v="145.440369"/>
        <n v="109.779905"/>
        <n v="91.105465"/>
        <n v="82.145393"/>
        <n v="67.406085"/>
        <n v="1345.404076"/>
        <n v="6175.532397"/>
        <n v="400.438319"/>
        <n v="79.544737"/>
        <n v="1693.249683"/>
        <n v="61.849902"/>
        <n v="479.086731"/>
        <n v="357.342625"/>
        <n v="200.051505"/>
        <n v="164.086365"/>
        <n v="1.334542"/>
        <n v="0.80237"/>
        <n v="114.579603"/>
        <n v="81.085424"/>
        <n v="13.757581"/>
        <n v="56.659264"/>
        <n v="52.392999"/>
        <n v="3039.610091"/>
        <n v="0.046414"/>
        <n v="13934.444727"/>
        <n v="1290.311691"/>
        <n v="225.965176"/>
        <n v="7079.594405"/>
        <n v="160.881395"/>
        <n v="1101.436074"/>
        <n v="1072.241114"/>
        <n v="1.720908"/>
        <n v="7.527529"/>
        <n v="514.083471"/>
        <n v="506.792389"/>
        <n v="345.818365"/>
        <n v="9.199635"/>
        <n v="20.010375"/>
        <n v="313.649181"/>
        <n v="202.807384"/>
        <n v="33.449024"/>
        <n v="83.087602"/>
        <n v="98.935482"/>
        <n v="21.931859"/>
        <n v="7477.973324"/>
        <n v="372.448738"/>
        <n v="3683.346589"/>
        <n v="2658.162426"/>
        <n v="1.191653"/>
        <n v="578.319131"/>
        <n v="309.261377"/>
        <n v="3.210473"/>
        <n v="168.272134"/>
        <n v="88.223206"/>
        <n v="78.136528"/>
        <n v="75.358835"/>
        <n v="56.502914"/>
        <n v="47.686528"/>
        <n v="1019.348168"/>
        <n v="5939.74968"/>
        <n v="813.651829"/>
        <n v="83.168761"/>
        <n v="2009.118857"/>
        <n v="48.973263"/>
        <n v="770.718584"/>
        <n v="297.966205"/>
        <n v="167.379323"/>
        <n v="127.422027"/>
        <n v="1.132441"/>
        <n v="0.674333"/>
        <n v="100.602947"/>
        <n v="90.136534"/>
        <n v="72.697707"/>
        <n v="14.157008"/>
        <n v="63.000511"/>
        <n v="2550.810119"/>
        <n v="12097.78742"/>
        <n v="2737.040323"/>
        <n v="141.04063"/>
        <n v="6399.18243"/>
        <n v="153.160915"/>
        <n v="1815.597704"/>
        <n v="1071.843543"/>
        <n v="517.055043"/>
        <n v="0.686201"/>
        <n v="3.466083"/>
        <n v="477.699541"/>
        <n v="382.119876"/>
        <n v="6.924144"/>
        <n v="20.303316"/>
        <n v="357.791053"/>
        <n v="19.158144"/>
        <n v="220.256091"/>
        <n v="62.670108"/>
        <n v="128.904763"/>
        <n v="618.481777"/>
        <n v="5995.710542"/>
        <n v="4346.872331"/>
        <n v="17.551945"/>
        <n v="6797.677053"/>
        <n v="0.475945"/>
        <n v="443.897371"/>
        <n v="280.43919"/>
        <n v="2.333112"/>
        <n v="168.957275"/>
        <n v="99.10065"/>
        <n v="68.122721"/>
        <n v="66.180682"/>
        <n v="51.100826"/>
        <n v="47.016439"/>
        <n v="1104.70914"/>
        <n v="5945.933384"/>
        <n v="1161.74794"/>
        <n v="47.929871"/>
        <n v="87.049257"/>
        <n v="2134.394888"/>
        <n v="53.446204"/>
        <n v="648.876279"/>
        <n v="285.062911"/>
        <n v="208.763393"/>
        <n v="160.901353"/>
        <n v="2.637589"/>
        <n v="0.673736"/>
        <n v="142.366486"/>
        <n v="68.042955"/>
        <n v="51.798101"/>
        <n v="38.340356"/>
        <n v="13.15267"/>
        <n v="2955.440042"/>
        <n v="18673.789433"/>
        <n v="3245.029801"/>
        <n v="5.149395"/>
        <n v="171.423595"/>
        <n v="9478.159229"/>
        <n v="170.628453"/>
        <n v="1233.112563"/>
        <n v="1298.676268"/>
        <n v="3.019777"/>
        <n v="5.180294"/>
        <n v="724.666235"/>
        <n v="475.925125"/>
        <n v="357.692522"/>
        <n v="6.70971"/>
        <n v="27.388981"/>
        <n v="271.082675"/>
        <n v="13.200875"/>
        <n v="243.123197"/>
        <n v="60.715272"/>
        <n v="143.892056"/>
        <n v="16.871048"/>
        <n v="9408.441847"/>
        <n v="496.745959"/>
        <n v="4540.566278"/>
        <n v="3393.635887"/>
        <n v="0.748993"/>
        <n v="324.043187"/>
        <n v="272.690067"/>
        <n v="2.105549"/>
        <n v="150.151548"/>
        <n v="106.11928"/>
        <n v="88.332611"/>
        <n v="64.83573"/>
        <n v="49.349484"/>
        <n v="43.21783"/>
        <n v="1228.08464"/>
        <n v="4286.652432"/>
        <n v="1120.362013"/>
        <n v="88.458725"/>
        <n v="2785.755125"/>
        <n v="61.275691"/>
        <n v="688.064093"/>
        <n v="224.938493"/>
        <n v="168.139456"/>
        <n v="138.358881"/>
        <n v="0.849911"/>
        <n v="0.229419"/>
        <n v="106.645087"/>
        <n v="95.727793"/>
        <n v="94.908582"/>
        <n v="91.942844"/>
        <n v="2573.47519"/>
        <n v="12847.27447"/>
        <n v="3373.018281"/>
        <n v="4.983299"/>
        <n v="183.446344"/>
        <n v="11510.50218"/>
        <n v="186.037718"/>
        <n v="1613.689563"/>
        <n v="1377.68061"/>
        <n v="1.13821"/>
        <n v="3.815782"/>
        <n v="672.520492"/>
        <n v="430.258213"/>
        <n v="7.83141"/>
        <n v="29.143439"/>
        <n v="460.246591"/>
        <n v="68.187833"/>
        <n v="148.325346"/>
        <n v="209.659188"/>
        <n v="177.459237"/>
        <n v="16.475533"/>
        <n v="12.649938"/>
        <n v="7988.045344"/>
        <n v="479.591585"/>
        <n v="3098.274716"/>
        <n v="3720.114364"/>
        <n v="288.650467"/>
        <n v="268.38488"/>
        <n v="2.076109"/>
        <n v="179.241611"/>
        <n v="98.254187"/>
        <n v="81.820759"/>
        <n v="53.44269"/>
        <n v="44.385878"/>
        <n v="34.264124"/>
        <n v="1104.694685"/>
        <n v="5315.236504"/>
        <n v="1180.550683"/>
        <n v="70.359689"/>
        <n v="2332.304375"/>
        <n v="74.095638"/>
        <n v="674.819854"/>
        <n v="253.993082"/>
        <n v="211.175607"/>
        <n v="140.682445"/>
        <n v="127.604833"/>
        <n v="100.668722"/>
        <n v="92.915289"/>
        <n v="41.641205"/>
        <n v="2257.732329"/>
        <n v="14747.014971"/>
        <n v="2942.582832"/>
        <n v="182.294011"/>
        <n v="9074.154704"/>
        <n v="220.706441"/>
        <n v="1815.368418"/>
        <n v="1260.041579"/>
        <n v="4.619411"/>
        <n v="790.268994"/>
        <n v="434.616644"/>
        <n v="6.659516"/>
        <n v="30.069205"/>
        <n v="408.107014"/>
        <n v="308.903722"/>
        <n v="257.234189"/>
        <n v="71.738722"/>
        <n v="138.916582"/>
        <n v="732.9798"/>
        <n v="460.2065"/>
        <n v="1310.1595"/>
        <n v="666.1454"/>
        <n v="367.6882"/>
        <n v="992.1755"/>
        <n v="1111.4856"/>
        <n v="333.6765"/>
        <n v="1307.2"/>
        <n v="577.6599"/>
        <n v="348.504"/>
        <n v="1561.4301"/>
        <n v="551.1929"/>
        <n v="467.6434"/>
        <n v="1050.2044"/>
        <n v="460.8189"/>
        <n v="436.7045"/>
        <n v="1010.165"/>
        <n v="432.3733"/>
        <n v="311.9152"/>
        <n v="894.3061"/>
        <n v="350.6479"/>
        <n v="312.313"/>
        <n v="794.332"/>
        <n v="175.3501"/>
        <n v="150.9338"/>
        <n v="633.9507"/>
        <n v="42.9389"/>
        <n v="96.6346"/>
        <n v="461.7895"/>
        <n v="37.7528"/>
        <n v="97.2256"/>
        <n v="353.291"/>
        <n v="14.3406"/>
        <n v="123.6008"/>
        <n v="223.1901"/>
      </sharedItems>
    </cacheField>
    <cacheField name="Volume (in 1000 kg)" numFmtId="0">
      <sharedItems>
        <s v="3.1972"/>
        <s v="20.3855"/>
        <s v="19.2051"/>
        <s v="0.0265"/>
        <s v="17.9715"/>
        <s v="0.5153"/>
        <s v="0.0063"/>
        <s v="0.6237"/>
        <s v="0.4026"/>
        <s v="0.0001"/>
        <s v="0.5242"/>
        <s v="0.2861"/>
        <s v="0.0667"/>
        <s v="0.0385"/>
        <s v="0.0005"/>
        <s v="0.0865"/>
        <s v="18.5833"/>
        <s v="20.1918"/>
        <s v="1.4171"/>
        <s v="0.2142"/>
        <s v="0.0195"/>
        <s v="3.2445"/>
        <s v="0.1621"/>
        <s v="4.2846"/>
        <s v="1.4609"/>
        <s v="1.5567"/>
        <s v="0.8496"/>
        <s v="0.0694"/>
        <s v="0.4674"/>
        <s v="0.001"/>
        <s v="0.0009"/>
        <s v="0.3483"/>
        <s v="0.313"/>
        <s v="0.0358"/>
        <s v="0.3467"/>
        <s v="42.1534"/>
        <s v="55.8309"/>
        <s v="4.9606"/>
        <s v="0.0065"/>
        <s v="0.2461"/>
        <s v="22.4747"/>
        <s v="0.4084"/>
        <s v="6.8459"/>
        <s v="2.6402"/>
        <s v="2.0731"/>
        <s v="0.2046"/>
        <s v="0.217"/>
        <s v="0.0042"/>
        <s v="0.0302"/>
        <s v="0.504"/>
        <s v="0.9618"/>
        <s v="0.0024"/>
        <s v="0.0058"/>
        <s v="0.5861"/>
        <s v="0.0481"/>
        <s v="0.2087"/>
        <s v="2.3326"/>
        <s v="16.4889"/>
        <s v="16.2075"/>
        <s v="0.0178"/>
        <s v="14.3399"/>
        <s v="0.4525"/>
        <s v="0.0027"/>
        <s v="0.6647"/>
        <s v="0.5445"/>
        <s v="0.1528"/>
        <s v="0.2409"/>
        <s v="0.0628"/>
        <s v="0.0808"/>
        <s v="0.0362"/>
        <s v="0.0017"/>
        <s v="17.3156"/>
        <s v="19.1384"/>
        <s v="1.6151"/>
        <s v="0.2197"/>
        <s v="0.0172"/>
        <s v="3.0688"/>
        <s v="0.2506"/>
        <s v="2.5393"/>
        <s v="1.0267"/>
        <s v="1.0754"/>
        <s v="0.1253"/>
        <s v="0.0006"/>
        <s v="0.0013"/>
        <s v="0.4197"/>
        <s v="0.5133"/>
        <s v="0.7821"/>
        <s v="0.2611"/>
        <s v="0.0239"/>
        <s v="0.155"/>
        <s v="44.4841"/>
        <s v="45.3348"/>
        <s v="3.6893"/>
        <s v="0.0114"/>
        <s v="0.1972"/>
        <s v="11.8206"/>
        <s v="0.5952"/>
        <s v="9.3849"/>
        <s v="1.8028"/>
        <s v="0.0032"/>
        <s v="0.0023"/>
        <s v="1.4945"/>
        <s v="0.2481"/>
        <s v="0.0051"/>
        <s v="0.0435"/>
        <s v="1.6441"/>
        <s v="1.878"/>
        <s v="0.1425"/>
        <s v="1.1918"/>
        <s v="0.4414"/>
        <s v="2.9635"/>
        <s v="25.8113"/>
        <s v="27.7771"/>
        <s v="0.6191"/>
        <s v="18.0827"/>
        <s v="0.6851"/>
        <s v="0.0038"/>
        <s v="0.9196"/>
        <s v="0.9944"/>
        <s v="0.2935"/>
        <s v="0.3999"/>
        <s v="0.1804"/>
        <s v="0.2911"/>
        <s v="0.1123"/>
        <s v="11.022"/>
        <s v="22.0441"/>
        <s v="1.8055"/>
        <s v="0.2349"/>
        <s v="0.1254"/>
        <s v="7.8821"/>
        <s v="0.2888"/>
        <s v="4.1756"/>
        <s v="0.9893"/>
        <s v="1.2737"/>
        <s v="0.0605"/>
        <s v="0.0004"/>
        <s v="0.0019"/>
        <s v="0.4904"/>
        <s v="0.7257"/>
        <s v="0.5331"/>
        <s v="0.2406"/>
        <s v="0.7365"/>
        <s v="34.0053"/>
        <s v="55.9166"/>
        <s v="13.2763"/>
        <s v="0.0122"/>
        <s v="0.2925"/>
        <s v="29.5063"/>
        <s v="0.6877"/>
        <s v="11.753"/>
        <s v="0.0129"/>
        <s v="1.809"/>
        <s v="3.7531"/>
        <s v="1.6874"/>
        <s v="0.4248"/>
        <s v="0.018"/>
        <s v="0.0844"/>
        <s v="2.5491"/>
        <s v="0.1563"/>
        <s v="0.2229"/>
        <s v="2.0892"/>
        <s v="0.1329"/>
        <s v="2.3809"/>
        <s v="18.986"/>
        <s v="12.8916"/>
        <s v="0.6051"/>
        <s v="11.6546"/>
        <s v="0.0035"/>
        <s v="1.1356"/>
        <s v="0.3061"/>
        <s v="0.0012"/>
        <s v="0.8379"/>
        <s v="0.2001"/>
        <s v="0.5076"/>
        <s v="0.2774"/>
        <s v="0.1553"/>
        <s v="0.0883"/>
        <s v="8.6138"/>
        <s v="21.3847"/>
        <s v="1.4317"/>
        <s v="0.2273"/>
        <s v="0.2146"/>
        <s v="7.1437"/>
        <s v="0.285"/>
        <s v="3.6641"/>
        <s v="0.8014"/>
        <s v="0.7784"/>
        <s v="0.8314"/>
        <s v="0.0002"/>
        <s v="0.5152"/>
        <s v="0.5864"/>
        <s v="0.3882"/>
        <s v="0.3905"/>
        <s v="0.2862"/>
        <s v="0.0034"/>
        <s v="19.7551"/>
        <s v="52.6541"/>
        <s v="6.0981"/>
        <s v="0.0118"/>
        <s v="0.2561"/>
        <s v="16.4286"/>
        <s v="0.6881"/>
        <s v="11.7526"/>
        <s v="0.0014"/>
        <s v="0.0232"/>
        <s v="1.7402"/>
        <s v="3.6007"/>
        <s v="0.435"/>
        <s v="0.0086"/>
        <s v="0.068"/>
        <s v="1.1213"/>
        <s v="0.9"/>
        <s v="0.1519"/>
        <s v="0.224"/>
        <s v="2.007"/>
        <s v="0.228"/>
        <s v="2.1888"/>
        <s v="14.9549"/>
        <s v="19.3361"/>
        <s v="0.2729"/>
        <s v="13.6727"/>
        <s v="1.7256"/>
        <s v="0.3006"/>
        <s v="0.0161"/>
        <s v="0.8343"/>
        <s v="0.9851"/>
        <s v="0.1692"/>
        <s v="0.2795"/>
        <s v="0.1463"/>
        <s v="0.0754"/>
        <s v="8.01"/>
        <s v="21.8865"/>
        <s v="1.4308"/>
        <s v="0.2199"/>
        <s v="4.5355"/>
        <s v="0.2642"/>
        <s v="1.8979"/>
        <s v="1.6661"/>
        <s v="0.6973"/>
        <s v="0.0028"/>
        <s v="0.5578"/>
        <s v="1.1724"/>
        <s v="0.1658"/>
        <s v="0.4957"/>
        <s v="0.4393"/>
        <s v="0.5444"/>
        <s v="17.4319"/>
        <s v="48.6907"/>
        <s v="5.6273"/>
        <s v="0.013"/>
        <s v="0.2582"/>
        <s v="12.2789"/>
        <s v="0.7115"/>
        <s v="8.5312"/>
        <s v="0.0025"/>
        <s v="0.0176"/>
        <s v="1.8646"/>
        <s v="3.5029"/>
        <s v="1.1688"/>
        <s v="0.2919"/>
        <s v="0.009"/>
        <s v="0.0455"/>
        <s v="1.4631"/>
        <s v="1.7706"/>
        <s v="0.1939"/>
        <s v="0.159"/>
        <s v="0.0728"/>
        <s v="1.5805"/>
        <s v="19.9028"/>
        <s v="11.3659"/>
        <s v="0.2251"/>
        <s v="10.8914"/>
        <s v="1.2478"/>
        <s v="0.3557"/>
        <s v="0.0112"/>
        <s v="0.6971"/>
        <s v="0.2797"/>
        <s v="0.4763"/>
        <s v="0.2064"/>
        <s v="0.2429"/>
        <s v="0.082"/>
        <s v="4.8318"/>
        <s v="17.3364"/>
        <s v="0.8422"/>
        <s v="0.2128"/>
        <s v="0.0827"/>
        <s v="4.0274"/>
        <s v="0.1977"/>
        <s v="1.6584"/>
        <s v="0.6737"/>
        <s v="0.8061"/>
        <s v="0.9208"/>
        <s v="0.1689"/>
        <s v="0.3189"/>
        <s v="0.4731"/>
        <s v="0.2486"/>
        <s v="0.2575"/>
        <s v="10.7144"/>
        <s v="37.707"/>
        <s v="3.5321"/>
        <s v="0.0126"/>
        <s v="0.3106"/>
        <s v="11.8122"/>
        <s v="0.5724"/>
        <s v="4.2631"/>
        <s v="2.8679"/>
        <s v="0.0011"/>
        <s v="0.0131"/>
        <s v="0.8355"/>
        <s v="0.9833"/>
        <s v="2.5361"/>
        <s v="0.1754"/>
        <s v="0.2237"/>
        <s v="0.0049"/>
        <s v="0.4494"/>
        <s v="0.1017"/>
        <s v="0.0553"/>
        <s v="1.6698"/>
        <s v="13.3033"/>
        <s v="12.1544"/>
        <s v="0.2534"/>
        <s v="16.2127"/>
        <s v="1.0021"/>
        <s v="0.4205"/>
        <s v="0.0157"/>
        <s v="0.9608"/>
        <s v="0.5466"/>
        <s v="0.2502"/>
        <s v="0.1787"/>
        <s v="0.2833"/>
        <s v="0.2119"/>
        <s v="4.5455"/>
        <s v="20.9554"/>
        <s v="0.8954"/>
        <s v="0.0972"/>
        <s v="4.1177"/>
        <s v="0.2715"/>
        <s v="2.3858"/>
        <s v="0.6837"/>
        <s v="0.1557"/>
        <s v="0.4395"/>
        <s v="0.3801"/>
        <s v="0.2166"/>
        <s v="0.2793"/>
        <s v="0.0003"/>
        <s v="8.4189"/>
        <s v="54.0723"/>
        <s v="4.4704"/>
        <s v="0.2012"/>
        <s v="16.2843"/>
        <s v="0.7386"/>
        <s v="8.6118"/>
        <s v="3.2099"/>
        <s v="0.007"/>
        <s v="0.9447"/>
        <s v="0.9398"/>
        <s v="2.2287"/>
        <s v="0.1964"/>
        <s v="0.1843"/>
        <s v="0.021"/>
        <s v="1.3597"/>
        <s v="0.4133"/>
        <s v="1.6988"/>
        <s v="10.7176"/>
        <s v="13.0236"/>
        <s v="0.0932"/>
        <s v="11.2308"/>
        <s v="0.0007"/>
        <s v="0.944"/>
        <s v="0.5976"/>
        <s v="0.0107"/>
        <s v="0.8689"/>
        <s v="0.5997"/>
        <s v="0.7254"/>
        <s v="0.4078"/>
        <s v="0.34"/>
        <s v="0.1567"/>
        <s v="3.6894"/>
        <s v="20.3505"/>
        <s v="1.3064"/>
        <s v="0.1296"/>
        <s v="3.8904"/>
        <s v="0.2721"/>
        <s v="2.4318"/>
        <s v="0.7239"/>
        <s v="0.3454"/>
        <s v="0.6684"/>
        <s v="0.2728"/>
        <s v="0.4371"/>
        <s v="0.0727"/>
        <s v="0.1921"/>
        <s v="0.165"/>
        <s v="9.2251"/>
        <s v="47.7732"/>
        <s v="4.363"/>
        <s v="0.3244"/>
        <s v="14.1701"/>
        <s v="0.7303"/>
        <s v="4.8872"/>
        <s v="4.3159"/>
        <s v="0.0069"/>
        <s v="0.7876"/>
        <s v="1.0039"/>
        <s v="0.1978"/>
        <s v="0.0072"/>
        <s v="0.0188"/>
        <s v="1.9622"/>
        <s v="1.1919"/>
        <s v="0.0592"/>
        <s v="0.1187"/>
        <s v="0.0518"/>
        <s v="15.587"/>
        <s v="0.9392"/>
        <s v="12.8973"/>
        <s v="10.0455"/>
        <s v="0.0015"/>
        <s v="1.5034"/>
        <s v="0.5214"/>
        <s v="0.014"/>
        <s v="0.8753"/>
        <s v="0.341"/>
        <s v="0.2972"/>
        <s v="0.2858"/>
        <s v="0.3686"/>
        <s v="0.0918"/>
        <s v="2.8586"/>
        <s v="18.869"/>
        <s v="3.0511"/>
        <s v="0.1406"/>
        <s v="4.4013"/>
        <s v="0.2035"/>
        <s v="5.0643"/>
        <s v="0.6853"/>
        <s v="0.6651"/>
        <s v="0.3354"/>
        <s v="0.2511"/>
        <s v="0.1502"/>
        <s v="0.4295"/>
        <s v="0.0775"/>
        <s v="0.1945"/>
        <s v="7.052"/>
        <s v="35.4944"/>
        <s v="10.1936"/>
        <s v="0.2171"/>
        <s v="12.4106"/>
        <s v="0.642"/>
        <s v="9.4241"/>
        <s v="4.1326"/>
        <s v="1.2192"/>
        <s v="0.0031"/>
        <s v="0.7013"/>
        <s v="0.2225"/>
        <s v="0.005"/>
        <s v="0.019"/>
        <s v="0.0823"/>
        <s v="0.3924"/>
        <s v="0.0432"/>
        <s v="1.7024"/>
        <s v="22.771"/>
        <s v="17.4737"/>
        <s v="0.0359"/>
        <s v="13.2122"/>
        <s v="1.1537"/>
        <s v="0.4309"/>
        <s v="0.0102"/>
        <s v="0.8397"/>
        <s v="0.3838"/>
        <s v="0.2634"/>
        <s v="0.3408"/>
        <s v="0.1046"/>
        <s v="0.1891"/>
        <s v="2.9553"/>
        <s v="18.5955"/>
        <s v="4.3691"/>
        <s v="0.2226"/>
        <s v="0.1358"/>
        <s v="4.969"/>
        <s v="0.2205"/>
        <s v="3.7405"/>
        <s v="0.6444"/>
        <s v="0.8404"/>
        <s v="0.3026"/>
        <s v="0.3335"/>
        <s v="0.356"/>
        <s v="0.4646"/>
        <s v="0.2266"/>
        <s v="0.0743"/>
        <s v="8.7792"/>
        <s v="68.435"/>
        <s v="11.8374"/>
        <s v="0.0187"/>
        <s v="0.2436"/>
        <s v="20.5402"/>
        <s v="0.7149"/>
        <s v="5.8029"/>
        <s v="5.1024"/>
        <s v="0.0056"/>
        <s v="1.1779"/>
        <s v="1.0449"/>
        <s v="0.0052"/>
        <s v="0.0261"/>
        <s v="1.6425"/>
        <s v="0.0513"/>
        <s v="0.4511"/>
        <s v="0.0389"/>
        <s v="0.1722"/>
        <s v="0.032"/>
        <s v="21.1356"/>
        <s v="1.2735"/>
        <s v="17.3713"/>
        <s v="13.7086"/>
        <s v="0.7725"/>
        <s v="0.4077"/>
        <s v="0.713"/>
        <s v="0.4161"/>
        <s v="0.3724"/>
        <s v="0.1442"/>
        <s v="0.2075"/>
        <s v="0.3389"/>
        <s v="3.2142"/>
        <s v="11.7249"/>
        <s v="3.94"/>
        <s v="0.1451"/>
        <s v="6.6926"/>
        <s v="0.2457"/>
        <s v="3.76"/>
        <s v="0.9488"/>
        <s v="0.4465"/>
        <s v="0.2433"/>
        <s v="0.1736"/>
        <s v="0.4872"/>
        <s v="0.2666"/>
        <s v="0.5587"/>
        <s v="6.9144"/>
        <s v="38.3445"/>
        <s v="12.3856"/>
        <s v="0.2675"/>
        <s v="26.7505"/>
        <s v="0.7373"/>
        <s v="7.6349"/>
        <s v="5.6047"/>
        <s v="0.004"/>
        <s v="1.0467"/>
        <s v="0.2431"/>
        <s v="0.0273"/>
        <s v="1.0931"/>
        <s v="0.0416"/>
        <s v="0.1746"/>
        <s v="0.3658"/>
        <s v="0.8664"/>
        <s v="0.0564"/>
        <s v="0.0194"/>
        <s v="16.6831"/>
        <s v="1.2135"/>
        <s v="9.2393"/>
        <s v="15.0265"/>
        <s v="0.433"/>
        <s v="0.5885"/>
        <s v="0.0092"/>
        <s v="0.8693"/>
        <s v="0.3886"/>
        <s v="0.3464"/>
        <s v="0.1163"/>
        <s v="0.0698"/>
        <s v="2.9453"/>
        <s v="14.678"/>
        <s v="4.336"/>
        <s v="0.1119"/>
        <s v="5.2404"/>
        <s v="0.3029"/>
        <s v="3.5236"/>
        <s v="1.7255"/>
        <s v="0.8324"/>
        <s v="0.3449"/>
        <s v="0.1824"/>
        <s v="0.2454"/>
        <s v="0.0778"/>
        <s v="5.7828"/>
        <s v="43.5916"/>
        <s v="10.9131"/>
        <s v="0.2789"/>
        <s v="20.3016"/>
        <s v="0.9045"/>
        <s v="8.9037"/>
        <s v="4.8472"/>
        <s v="0.0046"/>
        <s v="1.4754"/>
        <s v="0.2563"/>
        <s v="0.0045"/>
        <s v="0.0287"/>
        <s v="0.969"/>
        <s v="2.5692"/>
        <s v="0.4488"/>
        <s v="0.0418"/>
        <s v="0.1454"/>
        <s v="2.0107"/>
        <s v="1.2358"/>
        <s v="3.4417"/>
        <s v="1.9584"/>
        <s v="0.9324"/>
        <s v="2.4246"/>
        <s v="3.2486"/>
        <s v="0.7989"/>
        <s v="3.7056"/>
        <s v="1.4761"/>
        <s v="0.8519"/>
        <s v="5.6012"/>
        <s v="1.3675"/>
        <s v="1.151"/>
        <s v="2.8758"/>
        <s v="1.1496"/>
        <s v="1.1605"/>
        <s v="2.7029"/>
        <s v="1.1262"/>
        <s v="0.7414"/>
        <s v="2.3686"/>
        <s v="0.9989"/>
        <s v="0.7519"/>
        <s v="1.9682"/>
        <s v="0.5601"/>
        <s v="0.3917"/>
        <s v="1.5157"/>
        <s v="0.1161"/>
        <s v="0.2852"/>
        <s v="1.0252"/>
        <s v="0.1054"/>
        <s v="0.2348"/>
        <s v="0.8473"/>
        <s v="0.035"/>
        <s v="0.42"/>
        <s v="0.5018"/>
      </sharedItems>
    </cacheField>
    <cacheField name="Volume clean" numFmtId="0">
      <sharedItems containsSemiMixedTypes="0" containsString="0" containsNumber="1">
        <n v="3.1972"/>
        <n v="20.3855"/>
        <n v="19.2051"/>
        <n v="0.0265"/>
        <n v="17.9715"/>
        <n v="0.5153"/>
        <n v="0.0063"/>
        <n v="0.6237"/>
        <n v="0.4026"/>
        <n v="1.0E-4"/>
        <n v="0.5242"/>
        <n v="0.2861"/>
        <n v="0.0667"/>
        <n v="0.0385"/>
        <n v="5.0E-4"/>
        <n v="0.0865"/>
        <n v="18.5833"/>
        <n v="20.1918"/>
        <n v="1.4171"/>
        <n v="0.2142"/>
        <n v="0.0195"/>
        <n v="3.2445"/>
        <n v="0.1621"/>
        <n v="4.2846"/>
        <n v="1.4609"/>
        <n v="1.5567"/>
        <n v="0.8496"/>
        <n v="0.0694"/>
        <n v="0.4674"/>
        <n v="0.001"/>
        <n v="9.0E-4"/>
        <n v="0.3483"/>
        <n v="0.313"/>
        <n v="0.0358"/>
        <n v="0.3467"/>
        <n v="42.1534"/>
        <n v="55.8309"/>
        <n v="4.9606"/>
        <n v="0.0065"/>
        <n v="0.2461"/>
        <n v="22.4747"/>
        <n v="0.4084"/>
        <n v="6.8459"/>
        <n v="2.6402"/>
        <n v="2.0731"/>
        <n v="0.2046"/>
        <n v="0.217"/>
        <n v="0.0042"/>
        <n v="0.0302"/>
        <n v="0.504"/>
        <n v="0.9618"/>
        <n v="0.0024"/>
        <n v="0.0058"/>
        <n v="0.5861"/>
        <n v="0.0481"/>
        <n v="0.2087"/>
        <n v="2.3326"/>
        <n v="16.4889"/>
        <n v="16.2075"/>
        <n v="0.0178"/>
        <n v="14.3399"/>
        <n v="0.4525"/>
        <n v="0.0027"/>
        <n v="0.6647"/>
        <n v="0.5445"/>
        <n v="0.1528"/>
        <n v="0.2409"/>
        <n v="0.0628"/>
        <n v="0.0808"/>
        <n v="0.0362"/>
        <n v="0.0017"/>
        <n v="17.3156"/>
        <n v="19.1384"/>
        <n v="1.6151"/>
        <n v="0.2197"/>
        <n v="0.0172"/>
        <n v="3.0688"/>
        <n v="0.2506"/>
        <n v="2.5393"/>
        <n v="1.0267"/>
        <n v="1.0754"/>
        <n v="0.1253"/>
        <n v="6.0E-4"/>
        <n v="0.0013"/>
        <n v="0.4197"/>
        <n v="0.5133"/>
        <n v="0.7821"/>
        <n v="0.2611"/>
        <n v="0.0239"/>
        <n v="0.155"/>
        <n v="44.4841"/>
        <n v="45.3348"/>
        <n v="3.6893"/>
        <n v="0.0114"/>
        <n v="0.1972"/>
        <n v="11.8206"/>
        <n v="0.5952"/>
        <n v="9.3849"/>
        <n v="1.8028"/>
        <n v="0.0032"/>
        <n v="0.0023"/>
        <n v="1.4945"/>
        <n v="0.2481"/>
        <n v="0.0051"/>
        <n v="0.0435"/>
        <n v="1.6441"/>
        <n v="1.878"/>
        <n v="0.1425"/>
        <n v="1.1918"/>
        <n v="0.4414"/>
        <n v="2.9635"/>
        <n v="25.8113"/>
        <n v="27.7771"/>
        <n v="0.6191"/>
        <n v="18.0827"/>
        <n v="0.6851"/>
        <n v="0.0038"/>
        <n v="0.9196"/>
        <n v="0.9944"/>
        <n v="0.2935"/>
        <n v="0.3999"/>
        <n v="0.1804"/>
        <n v="0.2911"/>
        <n v="0.1123"/>
        <n v="11.022"/>
        <n v="22.0441"/>
        <n v="1.8055"/>
        <n v="0.2349"/>
        <n v="0.1254"/>
        <n v="7.8821"/>
        <n v="0.2888"/>
        <n v="4.1756"/>
        <n v="0.9893"/>
        <n v="1.2737"/>
        <n v="0.0605"/>
        <n v="4.0E-4"/>
        <n v="0.0019"/>
        <n v="0.4904"/>
        <n v="0.7257"/>
        <n v="0.5331"/>
        <n v="0.2406"/>
        <n v="0.7365"/>
        <n v="34.0053"/>
        <n v="55.9166"/>
        <n v="13.2763"/>
        <n v="0.0122"/>
        <n v="0.2925"/>
        <n v="29.5063"/>
        <n v="0.6877"/>
        <n v="11.753"/>
        <n v="0.0129"/>
        <n v="1.809"/>
        <n v="3.7531"/>
        <n v="1.6874"/>
        <n v="0.4248"/>
        <n v="0.018"/>
        <n v="0.0844"/>
        <n v="2.5491"/>
        <n v="0.1563"/>
        <n v="0.2229"/>
        <n v="2.0892"/>
        <n v="0.1329"/>
        <n v="2.3809"/>
        <n v="18.986"/>
        <n v="12.8916"/>
        <n v="0.6051"/>
        <n v="11.6546"/>
        <n v="0.0035"/>
        <n v="1.1356"/>
        <n v="0.3061"/>
        <n v="0.0012"/>
        <n v="0.8379"/>
        <n v="0.2001"/>
        <n v="0.5076"/>
        <n v="0.2774"/>
        <n v="0.1553"/>
        <n v="0.0883"/>
        <n v="8.6138"/>
        <n v="21.3847"/>
        <n v="1.4317"/>
        <n v="0.2273"/>
        <n v="0.2146"/>
        <n v="7.1437"/>
        <n v="0.285"/>
        <n v="3.6641"/>
        <n v="0.8014"/>
        <n v="0.7784"/>
        <n v="0.8314"/>
        <n v="2.0E-4"/>
        <n v="0.5152"/>
        <n v="0.5864"/>
        <n v="0.3882"/>
        <n v="0.3905"/>
        <n v="0.2862"/>
        <n v="0.0034"/>
        <n v="19.7551"/>
        <n v="52.6541"/>
        <n v="6.0981"/>
        <n v="0.0118"/>
        <n v="0.2561"/>
        <n v="16.4286"/>
        <n v="0.6881"/>
        <n v="11.7526"/>
        <n v="0.0014"/>
        <n v="0.0232"/>
        <n v="1.7402"/>
        <n v="3.6007"/>
        <n v="0.435"/>
        <n v="0.0086"/>
        <n v="0.068"/>
        <n v="1.1213"/>
        <n v="0.9"/>
        <n v="0.1519"/>
        <n v="0.224"/>
        <n v="2.007"/>
        <n v="0.228"/>
        <n v="2.1888"/>
        <n v="14.9549"/>
        <n v="19.3361"/>
        <n v="0.2729"/>
        <n v="13.6727"/>
        <n v="1.7256"/>
        <n v="0.3006"/>
        <n v="0.0161"/>
        <n v="0.8343"/>
        <n v="0.9851"/>
        <n v="0.1692"/>
        <n v="0.2795"/>
        <n v="0.1463"/>
        <n v="0.0754"/>
        <n v="8.01"/>
        <n v="21.8865"/>
        <n v="1.4308"/>
        <n v="0.2199"/>
        <n v="4.5355"/>
        <n v="0.2642"/>
        <n v="1.8979"/>
        <n v="1.6661"/>
        <n v="0.6973"/>
        <n v="0.0028"/>
        <n v="0.5578"/>
        <n v="1.1724"/>
        <n v="0.1658"/>
        <n v="0.4957"/>
        <n v="0.4393"/>
        <n v="0.5444"/>
        <n v="17.4319"/>
        <n v="48.6907"/>
        <n v="5.6273"/>
        <n v="0.013"/>
        <n v="0.2582"/>
        <n v="12.2789"/>
        <n v="0.7115"/>
        <n v="8.5312"/>
        <n v="0.0025"/>
        <n v="0.0176"/>
        <n v="1.8646"/>
        <n v="3.5029"/>
        <n v="1.1688"/>
        <n v="0.2919"/>
        <n v="0.009"/>
        <n v="0.0455"/>
        <n v="1.4631"/>
        <n v="1.7706"/>
        <n v="0.1939"/>
        <n v="0.159"/>
        <n v="0.0728"/>
        <n v="1.5805"/>
        <n v="19.9028"/>
        <n v="11.3659"/>
        <n v="0.2251"/>
        <n v="10.8914"/>
        <n v="1.2478"/>
        <n v="0.3557"/>
        <n v="0.0112"/>
        <n v="0.6971"/>
        <n v="0.2797"/>
        <n v="0.4763"/>
        <n v="0.2064"/>
        <n v="0.2429"/>
        <n v="0.082"/>
        <n v="4.8318"/>
        <n v="17.3364"/>
        <n v="0.8422"/>
        <n v="0.2128"/>
        <n v="0.0827"/>
        <n v="4.0274"/>
        <n v="0.1977"/>
        <n v="1.6584"/>
        <n v="0.6737"/>
        <n v="0.8061"/>
        <n v="0.9208"/>
        <n v="0.1689"/>
        <n v="0.3189"/>
        <n v="0.4731"/>
        <n v="0.2486"/>
        <n v="0.2575"/>
        <n v="10.7144"/>
        <n v="37.707"/>
        <n v="3.5321"/>
        <n v="0.0126"/>
        <n v="0.3106"/>
        <n v="11.8122"/>
        <n v="0.5724"/>
        <n v="4.2631"/>
        <n v="2.8679"/>
        <n v="0.0011"/>
        <n v="0.0131"/>
        <n v="0.8355"/>
        <n v="0.9833"/>
        <n v="2.5361"/>
        <n v="0.1754"/>
        <n v="0.2237"/>
        <n v="0.0049"/>
        <n v="0.4494"/>
        <n v="0.1017"/>
        <n v="0.0553"/>
        <n v="1.6698"/>
        <n v="13.3033"/>
        <n v="12.1544"/>
        <n v="0.2534"/>
        <n v="16.2127"/>
        <n v="1.0021"/>
        <n v="0.4205"/>
        <n v="0.0157"/>
        <n v="0.9608"/>
        <n v="0.5466"/>
        <n v="0.2502"/>
        <n v="0.1787"/>
        <n v="0.2833"/>
        <n v="0.2119"/>
        <n v="4.5455"/>
        <n v="20.9554"/>
        <n v="0.8954"/>
        <n v="0.0972"/>
        <n v="4.1177"/>
        <n v="0.2715"/>
        <n v="2.3858"/>
        <n v="0.6837"/>
        <n v="0.1557"/>
        <n v="0.4395"/>
        <n v="0.3801"/>
        <n v="0.2166"/>
        <n v="0.2793"/>
        <n v="3.0E-4"/>
        <n v="8.4189"/>
        <n v="54.0723"/>
        <n v="4.4704"/>
        <n v="0.2012"/>
        <n v="16.2843"/>
        <n v="0.7386"/>
        <n v="8.6118"/>
        <n v="3.2099"/>
        <n v="0.007"/>
        <n v="0.9447"/>
        <n v="0.9398"/>
        <n v="2.2287"/>
        <n v="0.1964"/>
        <n v="0.1843"/>
        <n v="0.021"/>
        <n v="1.3597"/>
        <n v="0.4133"/>
        <n v="1.6988"/>
        <n v="10.7176"/>
        <n v="13.0236"/>
        <n v="0.0932"/>
        <n v="11.2308"/>
        <n v="7.0E-4"/>
        <n v="0.944"/>
        <n v="0.5976"/>
        <n v="0.0107"/>
        <n v="0.8689"/>
        <n v="0.5997"/>
        <n v="0.7254"/>
        <n v="0.4078"/>
        <n v="0.34"/>
        <n v="0.1567"/>
        <n v="3.6894"/>
        <n v="20.3505"/>
        <n v="1.3064"/>
        <n v="0.1296"/>
        <n v="3.8904"/>
        <n v="0.2721"/>
        <n v="2.4318"/>
        <n v="0.7239"/>
        <n v="0.3454"/>
        <n v="0.6684"/>
        <n v="0.2728"/>
        <n v="0.4371"/>
        <n v="0.0727"/>
        <n v="0.1921"/>
        <n v="0.165"/>
        <n v="9.2251"/>
        <n v="47.7732"/>
        <n v="4.363"/>
        <n v="0.3244"/>
        <n v="14.1701"/>
        <n v="0.7303"/>
        <n v="4.8872"/>
        <n v="4.3159"/>
        <n v="0.0069"/>
        <n v="0.7876"/>
        <n v="1.0039"/>
        <n v="0.1978"/>
        <n v="0.0072"/>
        <n v="0.0188"/>
        <n v="1.9622"/>
        <n v="1.1919"/>
        <n v="0.0592"/>
        <n v="0.1187"/>
        <n v="0.0518"/>
        <n v="15.587"/>
        <n v="0.9392"/>
        <n v="12.8973"/>
        <n v="10.0455"/>
        <n v="0.0015"/>
        <n v="1.5034"/>
        <n v="0.5214"/>
        <n v="0.014"/>
        <n v="0.8753"/>
        <n v="0.341"/>
        <n v="0.2972"/>
        <n v="0.2858"/>
        <n v="0.3686"/>
        <n v="0.0918"/>
        <n v="2.8586"/>
        <n v="18.869"/>
        <n v="3.0511"/>
        <n v="0.1406"/>
        <n v="4.4013"/>
        <n v="0.2035"/>
        <n v="5.0643"/>
        <n v="0.6853"/>
        <n v="0.6651"/>
        <n v="0.3354"/>
        <n v="0.2511"/>
        <n v="0.1502"/>
        <n v="0.4295"/>
        <n v="0.0775"/>
        <n v="0.1945"/>
        <n v="7.052"/>
        <n v="35.4944"/>
        <n v="10.1936"/>
        <n v="0.2171"/>
        <n v="12.4106"/>
        <n v="0.642"/>
        <n v="9.4241"/>
        <n v="4.1326"/>
        <n v="1.2192"/>
        <n v="0.0031"/>
        <n v="0.7013"/>
        <n v="0.2225"/>
        <n v="0.005"/>
        <n v="0.019"/>
        <n v="0.0823"/>
        <n v="0.3924"/>
        <n v="0.0432"/>
        <n v="1.7024"/>
        <n v="22.771"/>
        <n v="17.4737"/>
        <n v="0.0359"/>
        <n v="13.2122"/>
        <n v="1.1537"/>
        <n v="0.4309"/>
        <n v="0.0102"/>
        <n v="0.8397"/>
        <n v="0.3838"/>
        <n v="0.2634"/>
        <n v="0.3408"/>
        <n v="0.1046"/>
        <n v="0.1891"/>
        <n v="2.9553"/>
        <n v="18.5955"/>
        <n v="4.3691"/>
        <n v="0.2226"/>
        <n v="0.1358"/>
        <n v="4.969"/>
        <n v="0.2205"/>
        <n v="3.7405"/>
        <n v="0.6444"/>
        <n v="0.8404"/>
        <n v="0.3026"/>
        <n v="0.3335"/>
        <n v="0.356"/>
        <n v="0.4646"/>
        <n v="0.2266"/>
        <n v="0.0743"/>
        <n v="8.7792"/>
        <n v="68.435"/>
        <n v="11.8374"/>
        <n v="0.0187"/>
        <n v="0.2436"/>
        <n v="20.5402"/>
        <n v="0.7149"/>
        <n v="5.8029"/>
        <n v="5.1024"/>
        <n v="0.0056"/>
        <n v="1.1779"/>
        <n v="1.0449"/>
        <n v="0.0052"/>
        <n v="0.0261"/>
        <n v="1.6425"/>
        <n v="0.0513"/>
        <n v="0.4511"/>
        <n v="0.0389"/>
        <n v="0.1722"/>
        <n v="0.032"/>
        <n v="21.1356"/>
        <n v="1.2735"/>
        <n v="17.3713"/>
        <n v="13.7086"/>
        <n v="0.7725"/>
        <n v="0.4077"/>
        <n v="0.713"/>
        <n v="0.4161"/>
        <n v="0.3724"/>
        <n v="0.1442"/>
        <n v="0.2075"/>
        <n v="0.3389"/>
        <n v="3.2142"/>
        <n v="11.7249"/>
        <n v="3.94"/>
        <n v="0.1451"/>
        <n v="6.6926"/>
        <n v="0.2457"/>
        <n v="3.76"/>
        <n v="0.9488"/>
        <n v="0.4465"/>
        <n v="0.2433"/>
        <n v="0.1736"/>
        <n v="0.4872"/>
        <n v="0.2666"/>
        <n v="0.5587"/>
        <n v="6.9144"/>
        <n v="38.3445"/>
        <n v="12.3856"/>
        <n v="0.2675"/>
        <n v="26.7505"/>
        <n v="0.7373"/>
        <n v="7.6349"/>
        <n v="5.6047"/>
        <n v="0.004"/>
        <n v="1.0467"/>
        <n v="0.2431"/>
        <n v="0.0273"/>
        <n v="1.0931"/>
        <n v="0.0416"/>
        <n v="0.1746"/>
        <n v="0.3658"/>
        <n v="0.8664"/>
        <n v="0.0564"/>
        <n v="0.0194"/>
        <n v="16.6831"/>
        <n v="1.2135"/>
        <n v="9.2393"/>
        <n v="15.0265"/>
        <n v="0.433"/>
        <n v="0.5885"/>
        <n v="0.0092"/>
        <n v="0.8693"/>
        <n v="0.3886"/>
        <n v="0.3464"/>
        <n v="0.1163"/>
        <n v="0.0698"/>
        <n v="2.9453"/>
        <n v="14.678"/>
        <n v="4.336"/>
        <n v="0.1119"/>
        <n v="5.2404"/>
        <n v="0.3029"/>
        <n v="3.5236"/>
        <n v="1.7255"/>
        <n v="0.8324"/>
        <n v="0.3449"/>
        <n v="0.1824"/>
        <n v="0.2454"/>
        <n v="0.0778"/>
        <n v="5.7828"/>
        <n v="43.5916"/>
        <n v="10.9131"/>
        <n v="0.2789"/>
        <n v="20.3016"/>
        <n v="0.9045"/>
        <n v="8.9037"/>
        <n v="4.8472"/>
        <n v="0.0046"/>
        <n v="1.4754"/>
        <n v="0.2563"/>
        <n v="0.0045"/>
        <n v="0.0287"/>
        <n v="0.969"/>
        <n v="2.5692"/>
        <n v="0.4488"/>
        <n v="0.0418"/>
        <n v="0.1454"/>
        <n v="2.0107"/>
        <n v="1.2358"/>
        <n v="3.4417"/>
        <n v="1.9584"/>
        <n v="0.9324"/>
        <n v="2.4246"/>
        <n v="3.2486"/>
        <n v="0.7989"/>
        <n v="3.7056"/>
        <n v="1.4761"/>
        <n v="0.8519"/>
        <n v="5.6012"/>
        <n v="1.3675"/>
        <n v="1.151"/>
        <n v="2.8758"/>
        <n v="1.1496"/>
        <n v="1.1605"/>
        <n v="2.7029"/>
        <n v="1.1262"/>
        <n v="0.7414"/>
        <n v="2.3686"/>
        <n v="0.9989"/>
        <n v="0.7519"/>
        <n v="1.9682"/>
        <n v="0.5601"/>
        <n v="0.3917"/>
        <n v="1.5157"/>
        <n v="0.1161"/>
        <n v="0.2852"/>
        <n v="1.0252"/>
        <n v="0.1054"/>
        <n v="0.2348"/>
        <n v="0.8473"/>
        <n v="0.035"/>
        <n v="0.42"/>
        <n v="0.5018"/>
      </sharedItems>
    </cacheField>
    <cacheField name="Number of stores" numFmtId="0">
      <sharedItems>
        <s v="536"/>
        <s v="758"/>
        <s v="633"/>
        <s v="10"/>
        <s v="728"/>
        <s v="210"/>
        <s v="13"/>
        <s v="178"/>
        <s v="39"/>
        <s v="2"/>
        <s v="155"/>
        <s v="209"/>
        <s v="110"/>
        <s v="80"/>
        <s v="1"/>
        <s v="0"/>
        <s v="9100"/>
        <s v="9322"/>
        <s v="721"/>
        <s v="163"/>
        <s v="24"/>
        <s v="1351"/>
        <s v="128"/>
        <s v="1386"/>
        <s v="2897"/>
        <s v="435"/>
        <s v="769"/>
        <s v="56"/>
        <s v="422"/>
        <s v="97"/>
        <s v="921"/>
        <s v="17167"/>
        <s v="17397"/>
        <s v="729"/>
        <s v="3"/>
        <s v="286"/>
        <s v="4241"/>
        <s v="309"/>
        <s v="1751"/>
        <s v="4284"/>
        <s v="1598"/>
        <s v="201"/>
        <s v="112"/>
        <s v="5"/>
        <s v="44"/>
        <s v="2426"/>
        <s v="4"/>
        <s v="14"/>
        <s v="188"/>
        <s v="533"/>
        <s v="744"/>
        <s v="641"/>
        <s v="694"/>
        <s v="202"/>
        <s v="7"/>
        <s v="171"/>
        <s v="151"/>
        <s v="34"/>
        <s v="251"/>
        <s v="108"/>
        <s v="82"/>
        <s v="9842"/>
        <s v="8884"/>
        <s v="698"/>
        <s v="179"/>
        <s v="22"/>
        <s v="1087"/>
        <s v="153"/>
        <s v="1340"/>
        <s v="2437"/>
        <s v="960"/>
        <s v="180"/>
        <s v="1290"/>
        <s v="463"/>
        <s v="359"/>
        <s v="52"/>
        <s v="18131"/>
        <s v="16535"/>
        <s v="690"/>
        <s v="276"/>
        <s v="3996"/>
        <s v="321"/>
        <s v="1739"/>
        <s v="3804"/>
        <s v="411"/>
        <s v="99"/>
        <s v="42"/>
        <s v="2630"/>
        <s v="1629"/>
        <s v="145"/>
        <s v="2653"/>
        <s v="478"/>
        <s v="710"/>
        <s v="618"/>
        <s v="92"/>
        <s v="675"/>
        <s v="191"/>
        <s v="8"/>
        <s v="169"/>
        <s v="148"/>
        <s v="30"/>
        <s v="291"/>
        <s v="117"/>
        <s v="8349"/>
        <s v="9221"/>
        <s v="786"/>
        <s v="64"/>
        <s v="2934"/>
        <s v="136"/>
        <s v="1371"/>
        <s v="2432"/>
        <s v="868"/>
        <s v="147"/>
        <s v="385"/>
        <s v="1604"/>
        <s v="642"/>
        <s v="454"/>
        <s v="16513"/>
        <s v="17796"/>
        <s v="918"/>
        <s v="281"/>
        <s v="5015"/>
        <s v="335"/>
        <s v="1770"/>
        <s v="15"/>
        <s v="470"/>
        <s v="3545"/>
        <s v="3564"/>
        <s v="116"/>
        <s v="6"/>
        <s v="3499"/>
        <s v="1692"/>
        <s v="135"/>
        <s v="442"/>
        <s v="679"/>
        <s v="538"/>
        <s v="167"/>
        <s v="140"/>
        <s v="104"/>
        <s v="245"/>
        <s v="125"/>
        <s v="7512"/>
        <s v="8855"/>
        <s v="472"/>
        <s v="73"/>
        <s v="2396"/>
        <s v="1409"/>
        <s v="1675"/>
        <s v="883"/>
        <s v="388"/>
        <s v="814"/>
        <s v="1026"/>
        <s v="566"/>
        <s v="13935"/>
        <s v="17610"/>
        <s v="971"/>
        <s v="230"/>
        <s v="4466"/>
        <s v="337"/>
        <s v="1760"/>
        <s v="28"/>
        <s v="426"/>
        <s v="3276"/>
        <s v="122"/>
        <s v="2641"/>
        <s v="1569"/>
        <s v="130"/>
        <s v="423"/>
        <s v="677"/>
        <s v="554"/>
        <s v="89"/>
        <s v="649"/>
        <s v="9"/>
        <s v="166"/>
        <s v="159"/>
        <s v="132"/>
        <s v="109"/>
        <s v="234"/>
        <s v="6985"/>
        <s v="8839"/>
        <s v="438"/>
        <s v="168"/>
        <s v="72"/>
        <s v="1918"/>
        <s v="134"/>
        <s v="1380"/>
        <s v="870"/>
        <s v="1441"/>
        <s v="11"/>
        <s v="345"/>
        <s v="915"/>
        <s v="144"/>
        <s v="529"/>
        <s v="1203"/>
        <s v="336"/>
        <s v="12256"/>
        <s v="18024"/>
        <s v="891"/>
        <s v="293"/>
        <s v="4051"/>
        <s v="352"/>
        <s v="1669"/>
        <s v="33"/>
        <s v="447"/>
        <s v="3211"/>
        <s v="2563"/>
        <s v="121"/>
        <s v="1506"/>
        <s v="403"/>
        <s v="681"/>
        <s v="558"/>
        <s v="85"/>
        <s v="636"/>
        <s v="189"/>
        <s v="156"/>
        <s v="123"/>
        <s v="111"/>
        <s v="129"/>
        <s v="5156"/>
        <s v="9047"/>
        <s v="405"/>
        <s v="79"/>
        <s v="1724"/>
        <s v="1378"/>
        <s v="1548"/>
        <s v="800"/>
        <s v="735"/>
        <s v="139"/>
        <s v="569"/>
        <s v="548"/>
        <s v="9488"/>
        <s v="17303"/>
        <s v="824"/>
        <s v="4155"/>
        <s v="1694"/>
        <s v="2990"/>
        <s v="31"/>
        <s v="353"/>
        <s v="2267"/>
        <s v="1670"/>
        <s v="106"/>
        <s v="37"/>
        <s v="431"/>
        <s v="654"/>
        <s v="540"/>
        <s v="81"/>
        <s v="627"/>
        <s v="176"/>
        <s v="157"/>
        <s v="107"/>
        <s v="146"/>
        <s v="114"/>
        <s v="4711"/>
        <s v="9650"/>
        <s v="432"/>
        <s v="83"/>
        <s v="1693"/>
        <s v="133"/>
        <s v="1430"/>
        <s v="1365"/>
        <s v="780"/>
        <s v="525"/>
        <s v="7904"/>
        <s v="18868"/>
        <s v="724"/>
        <s v="224"/>
        <s v="3981"/>
        <s v="357"/>
        <s v="1727"/>
        <s v="3168"/>
        <s v="29"/>
        <s v="406"/>
        <s v="2169"/>
        <s v="1453"/>
        <s v="36"/>
        <s v="408"/>
        <s v="490"/>
        <s v="65"/>
        <s v="620"/>
        <s v="115"/>
        <s v="3957"/>
        <s v="9622"/>
        <s v="873"/>
        <s v="1743"/>
        <s v="200"/>
        <s v="1405"/>
        <s v="1354"/>
        <s v="856"/>
        <s v="254"/>
        <s v="676"/>
        <s v="101"/>
        <s v="424"/>
        <s v="7021"/>
        <s v="19290"/>
        <s v="2403"/>
        <s v="262"/>
        <s v="3846"/>
        <s v="350"/>
        <s v="1795"/>
        <s v="3741"/>
        <s v="20"/>
        <s v="413"/>
        <s v="2265"/>
        <s v="35"/>
        <s v="131"/>
        <s v="1758"/>
        <s v="120"/>
        <s v="32"/>
        <s v="622"/>
        <s v="561"/>
        <s v="459"/>
        <s v="164"/>
        <s v="3207"/>
        <s v="8071"/>
        <s v="1798"/>
        <s v="1621"/>
        <s v="1396"/>
        <s v="984"/>
        <s v="825"/>
        <s v="322"/>
        <s v="487"/>
        <s v="5417"/>
        <s v="16888"/>
        <s v="4012"/>
        <s v="3549"/>
        <s v="338"/>
        <s v="1827"/>
        <s v="3759"/>
        <s v="2145"/>
        <s v="12"/>
        <s v="375"/>
        <s v="1472"/>
        <s v="78"/>
        <s v="392"/>
        <s v="624"/>
        <s v="522"/>
        <s v="629"/>
        <s v="162"/>
        <s v="113"/>
        <s v="67"/>
        <s v="137"/>
        <s v="2918"/>
        <s v="8665"/>
        <s v="2423"/>
        <s v="170"/>
        <s v="1809"/>
        <s v="193"/>
        <s v="1361"/>
        <s v="1455"/>
        <s v="1064"/>
        <s v="312"/>
        <s v="341"/>
        <s v="441"/>
        <s v="103"/>
        <s v="4562"/>
        <s v="18126"/>
        <s v="4735"/>
        <s v="317"/>
        <s v="3575"/>
        <s v="340"/>
        <s v="1747"/>
        <s v="3925"/>
        <s v="1957"/>
        <s v="1321"/>
        <s v="69"/>
        <s v="623"/>
        <s v="530"/>
        <s v="158"/>
        <s v="76"/>
        <s v="2865"/>
        <s v="8472"/>
        <s v="3215"/>
        <s v="211"/>
        <s v="2672"/>
        <s v="143"/>
        <s v="1374"/>
        <s v="820"/>
        <s v="1008"/>
        <s v="174"/>
        <s v="382"/>
        <s v="782"/>
        <s v="4883"/>
        <s v="17478"/>
        <s v="5795"/>
        <s v="343"/>
        <s v="8509"/>
        <s v="1850"/>
        <s v="4305"/>
        <s v="18"/>
        <s v="564"/>
        <s v="102"/>
        <s v="2059"/>
        <s v="1080"/>
        <s v="74"/>
        <s v="615"/>
        <s v="389"/>
        <s v="596"/>
        <s v="501"/>
        <s v="119"/>
        <s v="75"/>
        <s v="2688"/>
        <s v="7912"/>
        <s v="3076"/>
        <s v="229"/>
        <s v="2389"/>
        <s v="1357"/>
        <s v="686"/>
        <s v="1073"/>
        <s v="946"/>
        <s v="244"/>
        <s v="547"/>
        <s v="4364"/>
        <s v="16029"/>
        <s v="6072"/>
        <s v="295"/>
        <s v="8459"/>
        <s v="354"/>
        <s v="1841"/>
        <s v="3776"/>
        <s v="1083"/>
        <s v="43"/>
        <s v="1679"/>
        <s v="840"/>
        <s v="1101"/>
        <s v="1929"/>
        <s v="843"/>
        <s v="1624"/>
        <s v="339"/>
        <s v="791"/>
        <s v="1466"/>
        <s v="310"/>
        <s v="778"/>
        <s v="1607"/>
        <s v="1236"/>
        <s v="315"/>
        <s v="846"/>
        <s v="1255"/>
        <s v="301"/>
        <s v="589"/>
        <s v="1201"/>
        <s v="813"/>
        <s v="154"/>
        <s v="311"/>
        <s v="1050"/>
        <s v="46"/>
        <s v="404"/>
        <s v="858"/>
        <s v="187"/>
        <s v="514"/>
      </sharedItems>
    </cacheField>
    <cacheField name="Number of stores clean" numFmtId="0">
      <sharedItems containsSemiMixedTypes="0" containsString="0" containsNumber="1" containsInteger="1">
        <n v="536.0"/>
        <n v="758.0"/>
        <n v="633.0"/>
        <n v="10.0"/>
        <n v="728.0"/>
        <n v="210.0"/>
        <n v="13.0"/>
        <n v="178.0"/>
        <n v="39.0"/>
        <n v="2.0"/>
        <n v="155.0"/>
        <n v="209.0"/>
        <n v="110.0"/>
        <n v="80.0"/>
        <n v="1.0"/>
        <n v="0.0"/>
        <n v="9100.0"/>
        <n v="9322.0"/>
        <n v="721.0"/>
        <n v="163.0"/>
        <n v="24.0"/>
        <n v="1351.0"/>
        <n v="128.0"/>
        <n v="1386.0"/>
        <n v="2897.0"/>
        <n v="435.0"/>
        <n v="769.0"/>
        <n v="56.0"/>
        <n v="422.0"/>
        <n v="97.0"/>
        <n v="921.0"/>
        <n v="17167.0"/>
        <n v="17397.0"/>
        <n v="729.0"/>
        <n v="3.0"/>
        <n v="286.0"/>
        <n v="4241.0"/>
        <n v="309.0"/>
        <n v="1751.0"/>
        <n v="4284.0"/>
        <n v="1598.0"/>
        <n v="201.0"/>
        <n v="112.0"/>
        <n v="5.0"/>
        <n v="44.0"/>
        <n v="2426.0"/>
        <n v="4.0"/>
        <n v="14.0"/>
        <n v="188.0"/>
        <n v="533.0"/>
        <n v="744.0"/>
        <n v="641.0"/>
        <n v="694.0"/>
        <n v="202.0"/>
        <n v="7.0"/>
        <n v="171.0"/>
        <n v="151.0"/>
        <n v="34.0"/>
        <n v="251.0"/>
        <n v="108.0"/>
        <n v="82.0"/>
        <n v="9842.0"/>
        <n v="8884.0"/>
        <n v="698.0"/>
        <n v="179.0"/>
        <n v="22.0"/>
        <n v="1087.0"/>
        <n v="153.0"/>
        <n v="1340.0"/>
        <n v="2437.0"/>
        <n v="960.0"/>
        <n v="180.0"/>
        <n v="1290.0"/>
        <n v="463.0"/>
        <n v="359.0"/>
        <n v="52.0"/>
        <n v="18131.0"/>
        <n v="16535.0"/>
        <n v="690.0"/>
        <n v="276.0"/>
        <n v="3996.0"/>
        <n v="321.0"/>
        <n v="1739.0"/>
        <n v="3804.0"/>
        <n v="411.0"/>
        <n v="99.0"/>
        <n v="42.0"/>
        <n v="2630.0"/>
        <n v="1629.0"/>
        <n v="145.0"/>
        <n v="2653.0"/>
        <n v="478.0"/>
        <n v="710.0"/>
        <n v="618.0"/>
        <n v="92.0"/>
        <n v="675.0"/>
        <n v="191.0"/>
        <n v="8.0"/>
        <n v="169.0"/>
        <n v="148.0"/>
        <n v="30.0"/>
        <n v="291.0"/>
        <n v="117.0"/>
        <n v="8349.0"/>
        <n v="9221.0"/>
        <n v="786.0"/>
        <n v="64.0"/>
        <n v="2934.0"/>
        <n v="136.0"/>
        <n v="1371.0"/>
        <n v="2432.0"/>
        <n v="868.0"/>
        <n v="147.0"/>
        <n v="385.0"/>
        <n v="1604.0"/>
        <n v="642.0"/>
        <n v="454.0"/>
        <n v="16513.0"/>
        <n v="17796.0"/>
        <n v="918.0"/>
        <n v="281.0"/>
        <n v="5015.0"/>
        <n v="335.0"/>
        <n v="1770.0"/>
        <n v="15.0"/>
        <n v="470.0"/>
        <n v="3545.0"/>
        <n v="3564.0"/>
        <n v="116.0"/>
        <n v="6.0"/>
        <n v="3499.0"/>
        <n v="1692.0"/>
        <n v="135.0"/>
        <n v="442.0"/>
        <n v="679.0"/>
        <n v="538.0"/>
        <n v="167.0"/>
        <n v="140.0"/>
        <n v="104.0"/>
        <n v="245.0"/>
        <n v="125.0"/>
        <n v="7512.0"/>
        <n v="8855.0"/>
        <n v="472.0"/>
        <n v="73.0"/>
        <n v="2396.0"/>
        <n v="1409.0"/>
        <n v="1675.0"/>
        <n v="883.0"/>
        <n v="388.0"/>
        <n v="814.0"/>
        <n v="1026.0"/>
        <n v="566.0"/>
        <n v="13935.0"/>
        <n v="17610.0"/>
        <n v="971.0"/>
        <n v="230.0"/>
        <n v="4466.0"/>
        <n v="337.0"/>
        <n v="1760.0"/>
        <n v="28.0"/>
        <n v="426.0"/>
        <n v="3276.0"/>
        <n v="122.0"/>
        <n v="2641.0"/>
        <n v="1569.0"/>
        <n v="130.0"/>
        <n v="423.0"/>
        <n v="677.0"/>
        <n v="554.0"/>
        <n v="89.0"/>
        <n v="649.0"/>
        <n v="9.0"/>
        <n v="166.0"/>
        <n v="159.0"/>
        <n v="132.0"/>
        <n v="109.0"/>
        <n v="234.0"/>
        <n v="6985.0"/>
        <n v="8839.0"/>
        <n v="438.0"/>
        <n v="168.0"/>
        <n v="72.0"/>
        <n v="1918.0"/>
        <n v="134.0"/>
        <n v="1380.0"/>
        <n v="870.0"/>
        <n v="1441.0"/>
        <n v="11.0"/>
        <n v="345.0"/>
        <n v="915.0"/>
        <n v="144.0"/>
        <n v="529.0"/>
        <n v="1203.0"/>
        <n v="336.0"/>
        <n v="12256.0"/>
        <n v="18024.0"/>
        <n v="891.0"/>
        <n v="293.0"/>
        <n v="4051.0"/>
        <n v="352.0"/>
        <n v="1669.0"/>
        <n v="33.0"/>
        <n v="447.0"/>
        <n v="3211.0"/>
        <n v="2563.0"/>
        <n v="121.0"/>
        <n v="1506.0"/>
        <n v="403.0"/>
        <n v="681.0"/>
        <n v="558.0"/>
        <n v="85.0"/>
        <n v="636.0"/>
        <n v="189.0"/>
        <n v="156.0"/>
        <n v="123.0"/>
        <n v="111.0"/>
        <n v="129.0"/>
        <n v="5156.0"/>
        <n v="9047.0"/>
        <n v="405.0"/>
        <n v="79.0"/>
        <n v="1724.0"/>
        <n v="1378.0"/>
        <n v="1548.0"/>
        <n v="800.0"/>
        <n v="735.0"/>
        <n v="139.0"/>
        <n v="569.0"/>
        <n v="548.0"/>
        <n v="9488.0"/>
        <n v="17303.0"/>
        <n v="824.0"/>
        <n v="4155.0"/>
        <n v="1694.0"/>
        <n v="2990.0"/>
        <n v="31.0"/>
        <n v="353.0"/>
        <n v="2267.0"/>
        <n v="1670.0"/>
        <n v="106.0"/>
        <n v="37.0"/>
        <n v="431.0"/>
        <n v="654.0"/>
        <n v="540.0"/>
        <n v="81.0"/>
        <n v="627.0"/>
        <n v="176.0"/>
        <n v="157.0"/>
        <n v="107.0"/>
        <n v="146.0"/>
        <n v="114.0"/>
        <n v="4711.0"/>
        <n v="9650.0"/>
        <n v="432.0"/>
        <n v="83.0"/>
        <n v="1693.0"/>
        <n v="133.0"/>
        <n v="1430.0"/>
        <n v="1365.0"/>
        <n v="780.0"/>
        <n v="525.0"/>
        <n v="7904.0"/>
        <n v="18868.0"/>
        <n v="724.0"/>
        <n v="224.0"/>
        <n v="3981.0"/>
        <n v="357.0"/>
        <n v="1727.0"/>
        <n v="3168.0"/>
        <n v="29.0"/>
        <n v="406.0"/>
        <n v="2169.0"/>
        <n v="1453.0"/>
        <n v="36.0"/>
        <n v="408.0"/>
        <n v="490.0"/>
        <n v="65.0"/>
        <n v="620.0"/>
        <n v="115.0"/>
        <n v="3957.0"/>
        <n v="9622.0"/>
        <n v="873.0"/>
        <n v="1743.0"/>
        <n v="200.0"/>
        <n v="1405.0"/>
        <n v="1354.0"/>
        <n v="856.0"/>
        <n v="254.0"/>
        <n v="676.0"/>
        <n v="101.0"/>
        <n v="424.0"/>
        <n v="7021.0"/>
        <n v="19290.0"/>
        <n v="2403.0"/>
        <n v="262.0"/>
        <n v="3846.0"/>
        <n v="350.0"/>
        <n v="1795.0"/>
        <n v="3741.0"/>
        <n v="20.0"/>
        <n v="413.0"/>
        <n v="2265.0"/>
        <n v="35.0"/>
        <n v="131.0"/>
        <n v="1758.0"/>
        <n v="120.0"/>
        <n v="32.0"/>
        <n v="622.0"/>
        <n v="561.0"/>
        <n v="459.0"/>
        <n v="164.0"/>
        <n v="3207.0"/>
        <n v="8071.0"/>
        <n v="1798.0"/>
        <n v="1621.0"/>
        <n v="1396.0"/>
        <n v="984.0"/>
        <n v="825.0"/>
        <n v="322.0"/>
        <n v="487.0"/>
        <n v="5417.0"/>
        <n v="16888.0"/>
        <n v="4012.0"/>
        <n v="3549.0"/>
        <n v="338.0"/>
        <n v="1827.0"/>
        <n v="3759.0"/>
        <n v="2145.0"/>
        <n v="12.0"/>
        <n v="375.0"/>
        <n v="1472.0"/>
        <n v="78.0"/>
        <n v="392.0"/>
        <n v="624.0"/>
        <n v="522.0"/>
        <n v="629.0"/>
        <n v="162.0"/>
        <n v="113.0"/>
        <n v="67.0"/>
        <n v="137.0"/>
        <n v="2918.0"/>
        <n v="8665.0"/>
        <n v="2423.0"/>
        <n v="170.0"/>
        <n v="1809.0"/>
        <n v="193.0"/>
        <n v="1361.0"/>
        <n v="1455.0"/>
        <n v="1064.0"/>
        <n v="312.0"/>
        <n v="341.0"/>
        <n v="441.0"/>
        <n v="103.0"/>
        <n v="4562.0"/>
        <n v="18126.0"/>
        <n v="4735.0"/>
        <n v="317.0"/>
        <n v="3575.0"/>
        <n v="340.0"/>
        <n v="1747.0"/>
        <n v="3925.0"/>
        <n v="1957.0"/>
        <n v="1321.0"/>
        <n v="69.0"/>
        <n v="623.0"/>
        <n v="530.0"/>
        <n v="158.0"/>
        <n v="76.0"/>
        <n v="2865.0"/>
        <n v="8472.0"/>
        <n v="3215.0"/>
        <n v="211.0"/>
        <n v="2672.0"/>
        <n v="143.0"/>
        <n v="1374.0"/>
        <n v="820.0"/>
        <n v="1008.0"/>
        <n v="174.0"/>
        <n v="382.0"/>
        <n v="782.0"/>
        <n v="4883.0"/>
        <n v="17478.0"/>
        <n v="5795.0"/>
        <n v="343.0"/>
        <n v="8509.0"/>
        <n v="1850.0"/>
        <n v="4305.0"/>
        <n v="18.0"/>
        <n v="564.0"/>
        <n v="102.0"/>
        <n v="2059.0"/>
        <n v="1080.0"/>
        <n v="74.0"/>
        <n v="615.0"/>
        <n v="389.0"/>
        <n v="596.0"/>
        <n v="501.0"/>
        <n v="119.0"/>
        <n v="75.0"/>
        <n v="2688.0"/>
        <n v="7912.0"/>
        <n v="3076.0"/>
        <n v="229.0"/>
        <n v="2389.0"/>
        <n v="1357.0"/>
        <n v="686.0"/>
        <n v="1073.0"/>
        <n v="946.0"/>
        <n v="244.0"/>
        <n v="547.0"/>
        <n v="4364.0"/>
        <n v="16029.0"/>
        <n v="6072.0"/>
        <n v="295.0"/>
        <n v="8459.0"/>
        <n v="354.0"/>
        <n v="1841.0"/>
        <n v="3776.0"/>
        <n v="1083.0"/>
        <n v="43.0"/>
        <n v="1679.0"/>
        <n v="840.0"/>
        <n v="1101.0"/>
        <n v="1929.0"/>
        <n v="843.0"/>
        <n v="1624.0"/>
        <n v="339.0"/>
        <n v="791.0"/>
        <n v="1466.0"/>
        <n v="310.0"/>
        <n v="778.0"/>
        <n v="1607.0"/>
        <n v="1236.0"/>
        <n v="315.0"/>
        <n v="846.0"/>
        <n v="1255.0"/>
        <n v="301.0"/>
        <n v="589.0"/>
        <n v="1201.0"/>
        <n v="813.0"/>
        <n v="154.0"/>
        <n v="311.0"/>
        <n v="1050.0"/>
        <n v="46.0"/>
        <n v="404.0"/>
        <n v="858.0"/>
        <n v="187.0"/>
        <n v="514.0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09" sheet="База данных"/>
  </cacheSource>
  <cacheFields>
    <cacheField name="Year" numFmtId="0">
      <sharedItems>
        <s v="2020"/>
        <s v="2021"/>
        <s v="2022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  <s v="Magenta"/>
        <s v="Rosy"/>
        <s v="Lilac"/>
        <s v="Cream"/>
        <s v="Cotton"/>
        <s v="Snow"/>
        <s v="Pearl"/>
        <s v="Macaroon"/>
        <s v="Rice"/>
        <s v="Linen"/>
        <s v="Bone"/>
        <s v="Daisy"/>
        <s v="Powder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 containsSemiMixedTypes="0" containsString="0" containsNumber="1">
        <n v="16.3202"/>
        <n v="87.8634"/>
        <n v="35.7182"/>
        <n v="0.358"/>
        <n v="16.8368"/>
        <n v="10.0639"/>
        <n v="5.1222"/>
        <n v="3.4856"/>
        <n v="1.6929"/>
        <n v="2.8313"/>
        <n v="0.0068"/>
        <n v="0.5648"/>
        <n v="0.242"/>
        <n v="0.3707"/>
        <n v="0.321"/>
        <n v="66.7225"/>
        <n v="0.0013"/>
        <n v="77.9698"/>
        <n v="7.861"/>
        <n v="0.6025"/>
        <n v="52.7901"/>
        <n v="14.2126"/>
        <n v="4.3366"/>
        <n v="1.6089"/>
        <n v="1.2559"/>
        <n v="2.0961"/>
        <n v="0.5244"/>
        <n v="0.0022"/>
        <n v="0.3416"/>
        <n v="1.0783"/>
        <n v="0.4799"/>
        <n v="173.1694"/>
        <n v="109.4041"/>
        <n v="41.8318"/>
        <n v="0.0807"/>
        <n v="66.1422"/>
        <n v="55.3375"/>
        <n v="19.5669"/>
        <n v="7.0743"/>
        <n v="5.5746"/>
        <n v="0.0088"/>
        <n v="1.7347"/>
        <n v="1.3486"/>
        <n v="0.0314"/>
        <n v="0.0734"/>
        <n v="3.1912"/>
        <n v="0.0554"/>
        <n v="0.3194"/>
        <n v="0.3405"/>
        <n v="0.7489"/>
        <n v="15.4443"/>
        <n v="61.9945"/>
        <n v="52.0653"/>
        <n v="0.327"/>
        <n v="15.7978"/>
        <n v="16.1499"/>
        <n v="3.4374"/>
        <n v="3.1436"/>
        <n v="1.8528"/>
        <n v="2.481"/>
        <n v="0.0062"/>
        <n v="0.8744"/>
        <n v="0.2345"/>
        <n v="0.3319"/>
        <n v="0.2888"/>
        <n v="67.5195"/>
        <n v="0.0326"/>
        <n v="74.3137"/>
        <n v="6.0307"/>
        <n v="0.4328"/>
        <n v="39.9546"/>
        <n v="11.616"/>
        <n v="2.6972"/>
        <n v="1.1557"/>
        <n v="1.045"/>
        <n v="0.067"/>
        <n v="0.4186"/>
        <n v="1.0259"/>
        <n v="0.3508"/>
        <n v="0.0227"/>
        <n v="0.1831"/>
        <n v="0.1532"/>
        <n v="0.0295"/>
        <n v="124.2706"/>
        <n v="112.8185"/>
        <n v="25.1908"/>
        <n v="0.0843"/>
        <n v="30.8669"/>
        <n v="43.3914"/>
        <n v="9.44"/>
        <n v="5.2153"/>
        <n v="10.9837"/>
        <n v="0.0175"/>
        <n v="1.803"/>
        <n v="1.7385"/>
        <n v="0.0397"/>
        <n v="0.0685"/>
        <n v="0.0016"/>
        <n v="2.2326"/>
        <n v="0.0526"/>
        <n v="0.3976"/>
        <n v="0.1842"/>
        <n v="0.3193"/>
        <n v="15.7516"/>
        <n v="116.7506"/>
        <n v="44.6502"/>
        <n v="0.3076"/>
        <n v="17.3306"/>
        <n v="11.6185"/>
        <n v="6.0E-4"/>
        <n v="2.8369"/>
        <n v="3.3968"/>
        <n v="2.1223"/>
        <n v="2.6176"/>
        <n v="0.0099"/>
        <n v="1.0074"/>
        <n v="0.3357"/>
        <n v="0.3775"/>
        <n v="7.0E-4"/>
        <n v="0.2882"/>
        <n v="59.9181"/>
        <n v="0.0025"/>
        <n v="69.8611"/>
        <n v="8.2565"/>
        <n v="0.3656"/>
        <n v="10.6065"/>
        <n v="15.8856"/>
        <n v="4.2058"/>
        <n v="1.0539"/>
        <n v="2.5053"/>
        <n v="0.7486"/>
        <n v="0.5124"/>
        <n v="1.1978"/>
        <n v="0.0058"/>
        <n v="0.3065"/>
        <n v="0.42"/>
        <n v="80.8349"/>
        <n v="98.0553"/>
        <n v="41.2775"/>
        <n v="0.0844"/>
        <n v="22.7859"/>
        <n v="8.6386"/>
        <n v="4.9757"/>
        <n v="20.996"/>
        <n v="8.5074"/>
        <n v="6.3937"/>
        <n v="2.5576"/>
        <n v="0.0412"/>
        <n v="0.0818"/>
        <n v="0.0322"/>
        <n v="2.1445"/>
        <n v="0.0577"/>
        <n v="0.5458"/>
        <n v="4.0E-4"/>
        <n v="1.3841"/>
        <n v="13.1809"/>
        <n v="54.8537"/>
        <n v="48.5498"/>
        <n v="1.082"/>
        <n v="14.6887"/>
        <n v="10.8278"/>
        <n v="1.0E-4"/>
        <n v="2.0152"/>
        <n v="2.9288"/>
        <n v="1.8156"/>
        <n v="2.3171"/>
        <n v="0.0111"/>
        <n v="0.8561"/>
        <n v="0.3016"/>
        <n v="0.2712"/>
        <n v="0.2237"/>
        <n v="65.925"/>
        <n v="0.0015"/>
        <n v="62.98"/>
        <n v="6.1918"/>
        <n v="0.5044"/>
        <n v="8.3434"/>
        <n v="17.1067"/>
        <n v="3.1584"/>
        <n v="1.2491"/>
        <n v="2.3394"/>
        <n v="1.1033"/>
        <n v="1.1104"/>
        <n v="0.3346"/>
        <n v="0.2126"/>
        <n v="0.4675"/>
        <n v="156.6125"/>
        <n v="95.5966"/>
        <n v="20.3404"/>
        <n v="0.2203"/>
        <n v="32.7492"/>
        <n v="18.3218"/>
        <n v="4.8246"/>
        <n v="3.4998"/>
        <n v="4.6311"/>
        <n v="5.7053"/>
        <n v="1.692"/>
        <n v="0.0232"/>
        <n v="0.0639"/>
        <n v="0.0877"/>
        <n v="1.7914"/>
        <n v="0.0597"/>
        <n v="0.7026"/>
        <n v="0.3512"/>
        <n v="0.6254"/>
        <n v="22.3576"/>
        <n v="57.154"/>
        <n v="29.5413"/>
        <n v="0.3545"/>
        <n v="17.0951"/>
        <n v="12.0351"/>
        <n v="1.8037"/>
        <n v="2.1726"/>
        <n v="3.2213"/>
        <n v="1.8592"/>
        <n v="0.6509"/>
        <n v="0.0081"/>
        <n v="0.7626"/>
        <n v="0.2396"/>
        <n v="0.0011"/>
        <n v="0.1731"/>
        <n v="62.2945"/>
        <n v="65.0353"/>
        <n v="7.079"/>
        <n v="0.4188"/>
        <n v="9.4711"/>
        <n v="14.6881"/>
        <n v="3.7982"/>
        <n v="0.6053"/>
        <n v="1.528"/>
        <n v="1.291"/>
        <n v="1.3652"/>
        <n v="0.5541"/>
        <n v="0.7088"/>
        <n v="0.1453"/>
        <n v="126.6888"/>
        <n v="87.3889"/>
        <n v="17.5314"/>
        <n v="0.0754"/>
        <n v="23.8464"/>
        <n v="8.3302"/>
        <n v="3.6336"/>
        <n v="16.1501"/>
        <n v="6.3243"/>
        <n v="1.477"/>
        <n v="0.0267"/>
        <n v="0.079"/>
        <n v="0.0357"/>
        <n v="1.3731"/>
        <n v="3.2629"/>
        <n v="0.2498"/>
        <n v="0.4852"/>
        <n v="0.0654"/>
        <n v="0.313"/>
        <n v="17.4455"/>
        <n v="45.0632"/>
        <n v="50.0413"/>
        <n v="2.063"/>
        <n v="13.2913"/>
        <n v="10.7218"/>
        <n v="1.0215"/>
        <n v="2.7663"/>
        <n v="3.937"/>
        <n v="2.1413"/>
        <n v="0.5585"/>
        <n v="0.0048"/>
        <n v="0.7672"/>
        <n v="1.1305"/>
        <n v="0.211"/>
        <n v="45.3431"/>
        <n v="76.6523"/>
        <n v="5.9658"/>
        <n v="0.4157"/>
        <n v="5.8056"/>
        <n v="18.7903"/>
        <n v="3.3244"/>
        <n v="0.5825"/>
        <n v="1.3844"/>
        <n v="1.34"/>
        <n v="0.8894"/>
        <n v="0.0027"/>
        <n v="0.5157"/>
        <n v="1.0837"/>
        <n v="0.5387"/>
        <n v="75.9334"/>
        <n v="96.8199"/>
        <n v="14.8417"/>
        <n v="0.1094"/>
        <n v="20.4412"/>
        <n v="31.2794"/>
        <n v="8.0562"/>
        <n v="4.3128"/>
        <n v="3.1105"/>
        <n v="1.7589"/>
        <n v="0.0245"/>
        <n v="0.0558"/>
        <n v="0.0135"/>
        <n v="1.3282"/>
        <n v="2.1193"/>
        <n v="0.3927"/>
        <n v="0.5521"/>
        <n v="0.1282"/>
        <n v="0.3336"/>
        <n v="15.1169"/>
        <n v="87.8911"/>
        <n v="21.0883"/>
        <n v="0.0356"/>
        <n v="14.4919"/>
        <n v="7.9988"/>
        <n v="0.7098"/>
        <n v="2.7746"/>
        <n v="3.0071"/>
        <n v="3.0332"/>
        <n v="0.5598"/>
        <n v="0.7859"/>
        <n v="0.2265"/>
        <n v="0.2089"/>
        <n v="50.7063"/>
        <n v="63.5335"/>
        <n v="6.463"/>
        <n v="0.4626"/>
        <n v="7.2124"/>
        <n v="8.89"/>
        <n v="2.8537"/>
        <n v="1.1924"/>
        <n v="0.7997"/>
        <n v="1.3448"/>
        <n v="0.4297"/>
        <n v="0.0053"/>
        <n v="0.6454"/>
        <n v="0.0299"/>
        <n v="0.1454"/>
        <n v="0.4858"/>
        <n v="86.1022"/>
        <n v="67.7327"/>
        <n v="11.1159"/>
        <n v="1.0494"/>
        <n v="36.3771"/>
        <n v="21.8827"/>
        <n v="8.3303"/>
        <n v="2.7617"/>
        <n v="2.5479"/>
        <n v="0.02"/>
        <n v="1.3619"/>
        <n v="1.0443"/>
        <n v="0.045"/>
        <n v="0.0452"/>
        <n v="0.291"/>
        <n v="0.6584"/>
        <n v="9.0E-4"/>
        <n v="0.0458"/>
        <n v="0.2691"/>
        <n v="1.5679"/>
        <n v="14.4989"/>
        <n v="52.6967"/>
        <n v="27.0943"/>
        <n v="0.011"/>
        <n v="15.9888"/>
        <n v="6.511"/>
        <n v="2.0056"/>
        <n v="8.5171"/>
        <n v="2.522"/>
        <n v="2.8443"/>
        <n v="0.6974"/>
        <n v="0.0076"/>
        <n v="0.7316"/>
        <n v="0.2518"/>
        <n v="0.2349"/>
        <n v="0.0802"/>
        <n v="61.301"/>
        <n v="0.0047"/>
        <n v="70.3388"/>
        <n v="5.8793"/>
        <n v="8.3404"/>
        <n v="14.2728"/>
        <n v="3.2773"/>
        <n v="1.2451"/>
        <n v="1.1263"/>
        <n v="0.5196"/>
        <n v="1.1651"/>
        <n v="0.0091"/>
        <n v="0.7014"/>
        <n v="1.589"/>
        <n v="0.0665"/>
        <n v="0.1584"/>
        <n v="119.2838"/>
        <n v="88.3211"/>
        <n v="9.9844"/>
        <n v="34.6937"/>
        <n v="31.6173"/>
        <n v="5.6584"/>
        <n v="3.9685"/>
        <n v="2.5182"/>
        <n v="1.2499"/>
        <n v="0.0308"/>
        <n v="0.054"/>
        <n v="0.0164"/>
        <n v="1.1977"/>
        <n v="5.0E-4"/>
        <n v="0.0491"/>
        <n v="0.3095"/>
        <n v="0.2466"/>
        <n v="1.442"/>
        <n v="11.6793"/>
        <n v="83.769"/>
        <n v="17.6986"/>
        <n v="28.8596"/>
        <n v="6.6518"/>
        <n v="0.5486"/>
        <n v="2.4629"/>
        <n v="5.6566"/>
        <n v="2.7855"/>
        <n v="0.0043"/>
        <n v="0.7638"/>
        <n v="0.4745"/>
        <n v="0.2164"/>
        <n v="53.5782"/>
        <n v="0.0086"/>
        <n v="68.3218"/>
        <n v="5.7032"/>
        <n v="0.3981"/>
        <n v="9.4641"/>
        <n v="8.1878"/>
        <n v="2.3518"/>
        <n v="0.87"/>
        <n v="1.1543"/>
        <n v="0.6243"/>
        <n v="0.0622"/>
        <n v="0.1746"/>
        <n v="0.2874"/>
        <n v="1.3202"/>
        <n v="0.4761"/>
        <n v="137.4557"/>
        <n v="150.4766"/>
        <n v="9.1911"/>
        <n v="0.199"/>
        <n v="27.316"/>
        <n v="26.433"/>
        <n v="5.6877"/>
        <n v="1.856"/>
        <n v="2.9929"/>
        <n v="1.0918"/>
        <n v="0.066"/>
        <n v="0.0163"/>
        <n v="1.0473"/>
        <n v="0.3415"/>
        <n v="0.6851"/>
        <n v="0.0619"/>
        <n v="0.2886"/>
        <n v="2.0E-4"/>
        <n v="0.7629"/>
        <n v="11.8332"/>
        <n v="60.0832"/>
        <n v="49.1396"/>
        <n v="0.0046"/>
        <n v="0.0014"/>
        <n v="33.0503"/>
        <n v="7.4771"/>
        <n v="0.9903"/>
        <n v="9.4438"/>
        <n v="2.7065"/>
        <n v="2.7049"/>
        <n v="0.5902"/>
        <n v="0.0085"/>
        <n v="0.866"/>
        <n v="0.3019"/>
        <n v="0.2288"/>
        <n v="63.946"/>
        <n v="68.5442"/>
        <n v="7.1943"/>
        <n v="0.3737"/>
        <n v="9.9453"/>
        <n v="18.3968"/>
        <n v="2.4861"/>
        <n v="0.6058"/>
        <n v="2.9654"/>
        <n v="0.768"/>
        <n v="0.0634"/>
        <n v="0.1881"/>
        <n v="0.3189"/>
        <n v="0.5194"/>
        <n v="131.0205"/>
        <n v="124.6685"/>
        <n v="14.8151"/>
        <n v="0.1368"/>
        <n v="37.4777"/>
        <n v="28.3202"/>
        <n v="7.1822"/>
        <n v="2.5769"/>
        <n v="1.6569"/>
        <n v="0.0193"/>
        <n v="0.0571"/>
        <n v="2.4586"/>
        <n v="0.0033"/>
        <n v="1.0029"/>
        <n v="0.3611"/>
        <n v="0.6881"/>
        <n v="0.0674"/>
        <n v="0.3391"/>
        <n v="0.8681"/>
        <n v="11.162"/>
        <n v="101.5784"/>
        <n v="33.7729"/>
        <n v="0.0276"/>
        <n v="26.7345"/>
        <n v="4.8132"/>
        <n v="1.108"/>
        <n v="4.9585"/>
        <n v="2.7119"/>
        <n v="1.8088"/>
        <n v="0.0093"/>
        <n v="0.9145"/>
        <n v="0.4599"/>
        <n v="0.3055"/>
        <n v="0.2297"/>
        <n v="0.0023"/>
        <n v="57.4102"/>
        <n v="66.7912"/>
        <n v="4.9462"/>
        <n v="0.3836"/>
        <n v="0.0038"/>
        <n v="9.3494"/>
        <n v="8.8801"/>
        <n v="2.4161"/>
        <n v="0.6422"/>
        <n v="2.8004"/>
        <n v="0.0925"/>
        <n v="0.3198"/>
        <n v="0.7291"/>
        <n v="1.5109"/>
        <n v="0.0042"/>
        <n v="0.4997"/>
        <n v="0.0325"/>
        <n v="0.2228"/>
        <n v="79.3713"/>
        <n v="157.7923"/>
        <n v="11.558"/>
        <n v="0.0867"/>
        <n v="41.1747"/>
        <n v="18.7049"/>
        <n v="5.5669"/>
        <n v="3.2636"/>
        <n v="1.7462"/>
        <n v="0.0338"/>
        <n v="0.0712"/>
        <n v="3.1013"/>
        <n v="0.0018"/>
        <n v="0.9728"/>
        <n v="0.3825"/>
        <n v="1.0277"/>
        <n v="0.0711"/>
        <n v="0.3586"/>
        <n v="0.143"/>
        <n v="0.3131"/>
        <n v="12.7002"/>
        <n v="69.8036"/>
        <n v="40.6086"/>
        <n v="0.0029"/>
        <n v="0.0399"/>
        <n v="40.6675"/>
        <n v="9.7943"/>
        <n v="1.4949"/>
        <n v="2.8291"/>
        <n v="4.4035"/>
        <n v="1.1942"/>
        <n v="0.9457"/>
        <n v="0.4026"/>
        <n v="0.2968"/>
        <n v="0.005"/>
        <n v="0.2248"/>
        <n v="74.8629"/>
        <n v="44.2276"/>
        <n v="5.0658"/>
        <n v="0.2796"/>
        <n v="0.0121"/>
        <n v="6.5758"/>
        <n v="7.557"/>
        <n v="3.0648"/>
        <n v="0.667"/>
        <n v="1.0039"/>
        <n v="1.5923"/>
        <n v="0.6812"/>
        <n v="0.0372"/>
        <n v="0.1953"/>
        <n v="0.3372"/>
        <n v="0.5115"/>
        <n v="124.8704"/>
        <n v="110.6414"/>
        <n v="9.7353"/>
        <n v="0.0755"/>
        <n v="0.004"/>
        <n v="24.9785"/>
        <n v="18.1118"/>
        <n v="5.1247"/>
        <n v="0.0078"/>
        <n v="6.2071"/>
        <n v="1.2878"/>
        <n v="0.0215"/>
        <n v="0.0856"/>
        <n v="2.1985"/>
        <n v="0.084"/>
        <n v="0.4299"/>
        <n v="0.3527"/>
        <n v="0.7694"/>
        <n v="0.6204"/>
        <n v="0.0765"/>
        <n v="0.2849"/>
        <n v="0.7753"/>
        <n v="1.2062"/>
        <n v="2.4604"/>
        <n v="2.4715"/>
        <n v="17.7682"/>
        <n v="18.8734"/>
        <n v="36.9079"/>
        <n v="20.2285"/>
        <n v="40.6617"/>
        <n v="12.7583"/>
        <n v="61.6034"/>
        <n v="47.7524"/>
        <n v="0.0017"/>
        <n v="0.0509"/>
        <n v="32.5492"/>
        <n v="3.3615"/>
        <n v="1.4148"/>
        <n v="4.3779"/>
        <n v="2.563"/>
        <n v="0.937999999999999"/>
        <n v="0.0066"/>
        <n v="1.0009"/>
        <n v="0.3449"/>
        <n v="0.3859"/>
        <n v="0.0197"/>
        <n v="0.2111"/>
        <n v="60.7356"/>
        <n v="53.4502"/>
        <n v="4.7236"/>
        <n v="0.2761"/>
        <n v="0.0109"/>
        <n v="6.601"/>
        <n v="22.0065"/>
        <n v="3.368"/>
        <n v="0.6442"/>
        <n v="1.5582"/>
        <n v="0.9092"/>
        <n v="0.7546"/>
        <n v="0.0203"/>
        <n v="0.2341"/>
        <n v="0.4005"/>
        <n v="97.1922"/>
        <n v="147.9807"/>
        <n v="9.35249999999999"/>
        <n v="0.0646"/>
        <n v="0.0052"/>
        <n v="49.6951"/>
        <n v="36.8688"/>
        <n v="2.7811"/>
        <n v="5.3559"/>
        <n v="1.8007"/>
        <n v="0.0343"/>
        <n v="2.1642"/>
        <n v="0.3247"/>
        <n v="1.147"/>
        <n v="1.2875"/>
        <n v="0.6515"/>
        <n v="0.2991"/>
        <n v="11.0802"/>
        <n v="71.5818"/>
        <n v="30.1637"/>
        <n v="0.0753"/>
        <n v="21.9409"/>
        <n v="4.788"/>
        <n v="2.5794"/>
        <n v="2.4279"/>
        <n v="0.7081"/>
        <n v="0.9907"/>
        <n v="1.0523"/>
        <n v="0.3763"/>
        <n v="0.5313"/>
        <n v="0.0106"/>
        <n v="0.2056"/>
        <n v="54.9092"/>
        <n v="39.3809"/>
        <n v="4.9295"/>
        <n v="0.3959"/>
        <n v="0.0044"/>
        <n v="7.3705"/>
        <n v="7.646"/>
        <n v="4.0811"/>
        <n v="0.5181"/>
        <n v="1.4093"/>
        <n v="0.5252"/>
        <n v="0.8628"/>
        <n v="0.0235"/>
        <n v="0.2102"/>
        <n v="0.0159"/>
        <n v="0.3496"/>
        <n v="3.0E-4"/>
        <n v="0.0954"/>
        <n v="158.1197"/>
        <n v="110.5001"/>
        <n v="6.4026"/>
        <n v="0.0408"/>
        <n v="0.0165"/>
        <n v="20.2505"/>
        <n v="19.6373"/>
        <n v="2.978"/>
        <n v="3.2412"/>
        <n v="1.541"/>
        <n v="0.0206"/>
        <n v="0.0738"/>
        <n v="0.0551"/>
        <n v="0.4099"/>
        <n v="0.2964"/>
        <n v="0.8342"/>
        <n v="1.403"/>
        <n v="1.0795"/>
        <n v="0.5091"/>
        <n v="12.7284"/>
        <n v="71.5553"/>
        <n v="36.161"/>
        <n v="0.0728"/>
        <n v="25.6654"/>
        <n v="3.6165"/>
        <n v="4.7589"/>
        <n v="2.5793"/>
        <n v="0.4134"/>
        <n v="0.0082"/>
        <n v="1.0868"/>
        <n v="0.7852"/>
        <n v="0.2595"/>
        <n v="0.2084"/>
        <n v="0.3992"/>
        <n v="58.9925"/>
        <n v="55.1167"/>
        <n v="5.0973"/>
        <n v="0.3926"/>
        <n v="5.984"/>
        <n v="16.7714"/>
        <n v="6.6417"/>
        <n v="0.5295"/>
        <n v="1.2914"/>
        <n v="1.7221"/>
        <n v="1.0598"/>
        <n v="0.2531"/>
        <n v="0.4348"/>
        <n v="0.038"/>
        <n v="0.1571"/>
        <n v="160.7599"/>
        <n v="128.3013"/>
        <n v="10.4898"/>
        <n v="0.008"/>
        <n v="36.1689"/>
        <n v="26.1577"/>
        <n v="1.7753"/>
        <n v="0.019"/>
        <n v="0.0965"/>
        <n v="3.219"/>
        <n v="2.5952"/>
        <n v="2.7406"/>
        <n v="0.002"/>
        <n v="0.4613"/>
        <n v="1.0126"/>
        <n v="0.5241"/>
        <n v="1.0016"/>
        <n v="14.3286"/>
        <n v="58.0894"/>
        <n v="21.5185"/>
        <n v="0.0835"/>
        <n v="15.4084"/>
        <n v="4.0397"/>
        <n v="2.769"/>
        <n v="2.1124"/>
        <n v="0.0478"/>
        <n v="0.9464"/>
        <n v="0.6534"/>
        <n v="0.5382"/>
        <n v="0.0174"/>
        <n v="0.2546"/>
        <n v="37.3693"/>
        <n v="56.9814"/>
        <n v="4.012"/>
        <n v="0.3882"/>
        <n v="0.0059"/>
        <n v="5.9628"/>
        <n v="16.906"/>
        <n v="5.1908"/>
        <n v="0.703"/>
        <n v="3.3595"/>
        <n v="1.4491"/>
        <n v="0.6772"/>
        <n v="1.0269"/>
        <n v="0.9615"/>
        <n v="0.3359"/>
        <n v="85.8107"/>
        <n v="143.6183"/>
        <n v="6.1445"/>
        <n v="0.0037"/>
        <n v="1.2159"/>
        <n v="20.3542"/>
        <n v="35.1475"/>
        <n v="1.9363"/>
        <n v="0.0307"/>
        <n v="0.0729"/>
        <n v="2.075"/>
        <n v="3.1939"/>
        <n v="5.1391"/>
        <n v="1.5242"/>
        <n v="0.0837"/>
        <n v="0.3279"/>
        <n v="0.1671"/>
        <n v="0.2441"/>
        <n v="13.5576"/>
        <n v="47.7186"/>
        <n v="44.885"/>
        <n v="0.0874"/>
        <n v="30.9377"/>
        <n v="2.4347"/>
        <n v="3.0084"/>
        <n v="1.2446"/>
        <n v="1.368"/>
        <n v="1.068"/>
        <n v="0.0445"/>
        <n v="1.1576"/>
        <n v="0.4292"/>
        <n v="1.1917"/>
        <n v="0.2538"/>
        <n v="50.3357"/>
        <n v="47.7021"/>
        <n v="4.3447"/>
        <n v="0.3834"/>
        <n v="5.9219"/>
        <n v="11.3992"/>
        <n v="9.2888"/>
        <n v="0.0893"/>
        <n v="8.739"/>
        <n v="4.1646"/>
        <n v="1.0117"/>
        <n v="3.8908"/>
        <n v="1.5262"/>
        <n v="0.6706"/>
        <n v="1.0727"/>
        <n v="135.3355"/>
        <n v="94.3422999999999"/>
        <n v="7.8155"/>
        <n v="1.0079"/>
        <n v="39.3356"/>
        <n v="34.9286"/>
        <n v="0.044"/>
        <n v="21.7396"/>
        <n v="13.6827"/>
        <n v="1.9199"/>
        <n v="4.582"/>
        <n v="4.7963"/>
        <n v="1.2937"/>
        <n v="0.0113"/>
        <n v="0.0493"/>
        <n v="1.6667"/>
        <n v="0.0853"/>
        <n v="0.398"/>
        <n v="14.4889"/>
        <n v="48.4585"/>
        <n v="22.4112"/>
        <n v="0.085"/>
        <n v="27.6087"/>
        <n v="2.4222"/>
        <n v="2.8009"/>
        <n v="0.0324"/>
        <n v="1.024"/>
        <n v="0.9643"/>
        <n v="0.7189"/>
        <n v="0.5625"/>
        <n v="0.6822"/>
        <n v="1.3839"/>
        <n v="0.1271"/>
        <n v="0.667799999999999"/>
        <n v="48.83"/>
        <n v="41.0978"/>
        <n v="2.357"/>
        <n v="0.3502"/>
        <n v="0.0172"/>
        <n v="5.1814"/>
        <n v="5.6432"/>
        <n v="5.2978"/>
        <n v="12.1151"/>
        <n v="9.09869999999999"/>
        <n v="4.6757"/>
        <n v="0.6269"/>
        <n v="3.7283"/>
        <n v="1.6225"/>
        <n v="1.4657"/>
        <n v="0.5764"/>
        <n v="122.9401"/>
        <n v="99.0564"/>
        <n v="5.2129"/>
        <n v="0.0115"/>
        <n v="1.0267"/>
        <n v="20.5077"/>
        <n v="20.6032"/>
        <n v="11.262"/>
        <n v="17.8589"/>
        <n v="17.6534"/>
        <n v="1.4055"/>
        <n v="0.0176"/>
        <n v="0.0502"/>
        <n v="1.2586"/>
        <n v="2.8264"/>
        <n v="4.563"/>
        <n v="1.6138"/>
        <n v="0.4992"/>
        <n v="0.1664"/>
        <n v="14.4344"/>
        <n v="50.3687"/>
        <n v="28.8776"/>
        <n v="0.0822"/>
        <n v="31.1485"/>
        <n v="2.4838"/>
        <n v="2.8607"/>
        <n v="0.0680999999999999"/>
        <n v="1.0635"/>
        <n v="1.7728"/>
        <n v="0.724"/>
        <n v="0.5674"/>
        <n v="0.5201"/>
        <n v="0.2493"/>
        <n v="1.0944"/>
        <n v="1.1017"/>
        <n v="54.0753"/>
        <n v="48.9732"/>
        <n v="2.3963"/>
        <n v="0.4027"/>
        <n v="0.0126"/>
        <n v="6.2703"/>
        <n v="3.1949"/>
        <n v="11.3647"/>
        <n v="11.1022"/>
        <n v="10.392"/>
        <n v="8.4135"/>
        <n v="4.3244"/>
        <n v="0.5631"/>
        <n v="1.7793"/>
        <n v="1.5719"/>
        <n v="0.7097"/>
        <n v="126.3103"/>
        <n v="108.4761"/>
        <n v="6.9093"/>
        <n v="0.0119"/>
        <n v="1.023"/>
        <n v="38.8084"/>
        <n v="10.1316"/>
        <n v="19.1341"/>
        <n v="27.9902"/>
        <n v="19.0495"/>
        <n v="7.5702"/>
        <n v="0.928899999999999"/>
        <n v="4.2949"/>
        <n v="0.929899999999999"/>
        <n v="0.0166"/>
        <n v="1.1897"/>
        <n v="0.0741"/>
        <n v="0.2776"/>
        <n v="10.2483"/>
        <n v="57.8795"/>
        <n v="36.1477"/>
        <n v="0.0756"/>
        <n v="19.8438"/>
        <n v="3.1254"/>
        <n v="2.6054"/>
        <n v="0.0507"/>
        <n v="0.9781"/>
        <n v="1.9602"/>
        <n v="0.1727"/>
        <n v="0.2233"/>
        <n v="0.5568"/>
        <n v="0.2014"/>
        <n v="0.4029"/>
        <n v="29.2669"/>
        <n v="61.1062"/>
        <n v="2.3611"/>
        <n v="4.3242"/>
        <n v="9.6874"/>
        <n v="4.3941"/>
        <n v="8.2989"/>
        <n v="7.9817"/>
        <n v="5.6129"/>
        <n v="2.9913"/>
        <n v="0.788"/>
        <n v="1.4001"/>
        <n v="1.5806"/>
        <n v="0.513599999999999"/>
        <n v="61.6987"/>
        <n v="142.7044"/>
        <n v="0.013"/>
        <n v="1.1187"/>
        <n v="30.8815"/>
        <n v="12.6958"/>
        <n v="14.9868"/>
        <n v="5.99999999999999E-4"/>
        <n v="16.8968"/>
        <n v="11.2305"/>
        <n v="5.7121"/>
        <n v="1.3412"/>
        <n v="0.6592"/>
        <n v="0.0651999999999999"/>
        <n v="0.0615"/>
        <n v="0.3045"/>
        <n v="0.8461"/>
        <n v="2.2253"/>
        <n v="12.6184"/>
        <n v="42.4045"/>
        <n v="36.7903"/>
        <n v="0.0863"/>
        <n v="24.176"/>
        <n v="3.2674"/>
        <n v="2.5159"/>
        <n v="0.0495"/>
        <n v="1.0822"/>
        <n v="1.0285"/>
        <n v="0.2884"/>
        <n v="0.1827"/>
        <n v="0.1928"/>
        <n v="0.4988"/>
        <n v="25.5023"/>
        <n v="68.0994"/>
        <n v="2.7738"/>
        <n v="0.3897"/>
        <n v="0.3083"/>
        <n v="5.4636"/>
        <n v="0.2701"/>
        <n v="14.3274"/>
        <n v="2.4123"/>
        <n v="5.213"/>
        <n v="4.5446"/>
        <n v="2.592"/>
        <n v="3.1998"/>
        <n v="2.1857"/>
        <n v="0.4275"/>
        <n v="2.0364"/>
        <n v="1.7236"/>
        <n v="79.0532"/>
        <n v="167.6062"/>
        <n v="10.1737"/>
        <n v="0.9683"/>
        <n v="37.5212"/>
        <n v="0.6296"/>
        <n v="43.5059"/>
        <n v="6.0694"/>
        <n v="7.0549"/>
        <n v="7.3345"/>
        <n v="1.3112"/>
        <n v="0.0566"/>
        <n v="1.9244"/>
        <n v="0.0021"/>
        <n v="0.1255"/>
        <n v="0.4036"/>
        <n v="4.3609"/>
        <n v="2.6711"/>
        <n v="13.7742"/>
        <n v="74.1972"/>
        <n v="23.3262"/>
        <n v="0.1159"/>
        <n v="40.4568"/>
        <n v="3.0682"/>
        <n v="1.3659"/>
        <n v="2.0815"/>
        <n v="0.849"/>
        <n v="0.2565"/>
        <n v="0.1803"/>
        <n v="0.1788"/>
        <n v="0.4067"/>
        <n v="38.1815"/>
        <n v="85.807"/>
        <n v="1.7193"/>
        <n v="0.0827"/>
        <n v="7.987"/>
        <n v="14.5779"/>
        <n v="5.6143"/>
        <n v="2.415"/>
        <n v="2.2058"/>
        <n v="2.6855"/>
        <n v="2.1933"/>
        <n v="0.209"/>
        <n v="1.7481"/>
        <n v="1.8761"/>
        <n v="0.5566"/>
        <n v="126.6332"/>
        <n v="188.8145"/>
        <n v="7.1569"/>
        <n v="1.0007"/>
        <n v="55.9615"/>
        <n v="23.2374"/>
        <n v="0.7115"/>
        <n v="14.6753"/>
        <n v="8.62529999999999"/>
        <n v="3.7985"/>
        <n v="2.1044"/>
        <n v="1.2162"/>
        <n v="0.0467"/>
        <n v="0.0026"/>
        <n v="0.1336"/>
        <n v="0.5234"/>
        <n v="2.7794"/>
        <n v="2.6869"/>
        <n v="9.3454"/>
        <n v="49.5129"/>
        <n v="48.8577"/>
        <n v="0.1204"/>
        <n v="57.1231"/>
        <n v="2.9588"/>
        <n v="0.0298"/>
        <n v="1.2734"/>
        <n v="0.00839999999999999"/>
        <n v="1.9763"/>
        <n v="0.3746"/>
        <n v="0.6834"/>
        <n v="0.1553"/>
        <n v="0.1443"/>
        <n v="0.1516"/>
        <n v="26.6778"/>
        <n v="65.9601"/>
        <n v="1.9498"/>
        <n v="0.2765"/>
        <n v="8.1549"/>
        <n v="10.259"/>
        <n v="0.686"/>
        <n v="12.0641"/>
        <n v="2.6768"/>
        <n v="1.2912"/>
        <n v="1.9385"/>
        <n v="2.0573"/>
        <n v="0.1111"/>
        <n v="2.0803"/>
        <n v="1.6439"/>
        <n v="0.521"/>
        <n v="91.0282"/>
        <n v="148.5251"/>
        <n v="13.1242"/>
        <n v="0.0116"/>
        <n v="0.9913"/>
        <n v="49.3487"/>
        <n v="1.5021"/>
        <n v="31.1936"/>
        <n v="16.482"/>
        <n v="8.0768"/>
        <n v="1.7141"/>
        <n v="1.827"/>
        <n v="1.0677"/>
        <n v="0.0168"/>
        <n v="0.0466"/>
        <n v="3.8501"/>
        <n v="0.3133"/>
        <n v="1.1007"/>
        <n v="0.2777"/>
        <n v="0.2557"/>
        <n v="8.2873"/>
        <n v="58.9269"/>
        <n v="40.0693"/>
        <n v="0.126"/>
        <n v="48.5318"/>
        <n v="3.0142"/>
        <n v="0.0374"/>
        <n v="1.381"/>
        <n v="0.0071"/>
        <n v="1.5797"/>
        <n v="0.7599"/>
        <n v="0.5868"/>
        <n v="0.3817"/>
        <n v="0.1949"/>
        <n v="26.8384"/>
        <n v="69.7095999999999"/>
        <n v="2.2707"/>
        <n v="0.2856"/>
        <n v="7.1892"/>
        <n v="9.2164"/>
        <n v="1.021"/>
        <n v="10.0487"/>
        <n v="2.361"/>
        <n v="0.6965"/>
        <n v="1.9456"/>
        <n v="1.9184"/>
        <n v="0.0887"/>
        <n v="0.6647"/>
        <n v="2.4751"/>
        <n v="1.6842"/>
        <n v="92.2485"/>
        <n v="158.1712"/>
        <n v="9.20229999999999"/>
        <n v="0.00869999999999999"/>
        <n v="1.3881"/>
        <n v="38.9478"/>
        <n v="2.0282"/>
        <n v="19.925"/>
        <n v="17.0671"/>
        <n v="1.3044"/>
        <n v="0.0201"/>
        <n v="3.5262"/>
        <n v="0.5836"/>
        <n v="3.5655"/>
        <n v="1.341"/>
        <n v="0.104"/>
        <n v="0.2762"/>
        <n v="0.0391"/>
        <n v="0.0031"/>
        <n v="1.4449"/>
        <n v="31.182"/>
        <n v="18.0189"/>
        <n v="26.234"/>
        <n v="27.5444"/>
        <n v="15.2089"/>
        <n v="23.4901"/>
        <n v="24.9705"/>
        <n v="14.6105"/>
        <n v="18.2471"/>
        <n v="19.3133"/>
        <n v="9.37689999999999"/>
        <n v="62.7087"/>
        <n v="22.617"/>
        <n v="8.8641"/>
        <n v="17.6217"/>
        <n v="20.1482"/>
        <n v="15.7034"/>
        <n v="36.2357"/>
        <n v="25.8357"/>
        <n v="21.2905"/>
        <n v="44.1025"/>
        <n v="19.4161"/>
        <n v="22.1025"/>
        <n v="49.0676"/>
        <n v="17.6166"/>
        <n v="19.039"/>
        <n v="29.4026"/>
        <n v="12.0022"/>
        <n v="13.6879"/>
        <n v="27.9039"/>
        <n v="13.2139"/>
        <n v="11.4728"/>
        <n v="17.9486"/>
        <n v="10.5903"/>
        <n v="7.8182"/>
        <n v="25.2956"/>
        <n v="15.2249"/>
        <n v="58.2443"/>
        <n v="38.4102"/>
        <n v="0.1327"/>
        <n v="44.9287"/>
        <n v="2.8629"/>
        <n v="0.0225"/>
        <n v="1.5595"/>
        <n v="1.0881"/>
        <n v="1.4561"/>
        <n v="0.8941"/>
        <n v="0.1668"/>
        <n v="0.2026"/>
        <n v="0.1902"/>
        <n v="88.4917"/>
        <n v="57.6908"/>
        <n v="2.834"/>
        <n v="0.0974"/>
        <n v="8.1112"/>
        <n v="0.6235"/>
        <n v="11.9015"/>
        <n v="8.1162"/>
        <n v="4.4477"/>
        <n v="2.2066"/>
        <n v="0.1416"/>
        <n v="1.1685"/>
        <n v="0.0036"/>
        <n v="0.871"/>
        <n v="1.3608"/>
        <n v="0.0795"/>
        <n v="1.0835"/>
        <n v="200.7302"/>
        <n v="159.5171"/>
        <n v="9.9211"/>
        <n v="0.0087"/>
        <n v="1.2303"/>
        <n v="56.187"/>
        <n v="1.5709"/>
        <n v="19.0162"/>
        <n v="14.6676"/>
        <n v="5.3848"/>
        <n v="0.4175"/>
        <n v="1.1421"/>
        <n v="0.0118"/>
        <n v="0.0603"/>
        <n v="1.3623"/>
        <n v="3.0058"/>
        <n v="0.0084"/>
        <n v="1.4654"/>
        <n v="0.2676"/>
        <n v="0.5965"/>
        <n v="11.1079"/>
        <n v="47.1109"/>
        <n v="32.4152"/>
        <n v="35.8498"/>
        <n v="2.5138"/>
        <n v="1.6619"/>
        <n v="0.0039"/>
        <n v="1.5126"/>
        <n v="0.413"/>
        <n v="0.7527"/>
        <n v="0.157"/>
        <n v="0.202"/>
        <n v="0.1907"/>
        <n v="82.455"/>
        <n v="54.6811"/>
        <n v="3.2303"/>
        <n v="0.2929"/>
        <n v="7.6719"/>
        <n v="0.9638"/>
        <n v="7.0538"/>
        <n v="5.7038"/>
        <n v="2.7931"/>
        <n v="0.2556"/>
        <n v="1.0493"/>
        <n v="1.6042"/>
        <n v="2.2345"/>
        <n v="1.1353"/>
        <n v="0.0531"/>
        <n v="0.4189"/>
        <n v="211.8291"/>
        <n v="129.5281"/>
        <n v="7.3785"/>
        <n v="0.0152"/>
        <n v="0.9859"/>
        <n v="29.5518"/>
        <n v="2.2895"/>
        <n v="26.0692"/>
        <n v="10.0157"/>
        <n v="0.0114"/>
        <n v="0.0077"/>
        <n v="3.7361"/>
        <n v="1.3058"/>
        <n v="0.0144"/>
        <n v="0.0869"/>
        <n v="4.6976"/>
        <n v="4.8779"/>
        <n v="0.2908"/>
        <n v="3.7243"/>
        <n v="1.193"/>
        <n v="14.1119"/>
        <n v="73.7461"/>
        <n v="55.5542"/>
        <n v="3.0953"/>
        <n v="45.207"/>
        <n v="3.8064"/>
        <n v="2.299"/>
        <n v="2.7622"/>
        <n v="0.7931"/>
        <n v="1.2496"/>
        <n v="0.4511"/>
        <n v="0.8319"/>
        <n v="0.2807"/>
        <n v="52.4857"/>
        <n v="62.9831"/>
        <n v="3.6111"/>
        <n v="0.3132"/>
        <n v="0.6268"/>
        <n v="19.7052"/>
        <n v="1.1108"/>
        <n v="11.5989"/>
        <n v="5.496"/>
        <n v="3.3084"/>
        <n v="0.1235"/>
        <n v="1.2257"/>
        <n v="2.2679"/>
        <n v="1.5232"/>
        <n v="0.6503"/>
        <n v="2.1043"/>
        <n v="161.9302"/>
        <n v="159.762"/>
        <n v="26.5525"/>
        <n v="0.0162"/>
        <n v="1.4626"/>
        <n v="73.7656"/>
        <n v="2.6452"/>
        <n v="32.6474"/>
        <n v="0.0097"/>
        <n v="0.043"/>
        <n v="4.5225"/>
        <n v="10.7233"/>
        <n v="9.3746"/>
        <n v="2.2362"/>
        <n v="0.051"/>
        <n v="0.1688"/>
        <n v="7.9659"/>
        <n v="0.4466"/>
        <n v="0.5306"/>
        <n v="5.4266"/>
        <n v="0.2713"/>
        <n v="11.3379"/>
        <n v="54.2457"/>
        <n v="25.783"/>
        <n v="3.0257"/>
        <n v="29.1363"/>
        <n v="2.839"/>
        <n v="1.7006"/>
        <n v="2.3275"/>
        <n v="0.541"/>
        <n v="1.4503"/>
        <n v="0.7924"/>
        <n v="0.4853"/>
        <n v="0.2207"/>
        <n v="41.0183"/>
        <n v="61.0993"/>
        <n v="2.8634"/>
        <n v="0.303"/>
        <n v="17.8592"/>
        <n v="1.096"/>
        <n v="10.1778"/>
        <n v="4.4525"/>
        <n v="2.022"/>
        <n v="1.6967"/>
        <n v="1.2879"/>
        <n v="1.6755"/>
        <n v="1.2133"/>
        <n v="1.1159"/>
        <n v="1.2441"/>
        <n v="94.0721"/>
        <n v="150.4402"/>
        <n v="12.1963"/>
        <n v="0.0157"/>
        <n v="1.2804"/>
        <n v="41.0715"/>
        <n v="2.6467"/>
        <n v="32.6462"/>
        <n v="0.0773"/>
        <n v="4.3507"/>
        <n v="10.2876"/>
        <n v="2.2897"/>
        <n v="0.024"/>
        <n v="0.1361"/>
        <n v="6.2296"/>
        <n v="2.4324"/>
        <n v="0.434"/>
        <n v="0.5333"/>
        <n v="0.4653"/>
        <n v="10.4227"/>
        <n v="42.728"/>
        <n v="38.6723"/>
        <n v="1.3643"/>
        <n v="34.1818"/>
        <n v="4.3142"/>
        <n v="1.6699"/>
        <n v="2.3174"/>
        <n v="2.8145"/>
        <n v="0.4574"/>
        <n v="0.7986"/>
        <n v="0.4573"/>
        <n v="0.1885"/>
        <n v="38.1428"/>
        <n v="62.5334"/>
        <n v="2.8616"/>
        <n v="0.2933"/>
        <n v="0.5615"/>
        <n v="11.3387"/>
        <n v="1.0163"/>
        <n v="5.2722"/>
        <n v="4.7601"/>
        <n v="3.8741"/>
        <n v="0.0092"/>
        <n v="1.3945"/>
        <n v="3.0453"/>
        <n v="0.3384"/>
        <n v="1.4164"/>
        <n v="1.3728"/>
        <n v="1.5552"/>
        <n v="83.0088"/>
        <n v="139.1166"/>
        <n v="11.2546"/>
        <n v="0.0173"/>
        <n v="1.2908"/>
        <n v="30.6972"/>
        <n v="2.7366"/>
        <n v="23.6977"/>
        <n v="0.0585"/>
        <n v="4.6614"/>
        <n v="10.0082"/>
        <n v="6.4933"/>
        <n v="1.5366"/>
        <n v="0.0253"/>
        <n v="0.0909"/>
        <n v="4.1804"/>
        <n v="4.5991"/>
        <n v="0.3958"/>
        <n v="0.4543"/>
        <n v="0.1734"/>
        <n v="7.5261"/>
        <n v="56.8652"/>
        <n v="22.7316"/>
        <n v="1.1255"/>
        <n v="27.2284"/>
        <n v="0.0095"/>
        <n v="3.1193"/>
        <n v="0.0432"/>
        <n v="1.9364"/>
        <n v="0.756"/>
        <n v="1.3609"/>
        <n v="0.5159"/>
        <n v="0.6942"/>
        <n v="0.205"/>
        <n v="23.0084"/>
        <n v="49.5326"/>
        <n v="1.6843"/>
        <n v="0.2838"/>
        <n v="0.4136"/>
        <n v="10.0684"/>
        <n v="0.7601"/>
        <n v="4.6069"/>
        <n v="3.7427"/>
        <n v="2.3031"/>
        <n v="2.3916"/>
        <n v="0.3448"/>
        <n v="0.0057"/>
        <n v="0.7973"/>
        <n v="1.3516"/>
        <n v="0.7768"/>
        <n v="1.1194"/>
        <n v="51.0212"/>
        <n v="107.7345"/>
        <n v="7.0644"/>
        <n v="1.5532"/>
        <n v="29.5306"/>
        <n v="2.2017"/>
        <n v="11.8421"/>
        <n v="8.194"/>
        <n v="0.0437"/>
        <n v="2.0888"/>
        <n v="5.4623"/>
        <n v="6.5873"/>
        <n v="0.3579"/>
        <n v="1.1775"/>
        <n v="0.0141"/>
        <n v="0.0464"/>
        <n v="1.2146"/>
        <n v="0.2906"/>
        <n v="0.1318"/>
        <n v="7.9512"/>
        <n v="38.0089"/>
        <n v="24.3086"/>
        <n v="1.267"/>
        <n v="40.5318"/>
        <n v="0.0049"/>
        <n v="2.5055"/>
        <n v="2.336"/>
        <n v="0.0605"/>
        <n v="2.6689"/>
        <n v="1.5616"/>
        <n v="0.6761"/>
        <n v="0.4468"/>
        <n v="0.8097"/>
        <n v="0.6055"/>
        <n v="21.6452"/>
        <n v="59.8725"/>
        <n v="1.7909"/>
        <n v="0.486"/>
        <n v="10.2943"/>
        <n v="1.0439"/>
        <n v="6.6272"/>
        <n v="3.7983"/>
        <n v="2.667"/>
        <n v="0.3178"/>
        <n v="0.7056"/>
        <n v="1.2556"/>
        <n v="1.0859"/>
        <n v="0.5415"/>
        <n v="1.2143"/>
        <n v="40.0903"/>
        <n v="154.4919"/>
        <n v="8.9411"/>
        <n v="1.0061"/>
        <n v="40.7108"/>
        <n v="2.8408"/>
        <n v="23.9214"/>
        <n v="9.1713"/>
        <n v="0.0231"/>
        <n v="2.3618"/>
        <n v="5.221"/>
        <n v="5.7889"/>
        <n v="0.4008"/>
        <n v="0.9701"/>
        <n v="0.0418"/>
        <n v="3.8847"/>
        <n v="1.0334"/>
        <n v="8.0893"/>
        <n v="30.6216"/>
        <n v="26.0514"/>
        <n v="0.4655"/>
        <n v="28.0768"/>
        <n v="2.3601"/>
        <n v="3.3197"/>
        <n v="0.0414"/>
        <n v="2.4137"/>
        <n v="2.399"/>
        <n v="2.0727"/>
        <n v="1.1654"/>
        <n v="0.9713"/>
        <n v="0.3917"/>
        <n v="17.5685"/>
        <n v="58.144"/>
        <n v="2.6274"/>
        <n v="0.648"/>
        <n v="9.7258"/>
        <n v="1.0464"/>
        <n v="6.7551"/>
        <n v="4.0219"/>
        <n v="0.9334"/>
        <n v="1.9098"/>
        <n v="0.0024"/>
        <n v="0.6821"/>
        <n v="1.1354"/>
        <n v="0.1485"/>
        <n v="0.4802"/>
        <n v="0.5155"/>
        <n v="43.9292"/>
        <n v="136.4948"/>
        <n v="8.7719"/>
        <n v="1.6219"/>
        <n v="35.4248"/>
        <n v="2.8089"/>
        <n v="13.5756"/>
        <n v="12.3312"/>
        <n v="0.0229"/>
        <n v="1.9689"/>
        <n v="5.577"/>
        <n v="1.0412"/>
        <n v="0.0202"/>
        <n v="0.0375"/>
        <n v="5.6062"/>
        <n v="3.0959"/>
        <n v="0.3683"/>
        <n v="0.3288"/>
        <n v="0.3392"/>
        <n v="0.2591"/>
        <n v="38.9673"/>
        <n v="4.4724"/>
        <n v="36.8494"/>
        <n v="20.1116"/>
        <n v="0.0055"/>
        <n v="3.7586"/>
        <n v="2.8968"/>
        <n v="0.0538"/>
        <n v="2.4313"/>
        <n v="0.9743"/>
        <n v="0.8491"/>
        <n v="1.1431"/>
        <n v="1.0531"/>
        <n v="0.2482"/>
        <n v="13.612"/>
        <n v="53.9114"/>
        <n v="6.1975"/>
        <n v="0.7031"/>
        <n v="11.0032"/>
        <n v="0.7827"/>
        <n v="14.0677"/>
        <n v="3.8074"/>
        <n v="1.9004"/>
        <n v="1.3414"/>
        <n v="0.6277"/>
        <n v="0.4061"/>
        <n v="1.1157"/>
        <n v="0.1582"/>
        <n v="0.6077"/>
        <n v="33.5808"/>
        <n v="101.4127"/>
        <n v="20.624"/>
        <n v="1.0856"/>
        <n v="31.0267"/>
        <n v="2.4692"/>
        <n v="26.1782"/>
        <n v="11.8075"/>
        <n v="6.7738"/>
        <n v="0.0103"/>
        <n v="1.7531"/>
        <n v="1.1708"/>
        <n v="0.0381"/>
        <n v="6.0589"/>
        <n v="0.1679"/>
        <n v="1.0606"/>
        <n v="0.2399"/>
        <n v="0.4427"/>
        <n v="8.1066"/>
        <n v="65.06"/>
        <n v="34.9698"/>
        <n v="0.1794"/>
        <n v="33.0304"/>
        <n v="2.8844"/>
        <n v="2.3938"/>
        <n v="0.0393"/>
        <n v="2.3325"/>
        <n v="1.0964"/>
        <n v="0.7526"/>
        <n v="1.3633"/>
        <n v="0.2825"/>
        <n v="0.4912"/>
        <n v="14.0729"/>
        <n v="53.1301"/>
        <n v="8.8828"/>
        <n v="0.6789"/>
        <n v="12.4224"/>
        <n v="0.848"/>
        <n v="10.3903"/>
        <n v="3.58"/>
        <n v="2.4011"/>
        <n v="0.8176"/>
        <n v="0.8336"/>
        <n v="0.9888"/>
        <n v="1.3274"/>
        <n v="0.5887"/>
        <n v="0.1517"/>
        <n v="41.8058"/>
        <n v="195.5282"/>
        <n v="23.9821"/>
        <n v="0.0249"/>
        <n v="1.2179"/>
        <n v="51.3505"/>
        <n v="2.7495"/>
        <n v="16.1191"/>
        <n v="14.5781"/>
        <n v="0.0198"/>
        <n v="0.017"/>
        <n v="2.9449"/>
        <n v="5.805"/>
        <n v="1.0774"/>
        <n v="0.0145"/>
        <n v="0.0522"/>
        <n v="4.2663"/>
        <n v="0.1046"/>
        <n v="1.2193"/>
        <n v="0.2158"/>
        <n v="0.4922"/>
        <n v="0.1601"/>
        <n v="52.8388"/>
        <n v="6.0646"/>
        <n v="49.6322"/>
        <n v="27.4366"/>
        <n v="1.9312"/>
        <n v="2.2651"/>
        <n v="0.0347"/>
        <n v="1.9806"/>
        <n v="1.1889"/>
        <n v="1.0639"/>
        <n v="0.5391"/>
        <n v="1.3555"/>
        <n v="15.3058"/>
        <n v="33.4998"/>
        <n v="8.0"/>
        <n v="0.7257"/>
        <n v="16.7315"/>
        <n v="0.9453"/>
        <n v="10.4442"/>
        <n v="2.7107"/>
        <n v="2.4806"/>
        <n v="0.6578"/>
        <n v="1.3532"/>
        <n v="1.0662"/>
        <n v="1.5963"/>
        <n v="32.9255"/>
        <n v="109.5556"/>
        <n v="25.0768"/>
        <n v="0.0241"/>
        <n v="1.3379"/>
        <n v="66.8762"/>
        <n v="2.8355"/>
        <n v="21.2083"/>
        <n v="16.0135"/>
        <n v="0.006"/>
        <n v="0.0133"/>
        <n v="2.6168"/>
        <n v="1.2792"/>
        <n v="0.0546"/>
        <n v="6.0726"/>
        <n v="0.2316"/>
        <n v="0.4989"/>
        <n v="0.9886"/>
        <n v="2.2503"/>
        <n v="0.1152"/>
        <n v="0.0972"/>
        <n v="41.7076"/>
        <n v="5.7783"/>
        <n v="26.398"/>
        <n v="30.0701"/>
        <n v="2.4055"/>
        <n v="1.4713"/>
        <n v="0.0355"/>
        <n v="2.4147"/>
        <n v="1.1106"/>
        <n v="0.9899"/>
        <n v="0.3144"/>
        <n v="0.5818"/>
        <n v="14.0254"/>
        <n v="41.9372"/>
        <n v="8.8174"/>
        <n v="0.5592"/>
        <n v="13.1007"/>
        <n v="1.1649"/>
        <n v="9.7878"/>
        <n v="4.9301"/>
        <n v="2.3783"/>
        <n v="0.6349"/>
        <n v="1.9166"/>
        <n v="0.4561"/>
        <n v="0.9816"/>
        <n v="0.1945"/>
        <n v="27.5368"/>
        <n v="124.5474"/>
        <n v="22.1265"/>
        <n v="1.3947"/>
        <n v="50.754"/>
        <n v="3.4787"/>
        <n v="24.7325"/>
        <n v="13.8492"/>
        <n v="0.0155"/>
        <n v="3.6888"/>
        <n v="1.3492"/>
        <n v="0.0574"/>
        <n v="5.3833"/>
        <n v="7.3405"/>
        <n v="1.2131"/>
        <n v="0.2321"/>
        <n v="0.4155"/>
        <n v="10.0537"/>
        <n v="6.1788"/>
        <n v="17.2088"/>
        <n v="9.7913"/>
        <n v="4.6616"/>
        <n v="12.1234"/>
        <n v="16.2433"/>
        <n v="3.9952"/>
        <n v="18.5283"/>
        <n v="7.3805"/>
        <n v="4.2591"/>
        <n v="28.0066"/>
        <n v="6.8373"/>
        <n v="5.7555"/>
        <n v="14.3789"/>
        <n v="5.748"/>
        <n v="5.8024"/>
        <n v="13.5144"/>
        <n v="5.6314"/>
        <n v="3.7074"/>
        <n v="11.8435"/>
        <n v="4.9947"/>
        <n v="3.7602"/>
        <n v="9.841"/>
        <n v="1.9585"/>
        <n v="7.5783"/>
        <n v="0.5806"/>
        <n v="1.4261"/>
        <n v="5.1253"/>
        <n v="0.5273"/>
        <n v="1.174"/>
        <n v="4.2365"/>
        <n v="0.1749"/>
        <n v="2.0995"/>
        <n v="2.5092"/>
      </sharedItems>
    </cacheField>
    <cacheField name="Value (in 1000 rub)" numFmtId="0">
      <sharedItems containsSemiMixedTypes="0" containsString="0" containsNumber="1">
        <n v="936.803413"/>
        <n v="7019.116508"/>
        <n v="4166.453788"/>
        <n v="66.38769"/>
        <n v="3227.992656"/>
        <n v="573.128758"/>
        <n v="559.444379"/>
        <n v="328.755626"/>
        <n v="253.642919"/>
        <n v="200.763102"/>
        <n v="2.200698"/>
        <n v="71.031833"/>
        <n v="61.805145"/>
        <n v="56.153614"/>
        <n v="50.76976"/>
        <n v="4050.03638"/>
        <n v="0.134999"/>
        <n v="7036.255168"/>
        <n v="1087.96951"/>
        <n v="109.493529"/>
        <n v="3000.962605"/>
        <n v="2169.309011"/>
        <n v="319.951771"/>
        <n v="234.200456"/>
        <n v="207.232319"/>
        <n v="177.535357"/>
        <n v="119.596253"/>
        <n v="0.930142"/>
        <n v="108.540446"/>
        <n v="51.908766"/>
        <n v="43.137401"/>
        <n v="8930.873194"/>
        <n v="9457.396412"/>
        <n v="4901.080918"/>
        <n v="15.311662"/>
        <n v="9564.403796"/>
        <n v="3197.053251"/>
        <n v="1090.341146"/>
        <n v="918.309789"/>
        <n v="811.85142"/>
        <n v="3.021369"/>
        <n v="489.019976"/>
        <n v="387.537281"/>
        <n v="10.497775"/>
        <n v="36.070235"/>
        <n v="241.683626"/>
        <n v="25.307236"/>
        <n v="174.92429"/>
        <n v="46.280242"/>
        <n v="144.095549"/>
        <n v="902.021306"/>
        <n v="5267.687694"/>
        <n v="5737.79897"/>
        <n v="61.337886"/>
        <n v="3177.907308"/>
        <n v="874.324135"/>
        <n v="443.556823"/>
        <n v="306.878801"/>
        <n v="281.485434"/>
        <n v="184.941745"/>
        <n v="2.004698"/>
        <n v="106.299765"/>
        <n v="57.967151"/>
        <n v="50.762267"/>
        <n v="46.506611"/>
        <n v="3973.243146"/>
        <n v="2.724914"/>
        <n v="6994.827867"/>
        <n v="839.264868"/>
        <n v="79.266848"/>
        <n v="2210.363738"/>
        <n v="1969.556878"/>
        <n v="195.339862"/>
        <n v="203.567716"/>
        <n v="178.409536"/>
        <n v="22.854508"/>
        <n v="131.38103"/>
        <n v="91.413191"/>
        <n v="40.453398"/>
        <n v="3.238388"/>
        <n v="36.294018"/>
        <n v="27.976055"/>
        <n v="2.716891"/>
        <n v="6261.83286"/>
        <n v="10193.829322"/>
        <n v="3303.863573"/>
        <n v="16.051771"/>
        <n v="5580.485107"/>
        <n v="2388.342617"/>
        <n v="564.161924"/>
        <n v="824.082768"/>
        <n v="1386.735499"/>
        <n v="6.433346"/>
        <n v="520.283287"/>
        <n v="457.743868"/>
        <n v="13.110632"/>
        <n v="33.706557"/>
        <n v="0.21092"/>
        <n v="287.868454"/>
        <n v="24.106433"/>
        <n v="205.549007"/>
        <n v="34.832102"/>
        <n v="146.807534"/>
        <n v="928.92665"/>
        <n v="9105.207427"/>
        <n v="5049.820876"/>
        <n v="58.307367"/>
        <n v="3529.609076"/>
        <n v="677.017966"/>
        <n v="0.042303"/>
        <n v="433.006136"/>
        <n v="0.096674"/>
        <n v="329.873082"/>
        <n v="317.591342"/>
        <n v="197.90962"/>
        <n v="3.203644"/>
        <n v="121.778651"/>
        <n v="78.294403"/>
        <n v="58.161958"/>
        <n v="0.094486"/>
        <n v="45.010945"/>
        <n v="3925.894315"/>
        <n v="0.239033"/>
        <n v="6958.625881"/>
        <n v="1088.468861"/>
        <n v="62.655918"/>
        <n v="1949.093433"/>
        <n v="1072.220825"/>
        <n v="285.332048"/>
        <n v="177.547756"/>
        <n v="321.675"/>
        <n v="124.803203"/>
        <n v="123.330744"/>
        <n v="108.865611"/>
        <n v="1.605336"/>
        <n v="93.23621"/>
        <n v="48.423851"/>
        <n v="4860.261843"/>
        <n v="9525.273204"/>
        <n v="5053.812038"/>
        <n v="13.352451"/>
        <n v="4874.68381"/>
        <n v="518.473264"/>
        <n v="855.17176"/>
        <n v="1306.620265"/>
        <n v="1124.589953"/>
        <n v="811.186105"/>
        <n v="700.968116"/>
        <n v="13.251864"/>
        <n v="39.988526"/>
        <n v="7.884587"/>
        <n v="603.625107"/>
        <n v="25.981502"/>
        <n v="290.24294"/>
        <n v="0.049663"/>
        <n v="238.904142"/>
        <n v="819.698677"/>
        <n v="4806.202042"/>
        <n v="5104.909681"/>
        <n v="129.175226"/>
        <n v="3008.328546"/>
        <n v="634.098977"/>
        <n v="0.007028"/>
        <n v="337.342593"/>
        <n v="0.016112"/>
        <n v="285.831332"/>
        <n v="283.721208"/>
        <n v="172.71895"/>
        <n v="3.648823"/>
        <n v="102.900452"/>
        <n v="68.126832"/>
        <n v="41.763937"/>
        <n v="30.341988"/>
        <n v="4037.903364"/>
        <n v="0.171467"/>
        <n v="6338.200409"/>
        <n v="880.140635"/>
        <n v="80.219931"/>
        <n v="1553.383466"/>
        <n v="1076.441935"/>
        <n v="225.61309"/>
        <n v="242.389454"/>
        <n v="258.553945"/>
        <n v="186.019152"/>
        <n v="98.75062"/>
        <n v="58.388659"/>
        <n v="55.786411"/>
        <n v="0.259456"/>
        <n v="50.164253"/>
        <n v="8413.267214"/>
        <n v="8971.843249"/>
        <n v="2762.443039"/>
        <n v="33.022278"/>
        <n v="5927.9104"/>
        <n v="1168.584361"/>
        <n v="343.430485"/>
        <n v="654.637547"/>
        <n v="722.763649"/>
        <n v="649.040983"/>
        <n v="457.457559"/>
        <n v="7.416068"/>
        <n v="31.154171"/>
        <n v="10.94554"/>
        <n v="0.250637"/>
        <n v="455.096599"/>
        <n v="27.19477"/>
        <n v="360.11203"/>
        <n v="54.916409"/>
        <n v="129.905255"/>
        <n v="1261.464109"/>
        <n v="5056.081495"/>
        <n v="3514.288662"/>
        <n v="67.328507"/>
        <n v="3209.643513"/>
        <n v="665.216812"/>
        <n v="280.366585"/>
        <n v="330.982913"/>
        <n v="305.898532"/>
        <n v="140.871749"/>
        <n v="126.123622"/>
        <n v="2.613454"/>
        <n v="92.107813"/>
        <n v="37.023186"/>
        <n v="0.119351"/>
        <n v="35.477459"/>
        <n v="3886.490741"/>
        <n v="0.07665"/>
        <n v="6461.604885"/>
        <n v="978.03047"/>
        <n v="71.137857"/>
        <n v="1704.141979"/>
        <n v="881.70831"/>
        <n v="283.989748"/>
        <n v="112.811286"/>
        <n v="224.946184"/>
        <n v="137.342741"/>
        <n v="128.123744"/>
        <n v="0.429929"/>
        <n v="65.790073"/>
        <n v="42.52785"/>
        <n v="41.459526"/>
        <n v="6964.641234"/>
        <n v="7894.581306"/>
        <n v="2313.44746"/>
        <n v="10.34063"/>
        <n v="4815.378802"/>
        <n v="493.352945"/>
        <n v="655.264603"/>
        <n v="985.101548"/>
        <n v="868.844336"/>
        <n v="390.842837"/>
        <n v="8.962127"/>
        <n v="38.584694"/>
        <n v="5.718368"/>
        <n v="365.607411"/>
        <n v="358.536068"/>
        <n v="46.870565"/>
        <n v="215.208807"/>
        <n v="29.755378"/>
        <n v="173.026412"/>
        <n v="1029.598821"/>
        <n v="4036.583675"/>
        <n v="5268.299434"/>
        <n v="213.294153"/>
        <n v="2643.416951"/>
        <n v="622.228998"/>
        <n v="160.392984"/>
        <n v="391.482226"/>
        <n v="360.477244"/>
        <n v="156.110209"/>
        <n v="117.64838"/>
        <n v="1.560646"/>
        <n v="92.905343"/>
        <n v="55.474507"/>
        <n v="0.425287"/>
        <n v="44.131594"/>
        <n v="3056.350782"/>
        <n v="0.142293"/>
        <n v="6777.613965"/>
        <n v="822.030462"/>
        <n v="66.62911"/>
        <n v="1161.256081"/>
        <n v="1016.720657"/>
        <n v="262.774193"/>
        <n v="119.821694"/>
        <n v="236.517256"/>
        <n v="120.12206"/>
        <n v="92.652783"/>
        <n v="1.081717"/>
        <n v="56.30877"/>
        <n v="49.519426"/>
        <n v="47.024197"/>
        <n v="4901.720639"/>
        <n v="7862.024497"/>
        <n v="1864.033093"/>
        <n v="15.912793"/>
        <n v="4241.478373"/>
        <n v="1824.296596"/>
        <n v="1209.394551"/>
        <n v="302.101449"/>
        <n v="565.056658"/>
        <n v="476.183387"/>
        <n v="7.848517"/>
        <n v="27.373598"/>
        <n v="3.280559"/>
        <n v="371.495588"/>
        <n v="223.758046"/>
        <n v="60.613095"/>
        <n v="120.995908"/>
        <n v="24.489549"/>
        <n v="149.109018"/>
        <n v="870.325083"/>
        <n v="7403.354863"/>
        <n v="2552.483087"/>
        <n v="6.283229"/>
        <n v="2822.831024"/>
        <n v="472.153171"/>
        <n v="116.373314"/>
        <n v="382.445638"/>
        <n v="290.430785"/>
        <n v="201.709554"/>
        <n v="112.794113"/>
        <n v="1.986265"/>
        <n v="93.897746"/>
        <n v="47.412949"/>
        <n v="35.509419"/>
        <n v="0.149852"/>
        <n v="3398.473048"/>
        <n v="0.010941"/>
        <n v="5999.003434"/>
        <n v="909.795361"/>
        <n v="79.825211"/>
        <n v="1518.623836"/>
        <n v="612.199476"/>
        <n v="235.936746"/>
        <n v="193.56644"/>
        <n v="132.964286"/>
        <n v="119.129525"/>
        <n v="86.020452"/>
        <n v="1.922279"/>
        <n v="70.732262"/>
        <n v="10.112935"/>
        <n v="46.945756"/>
        <n v="51.738094"/>
        <n v="5422.054982"/>
        <n v="5977.697769"/>
        <n v="1411.179164"/>
        <n v="147.300122"/>
        <n v="6144.165251"/>
        <n v="1520.411846"/>
        <n v="521.917002"/>
        <n v="499.183237"/>
        <n v="411.200988"/>
        <n v="3.348456"/>
        <n v="0.242017"/>
        <n v="374.905378"/>
        <n v="298.579602"/>
        <n v="9.620347"/>
        <n v="22.065598"/>
        <n v="49.084923"/>
        <n v="140.649292"/>
        <n v="0.424558"/>
        <n v="20.850142"/>
        <n v="140.824207"/>
        <n v="154.4753"/>
        <n v="839.675037"/>
        <n v="4545.647378"/>
        <n v="2912.236932"/>
        <n v="2.343986"/>
        <n v="3144.032997"/>
        <n v="386.054146"/>
        <n v="152.672372"/>
        <n v="418.475559"/>
        <n v="373.798464"/>
        <n v="284.902185"/>
        <n v="127.709397"/>
        <n v="2.463735"/>
        <n v="88.74046"/>
        <n v="52.956799"/>
        <n v="24.720427"/>
        <n v="9.577978"/>
        <n v="3827.928427"/>
        <n v="0.54729"/>
        <n v="6359.161149"/>
        <n v="836.630462"/>
        <n v="58.669398"/>
        <n v="1734.232667"/>
        <n v="797.208189"/>
        <n v="258.942763"/>
        <n v="129.596335"/>
        <n v="178.452502"/>
        <n v="112.748627"/>
        <n v="103.196774"/>
        <n v="3.297931"/>
        <n v="85.608891"/>
        <n v="84.815141"/>
        <n v="22.486045"/>
        <n v="50.11333"/>
        <n v="6709.745395"/>
        <n v="7205.293469"/>
        <n v="1220.229029"/>
        <n v="66.266284"/>
        <n v="6101.673406"/>
        <n v="1907.523043"/>
        <n v="363.135918"/>
        <n v="436.589117"/>
        <n v="415.783864"/>
        <n v="347.719692"/>
        <n v="9.360229"/>
        <n v="26.511486"/>
        <n v="2.915876"/>
        <n v="0.183668"/>
        <n v="345.456599"/>
        <n v="0.235851"/>
        <n v="21.17829"/>
        <n v="161.393145"/>
        <n v="41.636364"/>
        <n v="128.825793"/>
        <n v="152.140199"/>
        <n v="692.956619"/>
        <n v="6512.425501"/>
        <n v="2124.543597"/>
        <n v="1.028076"/>
        <n v="4467.334807"/>
        <n v="372.043144"/>
        <n v="60.611304"/>
        <n v="369.873609"/>
        <n v="335.499881"/>
        <n v="291.057245"/>
        <n v="1.373928"/>
        <n v="92.426348"/>
        <n v="93.170169"/>
        <n v="51.531351"/>
        <n v="35.386023"/>
        <n v="0.175645"/>
        <n v="3386.327367"/>
        <n v="0.985176"/>
        <n v="6367.316132"/>
        <n v="825.612183"/>
        <n v="68.190552"/>
        <n v="1951.666573"/>
        <n v="600.12229"/>
        <n v="180.630856"/>
        <n v="156.616257"/>
        <n v="102.778449"/>
        <n v="99.389678"/>
        <n v="20.959746"/>
        <n v="59.082552"/>
        <n v="65.509333"/>
        <n v="62.586761"/>
        <n v="0.854022"/>
        <n v="55.913785"/>
        <n v="7628.51873"/>
        <n v="11344.359734"/>
        <n v="1138.447524"/>
        <n v="33.195005"/>
        <n v="5429.497506"/>
        <n v="1826.391006"/>
        <n v="372.513254"/>
        <n v="283.975691"/>
        <n v="496.055713"/>
        <n v="304.052439"/>
        <n v="9.524402"/>
        <n v="32.461528"/>
        <n v="2.042558"/>
        <n v="0.255941"/>
        <n v="309.440934"/>
        <n v="57.675272"/>
        <n v="159.264256"/>
        <n v="0.330204"/>
        <n v="28.234317"/>
        <n v="156.94971"/>
        <n v="0.024798"/>
        <n v="151.892613"/>
        <n v="714.140479"/>
        <n v="5107.393573"/>
        <n v="4853.057025"/>
        <n v="1.010239"/>
        <n v="0.155886"/>
        <n v="5290.42563599999"/>
        <n v="414.764541"/>
        <n v="126.79139"/>
        <n v="458.541928"/>
        <n v="367.066608"/>
        <n v="285.144203"/>
        <n v="116.502147"/>
        <n v="2.76735"/>
        <n v="105.254914"/>
        <n v="52.337633"/>
        <n v="36.775135"/>
        <n v="0.185591"/>
        <n v="3988.521059"/>
        <n v="6497.563792"/>
        <n v="1051.550903"/>
        <n v="60.48214"/>
        <n v="2087.819981"/>
        <n v="987.116457"/>
        <n v="194.282214"/>
        <n v="109.808417"/>
        <n v="165.082083"/>
        <n v="129.934828"/>
        <n v="100.544796"/>
        <n v="21.322639"/>
        <n v="65.471207"/>
        <n v="70.952597"/>
        <n v="0.643301"/>
        <n v="68.15899"/>
        <n v="7190.91765"/>
        <n v="10831.853884"/>
        <n v="1659.957871"/>
        <n v="24.417541"/>
        <n v="6614.209094"/>
        <n v="1773.875739"/>
        <n v="465.369331"/>
        <n v="433.62192"/>
        <n v="472.904088"/>
        <n v="5.671158"/>
        <n v="27.713615"/>
        <n v="381.161355"/>
        <n v="0.563204"/>
        <n v="1.279707"/>
        <n v="318.321438"/>
        <n v="62.499038"/>
        <n v="160.841014"/>
        <n v="31.004518"/>
        <n v="184.796269"/>
        <n v="172.280999"/>
        <n v="693.523204"/>
        <n v="8077.51338"/>
        <n v="3444.500996"/>
        <n v="0.284586"/>
        <n v="3.023822"/>
        <n v="4384.797147"/>
        <n v="319.938974"/>
        <n v="174.651043"/>
        <n v="300.082495"/>
        <n v="283.880144"/>
        <n v="249.376456"/>
        <n v="2.947238"/>
        <n v="111.772602"/>
        <n v="98.216326"/>
        <n v="50.607907"/>
        <n v="39.360475"/>
        <n v="0.327685"/>
        <n v="3619.51712"/>
        <n v="6207.010473"/>
        <n v="718.497848"/>
        <n v="63.470422"/>
        <n v="0.441797"/>
        <n v="1891.763815"/>
        <n v="646.056945"/>
        <n v="198.720344"/>
        <n v="111.463019"/>
        <n v="304.455579"/>
        <n v="30.896572"/>
        <n v="103.77125"/>
        <n v="122.897301"/>
        <n v="96.602635"/>
        <n v="1.544666"/>
        <n v="65.708517"/>
        <n v="5.813849"/>
        <n v="51.098505"/>
        <n v="5005.155319"/>
        <n v="13396.308067"/>
        <n v="1290.956385"/>
        <n v="15.436583"/>
        <n v="7167.156142"/>
        <n v="1373.506643"/>
        <n v="347.846203"/>
        <n v="537.942316"/>
        <n v="471.874421"/>
        <n v="7.738316"/>
        <n v="35.070207"/>
        <n v="405.385216"/>
        <n v="0.694689"/>
        <n v="287.265068"/>
        <n v="68.448018"/>
        <n v="215.005711"/>
        <n v="1.226463"/>
        <n v="30.765021"/>
        <n v="194.894285"/>
        <n v="65.889532"/>
        <n v="155.941725"/>
        <n v="789.227923"/>
        <n v="5995.252831"/>
        <n v="3857.811179"/>
        <n v="0.233663"/>
        <n v="4.374675"/>
        <n v="5995.073407"/>
        <n v="542.253537"/>
        <n v="208.699739"/>
        <n v="0.125915"/>
        <n v="306.535534"/>
        <n v="282.294567"/>
        <n v="162.468894"/>
        <n v="1.588229"/>
        <n v="117.209566"/>
        <n v="87.407708"/>
        <n v="50.525289"/>
        <n v="0.61837"/>
        <n v="41.788139"/>
        <n v="4235.577133"/>
        <n v="4566.001749"/>
        <n v="764.229077"/>
        <n v="45.269075"/>
        <n v="1.127402"/>
        <n v="1391.71104"/>
        <n v="574.505007"/>
        <n v="238.161845"/>
        <n v="117.184238"/>
        <n v="159.756048"/>
        <n v="134.403459"/>
        <n v="60.933021"/>
        <n v="6.713224"/>
        <n v="45.258333"/>
        <n v="1.11613"/>
        <n v="35.861902"/>
        <n v="35.519099"/>
        <n v="7039.56404"/>
        <n v="10476.185686"/>
        <n v="1248.6311"/>
        <n v="12.065848"/>
        <n v="0.49345"/>
        <n v="4973.572214"/>
        <n v="1362.937588"/>
        <n v="297.628508"/>
        <n v="0.852696"/>
        <n v="923.409919"/>
        <n v="365.322427"/>
        <n v="5.839443"/>
        <n v="42.079687"/>
        <n v="309.219405"/>
        <n v="0.094354"/>
        <n v="33.376419"/>
        <n v="232.877716"/>
        <n v="63.560267"/>
        <n v="174.461142"/>
        <n v="0.073136"/>
        <n v="191.647874"/>
        <n v="35.958112"/>
        <n v="140.160417"/>
        <n v="41.856"/>
        <n v="76.9093"/>
        <n v="151.083"/>
        <n v="173.9148"/>
        <n v="1109.3931"/>
        <n v="1317.4916"/>
        <n v="2267.3183"/>
        <n v="1371.255"/>
        <n v="2642.1648"/>
        <n v="817.789128"/>
        <n v="5598.975814"/>
        <n v="4638.537271"/>
        <n v="0.123992"/>
        <n v="5.628921"/>
        <n v="5589.670023"/>
        <n v="224.65112200000002"/>
        <n v="172.739041"/>
        <n v="295.583894"/>
        <n v="286.247337"/>
        <n v="144.051522"/>
        <n v="2.099316"/>
        <n v="128.384194"/>
        <n v="72.269303"/>
        <n v="35.374750999999996"/>
        <n v="3.081309"/>
        <n v="37.134448"/>
        <n v="0.15628299999999998"/>
        <n v="3633.450875"/>
        <n v="5188.03076799999"/>
        <n v="698.288024"/>
        <n v="44.558407"/>
        <n v="0.976688"/>
        <n v="1395.983538"/>
        <n v="1012.00119"/>
        <n v="248.807815"/>
        <n v="121.94972100000001"/>
        <n v="144.102644"/>
        <n v="139.27635800000002"/>
        <n v="69.099011"/>
        <n v="68.45995299999991"/>
        <n v="3.688142"/>
        <n v="52.410371"/>
        <n v="1.3171700000000002"/>
        <n v="44.008199"/>
        <n v="5815.674717"/>
        <n v="13070.828160000001"/>
        <n v="1152.899461"/>
        <n v="9.090562"/>
        <n v="0.655369"/>
        <n v="8107.083433"/>
        <n v="2073.765747"/>
        <n v="190.90902499999999"/>
        <n v="807.009751"/>
        <n v="496.77016100000003"/>
        <n v="10.777786"/>
        <n v="35.072661"/>
        <n v="341.345026"/>
        <n v="59.056692000000005"/>
        <n v="246.981215"/>
        <n v="233.90612299999998"/>
        <n v="0.511883"/>
        <n v="221.027694"/>
        <n v="27.053737"/>
        <n v="167.434489"/>
        <n v="740.731002"/>
        <n v="6362.673844999999"/>
        <n v="3418.376272"/>
        <n v="8.411521"/>
        <n v="4399.86579799999"/>
        <n v="323.528652"/>
        <n v="284.872613"/>
        <n v="182.747544"/>
        <n v="89.8990919999999"/>
        <n v="147.664938"/>
        <n v="1.9080229999999998"/>
        <n v="136.39728200000002"/>
        <n v="59.318734"/>
        <n v="46.850674"/>
        <n v="1.650026"/>
        <n v="41.075017"/>
        <n v="3357.6095469999996"/>
        <n v="4194.076763"/>
        <n v="735.410338"/>
        <n v="66.6468799999999"/>
        <n v="0.385702"/>
        <n v="1552.9461769999998"/>
        <n v="547.562863"/>
        <n v="299.708529"/>
        <n v="82.924092"/>
        <n v="132.623274"/>
        <n v="82.262954"/>
        <n v="77.771447"/>
        <n v="4.290931"/>
        <n v="48.938784"/>
        <n v="1.308484"/>
        <n v="3.317889"/>
        <n v="38.380471"/>
        <n v="0.060471"/>
        <n v="37.05183"/>
        <n v="8438.527039999999"/>
        <n v="10562.128693"/>
        <n v="912.741207"/>
        <n v="5.509437"/>
        <n v="2.359302"/>
        <n v="4419.943142"/>
        <n v="1418.480059"/>
        <n v="170.088854"/>
        <n v="503.776524"/>
        <n v="407.293637"/>
        <n v="6.79272499999999"/>
        <n v="36.475165999999994"/>
        <n v="0.660408"/>
        <n v="25.322153999999998"/>
        <n v="222.275641"/>
        <n v="53.936471"/>
        <n v="187.833551"/>
        <n v="229.58150899999998"/>
        <n v="201.002334"/>
        <n v="0.51301"/>
        <n v="184.811387"/>
        <n v="883.86949"/>
        <n v="6611.2779009999995"/>
        <n v="4368.40284"/>
        <n v="8.98719099999999"/>
        <n v="5080.932744"/>
        <n v="381.379502"/>
        <n v="326.445788"/>
        <n v="194.22379800000002"/>
        <n v="59.907000999999994"/>
        <n v="2.719411"/>
        <n v="140.99036999999998"/>
        <n v="112.19417600000001"/>
        <n v="45.09343"/>
        <n v="0.069555"/>
        <n v="42.177223"/>
        <n v="38.224321"/>
        <n v="1.612696"/>
        <n v="3420.009855"/>
        <n v="5533.045968"/>
        <n v="751.429353"/>
        <n v="67.253647"/>
        <n v="0.587074"/>
        <n v="1257.1860419999998"/>
        <n v="957.6501069999999"/>
        <n v="461.544797"/>
        <n v="85.414349"/>
        <n v="193.421163"/>
        <n v="162.79008100000001"/>
        <n v="97.7657099999999"/>
        <n v="50.093305"/>
        <n v="0.274441"/>
        <n v="0.138314"/>
        <n v="47.505247000000004"/>
        <n v="6.911678"/>
        <n v="35.343786"/>
        <n v="8375.874438"/>
        <n v="12122.702853"/>
        <n v="1390.042249"/>
        <n v="1.2848789999999999"/>
        <n v="12.614995"/>
        <n v="6994.548253999999"/>
        <n v="1774.121005"/>
        <n v="504.261818"/>
        <n v="6.121244"/>
        <n v="47.773322"/>
        <n v="151.43410599999999"/>
        <n v="395.922213"/>
        <n v="481.704229"/>
        <n v="0.9906129999999991"/>
        <n v="28.385295999999997"/>
        <n v="255.430531"/>
        <n v="64.167697"/>
        <n v="211.265253"/>
        <n v="198.851962"/>
        <n v="197.967969"/>
        <n v="961.059632"/>
        <n v="5859.277454"/>
        <n v="2930.864958"/>
        <n v="10.429015999999999"/>
        <n v="3419.5150129999997"/>
        <n v="308.450321"/>
        <n v="305.049151"/>
        <n v="138.82256"/>
        <n v="59.11902"/>
        <n v="17.027862000000002"/>
        <n v="122.809512"/>
        <n v="91.436464"/>
        <n v="46.874411"/>
        <n v="2.096333"/>
        <n v="45.806486"/>
        <n v="42.238225"/>
        <n v="2655.2929649999996"/>
        <n v="5564.252255"/>
        <n v="594.287953"/>
        <n v="65.3437009999999"/>
        <n v="0.770477"/>
        <n v="1136.3852720000002"/>
        <n v="993.906198"/>
        <n v="360.733782"/>
        <n v="79.828062"/>
        <n v="300.15178499999996"/>
        <n v="133.11645800000002"/>
        <n v="112.223814"/>
        <n v="93.8092929999999"/>
        <n v="73.01591"/>
        <n v="66.83419499999991"/>
        <n v="5634.594107"/>
        <n v="13515.363595"/>
        <n v="921.747493999999"/>
        <n v="0.7696809999999991"/>
        <n v="130.732092"/>
        <n v="4574.937022"/>
        <n v="2209.3594"/>
        <n v="590.075329"/>
        <n v="11.345499"/>
        <n v="36.270745000000005"/>
        <n v="96.486401"/>
        <n v="374.999533"/>
        <n v="458.184074"/>
        <n v="283.17352"/>
        <n v="38.515669"/>
        <n v="191.166691"/>
        <n v="213.325979"/>
        <n v="83.7297099999999"/>
        <n v="124.685178"/>
        <n v="911.4098469999999"/>
        <n v="4885.222894"/>
        <n v="4601.925382"/>
        <n v="10.906751"/>
        <n v="5422.175792"/>
        <n v="266.134121"/>
        <n v="254.339266"/>
        <n v="82.654955"/>
        <n v="98.160894"/>
        <n v="168.19323"/>
        <n v="14.372701999999999"/>
        <n v="149.289834"/>
        <n v="74.99866"/>
        <n v="73.44669999999999"/>
        <n v="44.394432"/>
        <n v="3091.481526"/>
        <n v="4930.19955899999"/>
        <n v="627.3147389999999"/>
        <n v="61.92317"/>
        <n v="1.590881"/>
        <n v="1154.483978"/>
        <n v="729.85568"/>
        <n v="616.157152"/>
        <n v="8.514561"/>
        <n v="530.799296"/>
        <n v="281.72459999999995"/>
        <n v="87.10071099999999"/>
        <n v="334.68803"/>
        <n v="136.563048"/>
        <n v="111.21218300000001"/>
        <n v="91.027754"/>
        <n v="7220.07481499999"/>
        <n v="9661.265620999999"/>
        <n v="1041.9969939999999"/>
        <n v="0.866289"/>
        <n v="111.543779"/>
        <n v="7424.94882599999"/>
        <n v="2329.209672"/>
        <n v="4.999411"/>
        <n v="1515.2832039999998"/>
        <n v="829.925924"/>
        <n v="60.751409"/>
        <n v="432.96244"/>
        <n v="411.48490999999996"/>
        <n v="382.59959999999995"/>
        <n v="4.805201"/>
        <n v="24.562617999999997"/>
        <n v="316.395114"/>
        <n v="39.231244"/>
        <n v="222.563144"/>
        <n v="916.589147"/>
        <n v="4782.541053"/>
        <n v="2572.258208"/>
        <n v="10.520850000000001"/>
        <n v="4729.63073499999"/>
        <n v="271.40479"/>
        <n v="230.718658"/>
        <n v="10.521911"/>
        <n v="132.086592"/>
        <n v="67.866183"/>
        <n v="59.064648999999996"/>
        <n v="97.748139"/>
        <n v="88.235473"/>
        <n v="79.551433"/>
        <n v="9.602312"/>
        <n v="49.925816"/>
        <n v="3039.185931"/>
        <n v="4352.489251"/>
        <n v="331.18594199999995"/>
        <n v="56.559075"/>
        <n v="1.9253959999999999"/>
        <n v="1062.609031"/>
        <n v="371.37458000000004"/>
        <n v="395.901459"/>
        <n v="684.569630999999"/>
        <n v="522.367552"/>
        <n v="315.49719699999997"/>
        <n v="75.85248299999999"/>
        <n v="271.43171"/>
        <n v="152.93679999999998"/>
        <n v="133.872281"/>
        <n v="94.428791"/>
        <n v="7248.969408"/>
        <n v="9724.902538"/>
        <n v="784.023162"/>
        <n v="2.374221"/>
        <n v="114.790323"/>
        <n v="4603.976229"/>
        <n v="1369.1364099999998"/>
        <n v="844.1097199999999"/>
        <n v="1193.713564"/>
        <n v="960.914753"/>
        <n v="441.059538"/>
        <n v="7.454791"/>
        <n v="25.818787"/>
        <n v="54.751506"/>
        <n v="304.731678"/>
        <n v="345.88195299999995"/>
        <n v="318.983902"/>
        <n v="183.33369"/>
        <n v="87.983642"/>
        <n v="898.672385999999"/>
        <n v="4814.733113"/>
        <n v="3543.020208"/>
        <n v="10.547372"/>
        <n v="5644.685427"/>
        <n v="276.893473"/>
        <n v="238.596017"/>
        <n v="17.309398"/>
        <n v="137.117698"/>
        <n v="141.873434"/>
        <n v="94.276287"/>
        <n v="36.606651"/>
        <n v="51.047383"/>
        <n v="18.507283"/>
        <n v="66.562141"/>
        <n v="60.192714"/>
        <n v="3221.262657"/>
        <n v="4884.351699"/>
        <n v="361.062196"/>
        <n v="65.041677"/>
        <n v="1.6490319999999998"/>
        <n v="1229.6147190000002"/>
        <n v="253.92876500000003"/>
        <n v="777.1369449999991"/>
        <n v="627.35439"/>
        <n v="539.018"/>
        <n v="442.433333"/>
        <n v="287.874421"/>
        <n v="42.496089"/>
        <n v="180.530733"/>
        <n v="139.357318"/>
        <n v="124.258366"/>
        <n v="7576.229367999999"/>
        <n v="10606.008457"/>
        <n v="968.999916"/>
        <n v="2.466652"/>
        <n v="116.463955"/>
        <n v="6837.95726"/>
        <n v="816.48217"/>
        <n v="1313.90949"/>
        <n v="1759.8600279999998"/>
        <n v="959.116532"/>
        <n v="412.478904"/>
        <n v="27.907627"/>
        <n v="346.083656"/>
        <n v="287.866199"/>
        <n v="6.943837"/>
        <n v="25.549584"/>
        <n v="225.06434099999998"/>
        <n v="34.415037"/>
        <n v="161.844556"/>
        <n v="694.009956999999"/>
        <n v="5266.284194"/>
        <n v="4297.3749179999995"/>
        <n v="10.129644"/>
        <n v="4048.5126"/>
        <n v="349.836778"/>
        <n v="220.183552"/>
        <n v="14.072999"/>
        <n v="127.683803"/>
        <n v="137.103641"/>
        <n v="48.341632"/>
        <n v="10.632907"/>
        <n v="29.563620999999998"/>
        <n v="37.274619"/>
        <n v="0.144415"/>
        <n v="14.455452"/>
        <n v="20.78609"/>
        <n v="2051.053798"/>
        <n v="5927.694242"/>
        <n v="354.733746"/>
        <n v="270.11420899999996"/>
        <n v="621.2800919999991"/>
        <n v="1.380758"/>
        <n v="891.778743"/>
        <n v="520.899138"/>
        <n v="399.155297"/>
        <n v="317.75876500000004"/>
        <n v="208.893286"/>
        <n v="59.614591"/>
        <n v="153.400214"/>
        <n v="140.02031200000002"/>
        <n v="0.692633"/>
        <n v="55.714800000000004"/>
        <n v="4338.377596"/>
        <n v="13377.295863"/>
        <n v="1017.6492079999999"/>
        <n v="2.686656"/>
        <n v="129.450263"/>
        <n v="6111.299986"/>
        <n v="809.177296"/>
        <n v="949.280491"/>
        <n v="0.035739"/>
        <n v="1229.762913"/>
        <n v="549.425267"/>
        <n v="350.572709"/>
        <n v="264.766226"/>
        <n v="215.468992"/>
        <n v="5.401491"/>
        <n v="33.784533"/>
        <n v="28.180940999999997"/>
        <n v="177.71524499999998"/>
        <n v="20.953447"/>
        <n v="170.72738099999998"/>
        <n v="808.533398"/>
        <n v="4132.658514"/>
        <n v="4342.29708"/>
        <n v="11.195581"/>
        <n v="4509.229168"/>
        <n v="356.615048"/>
        <n v="210.144614"/>
        <n v="12.375298"/>
        <n v="139.409435"/>
        <n v="75.752228"/>
        <n v="45.792495"/>
        <n v="41.747626"/>
        <n v="34.859685"/>
        <n v="33.539598"/>
        <n v="0.44929"/>
        <n v="1767.3089180000002"/>
        <n v="6535.292474999999"/>
        <n v="417.719272"/>
        <n v="62.94362"/>
        <n v="41.966569"/>
        <n v="1037.09187"/>
        <n v="17.012743999999998"/>
        <n v="736.024929"/>
        <n v="171.655003"/>
        <n v="342.313426"/>
        <n v="414.705064"/>
        <n v="240.023454"/>
        <n v="224.597878"/>
        <n v="149.312643"/>
        <n v="35.983109"/>
        <n v="183.715546"/>
        <n v="68.770531"/>
        <n v="5065.711125"/>
        <n v="14523.496621999999"/>
        <n v="1340.4343700000002"/>
        <n v="2.599994"/>
        <n v="114.957614"/>
        <n v="7067.477966"/>
        <n v="39.270829"/>
        <n v="2370.8854890000002"/>
        <n v="471.930847"/>
        <n v="458.486496"/>
        <n v="676.658057"/>
        <n v="388.65414000000004"/>
        <n v="4.972093"/>
        <n v="29.526422999999998"/>
        <n v="381.29071899999997"/>
        <n v="0.7672279999999999"/>
        <n v="54.314748"/>
        <n v="228.474595"/>
        <n v="277.617801"/>
        <n v="221.405838"/>
        <n v="838.3164919999999"/>
        <n v="6333.92685"/>
        <n v="2967.550514"/>
        <n v="13.984016"/>
        <n v="6789.88701899999"/>
        <n v="342.041969"/>
        <n v="12.090182"/>
        <n v="170.32941200000002"/>
        <n v="170.158144"/>
        <n v="89.076101"/>
        <n v="46.124092"/>
        <n v="33.354405"/>
        <n v="30.823635"/>
        <n v="24.99752"/>
        <n v="0.05762"/>
        <n v="2459.423384"/>
        <n v="7416.6546"/>
        <n v="266.12444"/>
        <n v="10.970206000000001"/>
        <n v="1451.2743770000002"/>
        <n v="1306.824554"/>
        <n v="18.151684"/>
        <n v="434.429395"/>
        <n v="163.867488"/>
        <n v="155.758256"/>
        <n v="198.28060200000002"/>
        <n v="156.285721"/>
        <n v="18.574319"/>
        <n v="162.59215700000001"/>
        <n v="140.600756"/>
        <n v="1.48214"/>
        <n v="67.058508"/>
        <n v="7484.281153"/>
        <n v="15760.805762"/>
        <n v="1051.793848"/>
        <n v="1.881435"/>
        <n v="112.165929"/>
        <n v="9577.518937"/>
        <n v="2101.853462"/>
        <n v="44.767403"/>
        <n v="1156.387558"/>
        <n v="595.8027149999999"/>
        <n v="275.085705"/>
        <n v="449.283347"/>
        <n v="378.995335"/>
        <n v="7.460162"/>
        <n v="23.810641"/>
        <n v="1.273673"/>
        <n v="58.314527999999996"/>
        <n v="283.693426"/>
        <n v="235.037437"/>
        <n v="191.25912100000002"/>
        <n v="632.6594719999999"/>
        <n v="4733.22810399999"/>
        <n v="5155.983123"/>
        <n v="15.142913"/>
        <n v="7939.393997"/>
        <n v="322.443487"/>
        <n v="8.82871899999999"/>
        <n v="180.08316699999997"/>
        <n v="0.5049209999999991"/>
        <n v="158.905209"/>
        <n v="70.102819"/>
        <n v="69.379221"/>
        <n v="31.865634999999997"/>
        <n v="26.838243"/>
        <n v="25.916124"/>
        <n v="0.06962099999999999"/>
        <n v="1862.527017"/>
        <n v="6276.647956"/>
        <n v="303.85544300000004"/>
        <n v="44.648981"/>
        <n v="3.1194349999999997"/>
        <n v="1411.3826569999999"/>
        <n v="911.9591929999999"/>
        <n v="42.92005"/>
        <n v="709.762952"/>
        <n v="167.301944"/>
        <n v="91.374932"/>
        <n v="170.223986"/>
        <n v="141.777357"/>
        <n v="9.832527"/>
        <n v="150.47624900000002"/>
        <n v="116.172805"/>
        <n v="103.764818"/>
        <n v="5751.850418999999"/>
        <n v="13843.010251"/>
        <n v="1613.783187"/>
        <n v="1.818643"/>
        <n v="116.18659600000001"/>
        <n v="8723.80770099999"/>
        <n v="94.16277099999999"/>
        <n v="1961.2954069999998"/>
        <n v="1502.999939"/>
        <n v="479.585418"/>
        <n v="119.78602099999999"/>
        <n v="378.372655"/>
        <n v="321.767696"/>
        <n v="7.170603"/>
        <n v="24.183679"/>
        <n v="311.613187"/>
        <n v="119.615482"/>
        <n v="0.5265359999999999"/>
        <n v="150.34304"/>
        <n v="139.085529"/>
        <n v="129.399208"/>
        <n v="584.439645"/>
        <n v="5261.899307"/>
        <n v="4483.308138"/>
        <n v="15.565614"/>
        <n v="7688.316923"/>
        <n v="325.02226299999995"/>
        <n v="10.424574"/>
        <n v="191.527329"/>
        <n v="0.403671"/>
        <n v="129.878468"/>
        <n v="127.89406"/>
        <n v="63.073779"/>
        <n v="61.491981"/>
        <n v="36.0215"/>
        <n v="33.214698"/>
        <n v="0.086132"/>
        <n v="1831.470979"/>
        <n v="6746.23011"/>
        <n v="346.235894"/>
        <n v="46.13722"/>
        <n v="9.829012"/>
        <n v="1308.781975"/>
        <n v="785.239745"/>
        <n v="58.98103699999999"/>
        <n v="606.25328"/>
        <n v="171.533862"/>
        <n v="55.380153"/>
        <n v="177.160661"/>
        <n v="134.078957"/>
        <n v="7.754097"/>
        <n v="133.355757"/>
        <n v="121.583181"/>
        <n v="108.66609600000001"/>
        <n v="5816.404614"/>
        <n v="14410.525472"/>
        <n v="1260.9091939999998"/>
        <n v="1.791126"/>
        <n v="160.195657"/>
        <n v="7508.4035649999905"/>
        <n v="122.270841"/>
        <n v="1349.544558"/>
        <n v="1470.9417509999998"/>
        <n v="385.360054"/>
        <n v="8.773221"/>
        <n v="28.912295999999998"/>
        <n v="303.53724"/>
        <n v="45.059481"/>
        <n v="309.04197"/>
        <n v="266.459087"/>
        <n v="1.6510209999999998"/>
        <n v="49.401866"/>
        <n v="154.514089"/>
        <n v="14.953211999999999"/>
        <n v="0.960840999999999"/>
        <n v="173.679195"/>
        <n v="2078.5833000000002"/>
        <n v="1233.5554"/>
        <n v="1891.4637"/>
        <n v="1726.978"/>
        <n v="999.1274000000001"/>
        <n v="1653.5799"/>
        <n v="1670.2214"/>
        <n v="876.2526"/>
        <n v="1287.2407"/>
        <n v="1358.9363"/>
        <n v="759.3861999999999"/>
        <n v="2991.2072000000003"/>
        <n v="1451.1396000000002"/>
        <n v="751.6631"/>
        <n v="1321.7206999999999"/>
        <n v="1271.7483"/>
        <n v="1119.4307"/>
        <n v="2409.2682"/>
        <n v="1472.9105"/>
        <n v="1292.4159"/>
        <n v="2610.5357999999997"/>
        <n v="1174.4153000000001"/>
        <n v="1298.0841"/>
        <n v="2683.1193"/>
        <n v="1100.4578999999999"/>
        <n v="1265.2026"/>
        <n v="1831.2858999999999"/>
        <n v="833.8938"/>
        <n v="867.9115"/>
        <n v="1875.1751000000002"/>
        <n v="894.7549"/>
        <n v="749.0576"/>
        <n v="1339.4531000000002"/>
        <n v="748.8579"/>
        <n v="549.344299999999"/>
        <n v="1721.9886000000001"/>
        <n v="899.265493"/>
        <n v="5622.580442"/>
        <n v="4457.22479"/>
        <n v="15.948333"/>
        <n v="7611.563208"/>
        <n v="307.946992"/>
        <n v="6.422605"/>
        <n v="212.469968"/>
        <n v="171.236944"/>
        <n v="0.029771"/>
        <n v="116.992414"/>
        <n v="95.339903"/>
        <n v="38.969667"/>
        <n v="34.905171"/>
        <n v="0.142028"/>
        <n v="32.450189"/>
        <n v="4389.809554"/>
        <n v="5967.119432"/>
        <n v="485.822233"/>
        <n v="14.795735"/>
        <n v="1609.072208"/>
        <n v="38.73859"/>
        <n v="701.603394"/>
        <n v="700.442242"/>
        <n v="193.181003"/>
        <n v="164.704934"/>
        <n v="12.006769"/>
        <n v="135.056441"/>
        <n v="1.59307"/>
        <n v="0.95189"/>
        <n v="127.584278"/>
        <n v="98.695255"/>
        <n v="7.20621"/>
        <n v="96.79121"/>
        <n v="10271.13988"/>
        <n v="14567.6979"/>
        <n v="1323.619549"/>
        <n v="147.988777"/>
        <n v="9934.412537"/>
        <n v="96.490976"/>
        <n v="1335.566377"/>
        <n v="1288.467984"/>
        <n v="403.571082"/>
        <n v="34.83502"/>
        <n v="359.109615"/>
        <n v="5.171741"/>
        <n v="31.900512"/>
        <n v="282.59374"/>
        <n v="280.300213"/>
        <n v="3.230365"/>
        <n v="6.086698"/>
        <n v="261.313471"/>
        <n v="46.087756"/>
        <n v="145.866054"/>
        <n v="729.821201"/>
        <n v="4702.004113"/>
        <n v="3969.19894"/>
        <n v="11.329055"/>
        <n v="5962.643043"/>
        <n v="284.824342"/>
        <n v="2.950686"/>
        <n v="234.198798"/>
        <n v="0.20893"/>
        <n v="124.996153"/>
        <n v="75.322764"/>
        <n v="74.063678"/>
        <n v="34.985402"/>
        <n v="33.859989"/>
        <n v="32.362732"/>
        <n v="0.405462"/>
        <n v="4483.615135"/>
        <n v="5765.421415"/>
        <n v="555.281552"/>
        <n v="47.309114"/>
        <n v="13.461723"/>
        <n v="1608.789744"/>
        <n v="54.697267"/>
        <n v="530.288474"/>
        <n v="515.438104"/>
        <n v="192.427103"/>
        <n v="21.533492"/>
        <n v="0.908857"/>
        <n v="1.373464"/>
        <n v="156.258602"/>
        <n v="121.201788"/>
        <n v="106.804421"/>
        <n v="79.158238"/>
        <n v="5.084217"/>
        <n v="83.905488"/>
        <n v="11127.30868"/>
        <n v="12648.513944"/>
        <n v="1108.961017"/>
        <n v="3.141648"/>
        <n v="118.79017"/>
        <n v="6283.969207"/>
        <n v="130.569642"/>
        <n v="1788.133068"/>
        <n v="953.289157"/>
        <n v="4.713831"/>
        <n v="2.390466"/>
        <n v="756.533329"/>
        <n v="401.388021"/>
        <n v="6.543679"/>
        <n v="46.111162"/>
        <n v="410.970309"/>
        <n v="342.937167"/>
        <n v="28.097594"/>
        <n v="298.288386"/>
        <n v="256.508867"/>
        <n v="1000.988615"/>
        <n v="7356.761192"/>
        <n v="6568.246391"/>
        <n v="327.837154"/>
        <n v="9020.890311"/>
        <n v="424.69898"/>
        <n v="4.180465"/>
        <n v="346.640958"/>
        <n v="0.209196"/>
        <n v="225.403033"/>
        <n v="146.810783"/>
        <n v="117.282172"/>
        <n v="82.92376"/>
        <n v="75.031017"/>
        <n v="64.890698"/>
        <n v="3593.978608"/>
        <n v="6762.738663"/>
        <n v="602.117373"/>
        <n v="50.571637"/>
        <n v="67.629072"/>
        <n v="3567.870595"/>
        <n v="68.207659"/>
        <n v="762.579249"/>
        <n v="517.770552"/>
        <n v="227.97836"/>
        <n v="10.237458"/>
        <n v="0.489206"/>
        <n v="1.9124"/>
        <n v="191.383313"/>
        <n v="163.897989"/>
        <n v="136.057994"/>
        <n v="131.263071"/>
        <n v="110.584264"/>
        <n v="10159.89176"/>
        <n v="16676.61422"/>
        <n v="3433.774729"/>
        <n v="3.358336"/>
        <n v="186.268794"/>
        <n v="14237.19253"/>
        <n v="160.448018"/>
        <n v="2284.922391"/>
        <n v="3.930093"/>
        <n v="13.459402"/>
        <n v="1072.683641"/>
        <n v="982.058829"/>
        <n v="947.040142"/>
        <n v="709.715146"/>
        <n v="22.146691"/>
        <n v="88.881426"/>
        <n v="521.416723"/>
        <n v="200.891934"/>
        <n v="290.884253"/>
        <n v="395.156842"/>
        <n v="25.76972"/>
        <n v="820.416108"/>
        <n v="5684.181431"/>
        <n v="3564.350803"/>
        <n v="318.203811"/>
        <n v="6304.313433"/>
        <n v="3.818633"/>
        <n v="475.48094"/>
        <n v="203.671087"/>
        <n v="0.27464"/>
        <n v="195.828471"/>
        <n v="104.952492"/>
        <n v="92.093955"/>
        <n v="73.897714"/>
        <n v="55.820227"/>
        <n v="52.923911"/>
        <n v="2841.10438"/>
        <n v="6623.000018"/>
        <n v="525.96028"/>
        <n v="48.940376"/>
        <n v="113.266212"/>
        <n v="3527.423164"/>
        <n v="63.418239"/>
        <n v="634.861232"/>
        <n v="416.924196"/>
        <n v="142.501286"/>
        <n v="141.081872"/>
        <n v="0.895596"/>
        <n v="0.238702"/>
        <n v="227.064729"/>
        <n v="152.961334"/>
        <n v="95.999383"/>
        <n v="89.912221"/>
        <n v="83.254229"/>
        <n v="1.029136"/>
        <n v="6235.15773"/>
        <n v="15700.382104"/>
        <n v="1938.389976"/>
        <n v="3.249992"/>
        <n v="166.170232"/>
        <n v="8986.126968"/>
        <n v="152.979037"/>
        <n v="2037.907029"/>
        <n v="2.054427"/>
        <n v="23.693545"/>
        <n v="1098.941175"/>
        <n v="955.543497"/>
        <n v="723.549708"/>
        <n v="10.674282"/>
        <n v="71.973048"/>
        <n v="631.506543"/>
        <n v="528.577778"/>
        <n v="183.839274"/>
        <n v="288.943805"/>
        <n v="362.237206"/>
        <n v="42.914679"/>
        <n v="773.766541"/>
        <n v="4568.309267"/>
        <n v="4738.784354"/>
        <n v="146.524473"/>
        <n v="6829.434676"/>
        <n v="3.743044"/>
        <n v="760.294077"/>
        <n v="200.276349"/>
        <n v="3.624223"/>
        <n v="190.920762"/>
        <n v="192.815258"/>
        <n v="88.075675"/>
        <n v="74.260342"/>
        <n v="52.727248"/>
        <n v="45.304416"/>
        <n v="2383.271661"/>
        <n v="6723.164019"/>
        <n v="523.029817"/>
        <n v="47.36375"/>
        <n v="72.253721"/>
        <n v="2381.702329"/>
        <n v="58.583002"/>
        <n v="410.251949"/>
        <n v="382.141359"/>
        <n v="350.53213"/>
        <n v="0.296985"/>
        <n v="2.811444"/>
        <n v="246.065794"/>
        <n v="174.863686"/>
        <n v="24.139055"/>
        <n v="129.822771"/>
        <n v="107.913191"/>
        <n v="76.888582"/>
        <n v="5184.360197"/>
        <n v="14277.08856"/>
        <n v="1644.230536"/>
        <n v="3.582185"/>
        <n v="183.721912"/>
        <n v="6818.829617"/>
        <n v="157.761561"/>
        <n v="1670.173912"/>
        <n v="3.545319"/>
        <n v="17.701399"/>
        <n v="1070.070585"/>
        <n v="934.2562"/>
        <n v="637.886115"/>
        <n v="489.37299"/>
        <n v="11.949414"/>
        <n v="47.841618"/>
        <n v="344.140954"/>
        <n v="302.883131"/>
        <n v="36.618056"/>
        <n v="194.672956"/>
        <n v="100.229246"/>
        <n v="562.876647"/>
        <n v="5681.495903"/>
        <n v="2922.396679"/>
        <n v="121.087477"/>
        <n v="5610.048795"/>
        <n v="2.881198"/>
        <n v="536.896802"/>
        <n v="231.508429"/>
        <n v="2.459027"/>
        <n v="166.33235"/>
        <n v="130.466006"/>
        <n v="99.192219"/>
        <n v="65.759904"/>
        <n v="64.158082"/>
        <n v="47.942005"/>
        <n v="1685.635691"/>
        <n v="5592.503082"/>
        <n v="272.150799"/>
        <n v="45.835925"/>
        <n v="55.049286"/>
        <n v="1936.799692"/>
        <n v="47.310042"/>
        <n v="358.479509"/>
        <n v="338.563089"/>
        <n v="185.188337"/>
        <n v="125.774255"/>
        <n v="24.544915"/>
        <n v="0.436692"/>
        <n v="1.798287"/>
        <n v="130.889304"/>
        <n v="123.076725"/>
        <n v="77.288938"/>
        <n v="73.262568"/>
        <n v="0.424094"/>
        <n v="3597.991186"/>
        <n v="12022.168798"/>
        <n v="1132.86316"/>
        <n v="3.46668"/>
        <n v="186.218269"/>
        <n v="6132.884335"/>
        <n v="135.541072"/>
        <n v="998.023275"/>
        <n v="763.411125"/>
        <n v="1.783766"/>
        <n v="12.487819"/>
        <n v="570.032862"/>
        <n v="528.67611"/>
        <n v="378.791908"/>
        <n v="31.427352"/>
        <n v="383.185945"/>
        <n v="6.649438"/>
        <n v="24.763261"/>
        <n v="247.163292"/>
        <n v="122.495486"/>
        <n v="74.971474"/>
        <n v="593.09146"/>
        <n v="4003.448941"/>
        <n v="3206.174313"/>
        <n v="121.739067"/>
        <n v="7236.981536"/>
        <n v="1.591611"/>
        <n v="410.215547"/>
        <n v="263.524314"/>
        <n v="3.309734"/>
        <n v="170.500217"/>
        <n v="116.544716"/>
        <n v="116.102321"/>
        <n v="74.509653"/>
        <n v="70.919378"/>
        <n v="36.580792"/>
        <n v="1619.21498"/>
        <n v="6284.66363"/>
        <n v="304.384897"/>
        <n v="65.735039"/>
        <n v="1980.956217"/>
        <n v="59.966876"/>
        <n v="438.452184"/>
        <n v="348.845767"/>
        <n v="157.555681"/>
        <n v="22.29946"/>
        <n v="148.367583"/>
        <n v="115.030749"/>
        <n v="87.554178"/>
        <n v="0.279082"/>
        <n v="1.31538"/>
        <n v="82.367585"/>
        <n v="80.504517"/>
        <n v="0.106023"/>
        <n v="2873.741751"/>
        <n v="15221.22025"/>
        <n v="1254.763085"/>
        <n v="141.818135"/>
        <n v="7831.706976"/>
        <n v="162.031473"/>
        <n v="1649.091699"/>
        <n v="848.269895"/>
        <n v="0.525873"/>
        <n v="7.314819"/>
        <n v="597.382523"/>
        <n v="520.676349"/>
        <n v="309.182473"/>
        <n v="36.390825"/>
        <n v="318.702764"/>
        <n v="3.731573"/>
        <n v="22.339708"/>
        <n v="224.618831"/>
        <n v="198.984905"/>
        <n v="594.588783"/>
        <n v="3368.865598"/>
        <n v="3372.173873"/>
        <n v="39.605675"/>
        <n v="5767.139737"/>
        <n v="0.850839"/>
        <n v="370.523807"/>
        <n v="345.179241"/>
        <n v="2.198378"/>
        <n v="161.854701"/>
        <n v="145.440369"/>
        <n v="109.779905"/>
        <n v="91.105465"/>
        <n v="82.145393"/>
        <n v="67.406085"/>
        <n v="1345.404076"/>
        <n v="6175.532397"/>
        <n v="400.438319"/>
        <n v="79.544737"/>
        <n v="1693.249683"/>
        <n v="61.849902"/>
        <n v="479.086731"/>
        <n v="357.342625"/>
        <n v="200.051505"/>
        <n v="164.086365"/>
        <n v="1.334542"/>
        <n v="0.80237"/>
        <n v="114.579603"/>
        <n v="81.085424"/>
        <n v="13.757581"/>
        <n v="56.659264"/>
        <n v="52.392999"/>
        <n v="3039.610091"/>
        <n v="0.046414"/>
        <n v="13934.444727"/>
        <n v="1290.311691"/>
        <n v="225.965176"/>
        <n v="7079.594405"/>
        <n v="160.881395"/>
        <n v="1101.436074"/>
        <n v="1072.241114"/>
        <n v="1.720908"/>
        <n v="7.527529"/>
        <n v="514.083471"/>
        <n v="506.792389"/>
        <n v="345.818365"/>
        <n v="9.199635"/>
        <n v="20.010375"/>
        <n v="313.649181"/>
        <n v="202.807384"/>
        <n v="33.449024"/>
        <n v="83.087602"/>
        <n v="98.935482"/>
        <n v="21.931859"/>
        <n v="7477.973324"/>
        <n v="372.448738"/>
        <n v="3683.346589"/>
        <n v="2658.162426"/>
        <n v="1.191653"/>
        <n v="578.319131"/>
        <n v="309.261377"/>
        <n v="3.210473"/>
        <n v="168.272134"/>
        <n v="88.223206"/>
        <n v="78.136528"/>
        <n v="75.358835"/>
        <n v="56.502914"/>
        <n v="47.686528"/>
        <n v="1019.348168"/>
        <n v="5939.74968"/>
        <n v="813.651829"/>
        <n v="83.168761"/>
        <n v="2009.118857"/>
        <n v="48.973263"/>
        <n v="770.718584"/>
        <n v="297.966205"/>
        <n v="167.379323"/>
        <n v="127.422027"/>
        <n v="1.132441"/>
        <n v="0.674333"/>
        <n v="100.602947"/>
        <n v="90.136534"/>
        <n v="72.697707"/>
        <n v="14.157008"/>
        <n v="63.000511"/>
        <n v="2550.810119"/>
        <n v="12097.78742"/>
        <n v="2737.040323"/>
        <n v="141.04063"/>
        <n v="6399.18243"/>
        <n v="153.160915"/>
        <n v="1815.597704"/>
        <n v="1071.843543"/>
        <n v="517.055043"/>
        <n v="0.686201"/>
        <n v="3.466083"/>
        <n v="477.699541"/>
        <n v="382.119876"/>
        <n v="6.924144"/>
        <n v="20.303316"/>
        <n v="357.791053"/>
        <n v="19.158144"/>
        <n v="220.256091"/>
        <n v="62.670108"/>
        <n v="128.904763"/>
        <n v="618.481777"/>
        <n v="5995.710542"/>
        <n v="4346.872331"/>
        <n v="17.551945"/>
        <n v="6797.677053"/>
        <n v="0.475945"/>
        <n v="443.897371"/>
        <n v="280.43919"/>
        <n v="2.333112"/>
        <n v="168.957275"/>
        <n v="99.10065"/>
        <n v="68.122721"/>
        <n v="66.180682"/>
        <n v="51.100826"/>
        <n v="47.016439"/>
        <n v="1104.70914"/>
        <n v="5945.933384"/>
        <n v="1161.74794"/>
        <n v="47.929871"/>
        <n v="87.049257"/>
        <n v="2134.394888"/>
        <n v="53.446204"/>
        <n v="648.876279"/>
        <n v="285.062911"/>
        <n v="208.763393"/>
        <n v="160.901353"/>
        <n v="2.637589"/>
        <n v="0.673736"/>
        <n v="142.366486"/>
        <n v="68.042955"/>
        <n v="51.798101"/>
        <n v="38.340356"/>
        <n v="13.15267"/>
        <n v="2955.440042"/>
        <n v="18673.789433"/>
        <n v="3245.029801"/>
        <n v="5.149395"/>
        <n v="171.423595"/>
        <n v="9478.159229"/>
        <n v="170.628453"/>
        <n v="1233.112563"/>
        <n v="1298.676268"/>
        <n v="3.019777"/>
        <n v="5.180294"/>
        <n v="724.666235"/>
        <n v="475.925125"/>
        <n v="357.692522"/>
        <n v="6.70971"/>
        <n v="27.388981"/>
        <n v="271.082675"/>
        <n v="13.200875"/>
        <n v="243.123197"/>
        <n v="60.715272"/>
        <n v="143.892056"/>
        <n v="16.871048"/>
        <n v="9408.441847"/>
        <n v="496.745959"/>
        <n v="4540.566278"/>
        <n v="3393.635887"/>
        <n v="0.748993"/>
        <n v="324.043187"/>
        <n v="272.690067"/>
        <n v="2.105549"/>
        <n v="150.151548"/>
        <n v="106.11928"/>
        <n v="88.332611"/>
        <n v="64.83573"/>
        <n v="49.349484"/>
        <n v="43.21783"/>
        <n v="1228.08464"/>
        <n v="4286.652432"/>
        <n v="1120.362013"/>
        <n v="88.458725"/>
        <n v="2785.755125"/>
        <n v="61.275691"/>
        <n v="688.064093"/>
        <n v="224.938493"/>
        <n v="168.139456"/>
        <n v="138.358881"/>
        <n v="0.849911"/>
        <n v="0.229419"/>
        <n v="106.645087"/>
        <n v="95.727793"/>
        <n v="94.908582"/>
        <n v="91.942844"/>
        <n v="2573.47519"/>
        <n v="12847.27447"/>
        <n v="3373.018281"/>
        <n v="4.983299"/>
        <n v="183.446344"/>
        <n v="11510.50218"/>
        <n v="186.037718"/>
        <n v="1613.689563"/>
        <n v="1377.68061"/>
        <n v="1.13821"/>
        <n v="3.815782"/>
        <n v="672.520492"/>
        <n v="430.258213"/>
        <n v="7.83141"/>
        <n v="29.143439"/>
        <n v="460.246591"/>
        <n v="68.187833"/>
        <n v="148.325346"/>
        <n v="209.659188"/>
        <n v="177.459237"/>
        <n v="16.475533"/>
        <n v="12.649938"/>
        <n v="7988.045344"/>
        <n v="479.591585"/>
        <n v="3098.274716"/>
        <n v="3720.114364"/>
        <n v="288.650467"/>
        <n v="268.38488"/>
        <n v="2.076109"/>
        <n v="179.241611"/>
        <n v="98.254187"/>
        <n v="81.820759"/>
        <n v="53.44269"/>
        <n v="44.385878"/>
        <n v="34.264124"/>
        <n v="1104.694685"/>
        <n v="5315.236504"/>
        <n v="1180.550683"/>
        <n v="70.359689"/>
        <n v="2332.304375"/>
        <n v="74.095638"/>
        <n v="674.819854"/>
        <n v="253.993082"/>
        <n v="211.175607"/>
        <n v="140.682445"/>
        <n v="127.604833"/>
        <n v="100.668722"/>
        <n v="92.915289"/>
        <n v="41.641205"/>
        <n v="2257.732329"/>
        <n v="14747.014971"/>
        <n v="2942.582832"/>
        <n v="182.294011"/>
        <n v="9074.154704"/>
        <n v="220.706441"/>
        <n v="1815.368418"/>
        <n v="1260.041579"/>
        <n v="4.619411"/>
        <n v="790.268994"/>
        <n v="434.616644"/>
        <n v="6.659516"/>
        <n v="30.069205"/>
        <n v="408.107014"/>
        <n v="308.903722"/>
        <n v="257.234189"/>
        <n v="71.738722"/>
        <n v="138.916582"/>
        <n v="732.9798"/>
        <n v="460.2065"/>
        <n v="1310.1595"/>
        <n v="666.1454"/>
        <n v="367.6882"/>
        <n v="992.1755"/>
        <n v="1111.4856"/>
        <n v="333.6765"/>
        <n v="1307.2"/>
        <n v="577.6599"/>
        <n v="348.504"/>
        <n v="1561.4301"/>
        <n v="551.1929"/>
        <n v="467.6434"/>
        <n v="1050.2044"/>
        <n v="460.8189"/>
        <n v="436.7045"/>
        <n v="1010.165"/>
        <n v="432.3733"/>
        <n v="311.9152"/>
        <n v="894.3061"/>
        <n v="350.6479"/>
        <n v="312.313"/>
        <n v="794.332"/>
        <n v="175.3501"/>
        <n v="150.9338"/>
        <n v="633.9507"/>
        <n v="42.9389"/>
        <n v="96.6346"/>
        <n v="461.7895"/>
        <n v="37.7528"/>
        <n v="97.2256"/>
        <n v="353.291"/>
        <n v="14.3406"/>
        <n v="123.6008"/>
        <n v="223.1901"/>
      </sharedItems>
    </cacheField>
    <cacheField name="Volume (in 1000 kg)" numFmtId="0">
      <sharedItems containsSemiMixedTypes="0" containsString="0" containsNumber="1">
        <n v="3.4272"/>
        <n v="30.7522"/>
        <n v="17.8592"/>
        <n v="0.2685"/>
        <n v="6.7346"/>
        <n v="2.3147"/>
        <n v="2.305"/>
        <n v="0.6274"/>
        <n v="0.6264"/>
        <n v="1.0193"/>
        <n v="0.0019"/>
        <n v="0.2259"/>
        <n v="0.0968"/>
        <n v="0.0704"/>
        <n v="0.1284"/>
        <n v="14.0117"/>
        <n v="4.0E-4"/>
        <n v="27.2894"/>
        <n v="3.9304"/>
        <n v="0.4518"/>
        <n v="19.0044"/>
        <n v="5.6849"/>
        <n v="0.9974"/>
        <n v="0.7239"/>
        <n v="0.4648"/>
        <n v="0.3773"/>
        <n v="0.1835"/>
        <n v="0.1367"/>
        <n v="0.302"/>
        <n v="0.24"/>
        <n v="36.3655"/>
        <n v="38.2914"/>
        <n v="20.916"/>
        <n v="0.0605"/>
        <n v="26.4569"/>
        <n v="19.9215"/>
        <n v="4.5003"/>
        <n v="3.1834"/>
        <n v="2.0626"/>
        <n v="0.0017"/>
        <n v="0.6938"/>
        <n v="0.2563"/>
        <n v="0.011"/>
        <n v="0.0367"/>
        <n v="0.5744"/>
        <n v="0.0194"/>
        <n v="0.1341"/>
        <n v="0.0613"/>
        <n v="0.2622"/>
        <n v="3.2433"/>
        <n v="21.6982"/>
        <n v="26.0328"/>
        <n v="0.2453"/>
        <n v="6.319"/>
        <n v="3.7145"/>
        <n v="1.5468"/>
        <n v="0.5659"/>
        <n v="0.6855"/>
        <n v="0.8931"/>
        <n v="0.3498"/>
        <n v="0.0938"/>
        <n v="0.0631"/>
        <n v="0.1155"/>
        <n v="14.1791"/>
        <n v="0.0104"/>
        <n v="26.0097"/>
        <n v="3.0153"/>
        <n v="0.3246"/>
        <n v="14.3836"/>
        <n v="4.6465"/>
        <n v="0.6204"/>
        <n v="0.5201"/>
        <n v="0.3866"/>
        <n v="0.0127"/>
        <n v="0.1674"/>
        <n v="0.1847"/>
        <n v="0.1403"/>
        <n v="0.0041"/>
        <n v="0.0641"/>
        <n v="0.0491"/>
        <n v="0.0118"/>
        <n v="26.0969"/>
        <n v="39.4865"/>
        <n v="12.5954"/>
        <n v="0.0633"/>
        <n v="12.3467"/>
        <n v="15.6209"/>
        <n v="2.1712"/>
        <n v="2.3468"/>
        <n v="4.064"/>
        <n v="0.0033"/>
        <n v="0.7211"/>
        <n v="0.3303"/>
        <n v="0.014"/>
        <n v="0.0342"/>
        <n v="3.0E-4"/>
        <n v="0.7815"/>
        <n v="0.0184"/>
        <n v="0.167"/>
        <n v="0.0608"/>
        <n v="0.1597"/>
        <n v="3.3079"/>
        <n v="40.8628"/>
        <n v="22.3251"/>
        <n v="0.2307"/>
        <n v="6.9322"/>
        <n v="2.6723"/>
        <n v="2.0E-4"/>
        <n v="1.2766"/>
        <n v="0.6114"/>
        <n v="0.7853"/>
        <n v="0.9423"/>
        <n v="0.0027"/>
        <n v="0.4029"/>
        <n v="0.1343"/>
        <n v="0.0717"/>
        <n v="0.1152"/>
        <n v="12.5828"/>
        <n v="8.0E-4"/>
        <n v="24.4513"/>
        <n v="4.1283"/>
        <n v="0.2742"/>
        <n v="4.2427"/>
        <n v="5.7188"/>
        <n v="0.9673"/>
        <n v="0.4744"/>
        <n v="1.2527"/>
        <n v="0.277"/>
        <n v="0.1794"/>
        <n v="0.2156"/>
        <n v="0.0011"/>
        <n v="0.1226"/>
        <n v="0.168"/>
        <n v="16.9753"/>
        <n v="34.3194"/>
        <n v="20.6387"/>
        <n v="9.1144"/>
        <n v="1.9869"/>
        <n v="2.2391"/>
        <n v="7.5586"/>
        <n v="3.1477"/>
        <n v="3.1969"/>
        <n v="0.4859"/>
        <n v="0.0145"/>
        <n v="0.0408"/>
        <n v="0.0061"/>
        <n v="0.8577"/>
        <n v="0.0202"/>
        <n v="0.2292"/>
        <n v="1.0E-4"/>
        <n v="0.4844"/>
        <n v="2.768"/>
        <n v="19.1989"/>
        <n v="24.2748"/>
        <n v="0.8115"/>
        <n v="5.8755"/>
        <n v="2.4904"/>
        <n v="0.0"/>
        <n v="0.9069"/>
        <n v="0.5272"/>
        <n v="0.6717"/>
        <n v="0.8341"/>
        <n v="0.0031"/>
        <n v="0.3424"/>
        <n v="0.1206"/>
        <n v="0.0515"/>
        <n v="0.0895"/>
        <n v="13.8442"/>
        <n v="5.0E-4"/>
        <n v="22.043"/>
        <n v="3.0959"/>
        <n v="0.3783"/>
        <n v="3.3374"/>
        <n v="6.1584"/>
        <n v="0.7264"/>
        <n v="0.5621"/>
        <n v="1.1697"/>
        <n v="0.4082"/>
        <n v="0.1999"/>
        <n v="0.1673"/>
        <n v="0.0851"/>
        <n v="0.187"/>
        <n v="32.8887"/>
        <n v="33.4589"/>
        <n v="10.1702"/>
        <n v="0.1653"/>
        <n v="13.0998"/>
        <n v="6.5958"/>
        <n v="1.1096"/>
        <n v="1.5748"/>
        <n v="1.7135"/>
        <n v="2.8527"/>
        <n v="0.3215"/>
        <n v="0.0082"/>
        <n v="0.0319"/>
        <n v="0.0166"/>
        <n v="0.7166"/>
        <n v="0.0209"/>
        <n v="0.2951"/>
        <n v="0.0632"/>
        <n v="0.2188"/>
        <n v="4.6951"/>
        <n v="20.0039"/>
        <n v="14.7706"/>
        <n v="0.2658"/>
        <n v="6.8381"/>
        <n v="2.7681"/>
        <n v="0.8117"/>
        <n v="0.8038"/>
        <n v="0.5798"/>
        <n v="0.6692"/>
        <n v="0.2604"/>
        <n v="0.0023"/>
        <n v="0.305"/>
        <n v="0.0455"/>
        <n v="0.0693"/>
        <n v="13.0819"/>
        <n v="22.7624"/>
        <n v="3.5394"/>
        <n v="0.3141"/>
        <n v="3.7885"/>
        <n v="5.2878"/>
        <n v="0.8736"/>
        <n v="0.2724"/>
        <n v="0.5654"/>
        <n v="0.6456"/>
        <n v="0.2457"/>
        <n v="0.2217"/>
        <n v="0.2481"/>
        <n v="0.0581"/>
        <n v="26.6046"/>
        <n v="30.5861"/>
        <n v="8.7657"/>
        <n v="0.0566"/>
        <n v="9.5385"/>
        <n v="1.9159"/>
        <n v="1.6351"/>
        <n v="5.814"/>
        <n v="2.34"/>
        <n v="0.2805"/>
        <n v="0.0093"/>
        <n v="0.0395"/>
        <n v="0.0068"/>
        <n v="0.5491"/>
        <n v="1.6315"/>
        <n v="0.0825"/>
        <n v="0.2426"/>
        <n v="0.0229"/>
        <n v="0.1314"/>
        <n v="3.6635"/>
        <n v="15.7722"/>
        <n v="25.0206"/>
        <n v="1.5473"/>
        <n v="5.3166"/>
        <n v="2.4661"/>
        <n v="0.4597"/>
        <n v="1.0235"/>
        <n v="0.7087"/>
        <n v="0.7709"/>
        <n v="0.2234"/>
        <n v="0.0014"/>
        <n v="0.3069"/>
        <n v="0.2148"/>
        <n v="0.0843"/>
        <n v="9.522"/>
        <n v="26.8282"/>
        <n v="2.9829"/>
        <n v="0.3118"/>
        <n v="2.3222"/>
        <n v="6.7645"/>
        <n v="0.7646"/>
        <n v="0.2621"/>
        <n v="0.5123"/>
        <n v="0.2412"/>
        <n v="0.4446"/>
        <n v="7.0E-4"/>
        <n v="0.2063"/>
        <n v="0.3034"/>
        <n v="0.2693"/>
        <n v="15.946"/>
        <n v="33.887"/>
        <n v="7.4208"/>
        <n v="0.082"/>
        <n v="8.1765"/>
        <n v="11.2606"/>
        <n v="2.9808"/>
        <n v="0.9919"/>
        <n v="1.3997"/>
        <n v="0.3342"/>
        <n v="0.0087"/>
        <n v="0.0279"/>
        <n v="0.0026"/>
        <n v="0.5313"/>
        <n v="1.0596"/>
        <n v="0.0707"/>
        <n v="0.1933"/>
        <n v="0.0423"/>
        <n v="0.1667"/>
        <n v="3.1746"/>
        <n v="30.7618"/>
        <n v="10.5441"/>
        <n v="0.0267"/>
        <n v="5.7967"/>
        <n v="1.8397"/>
        <n v="0.3194"/>
        <n v="1.0267"/>
        <n v="0.5413"/>
        <n v="1.0919"/>
        <n v="0.2239"/>
        <n v="0.3144"/>
        <n v="0.0906"/>
        <n v="0.0397"/>
        <n v="10.6483"/>
        <n v="22.2367"/>
        <n v="3.2316"/>
        <n v="0.347"/>
        <n v="2.8849"/>
        <n v="3.2004"/>
        <n v="0.6564"/>
        <n v="0.5366"/>
        <n v="0.2959"/>
        <n v="0.242"/>
        <n v="0.1504"/>
        <n v="0.0015"/>
        <n v="0.2581"/>
        <n v="0.0057"/>
        <n v="0.0582"/>
        <n v="0.2429"/>
        <n v="18.0815"/>
        <n v="23.7064"/>
        <n v="5.558"/>
        <n v="0.7871"/>
        <n v="14.5509"/>
        <n v="7.8778"/>
        <n v="1.916"/>
        <n v="1.2428"/>
        <n v="0.9427"/>
        <n v="0.0038"/>
        <n v="0.5448"/>
        <n v="0.1984"/>
        <n v="0.0158"/>
        <n v="0.0226"/>
        <n v="0.0524"/>
        <n v="0.2304"/>
        <n v="0.016"/>
        <n v="0.1131"/>
        <n v="0.2822"/>
        <n v="3.0448"/>
        <n v="18.4438"/>
        <n v="13.5471"/>
        <n v="6.3956"/>
        <n v="1.4975"/>
        <n v="0.9025"/>
        <n v="3.0662"/>
        <n v="0.9331"/>
        <n v="0.512"/>
        <n v="0.2789"/>
        <n v="0.0022"/>
        <n v="0.2927"/>
        <n v="0.1007"/>
        <n v="0.0321"/>
        <n v="12.8733"/>
        <n v="24.6186"/>
        <n v="2.9397"/>
        <n v="3.3361"/>
        <n v="5.1383"/>
        <n v="0.7538"/>
        <n v="0.5604"/>
        <n v="0.4167"/>
        <n v="0.1818"/>
        <n v="0.2097"/>
        <n v="0.0025"/>
        <n v="0.5562"/>
        <n v="0.0126"/>
        <n v="0.0635"/>
        <n v="25.0496"/>
        <n v="30.9124"/>
        <n v="4.9923"/>
        <n v="13.8775"/>
        <n v="11.3822"/>
        <n v="1.3014"/>
        <n v="1.7858"/>
        <n v="0.9317"/>
        <n v="0.2374"/>
        <n v="0.0109"/>
        <n v="0.027"/>
        <n v="0.4792"/>
        <n v="0.0172"/>
        <n v="0.13"/>
        <n v="0.0444"/>
        <n v="0.1959"/>
        <n v="0.2596"/>
        <n v="2.4527"/>
        <n v="29.3192"/>
        <n v="8.8492"/>
        <n v="0.0036"/>
        <n v="11.5439"/>
        <n v="1.5299"/>
        <n v="0.2469"/>
        <n v="0.9113"/>
        <n v="2.0364"/>
        <n v="0.5015"/>
        <n v="0.0013"/>
        <n v="0.3055"/>
        <n v="0.1898"/>
        <n v="0.0967"/>
        <n v="0.0411"/>
        <n v="11.2514"/>
        <n v="23.9125"/>
        <n v="2.8516"/>
        <n v="0.2986"/>
        <n v="3.7857"/>
        <n v="2.9476"/>
        <n v="0.5409"/>
        <n v="0.3915"/>
        <n v="0.2078"/>
        <n v="0.231"/>
        <n v="0.0698"/>
        <n v="0.1005"/>
        <n v="0.3697"/>
        <n v="6.0E-4"/>
        <n v="0.1904"/>
        <n v="28.8657"/>
        <n v="52.6668"/>
        <n v="4.5955"/>
        <n v="0.1493"/>
        <n v="10.9264"/>
        <n v="9.5158"/>
        <n v="1.3082"/>
        <n v="0.8352"/>
        <n v="1.1074"/>
        <n v="0.2073"/>
        <n v="0.0125"/>
        <n v="0.033"/>
        <n v="0.4189"/>
        <n v="0.0615"/>
        <n v="0.2398"/>
        <n v="0.0216"/>
        <n v="0.1213"/>
        <n v="0.267"/>
        <n v="2.485"/>
        <n v="21.0291"/>
        <n v="24.5699"/>
        <n v="0.0035"/>
        <n v="13.2201"/>
        <n v="1.7197"/>
        <n v="0.4456"/>
        <n v="3.3997"/>
        <n v="1.0014"/>
        <n v="0.4869"/>
        <n v="0.2361"/>
        <n v="0.0024"/>
        <n v="0.3464"/>
        <n v="0.1207"/>
        <n v="0.0435"/>
        <n v="13.4286"/>
        <n v="23.9904"/>
        <n v="3.5971"/>
        <n v="0.2803"/>
        <n v="3.978"/>
        <n v="6.6228"/>
        <n v="0.5718"/>
        <n v="0.2726"/>
        <n v="1.0379"/>
        <n v="0.2841"/>
        <n v="0.2034"/>
        <n v="0.0121"/>
        <n v="0.0753"/>
        <n v="0.1117"/>
        <n v="0.2077"/>
        <n v="27.5144"/>
        <n v="43.634"/>
        <n v="7.4076"/>
        <n v="0.1026"/>
        <n v="14.9911"/>
        <n v="10.1952"/>
        <n v="1.6519"/>
        <n v="1.1595"/>
        <n v="0.3148"/>
        <n v="0.0067"/>
        <n v="0.0286"/>
        <n v="0.9097"/>
        <n v="0.0012"/>
        <n v="0.4013"/>
        <n v="0.065"/>
        <n v="0.2408"/>
        <n v="0.0235"/>
        <n v="0.1424"/>
        <n v="0.3039"/>
        <n v="2.3441"/>
        <n v="35.5525"/>
        <n v="16.8864"/>
        <n v="0.001"/>
        <n v="0.0055"/>
        <n v="10.694"/>
        <n v="1.107"/>
        <n v="0.4987"/>
        <n v="1.7851"/>
        <n v="0.4881"/>
        <n v="0.6694"/>
        <n v="0.3658"/>
        <n v="0.1839"/>
        <n v="0.1222"/>
        <n v="0.0436"/>
        <n v="9.0E-4"/>
        <n v="12.0561"/>
        <n v="23.3769"/>
        <n v="2.4733"/>
        <n v="0.2877"/>
        <n v="3.7399"/>
        <n v="3.1968"/>
        <n v="0.5557"/>
        <n v="0.289"/>
        <n v="0.5041"/>
        <n v="0.0176"/>
        <n v="0.128"/>
        <n v="0.2697"/>
        <n v="0.5288"/>
        <n v="0.0058"/>
        <n v="0.078"/>
        <n v="16.668"/>
        <n v="55.2272"/>
        <n v="5.779"/>
        <n v="16.47"/>
        <n v="6.7338"/>
        <n v="1.2804"/>
        <n v="1.4686"/>
        <n v="0.3317"/>
        <n v="0.0119"/>
        <n v="0.0356"/>
        <n v="1.1475"/>
        <n v="0.3892"/>
        <n v="0.0688"/>
        <n v="0.3597"/>
        <n v="0.0249"/>
        <n v="0.1506"/>
        <n v="0.1096"/>
        <n v="2.667"/>
        <n v="24.4312"/>
        <n v="20.3044"/>
        <n v="0.008"/>
        <n v="16.2671"/>
        <n v="2.2527"/>
        <n v="0.6727"/>
        <n v="0.5092"/>
        <n v="1.5853"/>
        <n v="0.4419"/>
        <n v="0.1611"/>
        <n v="0.0564"/>
        <n v="0.002"/>
        <n v="0.0899"/>
        <n v="15.7212"/>
        <n v="15.4797"/>
        <n v="2.533"/>
        <n v="2.6303"/>
        <n v="2.7206"/>
        <n v="0.7049"/>
        <n v="0.3002"/>
        <n v="0.3714"/>
        <n v="0.2866"/>
        <n v="0.2384"/>
        <n v="0.0684"/>
        <n v="0.1349"/>
        <n v="0.1867"/>
        <n v="26.2228"/>
        <n v="38.7245"/>
        <n v="4.8675"/>
        <n v="9.9914"/>
        <n v="6.5203"/>
        <n v="1.1787"/>
        <n v="2.7931"/>
        <n v="0.2448"/>
        <n v="0.0075"/>
        <n v="0.0428"/>
        <n v="0.8134"/>
        <n v="0.0294"/>
        <n v="0.1805"/>
        <n v="0.0153"/>
        <n v="0.0997"/>
        <n v="0.155"/>
        <n v="0.4921"/>
        <n v="0.4943"/>
        <n v="3.5537"/>
        <n v="3.7747"/>
        <n v="7.3816"/>
        <n v="4.0456"/>
        <n v="8.1324"/>
        <n v="2.6792"/>
        <n v="21.5612"/>
        <n v="23.8763"/>
        <n v="0.0101"/>
        <n v="13.0196"/>
        <n v="0.7731"/>
        <n v="0.6367"/>
        <n v="1.5761"/>
        <n v="0.4614"/>
        <n v="0.0018"/>
        <n v="0.4004"/>
        <n v="0.1379"/>
        <n v="0.0695"/>
        <n v="0.0079"/>
        <n v="0.0401"/>
        <n v="12.7544"/>
        <n v="18.7075"/>
        <n v="2.3618"/>
        <n v="0.2071"/>
        <n v="2.6403"/>
        <n v="7.9223"/>
        <n v="0.7747"/>
        <n v="0.2899"/>
        <n v="0.2804"/>
        <n v="0.3364"/>
        <n v="0.2641"/>
        <n v="0.1602"/>
        <n v="20.4104"/>
        <n v="51.7931"/>
        <n v="4.6763"/>
        <n v="0.0485"/>
        <n v="19.878"/>
        <n v="13.2728"/>
        <n v="0.6397"/>
        <n v="2.4102"/>
        <n v="0.3421"/>
        <n v="0.8008"/>
        <n v="0.0585"/>
        <n v="0.4015"/>
        <n v="0.4505"/>
        <n v="0.2605"/>
        <n v="0.1256"/>
        <n v="2.3268"/>
        <n v="25.0535"/>
        <n v="15.082"/>
        <n v="0.0151"/>
        <n v="8.7763"/>
        <n v="1.7237"/>
        <n v="0.4643"/>
        <n v="0.5584"/>
        <n v="0.3186"/>
        <n v="0.3666"/>
        <n v="0.0016"/>
        <n v="0.4209"/>
        <n v="0.1505"/>
        <n v="0.0956"/>
        <n v="0.0042"/>
        <n v="0.0823"/>
        <n v="11.531"/>
        <n v="13.7834"/>
        <n v="2.4647"/>
        <n v="0.2969"/>
        <n v="2.9482"/>
        <n v="2.7526"/>
        <n v="0.9387"/>
        <n v="0.2331"/>
        <n v="0.2537"/>
        <n v="0.1943"/>
        <n v="0.0735"/>
        <n v="0.0048"/>
        <n v="0.1398"/>
        <n v="0.0381"/>
        <n v="33.2051"/>
        <n v="38.6751"/>
        <n v="3.2013"/>
        <n v="0.0306"/>
        <n v="8.10019999999999"/>
        <n v="7.0695"/>
        <n v="0.6849"/>
        <n v="1.4585"/>
        <n v="0.2928"/>
        <n v="0.0073"/>
        <n v="0.0369"/>
        <n v="0.0193"/>
        <n v="0.1721"/>
        <n v="0.0533"/>
        <n v="0.292"/>
        <n v="0.519"/>
        <n v="0.3777"/>
        <n v="0.2036"/>
        <n v="2.673"/>
        <n v="25.0443"/>
        <n v="18.0803"/>
        <n v="0.0146"/>
        <n v="10.2662"/>
        <n v="0.651"/>
        <n v="1.7132"/>
        <n v="0.593199999999999"/>
        <n v="0.186"/>
        <n v="0.4347"/>
        <n v="0.2905"/>
        <n v="0.0493"/>
        <n v="0.0833"/>
        <n v="0.0719"/>
        <n v="0.0044"/>
        <n v="12.3884"/>
        <n v="19.2909"/>
        <n v="2.5487"/>
        <n v="0.2945"/>
        <n v="2.3936"/>
        <n v="6.0377"/>
        <n v="1.5276"/>
        <n v="0.2383"/>
        <n v="0.4778"/>
        <n v="0.31"/>
        <n v="0.371"/>
        <n v="0.081"/>
        <n v="0.1739"/>
        <n v="0.055"/>
        <n v="33.7595"/>
        <n v="44.9054"/>
        <n v="5.2449"/>
        <n v="0.006"/>
        <n v="0.0168"/>
        <n v="14.4676"/>
        <n v="9.4168"/>
        <n v="0.3373"/>
        <n v="0.0483"/>
        <n v="0.740399999999999"/>
        <n v="1.1678"/>
        <n v="1.014"/>
        <n v="0.1937"/>
        <n v="0.3544"/>
        <n v="0.3504"/>
        <n v="3.009"/>
        <n v="20.3312"/>
        <n v="10.7593"/>
        <n v="0.0167"/>
        <n v="6.1634"/>
        <n v="1.4542"/>
        <n v="0.4984"/>
        <n v="0.2493"/>
        <n v="0.0134"/>
        <n v="0.3785"/>
        <n v="0.2418"/>
        <n v="0.0969"/>
        <n v="0.007"/>
        <n v="0.1018"/>
        <n v="0.085"/>
        <n v="7.8476"/>
        <n v="19.9434"/>
        <n v="2.0058"/>
        <n v="0.2912"/>
        <n v="2.3852"/>
        <n v="6.0862"/>
        <n v="1.1939"/>
        <n v="0.3163"/>
        <n v="1.075"/>
        <n v="0.2608"/>
        <n v="0.2506"/>
        <n v="0.3594"/>
        <n v="0.3702"/>
        <n v="0.1176"/>
        <n v="18.0203"/>
        <n v="50.2664"/>
        <n v="3.0722"/>
        <n v="0.0028"/>
        <n v="0.2432"/>
        <n v="8.1417"/>
        <n v="12.6531"/>
        <n v="0.368"/>
        <n v="0.0365"/>
        <n v="0.4773"/>
        <n v="1.4373"/>
        <n v="1.6445"/>
        <n v="0.5639"/>
        <n v="0.0293"/>
        <n v="0.1377"/>
        <n v="0.404"/>
        <n v="0.0334"/>
        <n v="0.0855"/>
        <n v="2.8471"/>
        <n v="16.7014"/>
        <n v="22.4425"/>
        <n v="0.0174"/>
        <n v="12.3752"/>
        <n v="0.4383"/>
        <n v="1.083"/>
        <n v="0.2862"/>
        <n v="0.6156"/>
        <n v="0.4272"/>
        <n v="0.4631"/>
        <n v="0.1587"/>
        <n v="0.4171"/>
        <n v="0.1015"/>
        <n v="10.5705"/>
        <n v="16.6957"/>
        <n v="2.1724"/>
        <n v="0.2876"/>
        <n v="2.3687"/>
        <n v="4.1037"/>
        <n v="3.5762"/>
        <n v="0.0438"/>
        <n v="3.0586"/>
        <n v="0.9579"/>
        <n v="0.4553"/>
        <n v="1.2451"/>
        <n v="0.2747"/>
        <n v="0.4291"/>
        <n v="28.4204"/>
        <n v="33.0196"/>
        <n v="3.9077"/>
        <n v="0.2016"/>
        <n v="15.7343"/>
        <n v="13.4475"/>
        <n v="0.0215"/>
        <n v="7.8262"/>
        <n v="4.789"/>
        <n v="0.4416"/>
        <n v="2.0619"/>
        <n v="1.5348"/>
        <n v="0.004"/>
        <n v="0.0246"/>
        <n v="0.6166"/>
        <n v="0.0298"/>
        <n v="0.1672"/>
        <n v="3.0427"/>
        <n v="16.9604"/>
        <n v="11.2055"/>
        <n v="0.017"/>
        <n v="11.0434"/>
        <n v="0.436"/>
        <n v="1.0083"/>
        <n v="0.0091"/>
        <n v="0.4096"/>
        <n v="0.2218"/>
        <n v="0.3235"/>
        <n v="0.2081"/>
        <n v="0.2729"/>
        <n v="0.0489"/>
        <n v="0.3272"/>
        <n v="10.2543"/>
        <n v="14.3842"/>
        <n v="1.1785"/>
        <n v="0.2626"/>
        <n v="0.0034"/>
        <n v="2.0726"/>
        <n v="2.1727"/>
        <n v="2.5959"/>
        <n v="4.3615"/>
        <n v="3.1845"/>
        <n v="1.0754"/>
        <n v="0.282"/>
        <n v="1.193"/>
        <n v="0.649"/>
        <n v="0.2638"/>
        <n v="0.2133"/>
        <n v="25.8174"/>
        <n v="34.6697"/>
        <n v="2.6066"/>
        <n v="0.0086"/>
        <n v="0.2053"/>
        <n v="8.20299999999999"/>
        <n v="7.9322"/>
        <n v="5.5184"/>
        <n v="6.4292"/>
        <n v="6.1787"/>
        <n v="0.2671"/>
        <n v="0.0062"/>
        <n v="0.0251"/>
        <n v="0.2895"/>
        <n v="1.2719"/>
        <n v="1.4601"/>
        <n v="0.5971"/>
        <n v="0.1249"/>
        <n v="0.0832"/>
        <n v="3.0312"/>
        <n v="17.6291"/>
        <n v="14.4389"/>
        <n v="0.0164"/>
        <n v="12.4594"/>
        <n v="0.4471"/>
        <n v="1.0298"/>
        <n v="0.0191"/>
        <n v="0.4254"/>
        <n v="0.5673"/>
        <n v="0.2679"/>
        <n v="0.1305"/>
        <n v="0.2341"/>
        <n v="0.096"/>
        <n v="0.5362"/>
        <n v="0.3856"/>
        <n v="11.3558"/>
        <n v="17.1406"/>
        <n v="1.1982"/>
        <n v="2.508"/>
        <n v="1.23"/>
        <n v="5.5686"/>
        <n v="3.9968"/>
        <n v="3.6372"/>
        <n v="2.6923"/>
        <n v="0.9946"/>
        <n v="0.2534"/>
        <n v="0.7117"/>
        <n v="0.2829"/>
        <n v="26.5251"/>
        <n v="37.9666"/>
        <n v="3.4546"/>
        <n v="0.00899999999999999"/>
        <n v="0.2046"/>
        <n v="15.5233"/>
        <n v="3.9007"/>
        <n v="9.3757"/>
        <n v="10.0765"/>
        <n v="6.6673"/>
        <n v="2.4225"/>
        <n v="0.2136"/>
        <n v="1.9328"/>
        <n v="0.1766"/>
        <n v="0.0059"/>
        <n v="0.4402"/>
        <n v="0.0259"/>
        <n v="0.1166"/>
        <n v="2.1522"/>
        <n v="20.2578"/>
        <n v="18.0739"/>
        <n v="7.9376"/>
        <n v="0.5626"/>
        <n v="0.937999999999999"/>
        <n v="0.0142"/>
        <n v="0.3913"/>
        <n v="0.6273"/>
        <n v="0.1182"/>
        <n v="0.1002"/>
        <n v="0.0775"/>
        <n v="0.1975"/>
        <n v="6.146"/>
        <n v="21.3872"/>
        <n v="1.1806"/>
        <n v="1.6648"/>
        <n v="4.7468"/>
        <n v="1.7577"/>
        <n v="2.9877"/>
        <n v="2.7936"/>
        <n v="1.7962"/>
        <n v="0.687999999999999"/>
        <n v="0.3546"/>
        <n v="0.56"/>
        <n v="0.2845"/>
        <n v="0.2055"/>
        <n v="12.9567"/>
        <n v="49.9466"/>
        <n v="0.0097"/>
        <n v="0.2238"/>
        <n v="12.3527"/>
        <n v="4.8879"/>
        <n v="7.3435"/>
        <n v="6.0829"/>
        <n v="3.9306"/>
        <n v="1.8279"/>
        <n v="0.4962"/>
        <n v="0.1253"/>
        <n v="0.0326"/>
        <n v="0.1279"/>
        <n v="0.1946"/>
        <n v="2.6499"/>
        <n v="14.8417"/>
        <n v="18.3952"/>
        <n v="9.6705"/>
        <n v="0.588199999999999"/>
        <n v="0.905699999999999"/>
        <n v="0.0139"/>
        <n v="0.4329"/>
        <n v="0.3291"/>
        <n v="0.1067"/>
        <n v="0.0830999999999999"/>
        <n v="0.0964"/>
        <n v="0.0898"/>
        <n v="5.3554"/>
        <n v="23.8348"/>
        <n v="1.387"/>
        <n v="0.2923"/>
        <n v="0.0617"/>
        <n v="2.1854"/>
        <n v="0.0702"/>
        <n v="5.1579"/>
        <n v="0.9287"/>
        <n v="2.5544"/>
        <n v="0.817999999999999"/>
        <n v="0.8294"/>
        <n v="1.1199"/>
        <n v="0.5027"/>
        <n v="0.1924"/>
        <n v="0.8146"/>
        <n v="0.603299999999999"/>
        <n v="16.6012"/>
        <n v="58.6622"/>
        <n v="5.0869"/>
        <n v="0.0094"/>
        <n v="15.0084"/>
        <n v="0.1637"/>
        <n v="15.6621"/>
        <n v="2.3367"/>
        <n v="3.4569"/>
        <n v="1.3202"/>
        <n v="0.249"/>
        <n v="0.0283"/>
        <n v="0.712"/>
        <n v="0.0439"/>
        <n v="0.1695"/>
        <n v="1.5263"/>
        <n v="0.8548"/>
        <n v="2.8925"/>
        <n v="25.9689"/>
        <n v="11.6632"/>
        <n v="0.0232"/>
        <n v="16.1827"/>
        <n v="0.5522"/>
        <n v="0.5464"/>
        <n v="0.7494"/>
        <n v="0.2717"/>
        <n v="0.0949"/>
        <n v="0.0721"/>
        <n v="0.0893999999999999"/>
        <n v="0.0732"/>
        <n v="8.0181"/>
        <n v="30.0325"/>
        <n v="0.8596"/>
        <n v="0.0165"/>
        <n v="3.1949"/>
        <n v="2.624"/>
        <n v="0.0748999999999999"/>
        <n v="2.0211"/>
        <n v="0.9297"/>
        <n v="1.0809"/>
        <n v="1.0742"/>
        <n v="0.504499999999999"/>
        <n v="0.094"/>
        <n v="0.5594"/>
        <n v="0.6566"/>
        <n v="0.2226"/>
        <n v="26.593"/>
        <n v="66.0851"/>
        <n v="3.5785"/>
        <n v="0.2002"/>
        <n v="22.3846"/>
        <n v="4.1827"/>
        <n v="0.185"/>
        <n v="5.2831"/>
        <n v="3.3207"/>
        <n v="1.8613"/>
        <n v="0.7786"/>
        <n v="0.2311"/>
        <n v="0.0233"/>
        <n v="0.0467"/>
        <n v="0.2199"/>
        <n v="0.8894"/>
        <n v="0.9404"/>
        <n v="1.9625"/>
        <n v="17.3296"/>
        <n v="24.4289"/>
        <n v="0.0241"/>
        <n v="22.8493"/>
        <n v="0.5326"/>
        <n v="0.00839999999999999"/>
        <n v="0.5093"/>
        <n v="0.7115"/>
        <n v="0.1386"/>
        <n v="0.2187"/>
        <n v="0.0577"/>
        <n v="0.0288"/>
        <n v="5.6023"/>
        <n v="23.0859"/>
        <n v="0.9749"/>
        <n v="0.0054"/>
        <n v="3.2619"/>
        <n v="1.8466"/>
        <n v="0.1784"/>
        <n v="4.343"/>
        <n v="1.0306"/>
        <n v="0.6327"/>
        <n v="0.6203"/>
        <n v="0.4732"/>
        <n v="0.05"/>
        <n v="0.8321"/>
        <n v="0.5754"/>
        <n v="0.1928"/>
        <n v="19.116"/>
        <n v="51.9838"/>
        <n v="6.5621"/>
        <n v="0.00869999999999999"/>
        <n v="0.1983"/>
        <n v="19.7395"/>
        <n v="0.3905"/>
        <n v="11.2297"/>
        <n v="2.9668"/>
        <n v="3.1096"/>
        <n v="0.8399"/>
        <n v="0.676"/>
        <n v="0.2027"/>
        <n v="1.232"/>
        <n v="0.0877"/>
        <n v="0.4403"/>
        <n v="0.0556"/>
        <n v="1.7403"/>
        <n v="20.6244"/>
        <n v="20.0346"/>
        <n v="0.0252"/>
        <n v="19.4127"/>
        <n v="0.5425"/>
        <n v="0.0105"/>
        <n v="0.5524"/>
        <n v="0.5687"/>
        <n v="0.2812"/>
        <n v="0.1878"/>
        <n v="0.1737"/>
        <n v="0.0731"/>
        <n v="0.037"/>
        <n v="5.6361"/>
        <n v="24.3984"/>
        <n v="1.1352"/>
        <n v="0.2142"/>
        <n v="0.0129"/>
        <n v="2.8757"/>
        <n v="1.6589"/>
        <n v="0.2654"/>
        <n v="3.6175"/>
        <n v="0.909"/>
        <n v="0.3413"/>
        <n v="0.6225"/>
        <n v="0.4413"/>
        <n v="0.0398"/>
        <n v="0.2459"/>
        <n v="0.8663"/>
        <n v="0.5895"/>
        <n v="19.3721"/>
        <n v="55.3599"/>
        <n v="4.6012"/>
        <n v="0.0065"/>
        <n v="0.2776"/>
        <n v="15.5791"/>
        <n v="0.5273"/>
        <n v="7.173"/>
        <n v="3.0721"/>
        <n v="0.2478"/>
        <n v="0.0072"/>
        <n v="0.0276"/>
        <n v="1.3576"/>
        <n v="0.286"/>
        <n v="1.141"/>
        <n v="5.99999999999999E-4"/>
        <n v="0.0364"/>
        <n v="0.116"/>
        <n v="0.578099999999999"/>
        <n v="6.2363"/>
        <n v="3.6037"/>
        <n v="5.2468"/>
        <n v="5.5089"/>
        <n v="3.0419"/>
        <n v="4.6981"/>
        <n v="4.9941"/>
        <n v="2.9221"/>
        <n v="3.6494"/>
        <n v="3.8626"/>
        <n v="1.8754"/>
        <n v="12.5417"/>
        <n v="4.5234"/>
        <n v="1.7728"/>
        <n v="3.5244"/>
        <n v="4.0296"/>
        <n v="3.1407"/>
        <n v="7.2472"/>
        <n v="5.1671"/>
        <n v="4.2581"/>
        <n v="8.82039999999999"/>
        <n v="3.8833"/>
        <n v="4.4205"/>
        <n v="9.81359999999999"/>
        <n v="3.5234"/>
        <n v="3.8079"/>
        <n v="5.8805"/>
        <n v="2.4005"/>
        <n v="2.7376"/>
        <n v="5.5807"/>
        <n v="2.6428"/>
        <n v="2.2945"/>
        <n v="3.5896"/>
        <n v="2.118"/>
        <n v="1.5636"/>
        <n v="5.0591"/>
        <n v="3.1972"/>
        <n v="20.3855"/>
        <n v="19.2051"/>
        <n v="0.0265"/>
        <n v="17.9715"/>
        <n v="0.5153"/>
        <n v="0.0063"/>
        <n v="0.6237"/>
        <n v="0.4026"/>
        <n v="0.5242"/>
        <n v="0.2861"/>
        <n v="0.0667"/>
        <n v="0.0385"/>
        <n v="0.0865"/>
        <n v="18.5833"/>
        <n v="20.1918"/>
        <n v="1.4171"/>
        <n v="0.0195"/>
        <n v="3.2445"/>
        <n v="0.1621"/>
        <n v="4.2846"/>
        <n v="1.4609"/>
        <n v="1.5567"/>
        <n v="0.8496"/>
        <n v="0.0694"/>
        <n v="0.4674"/>
        <n v="0.3483"/>
        <n v="0.313"/>
        <n v="0.0358"/>
        <n v="0.3467"/>
        <n v="42.1534"/>
        <n v="55.8309"/>
        <n v="4.9606"/>
        <n v="0.2461"/>
        <n v="22.4747"/>
        <n v="0.4084"/>
        <n v="6.8459"/>
        <n v="2.6402"/>
        <n v="2.0731"/>
        <n v="0.217"/>
        <n v="0.0302"/>
        <n v="0.504"/>
        <n v="0.9618"/>
        <n v="0.5861"/>
        <n v="0.0481"/>
        <n v="0.2087"/>
        <n v="2.3326"/>
        <n v="16.4889"/>
        <n v="16.2075"/>
        <n v="0.0178"/>
        <n v="14.3399"/>
        <n v="0.4525"/>
        <n v="0.6647"/>
        <n v="0.5445"/>
        <n v="0.1528"/>
        <n v="0.2409"/>
        <n v="0.0628"/>
        <n v="0.0808"/>
        <n v="0.0362"/>
        <n v="17.3156"/>
        <n v="19.1384"/>
        <n v="1.6151"/>
        <n v="0.2197"/>
        <n v="3.0688"/>
        <n v="2.5393"/>
        <n v="0.4197"/>
        <n v="0.5133"/>
        <n v="0.7821"/>
        <n v="0.2611"/>
        <n v="0.0239"/>
        <n v="44.4841"/>
        <n v="45.3348"/>
        <n v="3.6893"/>
        <n v="0.0114"/>
        <n v="0.1972"/>
        <n v="11.8206"/>
        <n v="0.5952"/>
        <n v="9.3849"/>
        <n v="1.8028"/>
        <n v="0.0032"/>
        <n v="1.4945"/>
        <n v="0.0051"/>
        <n v="1.6441"/>
        <n v="1.878"/>
        <n v="0.1425"/>
        <n v="1.1918"/>
        <n v="0.4414"/>
        <n v="2.9635"/>
        <n v="25.8113"/>
        <n v="27.7771"/>
        <n v="0.6191"/>
        <n v="18.0827"/>
        <n v="0.6851"/>
        <n v="0.9196"/>
        <n v="0.9944"/>
        <n v="0.2935"/>
        <n v="0.3999"/>
        <n v="0.1804"/>
        <n v="0.2911"/>
        <n v="0.1123"/>
        <n v="11.022"/>
        <n v="22.0441"/>
        <n v="1.8055"/>
        <n v="0.2349"/>
        <n v="0.1254"/>
        <n v="7.8821"/>
        <n v="0.2888"/>
        <n v="4.1756"/>
        <n v="0.9893"/>
        <n v="1.2737"/>
        <n v="0.4904"/>
        <n v="0.7257"/>
        <n v="0.5331"/>
        <n v="0.2406"/>
        <n v="0.7365"/>
        <n v="34.0053"/>
        <n v="55.9166"/>
        <n v="13.2763"/>
        <n v="0.0122"/>
        <n v="0.2925"/>
        <n v="29.5063"/>
        <n v="0.6877"/>
        <n v="11.753"/>
        <n v="1.809"/>
        <n v="3.7531"/>
        <n v="1.6874"/>
        <n v="0.4248"/>
        <n v="0.018"/>
        <n v="0.0844"/>
        <n v="2.5491"/>
        <n v="0.1563"/>
        <n v="0.2229"/>
        <n v="2.0892"/>
        <n v="0.1329"/>
        <n v="2.3809"/>
        <n v="18.986"/>
        <n v="12.8916"/>
        <n v="0.6051"/>
        <n v="11.6546"/>
        <n v="1.1356"/>
        <n v="0.3061"/>
        <n v="0.8379"/>
        <n v="0.2001"/>
        <n v="0.5076"/>
        <n v="0.2774"/>
        <n v="0.1553"/>
        <n v="0.0883"/>
        <n v="8.6138"/>
        <n v="21.3847"/>
        <n v="1.4317"/>
        <n v="0.2273"/>
        <n v="0.2146"/>
        <n v="7.1437"/>
        <n v="0.285"/>
        <n v="3.6641"/>
        <n v="0.8014"/>
        <n v="0.7784"/>
        <n v="0.8314"/>
        <n v="0.5152"/>
        <n v="0.5864"/>
        <n v="0.3882"/>
        <n v="19.7551"/>
        <n v="52.6541"/>
        <n v="6.0981"/>
        <n v="0.2561"/>
        <n v="16.4286"/>
        <n v="0.6881"/>
        <n v="11.7526"/>
        <n v="1.7402"/>
        <n v="3.6007"/>
        <n v="0.435"/>
        <n v="0.068"/>
        <n v="1.1213"/>
        <n v="0.9"/>
        <n v="0.1519"/>
        <n v="0.224"/>
        <n v="2.007"/>
        <n v="0.228"/>
        <n v="2.1888"/>
        <n v="14.9549"/>
        <n v="19.3361"/>
        <n v="13.6727"/>
        <n v="1.7256"/>
        <n v="0.3006"/>
        <n v="0.0161"/>
        <n v="0.8343"/>
        <n v="0.9851"/>
        <n v="0.1692"/>
        <n v="0.2795"/>
        <n v="0.1463"/>
        <n v="0.0754"/>
        <n v="8.01"/>
        <n v="21.8865"/>
        <n v="1.4308"/>
        <n v="4.5355"/>
        <n v="0.2642"/>
        <n v="1.8979"/>
        <n v="1.6661"/>
        <n v="0.6973"/>
        <n v="0.5578"/>
        <n v="1.1724"/>
        <n v="0.1658"/>
        <n v="0.4957"/>
        <n v="0.4393"/>
        <n v="0.5444"/>
        <n v="17.4319"/>
        <n v="48.6907"/>
        <n v="5.6273"/>
        <n v="0.013"/>
        <n v="0.2582"/>
        <n v="12.2789"/>
        <n v="8.5312"/>
        <n v="1.8646"/>
        <n v="3.5029"/>
        <n v="1.1688"/>
        <n v="0.2919"/>
        <n v="0.009"/>
        <n v="1.4631"/>
        <n v="1.7706"/>
        <n v="0.1939"/>
        <n v="0.159"/>
        <n v="0.0728"/>
        <n v="1.5805"/>
        <n v="19.9028"/>
        <n v="11.3659"/>
        <n v="0.2251"/>
        <n v="10.8914"/>
        <n v="1.2478"/>
        <n v="0.3557"/>
        <n v="0.0112"/>
        <n v="0.6971"/>
        <n v="0.2797"/>
        <n v="0.4763"/>
        <n v="0.2064"/>
        <n v="4.8318"/>
        <n v="17.3364"/>
        <n v="0.8422"/>
        <n v="0.2128"/>
        <n v="0.0827"/>
        <n v="4.0274"/>
        <n v="0.1977"/>
        <n v="1.6584"/>
        <n v="0.6737"/>
        <n v="0.8061"/>
        <n v="0.9208"/>
        <n v="0.1689"/>
        <n v="0.3189"/>
        <n v="0.4731"/>
        <n v="0.2486"/>
        <n v="0.2575"/>
        <n v="10.7144"/>
        <n v="37.707"/>
        <n v="3.5321"/>
        <n v="0.3106"/>
        <n v="11.8122"/>
        <n v="0.5724"/>
        <n v="4.2631"/>
        <n v="2.8679"/>
        <n v="0.0131"/>
        <n v="0.8355"/>
        <n v="0.9833"/>
        <n v="2.5361"/>
        <n v="0.1754"/>
        <n v="0.2237"/>
        <n v="0.0049"/>
        <n v="0.4494"/>
        <n v="0.1017"/>
        <n v="0.0553"/>
        <n v="1.6698"/>
        <n v="13.3033"/>
        <n v="12.1544"/>
        <n v="16.2127"/>
        <n v="1.0021"/>
        <n v="0.4205"/>
        <n v="0.0157"/>
        <n v="0.9608"/>
        <n v="0.5466"/>
        <n v="0.2502"/>
        <n v="0.1787"/>
        <n v="0.2833"/>
        <n v="0.2119"/>
        <n v="4.5455"/>
        <n v="20.9554"/>
        <n v="0.8954"/>
        <n v="0.0972"/>
        <n v="4.1177"/>
        <n v="0.2715"/>
        <n v="2.3858"/>
        <n v="0.6837"/>
        <n v="0.1557"/>
        <n v="0.4395"/>
        <n v="0.3801"/>
        <n v="0.2166"/>
        <n v="0.2793"/>
        <n v="8.4189"/>
        <n v="54.0723"/>
        <n v="4.4704"/>
        <n v="0.2012"/>
        <n v="16.2843"/>
        <n v="0.7386"/>
        <n v="8.6118"/>
        <n v="3.2099"/>
        <n v="0.9447"/>
        <n v="0.9398"/>
        <n v="2.2287"/>
        <n v="0.1964"/>
        <n v="0.1843"/>
        <n v="0.021"/>
        <n v="1.3597"/>
        <n v="0.4133"/>
        <n v="1.6988"/>
        <n v="10.7176"/>
        <n v="13.0236"/>
        <n v="0.0932"/>
        <n v="11.2308"/>
        <n v="0.944"/>
        <n v="0.5976"/>
        <n v="0.0107"/>
        <n v="0.8689"/>
        <n v="0.5997"/>
        <n v="0.7254"/>
        <n v="0.4078"/>
        <n v="0.34"/>
        <n v="0.1567"/>
        <n v="3.6894"/>
        <n v="20.3505"/>
        <n v="1.3064"/>
        <n v="0.1296"/>
        <n v="3.8904"/>
        <n v="0.2721"/>
        <n v="2.4318"/>
        <n v="0.3454"/>
        <n v="0.6684"/>
        <n v="0.2728"/>
        <n v="0.4371"/>
        <n v="0.0727"/>
        <n v="0.1921"/>
        <n v="0.165"/>
        <n v="9.2251"/>
        <n v="47.7732"/>
        <n v="4.363"/>
        <n v="0.3244"/>
        <n v="14.1701"/>
        <n v="0.7303"/>
        <n v="4.8872"/>
        <n v="4.3159"/>
        <n v="0.0069"/>
        <n v="0.7876"/>
        <n v="1.0039"/>
        <n v="0.1978"/>
        <n v="0.0188"/>
        <n v="1.9622"/>
        <n v="1.1919"/>
        <n v="0.0592"/>
        <n v="0.1187"/>
        <n v="0.0518"/>
        <n v="15.587"/>
        <n v="0.9392"/>
        <n v="12.8973"/>
        <n v="10.0455"/>
        <n v="1.5034"/>
        <n v="0.5214"/>
        <n v="0.8753"/>
        <n v="0.341"/>
        <n v="0.2972"/>
        <n v="0.2858"/>
        <n v="0.3686"/>
        <n v="0.0918"/>
        <n v="2.8586"/>
        <n v="18.869"/>
        <n v="3.0511"/>
        <n v="0.1406"/>
        <n v="4.4013"/>
        <n v="0.2035"/>
        <n v="5.0643"/>
        <n v="0.6853"/>
        <n v="0.6651"/>
        <n v="0.3354"/>
        <n v="0.2511"/>
        <n v="0.1502"/>
        <n v="0.4295"/>
        <n v="0.1945"/>
        <n v="7.052"/>
        <n v="35.4944"/>
        <n v="10.1936"/>
        <n v="0.2171"/>
        <n v="12.4106"/>
        <n v="0.642"/>
        <n v="9.4241"/>
        <n v="4.1326"/>
        <n v="1.2192"/>
        <n v="0.7013"/>
        <n v="0.2225"/>
        <n v="0.005"/>
        <n v="0.019"/>
        <n v="0.3924"/>
        <n v="0.0432"/>
        <n v="1.7024"/>
        <n v="22.771"/>
        <n v="17.4737"/>
        <n v="0.0359"/>
        <n v="13.2122"/>
        <n v="1.1537"/>
        <n v="0.4309"/>
        <n v="0.0102"/>
        <n v="0.8397"/>
        <n v="0.3838"/>
        <n v="0.2634"/>
        <n v="0.3408"/>
        <n v="0.1046"/>
        <n v="0.1891"/>
        <n v="2.9553"/>
        <n v="18.5955"/>
        <n v="4.3691"/>
        <n v="0.1358"/>
        <n v="4.969"/>
        <n v="0.2205"/>
        <n v="3.7405"/>
        <n v="0.6444"/>
        <n v="0.8404"/>
        <n v="0.3026"/>
        <n v="0.3335"/>
        <n v="0.356"/>
        <n v="0.4646"/>
        <n v="0.2266"/>
        <n v="0.0743"/>
        <n v="8.7792"/>
        <n v="68.435"/>
        <n v="11.8374"/>
        <n v="0.0187"/>
        <n v="0.2436"/>
        <n v="20.5402"/>
        <n v="0.7149"/>
        <n v="5.8029"/>
        <n v="5.1024"/>
        <n v="0.0056"/>
        <n v="1.1779"/>
        <n v="1.0449"/>
        <n v="0.0052"/>
        <n v="0.0261"/>
        <n v="1.6425"/>
        <n v="0.0513"/>
        <n v="0.4511"/>
        <n v="0.0389"/>
        <n v="0.1722"/>
        <n v="0.032"/>
        <n v="21.1356"/>
        <n v="1.2735"/>
        <n v="17.3713"/>
        <n v="13.7086"/>
        <n v="0.7725"/>
        <n v="0.4077"/>
        <n v="0.713"/>
        <n v="0.4161"/>
        <n v="0.3724"/>
        <n v="0.1442"/>
        <n v="0.2075"/>
        <n v="0.3389"/>
        <n v="3.2142"/>
        <n v="11.7249"/>
        <n v="3.94"/>
        <n v="0.1451"/>
        <n v="6.6926"/>
        <n v="3.76"/>
        <n v="0.9488"/>
        <n v="0.4465"/>
        <n v="0.2433"/>
        <n v="0.1736"/>
        <n v="0.4872"/>
        <n v="0.2666"/>
        <n v="0.5587"/>
        <n v="6.9144"/>
        <n v="38.3445"/>
        <n v="12.3856"/>
        <n v="0.2675"/>
        <n v="26.7505"/>
        <n v="0.7373"/>
        <n v="7.6349"/>
        <n v="5.6047"/>
        <n v="1.0467"/>
        <n v="0.2431"/>
        <n v="0.0273"/>
        <n v="1.0931"/>
        <n v="0.0416"/>
        <n v="0.1746"/>
        <n v="0.8664"/>
        <n v="16.6831"/>
        <n v="1.2135"/>
        <n v="9.2393"/>
        <n v="15.0265"/>
        <n v="0.433"/>
        <n v="0.5885"/>
        <n v="0.0092"/>
        <n v="0.8693"/>
        <n v="0.3886"/>
        <n v="0.1163"/>
        <n v="2.9453"/>
        <n v="14.678"/>
        <n v="4.336"/>
        <n v="0.1119"/>
        <n v="5.2404"/>
        <n v="0.3029"/>
        <n v="3.5236"/>
        <n v="1.7255"/>
        <n v="0.8324"/>
        <n v="0.3449"/>
        <n v="0.1824"/>
        <n v="0.2454"/>
        <n v="0.0778"/>
        <n v="5.7828"/>
        <n v="43.5916"/>
        <n v="10.9131"/>
        <n v="20.3016"/>
        <n v="0.9045"/>
        <n v="8.9037"/>
        <n v="4.8472"/>
        <n v="0.0046"/>
        <n v="1.4754"/>
        <n v="0.0045"/>
        <n v="0.0287"/>
        <n v="0.969"/>
        <n v="2.5692"/>
        <n v="0.4488"/>
        <n v="0.0418"/>
        <n v="0.1454"/>
        <n v="2.0107"/>
        <n v="1.2358"/>
        <n v="3.4417"/>
        <n v="1.9584"/>
        <n v="0.9324"/>
        <n v="2.4246"/>
        <n v="3.2486"/>
        <n v="0.7989"/>
        <n v="3.7056"/>
        <n v="1.4761"/>
        <n v="0.8519"/>
        <n v="5.6012"/>
        <n v="1.3675"/>
        <n v="1.151"/>
        <n v="2.8758"/>
        <n v="1.1496"/>
        <n v="1.1605"/>
        <n v="2.7029"/>
        <n v="1.1262"/>
        <n v="0.7414"/>
        <n v="2.3686"/>
        <n v="0.9989"/>
        <n v="0.7519"/>
        <n v="1.9682"/>
        <n v="0.5601"/>
        <n v="0.3917"/>
        <n v="1.5157"/>
        <n v="0.1161"/>
        <n v="0.2852"/>
        <n v="1.0252"/>
        <n v="0.1054"/>
        <n v="0.2348"/>
        <n v="0.8473"/>
        <n v="0.035"/>
        <n v="0.42"/>
        <n v="0.5018"/>
      </sharedItems>
    </cacheField>
    <cacheField name="Number of stores" numFmtId="0">
      <sharedItems containsSemiMixedTypes="0" containsString="0" containsNumber="1" containsInteger="1">
        <n v="477.0"/>
        <n v="754.0"/>
        <n v="629.0"/>
        <n v="29.0"/>
        <n v="663.0"/>
        <n v="547.0"/>
        <n v="325.0"/>
        <n v="96.0"/>
        <n v="95.0"/>
        <n v="191.0"/>
        <n v="4.0"/>
        <n v="78.0"/>
        <n v="0.0"/>
        <n v="7561.0"/>
        <n v="1.0"/>
        <n v="8754.0"/>
        <n v="1426.0"/>
        <n v="277.0"/>
        <n v="5948.0"/>
        <n v="1776.0"/>
        <n v="1627.0"/>
        <n v="514.0"/>
        <n v="355.0"/>
        <n v="298.0"/>
        <n v="71.0"/>
        <n v="2.0"/>
        <n v="49.0"/>
        <n v="613.0"/>
        <n v="10568.0"/>
        <n v="8553.0"/>
        <n v="2638.0"/>
        <n v="53.0"/>
        <n v="5157.0"/>
        <n v="6724.0"/>
        <n v="3312.0"/>
        <n v="1018.0"/>
        <n v="709.0"/>
        <n v="10.0"/>
        <n v="223.0"/>
        <n v="100.0"/>
        <n v="7.0"/>
        <n v="50.0"/>
        <n v="179.0"/>
        <n v="63.0"/>
        <n v="67.0"/>
        <n v="479.0"/>
        <n v="771.0"/>
        <n v="648.0"/>
        <n v="23.0"/>
        <n v="668.0"/>
        <n v="525.0"/>
        <n v="319.0"/>
        <n v="89.0"/>
        <n v="93.0"/>
        <n v="168.0"/>
        <n v="108.0"/>
        <n v="70.0"/>
        <n v="8031.0"/>
        <n v="16.0"/>
        <n v="9400.0"/>
        <n v="1291.0"/>
        <n v="279.0"/>
        <n v="5524.0"/>
        <n v="1919.0"/>
        <n v="1549.0"/>
        <n v="518.0"/>
        <n v="253.0"/>
        <n v="51.0"/>
        <n v="84.0"/>
        <n v="233.0"/>
        <n v="282.0"/>
        <n v="9957.0"/>
        <n v="8768.0"/>
        <n v="2630.0"/>
        <n v="3891.0"/>
        <n v="6043.0"/>
        <n v="2546.0"/>
        <n v="1093.0"/>
        <n v="919.0"/>
        <n v="13.0"/>
        <n v="238.0"/>
        <n v="8.0"/>
        <n v="40.0"/>
        <n v="150.0"/>
        <n v="480.0"/>
        <n v="776.0"/>
        <n v="664.0"/>
        <n v="503.0"/>
        <n v="301.0"/>
        <n v="128.0"/>
        <n v="114.0"/>
        <n v="7797.0"/>
        <n v="3.0"/>
        <n v="8564.0"/>
        <n v="1297.0"/>
        <n v="283.0"/>
        <n v="1612.0"/>
        <n v="3521.0"/>
        <n v="1440.0"/>
        <n v="434.0"/>
        <n v="976.0"/>
        <n v="72.0"/>
        <n v="239.0"/>
        <n v="292.0"/>
        <n v="10268.0"/>
        <n v="8169.0"/>
        <n v="2632.0"/>
        <n v="65.0"/>
        <n v="2764.0"/>
        <n v="1801.0"/>
        <n v="1471.0"/>
        <n v="3778.0"/>
        <n v="869.0"/>
        <n v="2485.0"/>
        <n v="111.0"/>
        <n v="6.0"/>
        <n v="47.0"/>
        <n v="21.0"/>
        <n v="257.0"/>
        <n v="158.0"/>
        <n v="478.0"/>
        <n v="786.0"/>
        <n v="671.0"/>
        <n v="482.0"/>
        <n v="302.0"/>
        <n v="94.0"/>
        <n v="115.0"/>
        <n v="119.0"/>
        <n v="113.0"/>
        <n v="105.0"/>
        <n v="8093.0"/>
        <n v="8792.0"/>
        <n v="1462.0"/>
        <n v="323.0"/>
        <n v="1496.0"/>
        <n v="2626.0"/>
        <n v="1774.0"/>
        <n v="580.0"/>
        <n v="996.0"/>
        <n v="406.0"/>
        <n v="243.0"/>
        <n v="104.0"/>
        <n v="307.0"/>
        <n v="11160.0"/>
        <n v="8304.0"/>
        <n v="2421.0"/>
        <n v="2316.0"/>
        <n v="2651.0"/>
        <n v="1399.0"/>
        <n v="1473.0"/>
        <n v="743.0"/>
        <n v="2566.0"/>
        <n v="54.0"/>
        <n v="28.0"/>
        <n v="262.0"/>
        <n v="572.0"/>
        <n v="778.0"/>
        <n v="640.0"/>
        <n v="22.0"/>
        <n v="633.0"/>
        <n v="285.0"/>
        <n v="138.0"/>
        <n v="46.0"/>
        <n v="7742.0"/>
        <n v="8213.0"/>
        <n v="1256.0"/>
        <n v="337.0"/>
        <n v="1342.0"/>
        <n v="2350.0"/>
        <n v="1569.0"/>
        <n v="330.0"/>
        <n v="327.0"/>
        <n v="780.0"/>
        <n v="245.0"/>
        <n v="334.0"/>
        <n v="188.0"/>
        <n v="11236.0"/>
        <n v="7935.0"/>
        <n v="2129.0"/>
        <n v="34.0"/>
        <n v="2262.0"/>
        <n v="1621.0"/>
        <n v="1225.0"/>
        <n v="2207.0"/>
        <n v="827.0"/>
        <n v="106.0"/>
        <n v="5.0"/>
        <n v="48.0"/>
        <n v="14.0"/>
        <n v="202.0"/>
        <n v="1966.0"/>
        <n v="598.0"/>
        <n v="719.0"/>
        <n v="620.0"/>
        <n v="490.0"/>
        <n v="222.0"/>
        <n v="98.0"/>
        <n v="164.0"/>
        <n v="117.0"/>
        <n v="82.0"/>
        <n v="7767.0"/>
        <n v="8911.0"/>
        <n v="1480.0"/>
        <n v="308.0"/>
        <n v="1295.0"/>
        <n v="2074.0"/>
        <n v="1783.0"/>
        <n v="235.0"/>
        <n v="320.0"/>
        <n v="367.0"/>
        <n v="608.0"/>
        <n v="338.0"/>
        <n v="701.0"/>
        <n v="121.0"/>
        <n v="10036.0"/>
        <n v="8203.0"/>
        <n v="1810.0"/>
        <n v="2246.0"/>
        <n v="2090.0"/>
        <n v="630.0"/>
        <n v="1587.0"/>
        <n v="1088.0"/>
        <n v="97.0"/>
        <n v="43.0"/>
        <n v="220.0"/>
        <n v="1456.0"/>
        <n v="714.0"/>
        <n v="578.0"/>
        <n v="575.0"/>
        <n v="475.0"/>
        <n v="166.0"/>
        <n v="151.0"/>
        <n v="172.0"/>
        <n v="183.0"/>
        <n v="57.0"/>
        <n v="8349.0"/>
        <n v="8630.0"/>
        <n v="1457.0"/>
        <n v="1343.0"/>
        <n v="1973.0"/>
        <n v="1216.0"/>
        <n v="484.0"/>
        <n v="394.0"/>
        <n v="422.0"/>
        <n v="400.0"/>
        <n v="11371.0"/>
        <n v="2354.0"/>
        <n v="2063.0"/>
        <n v="1689.0"/>
        <n v="1130.0"/>
        <n v="718.0"/>
        <n v="201.0"/>
        <n v="529.0"/>
        <n v="697.0"/>
        <n v="506.0"/>
        <n v="461.0"/>
        <n v="153.0"/>
        <n v="187.0"/>
        <n v="116.0"/>
        <n v="79.0"/>
        <n v="8388.0"/>
        <n v="9467.0"/>
        <n v="1318.0"/>
        <n v="1323.0"/>
        <n v="2058.0"/>
        <n v="1415.0"/>
        <n v="250.0"/>
        <n v="409.0"/>
        <n v="256.0"/>
        <n v="397.0"/>
        <n v="11510.0"/>
        <n v="7827.0"/>
        <n v="1230.0"/>
        <n v="2016.0"/>
        <n v="1997.0"/>
        <n v="1584.0"/>
        <n v="872.0"/>
        <n v="91.0"/>
        <n v="41.0"/>
        <n v="190.0"/>
        <n v="532.0"/>
        <n v="710.0"/>
        <n v="508.0"/>
        <n v="646.0"/>
        <n v="454.0"/>
        <n v="162.0"/>
        <n v="174.0"/>
        <n v="181.0"/>
        <n v="7789.0"/>
        <n v="9323.0"/>
        <n v="1288.0"/>
        <n v="305.0"/>
        <n v="1363.0"/>
        <n v="1787.0"/>
        <n v="1360.0"/>
        <n v="259.0"/>
        <n v="234.0"/>
        <n v="73.0"/>
        <n v="74.0"/>
        <n v="830.0"/>
        <n v="11267.0"/>
        <n v="11891.0"/>
        <n v="1076.0"/>
        <n v="2225.0"/>
        <n v="2081.0"/>
        <n v="1505.0"/>
        <n v="847.0"/>
        <n v="574.0"/>
        <n v="86.0"/>
        <n v="170.0"/>
        <n v="536.0"/>
        <n v="513.0"/>
        <n v="649.0"/>
        <n v="469.0"/>
        <n v="273.0"/>
        <n v="171.0"/>
        <n v="167.0"/>
        <n v="101.0"/>
        <n v="209.0"/>
        <n v="118.0"/>
        <n v="9001.0"/>
        <n v="9709.0"/>
        <n v="1303.0"/>
        <n v="252.0"/>
        <n v="1419.0"/>
        <n v="1872.0"/>
        <n v="1454.0"/>
        <n v="275.0"/>
        <n v="249.0"/>
        <n v="177.0"/>
        <n v="270.0"/>
        <n v="11485.0"/>
        <n v="14382.0"/>
        <n v="1165.0"/>
        <n v="52.0"/>
        <n v="1918.0"/>
        <n v="1585.0"/>
        <n v="1206.0"/>
        <n v="584.0"/>
        <n v="539.0"/>
        <n v="794.0"/>
        <n v="551.0"/>
        <n v="645.0"/>
        <n v="476.0"/>
        <n v="314.0"/>
        <n v="175.0"/>
        <n v="103.0"/>
        <n v="160.0"/>
        <n v="123.0"/>
        <n v="194.0"/>
        <n v="61.0"/>
        <n v="8353.0"/>
        <n v="9988.0"/>
        <n v="1070.0"/>
        <n v="1860.0"/>
        <n v="1520.0"/>
        <n v="362.0"/>
        <n v="195.0"/>
        <n v="272.0"/>
        <n v="10435.0"/>
        <n v="15696.0"/>
        <n v="1071.0"/>
        <n v="2071.0"/>
        <n v="1914.0"/>
        <n v="99.0"/>
        <n v="432.0"/>
        <n v="80.0"/>
        <n v="543.0"/>
        <n v="795.0"/>
        <n v="568.0"/>
        <n v="658.0"/>
        <n v="466.0"/>
        <n v="341.0"/>
        <n v="225.0"/>
        <n v="133.0"/>
        <n v="60.0"/>
        <n v="8742.0"/>
        <n v="8900.0"/>
        <n v="178.0"/>
        <n v="939.0"/>
        <n v="1595.0"/>
        <n v="1181.0"/>
        <n v="439.0"/>
        <n v="460.0"/>
        <n v="212.0"/>
        <n v="11727.0"/>
        <n v="15236.0"/>
        <n v="1006.0"/>
        <n v="45.0"/>
        <n v="1907.0"/>
        <n v="2078.0"/>
        <n v="1031.0"/>
        <n v="9.0"/>
        <n v="2067.0"/>
        <n v="107.0"/>
        <n v="56.0"/>
        <n v="511.0"/>
        <n v="81.0"/>
        <n v="87.0"/>
        <n v="124.0"/>
        <n v="271.0"/>
        <n v="1713.0"/>
        <n v="1607.0"/>
        <n v="468.0"/>
        <n v="1889.0"/>
        <n v="2079.0"/>
        <n v="545.0"/>
        <n v="798.0"/>
        <n v="569.0"/>
        <n v="366.0"/>
        <n v="281.0"/>
        <n v="102.0"/>
        <n v="122.0"/>
        <n v="88.0"/>
        <n v="11.0"/>
        <n v="8174.0"/>
        <n v="8539.0"/>
        <n v="791.0"/>
        <n v="704.0"/>
        <n v="1738.0"/>
        <n v="1602.0"/>
        <n v="498.0"/>
        <n v="254.0"/>
        <n v="390.0"/>
        <n v="280.0"/>
        <n v="11628.0"/>
        <n v="15787.0"/>
        <n v="796.0"/>
        <n v="1820.0"/>
        <n v="2184.0"/>
        <n v="842.0"/>
        <n v="1879.0"/>
        <n v="289.0"/>
        <n v="75.0"/>
        <n v="558.0"/>
        <n v="810.0"/>
        <n v="587.0"/>
        <n v="237.0"/>
        <n v="343.0"/>
        <n v="208.0"/>
        <n v="77.0"/>
        <n v="165.0"/>
        <n v="62.0"/>
        <n v="8226.0"/>
        <n v="8143.0"/>
        <n v="777.0"/>
        <n v="941.0"/>
        <n v="1592.0"/>
        <n v="1955.0"/>
        <n v="507.0"/>
        <n v="213.0"/>
        <n v="206.0"/>
        <n v="11647.0"/>
        <n v="15152.0"/>
        <n v="30.0"/>
        <n v="12.0"/>
        <n v="1675.0"/>
        <n v="2062.0"/>
        <n v="800.0"/>
        <n v="2043.0"/>
        <n v="266.0"/>
        <n v="565.0"/>
        <n v="236.0"/>
        <n v="310.0"/>
        <n v="148.0"/>
        <n v="7304.0"/>
        <n v="8857.0"/>
        <n v="203.0"/>
        <n v="874.0"/>
        <n v="1817.0"/>
        <n v="2390.0"/>
        <n v="446.0"/>
        <n v="232.0"/>
        <n v="221.0"/>
        <n v="11876.0"/>
        <n v="15756.0"/>
        <n v="762.0"/>
        <n v="1692.0"/>
        <n v="1981.0"/>
        <n v="707.0"/>
        <n v="1904.0"/>
        <n v="353.0"/>
        <n v="570.0"/>
        <n v="628.0"/>
        <n v="260.0"/>
        <n v="131.0"/>
        <n v="154.0"/>
        <n v="6542.0"/>
        <n v="9222.0"/>
        <n v="625.0"/>
        <n v="846.0"/>
        <n v="1853.0"/>
        <n v="1868.0"/>
        <n v="3105.0"/>
        <n v="1065.0"/>
        <n v="10675.0"/>
        <n v="15822.0"/>
        <n v="644.0"/>
        <n v="1975.0"/>
        <n v="421.0"/>
        <n v="1777.0"/>
        <n v="3919.0"/>
        <n v="788.0"/>
        <n v="573.0"/>
        <n v="229.0"/>
        <n v="205.0"/>
        <n v="85.0"/>
        <n v="207.0"/>
        <n v="7285.0"/>
        <n v="8658.0"/>
        <n v="566.0"/>
        <n v="173.0"/>
        <n v="904.0"/>
        <n v="1552.0"/>
        <n v="2250.0"/>
        <n v="2725.0"/>
        <n v="1325.0"/>
        <n v="386.0"/>
        <n v="3510.0"/>
        <n v="11852.0"/>
        <n v="15176.0"/>
        <n v="585.0"/>
        <n v="1844.0"/>
        <n v="7585.0"/>
        <n v="1670.0"/>
        <n v="4261.0"/>
        <n v="247.0"/>
        <n v="1403.0"/>
        <n v="3969.0"/>
        <n v="44.0"/>
        <n v="287.0"/>
        <n v="553.0"/>
        <n v="787.0"/>
        <n v="591.0"/>
        <n v="654.0"/>
        <n v="15.0"/>
        <n v="149.0"/>
        <n v="68.0"/>
        <n v="18.0"/>
        <n v="6761.0"/>
        <n v="7647.0"/>
        <n v="504.0"/>
        <n v="163.0"/>
        <n v="803.0"/>
        <n v="2335.0"/>
        <n v="2479.0"/>
        <n v="1387.0"/>
        <n v="3345.0"/>
        <n v="1483.0"/>
        <n v="3378.0"/>
        <n v="265.0"/>
        <n v="12120.0"/>
        <n v="13797.0"/>
        <n v="641.0"/>
        <n v="1767.0"/>
        <n v="7311.0"/>
        <n v="4054.0"/>
        <n v="1676.0"/>
        <n v="5559.0"/>
        <n v="356.0"/>
        <n v="1133.0"/>
        <n v="4110.0"/>
        <n v="176.0"/>
        <n v="782.0"/>
        <n v="676.0"/>
        <n v="19.0"/>
        <n v="369.0"/>
        <n v="83.0"/>
        <n v="66.0"/>
        <n v="37.0"/>
        <n v="109.0"/>
        <n v="7112.0"/>
        <n v="9029.0"/>
        <n v="914.0"/>
        <n v="1785.0"/>
        <n v="3381.0"/>
        <n v="1374.0"/>
        <n v="3268.0"/>
        <n v="4822.0"/>
        <n v="1115.0"/>
        <n v="352.0"/>
        <n v="549.0"/>
        <n v="210.0"/>
        <n v="12289.0"/>
        <n v="15057.0"/>
        <n v="693.0"/>
        <n v="2278.0"/>
        <n v="5403.0"/>
        <n v="5075.0"/>
        <n v="1629.0"/>
        <n v="5302.0"/>
        <n v="4586.0"/>
        <n v="1404.0"/>
        <n v="524.0"/>
        <n v="679.0"/>
        <n v="737.0"/>
        <n v="127.0"/>
        <n v="33.0"/>
        <n v="32.0"/>
        <n v="6264.0"/>
        <n v="9804.0"/>
        <n v="494.0"/>
        <n v="1760.0"/>
        <n v="3253.0"/>
        <n v="1386.0"/>
        <n v="2704.0"/>
        <n v="3735.0"/>
        <n v="1140.0"/>
        <n v="410.0"/>
        <n v="255.0"/>
        <n v="10517.0"/>
        <n v="17047.0"/>
        <n v="688.0"/>
        <n v="226.0"/>
        <n v="3561.0"/>
        <n v="5067.0"/>
        <n v="4648.0"/>
        <n v="1873.0"/>
        <n v="4277.0"/>
        <n v="3911.0"/>
        <n v="1025.0"/>
        <n v="793.0"/>
        <n v="672.0"/>
        <n v="702.0"/>
        <n v="20.0"/>
        <n v="36.0"/>
        <n v="5795.0"/>
        <n v="9782.0"/>
        <n v="1442.0"/>
        <n v="1468.0"/>
        <n v="2666.0"/>
        <n v="2241.0"/>
        <n v="2551.0"/>
        <n v="1723.0"/>
        <n v="899.0"/>
        <n v="10947.0"/>
        <n v="17799.0"/>
        <n v="3877.0"/>
        <n v="2108.0"/>
        <n v="4266.0"/>
        <n v="3606.0"/>
        <n v="3594.0"/>
        <n v="130.0"/>
        <n v="2679.0"/>
        <n v="2847.0"/>
        <n v="789.0"/>
        <n v="652.0"/>
        <n v="721.0"/>
        <n v="196.0"/>
        <n v="6076.0"/>
        <n v="10542.0"/>
        <n v="540.0"/>
        <n v="31.0"/>
        <n v="1257.0"/>
        <n v="3555.0"/>
        <n v="1348.0"/>
        <n v="1028.0"/>
        <n v="1367.0"/>
        <n v="686.0"/>
        <n v="739.0"/>
        <n v="193.0"/>
        <n v="1514.0"/>
        <n v="1215.0"/>
        <n v="11784.0"/>
        <n v="17949.0"/>
        <n v="680.0"/>
        <n v="4222.0"/>
        <n v="5351.0"/>
        <n v="268.0"/>
        <n v="1877.0"/>
        <n v="2973.0"/>
        <n v="1927.0"/>
        <n v="2408.0"/>
        <n v="1641.0"/>
        <n v="445.0"/>
        <n v="670.0"/>
        <n v="766.0"/>
        <n v="186.0"/>
        <n v="64.0"/>
        <n v="5924.0"/>
        <n v="10158.0"/>
        <n v="1619.0"/>
        <n v="3204.0"/>
        <n v="1420.0"/>
        <n v="1002.0"/>
        <n v="1671.0"/>
        <n v="673.0"/>
        <n v="660.0"/>
        <n v="1077.0"/>
        <n v="11309.0"/>
        <n v="17986.0"/>
        <n v="4650.0"/>
        <n v="299.0"/>
        <n v="1922.0"/>
        <n v="4821.0"/>
        <n v="2321.0"/>
        <n v="1202.0"/>
        <n v="39.0"/>
        <n v="2984.0"/>
        <n v="666.0"/>
        <n v="35.0"/>
        <n v="5837.0"/>
        <n v="10270.0"/>
        <n v="606.0"/>
        <n v="1638.0"/>
        <n v="3027.0"/>
        <n v="1359.0"/>
        <n v="785.0"/>
        <n v="408.0"/>
        <n v="1542.0"/>
        <n v="623.0"/>
        <n v="134.0"/>
        <n v="429.0"/>
        <n v="956.0"/>
        <n v="12028.0"/>
        <n v="17750.0"/>
        <n v="278.0"/>
        <n v="4678.0"/>
        <n v="312.0"/>
        <n v="1769.0"/>
        <n v="4837.0"/>
        <n v="1857.0"/>
        <n v="483.0"/>
        <n v="2940.0"/>
        <n v="1755.0"/>
        <n v="2038.0"/>
        <n v="1941.0"/>
        <n v="1923.0"/>
        <n v="1735.0"/>
        <n v="1862.0"/>
        <n v="1389.0"/>
        <n v="1647.0"/>
        <n v="1521.0"/>
        <n v="1773.0"/>
        <n v="588.0"/>
        <n v="1986.0"/>
        <n v="3011.0"/>
        <n v="689.0"/>
        <n v="2136.0"/>
        <n v="3823.0"/>
        <n v="2197.0"/>
        <n v="4198.0"/>
        <n v="563.0"/>
        <n v="2540.0"/>
        <n v="3746.0"/>
        <n v="1703.0"/>
        <n v="2625.0"/>
        <n v="1710.0"/>
        <n v="2387.0"/>
        <n v="428.0"/>
        <n v="1053.0"/>
        <n v="2407.0"/>
        <n v="758.0"/>
        <n v="728.0"/>
        <n v="155.0"/>
        <n v="110.0"/>
        <n v="9100.0"/>
        <n v="9322.0"/>
        <n v="24.0"/>
        <n v="1351.0"/>
        <n v="2897.0"/>
        <n v="435.0"/>
        <n v="769.0"/>
        <n v="921.0"/>
        <n v="17167.0"/>
        <n v="17397.0"/>
        <n v="729.0"/>
        <n v="286.0"/>
        <n v="4241.0"/>
        <n v="309.0"/>
        <n v="1751.0"/>
        <n v="4284.0"/>
        <n v="1598.0"/>
        <n v="112.0"/>
        <n v="2426.0"/>
        <n v="533.0"/>
        <n v="744.0"/>
        <n v="694.0"/>
        <n v="251.0"/>
        <n v="9842.0"/>
        <n v="8884.0"/>
        <n v="698.0"/>
        <n v="1087.0"/>
        <n v="1340.0"/>
        <n v="2437.0"/>
        <n v="960.0"/>
        <n v="180.0"/>
        <n v="1290.0"/>
        <n v="463.0"/>
        <n v="359.0"/>
        <n v="18131.0"/>
        <n v="16535.0"/>
        <n v="690.0"/>
        <n v="276.0"/>
        <n v="3996.0"/>
        <n v="321.0"/>
        <n v="1739.0"/>
        <n v="3804.0"/>
        <n v="411.0"/>
        <n v="42.0"/>
        <n v="145.0"/>
        <n v="2653.0"/>
        <n v="618.0"/>
        <n v="92.0"/>
        <n v="675.0"/>
        <n v="169.0"/>
        <n v="291.0"/>
        <n v="9221.0"/>
        <n v="2934.0"/>
        <n v="136.0"/>
        <n v="1371.0"/>
        <n v="2432.0"/>
        <n v="868.0"/>
        <n v="147.0"/>
        <n v="385.0"/>
        <n v="1604.0"/>
        <n v="642.0"/>
        <n v="16513.0"/>
        <n v="17796.0"/>
        <n v="918.0"/>
        <n v="5015.0"/>
        <n v="335.0"/>
        <n v="1770.0"/>
        <n v="470.0"/>
        <n v="3545.0"/>
        <n v="3564.0"/>
        <n v="3499.0"/>
        <n v="135.0"/>
        <n v="442.0"/>
        <n v="538.0"/>
        <n v="140.0"/>
        <n v="125.0"/>
        <n v="7512.0"/>
        <n v="8855.0"/>
        <n v="472.0"/>
        <n v="2396.0"/>
        <n v="1409.0"/>
        <n v="883.0"/>
        <n v="388.0"/>
        <n v="814.0"/>
        <n v="1026.0"/>
        <n v="13935.0"/>
        <n v="17610.0"/>
        <n v="971.0"/>
        <n v="230.0"/>
        <n v="4466.0"/>
        <n v="426.0"/>
        <n v="3276.0"/>
        <n v="2641.0"/>
        <n v="423.0"/>
        <n v="677.0"/>
        <n v="554.0"/>
        <n v="159.0"/>
        <n v="132.0"/>
        <n v="6985.0"/>
        <n v="8839.0"/>
        <n v="438.0"/>
        <n v="1380.0"/>
        <n v="870.0"/>
        <n v="1441.0"/>
        <n v="345.0"/>
        <n v="915.0"/>
        <n v="144.0"/>
        <n v="1203.0"/>
        <n v="336.0"/>
        <n v="12256.0"/>
        <n v="18024.0"/>
        <n v="891.0"/>
        <n v="293.0"/>
        <n v="4051.0"/>
        <n v="1669.0"/>
        <n v="447.0"/>
        <n v="3211.0"/>
        <n v="2563.0"/>
        <n v="1506.0"/>
        <n v="403.0"/>
        <n v="681.0"/>
        <n v="636.0"/>
        <n v="189.0"/>
        <n v="156.0"/>
        <n v="129.0"/>
        <n v="5156.0"/>
        <n v="9047.0"/>
        <n v="405.0"/>
        <n v="1724.0"/>
        <n v="1378.0"/>
        <n v="1548.0"/>
        <n v="735.0"/>
        <n v="139.0"/>
        <n v="548.0"/>
        <n v="9488.0"/>
        <n v="17303.0"/>
        <n v="824.0"/>
        <n v="4155.0"/>
        <n v="1694.0"/>
        <n v="2990.0"/>
        <n v="2267.0"/>
        <n v="431.0"/>
        <n v="627.0"/>
        <n v="157.0"/>
        <n v="146.0"/>
        <n v="4711.0"/>
        <n v="9650.0"/>
        <n v="1693.0"/>
        <n v="1430.0"/>
        <n v="1365.0"/>
        <n v="7904.0"/>
        <n v="18868.0"/>
        <n v="724.0"/>
        <n v="224.0"/>
        <n v="3981.0"/>
        <n v="357.0"/>
        <n v="1727.0"/>
        <n v="3168.0"/>
        <n v="2169.0"/>
        <n v="1453.0"/>
        <n v="3957.0"/>
        <n v="9622.0"/>
        <n v="873.0"/>
        <n v="1743.0"/>
        <n v="200.0"/>
        <n v="1405.0"/>
        <n v="1354.0"/>
        <n v="856.0"/>
        <n v="424.0"/>
        <n v="7021.0"/>
        <n v="19290.0"/>
        <n v="2403.0"/>
        <n v="3846.0"/>
        <n v="350.0"/>
        <n v="1795.0"/>
        <n v="3741.0"/>
        <n v="413.0"/>
        <n v="2265.0"/>
        <n v="1758.0"/>
        <n v="120.0"/>
        <n v="622.0"/>
        <n v="561.0"/>
        <n v="459.0"/>
        <n v="3207.0"/>
        <n v="8071.0"/>
        <n v="1798.0"/>
        <n v="1396.0"/>
        <n v="984.0"/>
        <n v="825.0"/>
        <n v="322.0"/>
        <n v="487.0"/>
        <n v="5417.0"/>
        <n v="16888.0"/>
        <n v="4012.0"/>
        <n v="3549.0"/>
        <n v="1827.0"/>
        <n v="3759.0"/>
        <n v="2145.0"/>
        <n v="375.0"/>
        <n v="1472.0"/>
        <n v="392.0"/>
        <n v="624.0"/>
        <n v="522.0"/>
        <n v="137.0"/>
        <n v="2918.0"/>
        <n v="8665.0"/>
        <n v="2423.0"/>
        <n v="1809.0"/>
        <n v="1361.0"/>
        <n v="1455.0"/>
        <n v="1064.0"/>
        <n v="441.0"/>
        <n v="4562.0"/>
        <n v="18126.0"/>
        <n v="4735.0"/>
        <n v="317.0"/>
        <n v="3575.0"/>
        <n v="340.0"/>
        <n v="1747.0"/>
        <n v="3925.0"/>
        <n v="1957.0"/>
        <n v="1321.0"/>
        <n v="69.0"/>
        <n v="530.0"/>
        <n v="76.0"/>
        <n v="2865.0"/>
        <n v="8472.0"/>
        <n v="3215.0"/>
        <n v="211.0"/>
        <n v="2672.0"/>
        <n v="143.0"/>
        <n v="820.0"/>
        <n v="1008.0"/>
        <n v="382.0"/>
        <n v="4883.0"/>
        <n v="17478.0"/>
        <n v="8509.0"/>
        <n v="1850.0"/>
        <n v="4305.0"/>
        <n v="564.0"/>
        <n v="2059.0"/>
        <n v="1080.0"/>
        <n v="615.0"/>
        <n v="389.0"/>
        <n v="596.0"/>
        <n v="501.0"/>
        <n v="2688.0"/>
        <n v="7912.0"/>
        <n v="3076.0"/>
        <n v="2389.0"/>
        <n v="1357.0"/>
        <n v="1073.0"/>
        <n v="946.0"/>
        <n v="244.0"/>
        <n v="4364.0"/>
        <n v="16029.0"/>
        <n v="6072.0"/>
        <n v="295.0"/>
        <n v="8459.0"/>
        <n v="354.0"/>
        <n v="1841.0"/>
        <n v="3776.0"/>
        <n v="1083.0"/>
        <n v="1679.0"/>
        <n v="840.0"/>
        <n v="1101.0"/>
        <n v="1929.0"/>
        <n v="843.0"/>
        <n v="1624.0"/>
        <n v="339.0"/>
        <n v="1466.0"/>
        <n v="1236.0"/>
        <n v="315.0"/>
        <n v="1255.0"/>
        <n v="589.0"/>
        <n v="1201.0"/>
        <n v="813.0"/>
        <n v="311.0"/>
        <n v="1050.0"/>
        <n v="404.0"/>
        <n v="85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Сводная таблица 2020" cacheId="0" dataCaption="" compact="0" compactData="0">
  <location ref="A3:B16" firstHeaderRow="0" firstDataRow="1" firstDataCol="0" rowPageCount="1" colPageCount="1"/>
  <pivotFields>
    <pivotField name="Year" axis="axisPage" compact="0" outline="0" multipleItemSelectionAllowed="1" showAll="0">
      <items>
        <item x="0"/>
        <item h="1" x="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t="default"/>
      </items>
    </pivotField>
    <pivotField name="Units clean" compact="0" outline="0" multipleItemSelectionAllowed="1" showAll="0">
      <items>
        <item x="0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name="Value 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t="default"/>
      </items>
    </pivotField>
    <pivotField name="Volume clean" compact="0" outline="0" multipleItemSelectionAllowed="1" showAll="0">
      <items>
        <item x="0"/>
        <item t="default"/>
      </items>
    </pivotField>
    <pivotField name="Number of sto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</pivotFields>
  <rowFields>
    <field x="1"/>
  </rowFields>
  <pageFields>
    <pageField fld="0"/>
  </pageFields>
  <dataFields>
    <dataField name="SUM of Number of stores" fld="11" baseField="0"/>
  </dataFields>
</pivotTableDefinition>
</file>

<file path=xl/pivotTables/pivotTable2.xml><?xml version="1.0" encoding="utf-8"?>
<pivotTableDefinition xmlns="http://schemas.openxmlformats.org/spreadsheetml/2006/main" name="Сводная таблица 2020 raw" cacheId="1" dataCaption="" compact="0" compactData="0">
  <location ref="A3:E16" firstHeaderRow="0" firstDataRow="2" firstDataCol="0" rowPageCount="1" colPageCount="1"/>
  <pivotFields>
    <pivotField name="Year" axis="axisPage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cle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Units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name="Valu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t="default"/>
      </items>
    </pivotField>
    <pivotField name="Volum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  <pivotField name="Number of stores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</pivotFields>
  <rowFields>
    <field x="2"/>
  </rowFields>
  <colFields>
    <field x="-2"/>
  </colFields>
  <pageFields>
    <pageField fld="0"/>
  </pageFields>
  <dataFields>
    <dataField name="SUM of Units clean" fld="7" baseField="0"/>
    <dataField name="SUM of Value clean" fld="9" baseField="0"/>
    <dataField name="SUM of Volume clean" fld="11" baseField="0"/>
    <dataField name="SUM of Number of stores clean" fld="13" baseField="0"/>
  </dataFields>
</pivotTableDefinition>
</file>

<file path=xl/pivotTables/pivotTable3.xml><?xml version="1.0" encoding="utf-8"?>
<pivotTableDefinition xmlns="http://schemas.openxmlformats.org/spreadsheetml/2006/main" name="Сводная таблица 2021" cacheId="2" dataCaption="" compact="0" compactData="0">
  <location ref="A1:B29" firstHeaderRow="0" firstDataRow="1" firstDataCol="0"/>
  <pivotFields>
    <pivotField name="Year" dataField="1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axis="axisRow" compact="0" outline="0" multipleItemSelectionAllowed="1" showAll="0" sortType="ascending">
      <items>
        <item x="21"/>
        <item x="2"/>
        <item x="1"/>
        <item x="8"/>
        <item x="24"/>
        <item x="23"/>
        <item x="13"/>
        <item x="16"/>
        <item x="10"/>
        <item x="0"/>
        <item x="11"/>
        <item x="22"/>
        <item x="17"/>
        <item x="19"/>
        <item x="14"/>
        <item x="6"/>
        <item x="15"/>
        <item x="9"/>
        <item x="7"/>
        <item x="5"/>
        <item x="20"/>
        <item x="25"/>
        <item x="26"/>
        <item x="18"/>
        <item x="12"/>
        <item x="4"/>
        <item x="3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Value (in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t="default"/>
      </items>
    </pivotField>
  </pivotFields>
  <rowFields>
    <field x="3"/>
  </rowFields>
  <dataFields>
    <dataField name="COUNTA of Year" fld="0" subtotal="count" baseField="0"/>
  </dataFields>
</pivotTableDefinition>
</file>

<file path=xl/pivotTables/pivotTable4.xml><?xml version="1.0" encoding="utf-8"?>
<pivotTableDefinition xmlns="http://schemas.openxmlformats.org/spreadsheetml/2006/main" name="Сводная таблица 2021 raw" cacheId="3" dataCaption="" compact="0" compactData="0">
  <location ref="A1:E14" firstHeaderRow="0" firstDataRow="2" firstDataCol="0"/>
  <pivotFields>
    <pivotField name="Year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cle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rand 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Units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Value (in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Valu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t="default"/>
      </items>
    </pivotField>
    <pivotField name="Volum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t="default"/>
      </items>
    </pivotField>
    <pivotField name="Number of stores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t="default"/>
      </items>
    </pivotField>
  </pivotFields>
  <rowFields>
    <field x="2"/>
  </rowFields>
  <colFields>
    <field x="-2"/>
  </colFields>
  <dataFields>
    <dataField name="SUM of Units clean" fld="8" baseField="0"/>
    <dataField name="SUM of Value clean" fld="10" baseField="0"/>
    <dataField name="SUM of Volume clean" fld="12" baseField="0"/>
    <dataField name="SUM of Number of stores clean" fld="14" baseField="0"/>
  </dataFields>
</pivotTableDefinition>
</file>

<file path=xl/pivotTables/pivotTable5.xml><?xml version="1.0" encoding="utf-8"?>
<pivotTableDefinition xmlns="http://schemas.openxmlformats.org/spreadsheetml/2006/main" name="Сводная таблица 2022 txt" cacheId="4" dataCaption="" compact="0" compactData="0">
  <location ref="A1:B14" firstHeaderRow="0" firstDataRow="1" firstDataCol="0"/>
  <pivotFields>
    <pivotField name="Year" compact="0" outline="0" multipleItemSelectionAllowed="1" showAll="0">
      <items>
        <item x="0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name="Valu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t="default"/>
      </items>
    </pivotField>
  </pivotFields>
  <rowFields>
    <field x="1"/>
  </rowFields>
  <dataFields>
    <dataField name="SUM of Value clean" fld="7" baseField="0"/>
  </dataFields>
</pivotTableDefinition>
</file>

<file path=xl/pivotTables/pivotTable6.xml><?xml version="1.0" encoding="utf-8"?>
<pivotTableDefinition xmlns="http://schemas.openxmlformats.org/spreadsheetml/2006/main" name="Сводная таблица 2022 raw" cacheId="5" dataCaption="" compact="0" compactData="0">
  <location ref="A1:E14" firstHeaderRow="0" firstDataRow="2" firstDataCol="0"/>
  <pivotFields>
    <pivotField name="Year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cle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Units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name="Valu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Volume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t="default"/>
      </items>
    </pivotField>
    <pivotField name="Number of stores 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t="default"/>
      </items>
    </pivotField>
  </pivotFields>
  <rowFields>
    <field x="2"/>
  </rowFields>
  <colFields>
    <field x="-2"/>
  </colFields>
  <dataFields>
    <dataField name="SUM of Volume clean" fld="11" baseField="0"/>
    <dataField name="SUM of Units clean" fld="7" baseField="0"/>
    <dataField name="SUM of Value clean" fld="9" baseField="0"/>
    <dataField name="SUM of Number of stores clean" fld="13" baseField="0"/>
  </dataFields>
</pivotTableDefinition>
</file>

<file path=xl/pivotTables/pivotTable7.xml><?xml version="1.0" encoding="utf-8"?>
<pivotTableDefinition xmlns="http://schemas.openxmlformats.org/spreadsheetml/2006/main" name="Сводная таблица База данных" cacheId="6" dataCaption="" compact="0" compactData="0">
  <location ref="A3:E17" firstHeaderRow="0" firstDataRow="1" firstDataCol="1" rowPageCount="1" colPageCount="1"/>
  <pivotFields>
    <pivotField name="Year" axis="axisCol" compact="0" outline="0" multipleItemSelectionAllowed="1" showAll="0" sortType="ascending">
      <items>
        <item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0"/>
  </colFields>
  <pageFields>
    <pageField fld="3"/>
  </pageFields>
  <dataFields>
    <dataField name="SUM of Value (in 1000 rub)" fld="6" baseField="0"/>
  </dataFields>
</pivotTableDefinition>
</file>

<file path=xl/pivotTables/pivotTable8.xml><?xml version="1.0" encoding="utf-8"?>
<pivotTableDefinition xmlns="http://schemas.openxmlformats.org/spreadsheetml/2006/main" name="Сводная таблица База данных 2" cacheId="6" dataCaption="" compact="0" compactData="0">
  <location ref="G3:K17" firstHeaderRow="0" firstDataRow="1" firstDataCol="1" rowPageCount="1" colPageCount="1"/>
  <pivotFields>
    <pivotField name="Year" axis="axisCol" compact="0" outline="0" multipleItemSelectionAllowed="1" showAll="0" sortType="ascending">
      <items>
        <item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0"/>
  </colFields>
  <pageFields>
    <pageField fld="3"/>
  </pageFields>
  <dataFields>
    <dataField name="SUM of Value (in 1000 rub)" fld="6" baseField="0"/>
  </dataFields>
</pivotTableDefinition>
</file>

<file path=xl/pivotTables/pivotTable9.xml><?xml version="1.0" encoding="utf-8"?>
<pivotTableDefinition xmlns="http://schemas.openxmlformats.org/spreadsheetml/2006/main" name="ТОП-5 по каналам" cacheId="6" dataCaption="" compact="0" compactData="0">
  <location ref="A3:E30" firstHeaderRow="0" firstDataRow="1" firstDataCol="1" rowPageCount="1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Col" compact="0" outline="0" multipleItemSelectionAllowed="1" showAll="0" sortType="ascending">
      <items>
        <item x="0"/>
        <item x="1"/>
        <item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colFields>
    <field x="2"/>
  </colFields>
  <pageFields>
    <pageField fld="0"/>
  </pageFields>
  <dataFields>
    <dataField name="SUM of Value (in 1000 rub)" fld="6" baseField="0"/>
  </dataFields>
</pivotTableDefinition>
</file>

<file path=xl/pivotTables/pivotTable10.xml><?xml version="1.0" encoding="utf-8"?>
<pivotTableDefinition xmlns="http://schemas.openxmlformats.org/spreadsheetml/2006/main" name="ТОП-5 по каналам 2" cacheId="6" dataCaption="" compact="0" compactData="0">
  <location ref="G4:H22" firstHeaderRow="0" firstDataRow="1" firstDataCol="0" rowPageCount="2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pageFields>
    <pageField fld="0"/>
    <pageField fld="2"/>
  </pageFields>
  <dataFields>
    <dataField name="SUM of Value (in 1000 rub)" fld="6" baseField="0"/>
  </dataFields>
</pivotTableDefinition>
</file>

<file path=xl/pivotTables/pivotTable11.xml><?xml version="1.0" encoding="utf-8"?>
<pivotTableDefinition xmlns="http://schemas.openxmlformats.org/spreadsheetml/2006/main" name="ТОП-5 по каналам 3" cacheId="6" dataCaption="" compact="0" compactData="0">
  <location ref="J4:K21" firstHeaderRow="0" firstDataRow="1" firstDataCol="0" rowPageCount="2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x="1"/>
        <item h="1"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pageFields>
    <pageField fld="0"/>
    <pageField fld="2"/>
  </pageFields>
  <dataFields>
    <dataField name="SUM of Value (in 1000 rub)" fld="6" baseField="0"/>
  </dataFields>
</pivotTableDefinition>
</file>

<file path=xl/pivotTables/pivotTable12.xml><?xml version="1.0" encoding="utf-8"?>
<pivotTableDefinition xmlns="http://schemas.openxmlformats.org/spreadsheetml/2006/main" name="ТОП-5 по каналам 4" cacheId="6" dataCaption="" compact="0" compactData="0">
  <location ref="M4:N21" firstHeaderRow="0" firstDataRow="1" firstDataCol="0" rowPageCount="2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pageFields>
    <pageField fld="0"/>
    <pageField fld="2"/>
  </pageFields>
  <dataFields>
    <dataField name="SUM of Value (in 1000 rub)" fld="6" baseField="0"/>
  </dataFields>
</pivotTableDefinition>
</file>

<file path=xl/pivotTables/pivotTable13.xml><?xml version="1.0" encoding="utf-8"?>
<pivotTableDefinition xmlns="http://schemas.openxmlformats.org/spreadsheetml/2006/main" name="Доля рынка" cacheId="6" dataCaption="" compact="0" compactData="0">
  <location ref="A5:B20" firstHeaderRow="0" firstDataRow="1" firstDataCol="0" rowPageCount="3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axis="axisRow" compact="0" outline="0" multipleItemSelectionAllowed="1" showAll="0" sortType="ascending">
      <items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name="Weight range" axis="axisPage" compact="0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pageFields>
    <pageField fld="0"/>
    <pageField fld="2"/>
    <pageField fld="4"/>
  </pageFields>
  <dataFields>
    <dataField name="SUM of Value (in 1000 rub)" fld="6" baseField="0"/>
  </dataFields>
</pivotTableDefinition>
</file>

<file path=xl/pivotTables/pivotTable14.xml><?xml version="1.0" encoding="utf-8"?>
<pivotTableDefinition xmlns="http://schemas.openxmlformats.org/spreadsheetml/2006/main" name="Динамика доли" cacheId="6" dataCaption="" compact="0" compactData="0">
  <location ref="A4:D18" firstHeaderRow="0" firstDataRow="1" firstDataCol="1" rowPageCount="2" colPageCount="1"/>
  <pivotFields>
    <pivotField name="Year" axis="axisCol" compact="0" outline="0" multipleItemSelectionAllowed="1" showAll="0" sortType="ascending">
      <items>
        <item h="1"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eight range" axis="axisPage" compact="0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0"/>
  </colFields>
  <pageFields>
    <pageField fld="2"/>
    <pageField fld="4"/>
  </pageFields>
  <dataFields>
    <dataField name="SUM of Value (in 1000 rub)" fld="6" baseField="0"/>
  </dataFields>
</pivotTableDefinition>
</file>

<file path=xl/pivotTables/pivotTable15.xml><?xml version="1.0" encoding="utf-8"?>
<pivotTableDefinition xmlns="http://schemas.openxmlformats.org/spreadsheetml/2006/main" name="Динамика доли 2" cacheId="6" dataCaption="" compact="0" compactData="0">
  <location ref="F4:R19" firstHeaderRow="0" firstDataRow="1" firstDataCol="2" rowPageCount="2" colPageCount="1"/>
  <pivotFields>
    <pivotField name="Year" axis="axisCol" compact="0" outline="0" multipleItemSelectionAllowed="1" showAll="0" sortType="ascending">
      <items>
        <item h="1"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axis="axisCol" compact="0" outline="0" multipleItemSelectionAllowed="1" showAll="0" sortType="ascending">
      <items>
        <item h="1" x="26"/>
        <item h="1" x="2"/>
        <item x="1"/>
        <item h="1" x="38"/>
        <item h="1" x="9"/>
        <item h="1" x="32"/>
        <item h="1" x="31"/>
        <item h="1" x="39"/>
        <item h="1" x="14"/>
        <item h="1" x="20"/>
        <item h="1" x="15"/>
        <item h="1" x="19"/>
        <item h="1" x="25"/>
        <item x="0"/>
        <item h="1" x="10"/>
        <item h="1" x="24"/>
        <item h="1" x="30"/>
        <item h="1" x="22"/>
        <item h="1" x="37"/>
        <item h="1" x="35"/>
        <item h="1" x="28"/>
        <item h="1" x="13"/>
        <item h="1" x="18"/>
        <item x="6"/>
        <item h="1" x="11"/>
        <item h="1" x="12"/>
        <item x="34"/>
        <item h="1" x="8"/>
        <item h="1" x="40"/>
        <item h="1" x="7"/>
        <item h="1" x="4"/>
        <item h="1" x="36"/>
        <item h="1" x="29"/>
        <item h="1" x="27"/>
        <item h="1" x="21"/>
        <item h="1" x="33"/>
        <item h="1" x="23"/>
        <item h="1" x="17"/>
        <item h="1" x="16"/>
        <item h="1" x="3"/>
        <item x="5"/>
        <item t="default"/>
      </items>
    </pivotField>
    <pivotField name="Weight range" axis="axisPage" compact="0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0"/>
    <field x="3"/>
  </colFields>
  <pageFields>
    <pageField fld="2"/>
    <pageField fld="4"/>
  </pageFields>
  <dataFields>
    <dataField name="SUM of Value (in 1000 rub)" fld="6" baseField="0"/>
  </dataFields>
</pivotTableDefinition>
</file>

<file path=xl/pivotTables/pivotTable16.xml><?xml version="1.0" encoding="utf-8"?>
<pivotTableDefinition xmlns="http://schemas.openxmlformats.org/spreadsheetml/2006/main" name="Каналы" cacheId="6" dataCaption="" compact="0" compactData="0">
  <location ref="A1:E6" firstHeaderRow="0" firstDataRow="1" firstDataCol="1"/>
  <pivotFields>
    <pivotField name="Year" axis="axisCol" compact="0" outline="0" multipleItemSelectionAllowed="1" showAll="0" sortType="ascending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2"/>
  </rowFields>
  <colFields>
    <field x="0"/>
  </colFields>
  <dataFields>
    <dataField name="SUM of Value (in 1000 rub)" fld="6" baseField="0"/>
  </dataFields>
</pivotTableDefinition>
</file>

<file path=xl/pivotTables/pivotTable17.xml><?xml version="1.0" encoding="utf-8"?>
<pivotTableDefinition xmlns="http://schemas.openxmlformats.org/spreadsheetml/2006/main" name="Офтейк 2" cacheId="6" dataCaption="" compact="0" compactData="0">
  <location ref="K5:S20" firstHeaderRow="0" firstDataRow="2" firstDataCol="1" rowPageCount="3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Col" compact="0" outline="0" multipleItemSelectionAllowed="1" showAll="0" sortType="ascending">
      <items>
        <item x="0"/>
        <item x="1"/>
        <item x="2"/>
        <item t="default"/>
      </items>
    </pivotField>
    <pivotField name="Brand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2"/>
    <field x="-2"/>
  </colFields>
  <pageFields>
    <pageField fld="0"/>
    <pageField fld="3"/>
    <pageField fld="4"/>
  </pageFields>
  <dataFields>
    <dataField name="SUM of Units (in 1000)" fld="5" baseField="0"/>
    <dataField name="SUM of Number of stores" fld="8" baseField="0"/>
  </dataFields>
</pivotTableDefinition>
</file>

<file path=xl/pivotTables/pivotTable18.xml><?xml version="1.0" encoding="utf-8"?>
<pivotTableDefinition xmlns="http://schemas.openxmlformats.org/spreadsheetml/2006/main" name="Цена 2" cacheId="6" dataCaption="" compact="0" compactData="0">
  <location ref="E6:G19" firstHeaderRow="0" firstDataRow="2" firstDataCol="0" rowPageCount="4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-2"/>
  </colFields>
  <pageFields>
    <pageField fld="0"/>
    <pageField fld="2"/>
    <pageField fld="3"/>
    <pageField fld="4"/>
  </pageFields>
  <dataFields>
    <dataField name="SUM of Units (in 1000)" fld="5" baseField="0"/>
    <dataField name="SUM of Value (in 1000 rub)" fld="6" baseField="0"/>
  </dataFields>
</pivotTableDefinition>
</file>

<file path=xl/tables/table1.xml><?xml version="1.0" encoding="utf-8"?>
<table xmlns="http://schemas.openxmlformats.org/spreadsheetml/2006/main" ref="P4:V9" displayName="ТОП5" name="ТОП5" id="1">
  <tableColumns count="7">
    <tableColumn name="Место" id="1"/>
    <tableColumn name="Гипермаркеты" id="2"/>
    <tableColumn name="Продажи, тыс. руб." id="3"/>
    <tableColumn name="Минимаркеты" id="4"/>
    <tableColumn name="Продажи, тыс. руб. 2" id="5"/>
    <tableColumn name="Супермаркеты" id="6"/>
    <tableColumn name="Продажи, тыс. руб. 3" id="7"/>
  </tableColumns>
  <tableStyleInfo name="ТОП-5 по каналам-style" showColumnStripes="0" showFirstColumn="1" showLastColumn="1" showRowStripes="1"/>
</table>
</file>

<file path=xl/tables/table2.xml><?xml version="1.0" encoding="utf-8"?>
<table xmlns="http://schemas.openxmlformats.org/spreadsheetml/2006/main" ref="F20:P32" displayName="Динамика_доли" name="Динамика_доли" id="2">
  <tableColumns count="11">
    <tableColumn name="Month" id="1"/>
    <tableColumn name="2021 Blue" id="2"/>
    <tableColumn name="2021 Green" id="3"/>
    <tableColumn name="2021 Orange" id="4"/>
    <tableColumn name="2021 Pearl" id="5"/>
    <tableColumn name="2021 Yellow" id="6"/>
    <tableColumn name="2022 Blue" id="7"/>
    <tableColumn name="2022 Green" id="8"/>
    <tableColumn name="2022 Orange" id="9"/>
    <tableColumn name="2022 Pearl" id="10"/>
    <tableColumn name="2022 Yellow" id="11"/>
  </tableColumns>
  <tableStyleInfo name="Динамика доли-style" showColumnStripes="0" showFirstColumn="1" showLastColumn="1" showRowStripes="1"/>
</table>
</file>

<file path=xl/tables/table3.xml><?xml version="1.0" encoding="utf-8"?>
<table xmlns="http://schemas.openxmlformats.org/spreadsheetml/2006/main" ref="G3:K6" displayName="Каналы" name="Каналы" id="3">
  <tableColumns count="5">
    <tableColumn name="Channel" id="1"/>
    <tableColumn name="Прирост 2021" id="2"/>
    <tableColumn name="Прирост 2022" id="3"/>
    <tableColumn name="Доля 2021" id="4"/>
    <tableColumn name="Доля 2022" id="5"/>
  </tableColumns>
  <tableStyleInfo name="Каналы-style" showColumnStripes="0" showFirstColumn="1" showLastColumn="1" showRowStripes="1"/>
</table>
</file>

<file path=xl/tables/table4.xml><?xml version="1.0" encoding="utf-8"?>
<table xmlns="http://schemas.openxmlformats.org/spreadsheetml/2006/main" ref="A20:G32" displayName="Офтейк" name="Офтейк" id="4">
  <tableColumns count="7">
    <tableColumn name="Month" id="1"/>
    <tableColumn name="Green Hypermarkets" id="2"/>
    <tableColumn name="Green Supermarkets" id="3"/>
    <tableColumn name="Green Minimarkets" id="4"/>
    <tableColumn name="Blue Hypermarkets" id="5"/>
    <tableColumn name="Blue Supermarkets" id="6"/>
    <tableColumn name="Blue Minimarkets" id="7"/>
  </tableColumns>
  <tableStyleInfo name="Офтейк-style" showColumnStripes="0" showFirstColumn="1" showLastColumn="1" showRowStripes="1"/>
</table>
</file>

<file path=xl/tables/table5.xml><?xml version="1.0" encoding="utf-8"?>
<table xmlns="http://schemas.openxmlformats.org/spreadsheetml/2006/main" ref="A18:C30" displayName="Цена" name="Цена" id="5">
  <tableColumns count="3">
    <tableColumn name="Month" id="1"/>
    <tableColumn name="Green, руб./шт." id="2"/>
    <tableColumn name="Blue, руб./шт." id="3"/>
  </tableColumns>
  <tableStyleInfo name="Цен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pivotTable" Target="../pivotTables/pivotTable11.xml"/><Relationship Id="rId4" Type="http://schemas.openxmlformats.org/officeDocument/2006/relationships/pivotTable" Target="../pivotTables/pivotTable12.xml"/><Relationship Id="rId5" Type="http://schemas.openxmlformats.org/officeDocument/2006/relationships/drawing" Target="../drawings/drawing18.xml"/><Relationship Id="rId7" Type="http://schemas.openxmlformats.org/officeDocument/2006/relationships/table" Target="../tables/table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pivotTable" Target="../pivotTables/pivotTable15.xml"/><Relationship Id="rId3" Type="http://schemas.openxmlformats.org/officeDocument/2006/relationships/drawing" Target="../drawings/drawing20.xml"/><Relationship Id="rId5" Type="http://schemas.openxmlformats.org/officeDocument/2006/relationships/table" Target="../tables/table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21.xml"/><Relationship Id="rId4" Type="http://schemas.openxmlformats.org/officeDocument/2006/relationships/table" Target="../tables/table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22.xml"/><Relationship Id="rId4" Type="http://schemas.openxmlformats.org/officeDocument/2006/relationships/table" Target="../tables/table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23.xml"/><Relationship Id="rId4" Type="http://schemas.openxmlformats.org/officeDocument/2006/relationships/table" Target="../tables/table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9.0"/>
    <col customWidth="1" min="8" max="9" width="16.25"/>
    <col customWidth="1" min="10" max="11" width="17.13"/>
    <col customWidth="1" min="12" max="12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</row>
    <row r="2">
      <c r="A2" s="1">
        <v>2020.0</v>
      </c>
      <c r="B2" s="1">
        <v>1.0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 t="s">
        <v>16</v>
      </c>
      <c r="I2" s="1">
        <f t="shared" ref="I2:I1259" si="1">VALUE(SUBSTITUTE(H2,".",",")) </f>
        <v>936.803413</v>
      </c>
      <c r="J2" s="3">
        <v>866417.0</v>
      </c>
      <c r="K2" s="3"/>
      <c r="L2" s="1">
        <v>477.0</v>
      </c>
    </row>
    <row r="3">
      <c r="A3" s="1">
        <v>2020.0</v>
      </c>
      <c r="B3" s="1">
        <v>1.0</v>
      </c>
      <c r="C3" s="1" t="s">
        <v>12</v>
      </c>
      <c r="D3" s="1" t="s">
        <v>13</v>
      </c>
      <c r="E3" s="1" t="s">
        <v>17</v>
      </c>
      <c r="F3" s="1" t="s">
        <v>18</v>
      </c>
      <c r="G3" s="1"/>
      <c r="H3" s="1" t="s">
        <v>19</v>
      </c>
      <c r="I3" s="1">
        <f t="shared" si="1"/>
        <v>7019.116508</v>
      </c>
      <c r="J3" s="1" t="s">
        <v>20</v>
      </c>
      <c r="K3" s="1"/>
      <c r="L3" s="1">
        <v>754.0</v>
      </c>
    </row>
    <row r="4">
      <c r="A4" s="1">
        <v>2020.0</v>
      </c>
      <c r="B4" s="1">
        <v>1.0</v>
      </c>
      <c r="C4" s="1" t="s">
        <v>12</v>
      </c>
      <c r="D4" s="1" t="s">
        <v>13</v>
      </c>
      <c r="E4" s="1" t="s">
        <v>21</v>
      </c>
      <c r="F4" s="1" t="s">
        <v>22</v>
      </c>
      <c r="G4" s="1"/>
      <c r="H4" s="1" t="s">
        <v>23</v>
      </c>
      <c r="I4" s="1">
        <f t="shared" si="1"/>
        <v>4166.453788</v>
      </c>
      <c r="J4" s="1" t="s">
        <v>24</v>
      </c>
      <c r="K4" s="1"/>
      <c r="L4" s="1">
        <v>629.0</v>
      </c>
    </row>
    <row r="5">
      <c r="A5" s="1">
        <v>2020.0</v>
      </c>
      <c r="B5" s="1">
        <v>1.0</v>
      </c>
      <c r="C5" s="1" t="s">
        <v>12</v>
      </c>
      <c r="D5" s="1" t="s">
        <v>13</v>
      </c>
      <c r="E5" s="1" t="s">
        <v>25</v>
      </c>
      <c r="F5" s="1" t="s">
        <v>26</v>
      </c>
      <c r="G5" s="1"/>
      <c r="H5" s="1" t="s">
        <v>27</v>
      </c>
      <c r="I5" s="1">
        <f t="shared" si="1"/>
        <v>66.38769</v>
      </c>
      <c r="J5" s="1" t="s">
        <v>28</v>
      </c>
      <c r="K5" s="1"/>
      <c r="L5" s="1">
        <v>29.0</v>
      </c>
    </row>
    <row r="6">
      <c r="A6" s="1">
        <v>2020.0</v>
      </c>
      <c r="B6" s="1">
        <v>1.0</v>
      </c>
      <c r="C6" s="1" t="s">
        <v>12</v>
      </c>
      <c r="D6" s="1" t="s">
        <v>29</v>
      </c>
      <c r="E6" s="1" t="s">
        <v>21</v>
      </c>
      <c r="F6" s="1" t="s">
        <v>30</v>
      </c>
      <c r="G6" s="1"/>
      <c r="H6" s="1" t="s">
        <v>31</v>
      </c>
      <c r="I6" s="1">
        <f t="shared" si="1"/>
        <v>3227.992656</v>
      </c>
      <c r="J6" s="3">
        <v>1989264.0</v>
      </c>
      <c r="K6" s="3"/>
      <c r="L6" s="1">
        <v>663.0</v>
      </c>
    </row>
    <row r="7">
      <c r="A7" s="1">
        <v>2020.0</v>
      </c>
      <c r="B7" s="1">
        <v>1.0</v>
      </c>
      <c r="C7" s="1" t="s">
        <v>12</v>
      </c>
      <c r="D7" s="1" t="s">
        <v>32</v>
      </c>
      <c r="E7" s="1" t="s">
        <v>14</v>
      </c>
      <c r="F7" s="3" t="s">
        <v>33</v>
      </c>
      <c r="G7" s="3"/>
      <c r="H7" s="1" t="s">
        <v>34</v>
      </c>
      <c r="I7" s="1">
        <f t="shared" si="1"/>
        <v>573.128758</v>
      </c>
      <c r="J7" s="3">
        <v>455490.0</v>
      </c>
      <c r="K7" s="3"/>
      <c r="L7" s="1">
        <v>547.0</v>
      </c>
    </row>
    <row r="8">
      <c r="A8" s="1">
        <v>2020.0</v>
      </c>
      <c r="B8" s="1">
        <v>1.0</v>
      </c>
      <c r="C8" s="1" t="s">
        <v>12</v>
      </c>
      <c r="D8" s="1" t="s">
        <v>32</v>
      </c>
      <c r="E8" s="1" t="s">
        <v>21</v>
      </c>
      <c r="F8" s="3" t="s">
        <v>35</v>
      </c>
      <c r="G8" s="3"/>
      <c r="H8" s="1" t="s">
        <v>36</v>
      </c>
      <c r="I8" s="1">
        <f t="shared" si="1"/>
        <v>559.444379</v>
      </c>
      <c r="J8" s="1" t="s">
        <v>37</v>
      </c>
      <c r="K8" s="1"/>
      <c r="L8" s="1">
        <v>325.0</v>
      </c>
    </row>
    <row r="9">
      <c r="A9" s="1">
        <v>2020.0</v>
      </c>
      <c r="B9" s="1">
        <v>1.0</v>
      </c>
      <c r="C9" s="1" t="s">
        <v>12</v>
      </c>
      <c r="D9" s="1" t="s">
        <v>38</v>
      </c>
      <c r="E9" s="1" t="s">
        <v>39</v>
      </c>
      <c r="F9" s="3">
        <v>1079719.0</v>
      </c>
      <c r="G9" s="3"/>
      <c r="H9" s="1" t="s">
        <v>40</v>
      </c>
      <c r="I9" s="1">
        <f t="shared" si="1"/>
        <v>328.755626</v>
      </c>
      <c r="J9" s="1" t="s">
        <v>41</v>
      </c>
      <c r="K9" s="1"/>
      <c r="L9" s="1">
        <v>96.0</v>
      </c>
    </row>
    <row r="10">
      <c r="A10" s="1">
        <v>2020.0</v>
      </c>
      <c r="B10" s="1">
        <v>1.0</v>
      </c>
      <c r="C10" s="1" t="s">
        <v>12</v>
      </c>
      <c r="D10" s="1" t="s">
        <v>42</v>
      </c>
      <c r="E10" s="1" t="s">
        <v>17</v>
      </c>
      <c r="F10" s="3">
        <v>1836807.0</v>
      </c>
      <c r="G10" s="3"/>
      <c r="H10" s="1" t="s">
        <v>43</v>
      </c>
      <c r="I10" s="1">
        <f t="shared" si="1"/>
        <v>253.642919</v>
      </c>
      <c r="J10" s="1" t="s">
        <v>44</v>
      </c>
      <c r="K10" s="1"/>
      <c r="L10" s="1">
        <v>95.0</v>
      </c>
    </row>
    <row r="11">
      <c r="A11" s="1">
        <v>2020.0</v>
      </c>
      <c r="B11" s="1">
        <v>1.0</v>
      </c>
      <c r="C11" s="1" t="s">
        <v>12</v>
      </c>
      <c r="D11" s="1" t="s">
        <v>45</v>
      </c>
      <c r="E11" s="1" t="s">
        <v>17</v>
      </c>
      <c r="F11" s="3">
        <v>2342333.0</v>
      </c>
      <c r="G11" s="3"/>
      <c r="H11" s="1" t="s">
        <v>46</v>
      </c>
      <c r="I11" s="1">
        <f t="shared" si="1"/>
        <v>200.763102</v>
      </c>
      <c r="J11" s="3" t="s">
        <v>47</v>
      </c>
      <c r="K11" s="3"/>
      <c r="L11" s="1">
        <v>191.0</v>
      </c>
    </row>
    <row r="12">
      <c r="A12" s="1">
        <v>2020.0</v>
      </c>
      <c r="B12" s="1">
        <v>1.0</v>
      </c>
      <c r="C12" s="1" t="s">
        <v>12</v>
      </c>
      <c r="D12" s="1" t="s">
        <v>48</v>
      </c>
      <c r="E12" s="1" t="s">
        <v>49</v>
      </c>
      <c r="F12" s="1" t="s">
        <v>50</v>
      </c>
      <c r="G12" s="1"/>
      <c r="H12" s="1" t="s">
        <v>51</v>
      </c>
      <c r="I12" s="1">
        <f t="shared" si="1"/>
        <v>2.200698</v>
      </c>
      <c r="J12" s="1" t="s">
        <v>52</v>
      </c>
      <c r="K12" s="1"/>
      <c r="L12" s="1">
        <v>4.0</v>
      </c>
    </row>
    <row r="13">
      <c r="A13" s="1">
        <v>2020.0</v>
      </c>
      <c r="B13" s="1">
        <v>1.0</v>
      </c>
      <c r="C13" s="1" t="s">
        <v>12</v>
      </c>
      <c r="D13" s="1" t="s">
        <v>48</v>
      </c>
      <c r="E13" s="1" t="s">
        <v>21</v>
      </c>
      <c r="F13" s="1" t="s">
        <v>53</v>
      </c>
      <c r="G13" s="1"/>
      <c r="H13" s="1" t="s">
        <v>54</v>
      </c>
      <c r="I13" s="1">
        <f t="shared" si="1"/>
        <v>71.031833</v>
      </c>
      <c r="J13" s="1" t="s">
        <v>55</v>
      </c>
      <c r="K13" s="1"/>
      <c r="L13" s="1">
        <v>78.0</v>
      </c>
    </row>
    <row r="14">
      <c r="A14" s="1">
        <v>2020.0</v>
      </c>
      <c r="B14" s="1">
        <v>1.0</v>
      </c>
      <c r="C14" s="1" t="s">
        <v>12</v>
      </c>
      <c r="D14" s="1" t="s">
        <v>56</v>
      </c>
      <c r="E14" s="1" t="s">
        <v>21</v>
      </c>
      <c r="F14" s="1" t="s">
        <v>57</v>
      </c>
      <c r="G14" s="1"/>
      <c r="H14" s="1" t="s">
        <v>58</v>
      </c>
      <c r="I14" s="1">
        <f t="shared" si="1"/>
        <v>61.805145</v>
      </c>
      <c r="J14" s="1" t="s">
        <v>59</v>
      </c>
      <c r="K14" s="1"/>
      <c r="L14" s="1">
        <v>96.0</v>
      </c>
    </row>
    <row r="15">
      <c r="A15" s="1">
        <v>2020.0</v>
      </c>
      <c r="B15" s="1">
        <v>1.0</v>
      </c>
      <c r="C15" s="1" t="s">
        <v>12</v>
      </c>
      <c r="D15" s="1" t="s">
        <v>60</v>
      </c>
      <c r="E15" s="1" t="s">
        <v>39</v>
      </c>
      <c r="F15" s="1" t="s">
        <v>61</v>
      </c>
      <c r="G15" s="1"/>
      <c r="H15" s="1" t="s">
        <v>62</v>
      </c>
      <c r="I15" s="1">
        <f t="shared" si="1"/>
        <v>56.153614</v>
      </c>
      <c r="J15" s="1" t="s">
        <v>63</v>
      </c>
      <c r="K15" s="1"/>
      <c r="L15" s="1">
        <v>0.0</v>
      </c>
    </row>
    <row r="16">
      <c r="A16" s="1">
        <v>2020.0</v>
      </c>
      <c r="B16" s="1">
        <v>1.0</v>
      </c>
      <c r="C16" s="1" t="s">
        <v>12</v>
      </c>
      <c r="D16" s="1" t="s">
        <v>64</v>
      </c>
      <c r="E16" s="1" t="s">
        <v>21</v>
      </c>
      <c r="F16" s="1" t="s">
        <v>65</v>
      </c>
      <c r="G16" s="1"/>
      <c r="H16" s="1" t="s">
        <v>66</v>
      </c>
      <c r="I16" s="1">
        <f t="shared" si="1"/>
        <v>50.76976</v>
      </c>
      <c r="J16" s="1" t="s">
        <v>67</v>
      </c>
      <c r="K16" s="1"/>
      <c r="L16" s="1">
        <v>0.0</v>
      </c>
    </row>
    <row r="17">
      <c r="A17" s="1">
        <v>2020.0</v>
      </c>
      <c r="B17" s="1">
        <v>1.0</v>
      </c>
      <c r="C17" s="1" t="s">
        <v>68</v>
      </c>
      <c r="D17" s="1" t="s">
        <v>13</v>
      </c>
      <c r="E17" s="1" t="s">
        <v>14</v>
      </c>
      <c r="F17" s="1" t="s">
        <v>69</v>
      </c>
      <c r="G17" s="1"/>
      <c r="H17" s="1" t="s">
        <v>70</v>
      </c>
      <c r="I17" s="1">
        <f t="shared" si="1"/>
        <v>4050.03638</v>
      </c>
      <c r="J17" s="1" t="s">
        <v>71</v>
      </c>
      <c r="K17" s="1"/>
      <c r="L17" s="1">
        <v>7561.0</v>
      </c>
    </row>
    <row r="18">
      <c r="A18" s="1">
        <v>2020.0</v>
      </c>
      <c r="B18" s="1">
        <v>1.0</v>
      </c>
      <c r="C18" s="1" t="s">
        <v>68</v>
      </c>
      <c r="D18" s="1" t="s">
        <v>13</v>
      </c>
      <c r="E18" s="1" t="s">
        <v>72</v>
      </c>
      <c r="F18" s="1" t="s">
        <v>73</v>
      </c>
      <c r="G18" s="1"/>
      <c r="H18" s="1" t="s">
        <v>74</v>
      </c>
      <c r="I18" s="1">
        <f t="shared" si="1"/>
        <v>0.134999</v>
      </c>
      <c r="J18" s="1" t="s">
        <v>75</v>
      </c>
      <c r="K18" s="1"/>
      <c r="L18" s="1">
        <v>1.0</v>
      </c>
    </row>
    <row r="19">
      <c r="A19" s="1">
        <v>2020.0</v>
      </c>
      <c r="B19" s="1">
        <v>1.0</v>
      </c>
      <c r="C19" s="1" t="s">
        <v>68</v>
      </c>
      <c r="D19" s="1" t="s">
        <v>13</v>
      </c>
      <c r="E19" s="1" t="s">
        <v>17</v>
      </c>
      <c r="F19" s="1" t="s">
        <v>76</v>
      </c>
      <c r="G19" s="1"/>
      <c r="H19" s="1" t="s">
        <v>77</v>
      </c>
      <c r="I19" s="1">
        <f t="shared" si="1"/>
        <v>7036.255168</v>
      </c>
      <c r="J19" s="1" t="s">
        <v>78</v>
      </c>
      <c r="K19" s="1"/>
      <c r="L19" s="1">
        <v>8754.0</v>
      </c>
    </row>
    <row r="20">
      <c r="A20" s="1">
        <v>2020.0</v>
      </c>
      <c r="B20" s="1">
        <v>1.0</v>
      </c>
      <c r="C20" s="1" t="s">
        <v>68</v>
      </c>
      <c r="D20" s="1" t="s">
        <v>13</v>
      </c>
      <c r="E20" s="1" t="s">
        <v>21</v>
      </c>
      <c r="F20" s="1" t="s">
        <v>79</v>
      </c>
      <c r="G20" s="1"/>
      <c r="H20" s="1" t="s">
        <v>80</v>
      </c>
      <c r="I20" s="1">
        <f t="shared" si="1"/>
        <v>1087.96951</v>
      </c>
      <c r="J20" s="3">
        <v>2704317.0</v>
      </c>
      <c r="K20" s="3"/>
      <c r="L20" s="1">
        <v>1426.0</v>
      </c>
    </row>
    <row r="21">
      <c r="A21" s="1">
        <v>2020.0</v>
      </c>
      <c r="B21" s="1">
        <v>1.0</v>
      </c>
      <c r="C21" s="1" t="s">
        <v>68</v>
      </c>
      <c r="D21" s="1" t="s">
        <v>13</v>
      </c>
      <c r="E21" s="1" t="s">
        <v>25</v>
      </c>
      <c r="F21" s="1" t="s">
        <v>81</v>
      </c>
      <c r="G21" s="1"/>
      <c r="H21" s="1" t="s">
        <v>82</v>
      </c>
      <c r="I21" s="1">
        <f t="shared" si="1"/>
        <v>109.493529</v>
      </c>
      <c r="J21" s="1" t="s">
        <v>83</v>
      </c>
      <c r="K21" s="1"/>
      <c r="L21" s="1">
        <v>277.0</v>
      </c>
    </row>
    <row r="22">
      <c r="A22" s="1">
        <v>2020.0</v>
      </c>
      <c r="B22" s="1">
        <v>1.0</v>
      </c>
      <c r="C22" s="1" t="s">
        <v>68</v>
      </c>
      <c r="D22" s="1" t="s">
        <v>45</v>
      </c>
      <c r="E22" s="1" t="s">
        <v>17</v>
      </c>
      <c r="F22" s="1" t="s">
        <v>84</v>
      </c>
      <c r="G22" s="1"/>
      <c r="H22" s="1" t="s">
        <v>85</v>
      </c>
      <c r="I22" s="1">
        <f t="shared" si="1"/>
        <v>3000.962605</v>
      </c>
      <c r="J22" s="1" t="s">
        <v>86</v>
      </c>
      <c r="K22" s="1"/>
      <c r="L22" s="1">
        <v>5948.0</v>
      </c>
    </row>
    <row r="23">
      <c r="A23" s="1">
        <v>2020.0</v>
      </c>
      <c r="B23" s="1">
        <v>1.0</v>
      </c>
      <c r="C23" s="1" t="s">
        <v>68</v>
      </c>
      <c r="D23" s="1" t="s">
        <v>29</v>
      </c>
      <c r="E23" s="1" t="s">
        <v>21</v>
      </c>
      <c r="F23" s="1" t="s">
        <v>87</v>
      </c>
      <c r="G23" s="1"/>
      <c r="H23" s="1" t="s">
        <v>88</v>
      </c>
      <c r="I23" s="1">
        <f t="shared" si="1"/>
        <v>2169.309011</v>
      </c>
      <c r="J23" s="3">
        <v>1807708.0</v>
      </c>
      <c r="K23" s="3"/>
      <c r="L23" s="1">
        <v>1776.0</v>
      </c>
    </row>
    <row r="24">
      <c r="A24" s="1">
        <v>2020.0</v>
      </c>
      <c r="B24" s="1">
        <v>1.0</v>
      </c>
      <c r="C24" s="1" t="s">
        <v>68</v>
      </c>
      <c r="D24" s="1" t="s">
        <v>32</v>
      </c>
      <c r="E24" s="1" t="s">
        <v>14</v>
      </c>
      <c r="F24" s="3">
        <v>535538.0</v>
      </c>
      <c r="G24" s="3"/>
      <c r="H24" s="1" t="s">
        <v>89</v>
      </c>
      <c r="I24" s="1">
        <f t="shared" si="1"/>
        <v>319.951771</v>
      </c>
      <c r="J24" s="1" t="s">
        <v>90</v>
      </c>
      <c r="K24" s="1"/>
      <c r="L24" s="1">
        <v>1627.0</v>
      </c>
    </row>
    <row r="25">
      <c r="A25" s="1">
        <v>2020.0</v>
      </c>
      <c r="B25" s="1">
        <v>1.0</v>
      </c>
      <c r="C25" s="1" t="s">
        <v>68</v>
      </c>
      <c r="D25" s="1" t="s">
        <v>32</v>
      </c>
      <c r="E25" s="1" t="s">
        <v>21</v>
      </c>
      <c r="F25" s="3">
        <v>1530004.0</v>
      </c>
      <c r="G25" s="3"/>
      <c r="H25" s="1" t="s">
        <v>91</v>
      </c>
      <c r="I25" s="1">
        <f t="shared" si="1"/>
        <v>234.200456</v>
      </c>
      <c r="J25" s="1" t="s">
        <v>92</v>
      </c>
      <c r="K25" s="1"/>
      <c r="L25" s="1">
        <v>514.0</v>
      </c>
    </row>
    <row r="26">
      <c r="A26" s="1">
        <v>2020.0</v>
      </c>
      <c r="B26" s="1">
        <v>1.0</v>
      </c>
      <c r="C26" s="1" t="s">
        <v>68</v>
      </c>
      <c r="D26" s="1" t="s">
        <v>42</v>
      </c>
      <c r="E26" s="1" t="s">
        <v>17</v>
      </c>
      <c r="F26" s="3">
        <v>240697.0</v>
      </c>
      <c r="G26" s="3"/>
      <c r="H26" s="1" t="s">
        <v>93</v>
      </c>
      <c r="I26" s="1">
        <f t="shared" si="1"/>
        <v>207.232319</v>
      </c>
      <c r="J26" s="1" t="s">
        <v>94</v>
      </c>
      <c r="K26" s="1"/>
      <c r="L26" s="1">
        <v>355.0</v>
      </c>
    </row>
    <row r="27">
      <c r="A27" s="1">
        <v>2020.0</v>
      </c>
      <c r="B27" s="1">
        <v>1.0</v>
      </c>
      <c r="C27" s="1" t="s">
        <v>68</v>
      </c>
      <c r="D27" s="1" t="s">
        <v>38</v>
      </c>
      <c r="E27" s="1" t="s">
        <v>39</v>
      </c>
      <c r="F27" s="3" t="s">
        <v>95</v>
      </c>
      <c r="G27" s="3"/>
      <c r="H27" s="1" t="s">
        <v>96</v>
      </c>
      <c r="I27" s="1">
        <f t="shared" si="1"/>
        <v>177.535357</v>
      </c>
      <c r="J27" s="1" t="s">
        <v>97</v>
      </c>
      <c r="K27" s="1"/>
      <c r="L27" s="1">
        <v>298.0</v>
      </c>
    </row>
    <row r="28">
      <c r="A28" s="1">
        <v>2020.0</v>
      </c>
      <c r="B28" s="1">
        <v>1.0</v>
      </c>
      <c r="C28" s="1" t="s">
        <v>68</v>
      </c>
      <c r="D28" s="1" t="s">
        <v>98</v>
      </c>
      <c r="E28" s="1" t="s">
        <v>17</v>
      </c>
      <c r="F28" s="1" t="s">
        <v>99</v>
      </c>
      <c r="G28" s="1"/>
      <c r="H28" s="1" t="s">
        <v>100</v>
      </c>
      <c r="I28" s="1">
        <f t="shared" si="1"/>
        <v>119.596253</v>
      </c>
      <c r="J28" s="1" t="s">
        <v>101</v>
      </c>
      <c r="K28" s="1"/>
      <c r="L28" s="1">
        <v>71.0</v>
      </c>
    </row>
    <row r="29">
      <c r="A29" s="1">
        <v>2020.0</v>
      </c>
      <c r="B29" s="1">
        <v>1.0</v>
      </c>
      <c r="C29" s="1" t="s">
        <v>68</v>
      </c>
      <c r="D29" s="1" t="s">
        <v>102</v>
      </c>
      <c r="E29" s="1" t="s">
        <v>39</v>
      </c>
      <c r="F29" s="1" t="s">
        <v>103</v>
      </c>
      <c r="G29" s="1"/>
      <c r="H29" s="1" t="s">
        <v>104</v>
      </c>
      <c r="I29" s="1">
        <f t="shared" si="1"/>
        <v>0.930142</v>
      </c>
      <c r="J29" s="1" t="s">
        <v>75</v>
      </c>
      <c r="K29" s="1"/>
      <c r="L29" s="1">
        <v>2.0</v>
      </c>
    </row>
    <row r="30">
      <c r="A30" s="1">
        <v>2020.0</v>
      </c>
      <c r="B30" s="1">
        <v>1.0</v>
      </c>
      <c r="C30" s="1" t="s">
        <v>68</v>
      </c>
      <c r="D30" s="1" t="s">
        <v>102</v>
      </c>
      <c r="E30" s="1" t="s">
        <v>21</v>
      </c>
      <c r="F30" s="1" t="s">
        <v>105</v>
      </c>
      <c r="G30" s="1"/>
      <c r="H30" s="1" t="s">
        <v>106</v>
      </c>
      <c r="I30" s="1">
        <f t="shared" si="1"/>
        <v>108.540446</v>
      </c>
      <c r="J30" s="1" t="s">
        <v>107</v>
      </c>
      <c r="K30" s="1"/>
      <c r="L30" s="1">
        <v>49.0</v>
      </c>
    </row>
    <row r="31">
      <c r="A31" s="1">
        <v>2020.0</v>
      </c>
      <c r="B31" s="1">
        <v>1.0</v>
      </c>
      <c r="C31" s="1" t="s">
        <v>68</v>
      </c>
      <c r="D31" s="1" t="s">
        <v>108</v>
      </c>
      <c r="E31" s="1" t="s">
        <v>49</v>
      </c>
      <c r="F31" s="3" t="s">
        <v>109</v>
      </c>
      <c r="G31" s="3"/>
      <c r="H31" s="1" t="s">
        <v>110</v>
      </c>
      <c r="I31" s="1">
        <f t="shared" si="1"/>
        <v>51.908766</v>
      </c>
      <c r="J31" s="1" t="s">
        <v>111</v>
      </c>
      <c r="K31" s="1"/>
      <c r="L31" s="1">
        <v>613.0</v>
      </c>
    </row>
    <row r="32">
      <c r="A32" s="1">
        <v>2020.0</v>
      </c>
      <c r="B32" s="1">
        <v>1.0</v>
      </c>
      <c r="C32" s="1" t="s">
        <v>68</v>
      </c>
      <c r="D32" s="1" t="s">
        <v>112</v>
      </c>
      <c r="E32" s="1" t="s">
        <v>21</v>
      </c>
      <c r="F32" s="1" t="s">
        <v>113</v>
      </c>
      <c r="G32" s="1"/>
      <c r="H32" s="1" t="s">
        <v>114</v>
      </c>
      <c r="I32" s="1">
        <f t="shared" si="1"/>
        <v>43.137401</v>
      </c>
      <c r="J32" s="1" t="s">
        <v>115</v>
      </c>
      <c r="K32" s="1"/>
      <c r="L32" s="1">
        <v>0.0</v>
      </c>
    </row>
    <row r="33">
      <c r="A33" s="1">
        <v>2020.0</v>
      </c>
      <c r="B33" s="1">
        <v>1.0</v>
      </c>
      <c r="C33" s="1" t="s">
        <v>116</v>
      </c>
      <c r="D33" s="1" t="s">
        <v>13</v>
      </c>
      <c r="E33" s="1" t="s">
        <v>14</v>
      </c>
      <c r="F33" s="1" t="s">
        <v>117</v>
      </c>
      <c r="G33" s="1"/>
      <c r="H33" s="1" t="s">
        <v>118</v>
      </c>
      <c r="I33" s="1">
        <f t="shared" si="1"/>
        <v>8930.873194</v>
      </c>
      <c r="J33" s="1" t="s">
        <v>119</v>
      </c>
      <c r="K33" s="1"/>
      <c r="L33" s="1">
        <v>10568.0</v>
      </c>
    </row>
    <row r="34">
      <c r="A34" s="1">
        <v>2020.0</v>
      </c>
      <c r="B34" s="1">
        <v>1.0</v>
      </c>
      <c r="C34" s="1" t="s">
        <v>116</v>
      </c>
      <c r="D34" s="1" t="s">
        <v>13</v>
      </c>
      <c r="E34" s="1" t="s">
        <v>17</v>
      </c>
      <c r="F34" s="1" t="s">
        <v>120</v>
      </c>
      <c r="G34" s="1"/>
      <c r="H34" s="1" t="s">
        <v>121</v>
      </c>
      <c r="I34" s="1">
        <f t="shared" si="1"/>
        <v>9457.396412</v>
      </c>
      <c r="J34" s="1" t="s">
        <v>122</v>
      </c>
      <c r="K34" s="1"/>
      <c r="L34" s="1">
        <v>8553.0</v>
      </c>
    </row>
    <row r="35">
      <c r="A35" s="1">
        <v>2020.0</v>
      </c>
      <c r="B35" s="1">
        <v>1.0</v>
      </c>
      <c r="C35" s="1" t="s">
        <v>116</v>
      </c>
      <c r="D35" s="1" t="s">
        <v>13</v>
      </c>
      <c r="E35" s="1" t="s">
        <v>21</v>
      </c>
      <c r="F35" s="1" t="s">
        <v>123</v>
      </c>
      <c r="G35" s="1"/>
      <c r="H35" s="1" t="s">
        <v>124</v>
      </c>
      <c r="I35" s="1">
        <f t="shared" si="1"/>
        <v>4901.080918</v>
      </c>
      <c r="J35" s="1" t="s">
        <v>125</v>
      </c>
      <c r="K35" s="1"/>
      <c r="L35" s="1">
        <v>2638.0</v>
      </c>
    </row>
    <row r="36">
      <c r="A36" s="1">
        <v>2020.0</v>
      </c>
      <c r="B36" s="1">
        <v>1.0</v>
      </c>
      <c r="C36" s="1" t="s">
        <v>116</v>
      </c>
      <c r="D36" s="1" t="s">
        <v>13</v>
      </c>
      <c r="E36" s="1" t="s">
        <v>25</v>
      </c>
      <c r="F36" s="1" t="s">
        <v>126</v>
      </c>
      <c r="G36" s="1"/>
      <c r="H36" s="1" t="s">
        <v>127</v>
      </c>
      <c r="I36" s="1">
        <f t="shared" si="1"/>
        <v>15.311662</v>
      </c>
      <c r="J36" s="1" t="s">
        <v>128</v>
      </c>
      <c r="K36" s="1"/>
      <c r="L36" s="1">
        <v>53.0</v>
      </c>
    </row>
    <row r="37">
      <c r="A37" s="1">
        <v>2020.0</v>
      </c>
      <c r="B37" s="1">
        <v>1.0</v>
      </c>
      <c r="C37" s="1" t="s">
        <v>116</v>
      </c>
      <c r="D37" s="1" t="s">
        <v>29</v>
      </c>
      <c r="E37" s="1" t="s">
        <v>21</v>
      </c>
      <c r="F37" s="1" t="s">
        <v>129</v>
      </c>
      <c r="G37" s="1"/>
      <c r="H37" s="1" t="s">
        <v>130</v>
      </c>
      <c r="I37" s="1">
        <f t="shared" si="1"/>
        <v>9564.403796</v>
      </c>
      <c r="J37" s="1" t="s">
        <v>131</v>
      </c>
      <c r="K37" s="1"/>
      <c r="L37" s="1">
        <v>5157.0</v>
      </c>
    </row>
    <row r="38">
      <c r="A38" s="1">
        <v>2020.0</v>
      </c>
      <c r="B38" s="1">
        <v>1.0</v>
      </c>
      <c r="C38" s="1" t="s">
        <v>116</v>
      </c>
      <c r="D38" s="1" t="s">
        <v>45</v>
      </c>
      <c r="E38" s="1" t="s">
        <v>17</v>
      </c>
      <c r="F38" s="1" t="s">
        <v>132</v>
      </c>
      <c r="G38" s="1"/>
      <c r="H38" s="1" t="s">
        <v>133</v>
      </c>
      <c r="I38" s="1">
        <f t="shared" si="1"/>
        <v>3197.053251</v>
      </c>
      <c r="J38" s="1" t="s">
        <v>134</v>
      </c>
      <c r="K38" s="1"/>
      <c r="L38" s="1">
        <v>6724.0</v>
      </c>
    </row>
    <row r="39">
      <c r="A39" s="1">
        <v>2020.0</v>
      </c>
      <c r="B39" s="1">
        <v>1.0</v>
      </c>
      <c r="C39" s="1" t="s">
        <v>116</v>
      </c>
      <c r="D39" s="1" t="s">
        <v>32</v>
      </c>
      <c r="E39" s="1" t="s">
        <v>14</v>
      </c>
      <c r="F39" s="1" t="s">
        <v>135</v>
      </c>
      <c r="G39" s="1"/>
      <c r="H39" s="1" t="s">
        <v>136</v>
      </c>
      <c r="I39" s="1">
        <f t="shared" si="1"/>
        <v>1090.341146</v>
      </c>
      <c r="J39" s="3">
        <v>1133439.0</v>
      </c>
      <c r="K39" s="3"/>
      <c r="L39" s="1">
        <v>3312.0</v>
      </c>
    </row>
    <row r="40">
      <c r="A40" s="1">
        <v>2020.0</v>
      </c>
      <c r="B40" s="1">
        <v>1.0</v>
      </c>
      <c r="C40" s="1" t="s">
        <v>116</v>
      </c>
      <c r="D40" s="1" t="s">
        <v>32</v>
      </c>
      <c r="E40" s="1" t="s">
        <v>21</v>
      </c>
      <c r="F40" s="3" t="s">
        <v>137</v>
      </c>
      <c r="G40" s="3"/>
      <c r="H40" s="1" t="s">
        <v>138</v>
      </c>
      <c r="I40" s="1">
        <f t="shared" si="1"/>
        <v>918.309789</v>
      </c>
      <c r="J40" s="3" t="s">
        <v>139</v>
      </c>
      <c r="K40" s="3"/>
      <c r="L40" s="1">
        <v>1018.0</v>
      </c>
    </row>
    <row r="41">
      <c r="A41" s="1">
        <v>2020.0</v>
      </c>
      <c r="B41" s="1">
        <v>1.0</v>
      </c>
      <c r="C41" s="1" t="s">
        <v>116</v>
      </c>
      <c r="D41" s="1" t="s">
        <v>42</v>
      </c>
      <c r="E41" s="1" t="s">
        <v>17</v>
      </c>
      <c r="F41" s="3">
        <v>1404845.0</v>
      </c>
      <c r="G41" s="3"/>
      <c r="H41" s="1" t="s">
        <v>140</v>
      </c>
      <c r="I41" s="1">
        <f t="shared" si="1"/>
        <v>811.85142</v>
      </c>
      <c r="J41" s="3" t="s">
        <v>141</v>
      </c>
      <c r="K41" s="3"/>
      <c r="L41" s="1">
        <v>709.0</v>
      </c>
    </row>
    <row r="42">
      <c r="A42" s="1">
        <v>2020.0</v>
      </c>
      <c r="B42" s="1">
        <v>1.0</v>
      </c>
      <c r="C42" s="1" t="s">
        <v>116</v>
      </c>
      <c r="D42" s="1" t="s">
        <v>102</v>
      </c>
      <c r="E42" s="1" t="s">
        <v>39</v>
      </c>
      <c r="F42" s="1" t="s">
        <v>142</v>
      </c>
      <c r="G42" s="1"/>
      <c r="H42" s="1" t="s">
        <v>143</v>
      </c>
      <c r="I42" s="1">
        <f t="shared" si="1"/>
        <v>3.021369</v>
      </c>
      <c r="J42" s="1" t="s">
        <v>144</v>
      </c>
      <c r="K42" s="1"/>
      <c r="L42" s="1">
        <v>10.0</v>
      </c>
    </row>
    <row r="43">
      <c r="A43" s="1">
        <v>2020.0</v>
      </c>
      <c r="B43" s="1">
        <v>1.0</v>
      </c>
      <c r="C43" s="1" t="s">
        <v>116</v>
      </c>
      <c r="D43" s="1" t="s">
        <v>102</v>
      </c>
      <c r="E43" s="1" t="s">
        <v>21</v>
      </c>
      <c r="F43" s="3">
        <v>1989478.0</v>
      </c>
      <c r="G43" s="3"/>
      <c r="H43" s="1" t="s">
        <v>145</v>
      </c>
      <c r="I43" s="1">
        <f t="shared" si="1"/>
        <v>489.019976</v>
      </c>
      <c r="J43" s="1" t="s">
        <v>146</v>
      </c>
      <c r="K43" s="1"/>
      <c r="L43" s="1">
        <v>223.0</v>
      </c>
    </row>
    <row r="44">
      <c r="A44" s="1">
        <v>2020.0</v>
      </c>
      <c r="B44" s="1">
        <v>1.0</v>
      </c>
      <c r="C44" s="1" t="s">
        <v>116</v>
      </c>
      <c r="D44" s="1" t="s">
        <v>147</v>
      </c>
      <c r="E44" s="1" t="s">
        <v>39</v>
      </c>
      <c r="F44" s="3">
        <v>579277.0</v>
      </c>
      <c r="G44" s="3"/>
      <c r="H44" s="1" t="s">
        <v>148</v>
      </c>
      <c r="I44" s="1">
        <f t="shared" si="1"/>
        <v>387.537281</v>
      </c>
      <c r="J44" s="1" t="s">
        <v>149</v>
      </c>
      <c r="K44" s="1"/>
      <c r="L44" s="1">
        <v>100.0</v>
      </c>
    </row>
    <row r="45">
      <c r="A45" s="1">
        <v>2020.0</v>
      </c>
      <c r="B45" s="1">
        <v>1.0</v>
      </c>
      <c r="C45" s="1" t="s">
        <v>116</v>
      </c>
      <c r="D45" s="1" t="s">
        <v>147</v>
      </c>
      <c r="E45" s="1" t="s">
        <v>17</v>
      </c>
      <c r="F45" s="1" t="s">
        <v>150</v>
      </c>
      <c r="G45" s="1"/>
      <c r="H45" s="1" t="s">
        <v>151</v>
      </c>
      <c r="I45" s="1">
        <f t="shared" si="1"/>
        <v>10.497775</v>
      </c>
      <c r="J45" s="1" t="s">
        <v>152</v>
      </c>
      <c r="K45" s="1"/>
      <c r="L45" s="1">
        <v>7.0</v>
      </c>
    </row>
    <row r="46">
      <c r="A46" s="1">
        <v>2020.0</v>
      </c>
      <c r="B46" s="1">
        <v>1.0</v>
      </c>
      <c r="C46" s="1" t="s">
        <v>116</v>
      </c>
      <c r="D46" s="1" t="s">
        <v>147</v>
      </c>
      <c r="E46" s="1" t="s">
        <v>21</v>
      </c>
      <c r="F46" s="1" t="s">
        <v>153</v>
      </c>
      <c r="G46" s="1"/>
      <c r="H46" s="1" t="s">
        <v>154</v>
      </c>
      <c r="I46" s="1">
        <f t="shared" si="1"/>
        <v>36.070235</v>
      </c>
      <c r="J46" s="1" t="s">
        <v>155</v>
      </c>
      <c r="K46" s="1"/>
      <c r="L46" s="1">
        <v>50.0</v>
      </c>
    </row>
    <row r="47">
      <c r="A47" s="1">
        <v>2020.0</v>
      </c>
      <c r="B47" s="1">
        <v>1.0</v>
      </c>
      <c r="C47" s="1" t="s">
        <v>116</v>
      </c>
      <c r="D47" s="1" t="s">
        <v>38</v>
      </c>
      <c r="E47" s="1" t="s">
        <v>39</v>
      </c>
      <c r="F47" s="3">
        <v>4444.0</v>
      </c>
      <c r="G47" s="3"/>
      <c r="H47" s="1" t="s">
        <v>156</v>
      </c>
      <c r="I47" s="1">
        <f t="shared" si="1"/>
        <v>241.683626</v>
      </c>
      <c r="J47" s="1" t="s">
        <v>157</v>
      </c>
      <c r="K47" s="1"/>
      <c r="L47" s="1">
        <v>179.0</v>
      </c>
    </row>
    <row r="48">
      <c r="A48" s="1">
        <v>2020.0</v>
      </c>
      <c r="B48" s="1">
        <v>1.0</v>
      </c>
      <c r="C48" s="1" t="s">
        <v>116</v>
      </c>
      <c r="D48" s="1" t="s">
        <v>158</v>
      </c>
      <c r="E48" s="1" t="s">
        <v>17</v>
      </c>
      <c r="F48" s="1" t="s">
        <v>159</v>
      </c>
      <c r="G48" s="1"/>
      <c r="H48" s="1" t="s">
        <v>160</v>
      </c>
      <c r="I48" s="1">
        <f t="shared" si="1"/>
        <v>25.307236</v>
      </c>
      <c r="J48" s="1" t="s">
        <v>161</v>
      </c>
      <c r="K48" s="1"/>
      <c r="L48" s="1">
        <v>0.0</v>
      </c>
    </row>
    <row r="49">
      <c r="A49" s="1">
        <v>2020.0</v>
      </c>
      <c r="B49" s="1">
        <v>1.0</v>
      </c>
      <c r="C49" s="1" t="s">
        <v>116</v>
      </c>
      <c r="D49" s="1" t="s">
        <v>158</v>
      </c>
      <c r="E49" s="1" t="s">
        <v>21</v>
      </c>
      <c r="F49" s="1" t="s">
        <v>162</v>
      </c>
      <c r="G49" s="1"/>
      <c r="H49" s="1" t="s">
        <v>163</v>
      </c>
      <c r="I49" s="1">
        <f t="shared" si="1"/>
        <v>174.92429</v>
      </c>
      <c r="J49" s="1" t="s">
        <v>164</v>
      </c>
      <c r="K49" s="1"/>
      <c r="L49" s="1">
        <v>0.0</v>
      </c>
    </row>
    <row r="50">
      <c r="A50" s="1">
        <v>2020.0</v>
      </c>
      <c r="B50" s="1">
        <v>1.0</v>
      </c>
      <c r="C50" s="1" t="s">
        <v>116</v>
      </c>
      <c r="D50" s="1" t="s">
        <v>165</v>
      </c>
      <c r="E50" s="1" t="s">
        <v>39</v>
      </c>
      <c r="F50" s="1" t="s">
        <v>167</v>
      </c>
      <c r="G50" s="1"/>
      <c r="H50" s="1" t="s">
        <v>168</v>
      </c>
      <c r="I50" s="1">
        <f t="shared" si="1"/>
        <v>46.280242</v>
      </c>
      <c r="J50" s="1" t="s">
        <v>169</v>
      </c>
      <c r="K50" s="1"/>
      <c r="L50" s="1">
        <v>63.0</v>
      </c>
    </row>
    <row r="51">
      <c r="A51" s="1">
        <v>2020.0</v>
      </c>
      <c r="B51" s="1">
        <v>1.0</v>
      </c>
      <c r="C51" s="1" t="s">
        <v>116</v>
      </c>
      <c r="D51" s="1" t="s">
        <v>165</v>
      </c>
      <c r="E51" s="1" t="s">
        <v>17</v>
      </c>
      <c r="F51" s="1" t="s">
        <v>170</v>
      </c>
      <c r="G51" s="1"/>
      <c r="H51" s="1" t="s">
        <v>171</v>
      </c>
      <c r="I51" s="1">
        <f t="shared" si="1"/>
        <v>144.095549</v>
      </c>
      <c r="J51" s="1" t="s">
        <v>172</v>
      </c>
      <c r="K51" s="1"/>
      <c r="L51" s="1">
        <v>67.0</v>
      </c>
    </row>
    <row r="52">
      <c r="A52" s="1">
        <v>2020.0</v>
      </c>
      <c r="B52" s="1">
        <v>2.0</v>
      </c>
      <c r="C52" s="1" t="s">
        <v>12</v>
      </c>
      <c r="D52" s="1" t="s">
        <v>13</v>
      </c>
      <c r="E52" s="1" t="s">
        <v>14</v>
      </c>
      <c r="F52" s="1" t="s">
        <v>173</v>
      </c>
      <c r="G52" s="1"/>
      <c r="H52" s="1" t="s">
        <v>174</v>
      </c>
      <c r="I52" s="1">
        <f t="shared" si="1"/>
        <v>902.021306</v>
      </c>
      <c r="J52" s="3">
        <v>194736.0</v>
      </c>
      <c r="K52" s="3"/>
      <c r="L52" s="1">
        <v>479.0</v>
      </c>
    </row>
    <row r="53">
      <c r="A53" s="1">
        <v>2020.0</v>
      </c>
      <c r="B53" s="1">
        <v>2.0</v>
      </c>
      <c r="C53" s="1" t="s">
        <v>12</v>
      </c>
      <c r="D53" s="1" t="s">
        <v>13</v>
      </c>
      <c r="E53" s="1" t="s">
        <v>17</v>
      </c>
      <c r="F53" s="1" t="s">
        <v>175</v>
      </c>
      <c r="G53" s="1"/>
      <c r="H53" s="1" t="s">
        <v>176</v>
      </c>
      <c r="I53" s="1">
        <f t="shared" si="1"/>
        <v>5267.687694</v>
      </c>
      <c r="J53" s="1" t="s">
        <v>177</v>
      </c>
      <c r="K53" s="1"/>
      <c r="L53" s="1">
        <v>771.0</v>
      </c>
    </row>
    <row r="54">
      <c r="A54" s="1">
        <v>2020.0</v>
      </c>
      <c r="B54" s="1">
        <v>2.0</v>
      </c>
      <c r="C54" s="1" t="s">
        <v>12</v>
      </c>
      <c r="D54" s="1" t="s">
        <v>13</v>
      </c>
      <c r="E54" s="1" t="s">
        <v>21</v>
      </c>
      <c r="F54" s="1" t="s">
        <v>178</v>
      </c>
      <c r="G54" s="1"/>
      <c r="H54" s="1" t="s">
        <v>179</v>
      </c>
      <c r="I54" s="1">
        <f t="shared" si="1"/>
        <v>5737.79897</v>
      </c>
      <c r="J54" s="1" t="s">
        <v>180</v>
      </c>
      <c r="K54" s="1"/>
      <c r="L54" s="1">
        <v>648.0</v>
      </c>
    </row>
    <row r="55">
      <c r="A55" s="1">
        <v>2020.0</v>
      </c>
      <c r="B55" s="1">
        <v>2.0</v>
      </c>
      <c r="C55" s="1" t="s">
        <v>12</v>
      </c>
      <c r="D55" s="1" t="s">
        <v>13</v>
      </c>
      <c r="E55" s="1" t="s">
        <v>25</v>
      </c>
      <c r="F55" s="1" t="s">
        <v>182</v>
      </c>
      <c r="G55" s="1"/>
      <c r="H55" s="1" t="s">
        <v>184</v>
      </c>
      <c r="I55" s="1">
        <f t="shared" si="1"/>
        <v>61.337886</v>
      </c>
      <c r="J55" s="1" t="s">
        <v>185</v>
      </c>
      <c r="K55" s="1"/>
      <c r="L55" s="1">
        <v>23.0</v>
      </c>
    </row>
    <row r="56">
      <c r="A56" s="1">
        <v>2020.0</v>
      </c>
      <c r="B56" s="1">
        <v>2.0</v>
      </c>
      <c r="C56" s="1" t="s">
        <v>12</v>
      </c>
      <c r="D56" s="1" t="s">
        <v>29</v>
      </c>
      <c r="E56" s="1" t="s">
        <v>21</v>
      </c>
      <c r="F56" s="1" t="s">
        <v>187</v>
      </c>
      <c r="G56" s="1"/>
      <c r="H56" s="1" t="s">
        <v>188</v>
      </c>
      <c r="I56" s="1">
        <f t="shared" si="1"/>
        <v>3177.907308</v>
      </c>
      <c r="J56" s="1" t="s">
        <v>189</v>
      </c>
      <c r="K56" s="1"/>
      <c r="L56" s="1">
        <v>668.0</v>
      </c>
    </row>
    <row r="57">
      <c r="A57" s="1">
        <v>2020.0</v>
      </c>
      <c r="B57" s="1">
        <v>2.0</v>
      </c>
      <c r="C57" s="1" t="s">
        <v>12</v>
      </c>
      <c r="D57" s="1" t="s">
        <v>32</v>
      </c>
      <c r="E57" s="1" t="s">
        <v>14</v>
      </c>
      <c r="F57" s="1" t="s">
        <v>190</v>
      </c>
      <c r="G57" s="1"/>
      <c r="H57" s="1" t="s">
        <v>191</v>
      </c>
      <c r="I57" s="1">
        <f t="shared" si="1"/>
        <v>874.324135</v>
      </c>
      <c r="J57" s="3">
        <v>1915758.0</v>
      </c>
      <c r="K57" s="3"/>
      <c r="L57" s="1">
        <v>525.0</v>
      </c>
    </row>
    <row r="58">
      <c r="A58" s="1">
        <v>2020.0</v>
      </c>
      <c r="B58" s="1">
        <v>2.0</v>
      </c>
      <c r="C58" s="1" t="s">
        <v>12</v>
      </c>
      <c r="D58" s="1" t="s">
        <v>32</v>
      </c>
      <c r="E58" s="1" t="s">
        <v>21</v>
      </c>
      <c r="F58" s="3">
        <v>903671.0</v>
      </c>
      <c r="G58" s="3"/>
      <c r="H58" s="1" t="s">
        <v>192</v>
      </c>
      <c r="I58" s="1">
        <f t="shared" si="1"/>
        <v>443.556823</v>
      </c>
      <c r="J58" s="3">
        <v>1303187.0</v>
      </c>
      <c r="K58" s="3"/>
      <c r="L58" s="1">
        <v>319.0</v>
      </c>
    </row>
    <row r="59">
      <c r="A59" s="1">
        <v>2020.0</v>
      </c>
      <c r="B59" s="1">
        <v>2.0</v>
      </c>
      <c r="C59" s="1" t="s">
        <v>12</v>
      </c>
      <c r="D59" s="1" t="s">
        <v>38</v>
      </c>
      <c r="E59" s="1" t="s">
        <v>39</v>
      </c>
      <c r="F59" s="3" t="s">
        <v>193</v>
      </c>
      <c r="G59" s="3"/>
      <c r="H59" s="1" t="s">
        <v>194</v>
      </c>
      <c r="I59" s="1">
        <f t="shared" si="1"/>
        <v>306.878801</v>
      </c>
      <c r="J59" s="1" t="s">
        <v>195</v>
      </c>
      <c r="K59" s="1"/>
      <c r="L59" s="1">
        <v>89.0</v>
      </c>
    </row>
    <row r="60">
      <c r="A60" s="1">
        <v>2020.0</v>
      </c>
      <c r="B60" s="1">
        <v>2.0</v>
      </c>
      <c r="C60" s="1" t="s">
        <v>12</v>
      </c>
      <c r="D60" s="1" t="s">
        <v>42</v>
      </c>
      <c r="E60" s="1" t="s">
        <v>17</v>
      </c>
      <c r="F60" s="3">
        <v>2420829.0</v>
      </c>
      <c r="G60" s="3"/>
      <c r="H60" s="1" t="s">
        <v>196</v>
      </c>
      <c r="I60" s="1">
        <f t="shared" si="1"/>
        <v>281.485434</v>
      </c>
      <c r="J60" s="1" t="s">
        <v>197</v>
      </c>
      <c r="K60" s="1"/>
      <c r="L60" s="1">
        <v>93.0</v>
      </c>
    </row>
    <row r="61">
      <c r="A61" s="1">
        <v>2020.0</v>
      </c>
      <c r="B61" s="1">
        <v>2.0</v>
      </c>
      <c r="C61" s="1" t="s">
        <v>12</v>
      </c>
      <c r="D61" s="1" t="s">
        <v>45</v>
      </c>
      <c r="E61" s="1" t="s">
        <v>17</v>
      </c>
      <c r="F61" s="1" t="s">
        <v>203</v>
      </c>
      <c r="G61" s="1"/>
      <c r="H61" s="1" t="s">
        <v>204</v>
      </c>
      <c r="I61" s="1">
        <f t="shared" si="1"/>
        <v>184.941745</v>
      </c>
      <c r="J61" s="1" t="s">
        <v>206</v>
      </c>
      <c r="K61" s="1"/>
      <c r="L61" s="1">
        <v>168.0</v>
      </c>
    </row>
    <row r="62">
      <c r="A62" s="1">
        <v>2020.0</v>
      </c>
      <c r="B62" s="1">
        <v>2.0</v>
      </c>
      <c r="C62" s="1" t="s">
        <v>12</v>
      </c>
      <c r="D62" s="1" t="s">
        <v>48</v>
      </c>
      <c r="E62" s="1" t="s">
        <v>49</v>
      </c>
      <c r="F62" s="1" t="s">
        <v>207</v>
      </c>
      <c r="G62" s="1"/>
      <c r="H62" s="1" t="s">
        <v>208</v>
      </c>
      <c r="I62" s="1">
        <f t="shared" si="1"/>
        <v>2.004698</v>
      </c>
      <c r="J62" s="1" t="s">
        <v>144</v>
      </c>
      <c r="K62" s="1"/>
      <c r="L62" s="1">
        <v>4.0</v>
      </c>
    </row>
    <row r="63">
      <c r="A63" s="1">
        <v>2020.0</v>
      </c>
      <c r="B63" s="1">
        <v>2.0</v>
      </c>
      <c r="C63" s="1" t="s">
        <v>12</v>
      </c>
      <c r="D63" s="1" t="s">
        <v>48</v>
      </c>
      <c r="E63" s="1" t="s">
        <v>21</v>
      </c>
      <c r="F63" s="1" t="s">
        <v>209</v>
      </c>
      <c r="G63" s="1"/>
      <c r="H63" s="1" t="s">
        <v>210</v>
      </c>
      <c r="I63" s="1">
        <f t="shared" si="1"/>
        <v>106.299765</v>
      </c>
      <c r="J63" s="1" t="s">
        <v>212</v>
      </c>
      <c r="K63" s="1"/>
      <c r="L63" s="1">
        <v>108.0</v>
      </c>
    </row>
    <row r="64">
      <c r="A64" s="1">
        <v>2020.0</v>
      </c>
      <c r="B64" s="1">
        <v>2.0</v>
      </c>
      <c r="C64" s="1" t="s">
        <v>12</v>
      </c>
      <c r="D64" s="1" t="s">
        <v>56</v>
      </c>
      <c r="E64" s="1" t="s">
        <v>21</v>
      </c>
      <c r="F64" s="1" t="s">
        <v>213</v>
      </c>
      <c r="G64" s="1"/>
      <c r="H64" s="1" t="s">
        <v>214</v>
      </c>
      <c r="I64" s="1">
        <f t="shared" si="1"/>
        <v>57.967151</v>
      </c>
      <c r="J64" s="1" t="s">
        <v>215</v>
      </c>
      <c r="K64" s="1"/>
      <c r="L64" s="1">
        <v>93.0</v>
      </c>
    </row>
    <row r="65">
      <c r="A65" s="1">
        <v>2020.0</v>
      </c>
      <c r="B65" s="1">
        <v>2.0</v>
      </c>
      <c r="C65" s="1" t="s">
        <v>12</v>
      </c>
      <c r="D65" s="1" t="s">
        <v>60</v>
      </c>
      <c r="E65" s="1" t="s">
        <v>39</v>
      </c>
      <c r="F65" s="1" t="s">
        <v>216</v>
      </c>
      <c r="G65" s="1"/>
      <c r="H65" s="1" t="s">
        <v>217</v>
      </c>
      <c r="I65" s="1">
        <f t="shared" si="1"/>
        <v>50.762267</v>
      </c>
      <c r="J65" s="1" t="s">
        <v>219</v>
      </c>
      <c r="K65" s="1"/>
      <c r="L65" s="1">
        <v>0.0</v>
      </c>
    </row>
    <row r="66">
      <c r="A66" s="1">
        <v>2020.0</v>
      </c>
      <c r="B66" s="1">
        <v>2.0</v>
      </c>
      <c r="C66" s="1" t="s">
        <v>12</v>
      </c>
      <c r="D66" s="1" t="s">
        <v>64</v>
      </c>
      <c r="E66" s="1" t="s">
        <v>21</v>
      </c>
      <c r="F66" s="1" t="s">
        <v>221</v>
      </c>
      <c r="G66" s="1"/>
      <c r="H66" s="1" t="s">
        <v>222</v>
      </c>
      <c r="I66" s="1">
        <f t="shared" si="1"/>
        <v>46.506611</v>
      </c>
      <c r="J66" s="1" t="s">
        <v>223</v>
      </c>
      <c r="K66" s="1"/>
      <c r="L66" s="1">
        <v>70.0</v>
      </c>
    </row>
    <row r="67">
      <c r="A67" s="1">
        <v>2020.0</v>
      </c>
      <c r="B67" s="1">
        <v>2.0</v>
      </c>
      <c r="C67" s="1" t="s">
        <v>68</v>
      </c>
      <c r="D67" s="1" t="s">
        <v>13</v>
      </c>
      <c r="E67" s="1" t="s">
        <v>14</v>
      </c>
      <c r="F67" s="1" t="s">
        <v>224</v>
      </c>
      <c r="G67" s="1"/>
      <c r="H67" s="1" t="s">
        <v>225</v>
      </c>
      <c r="I67" s="1">
        <f t="shared" si="1"/>
        <v>3973.243146</v>
      </c>
      <c r="J67" s="1" t="s">
        <v>226</v>
      </c>
      <c r="K67" s="1"/>
      <c r="L67" s="1">
        <v>8031.0</v>
      </c>
    </row>
    <row r="68">
      <c r="A68" s="1">
        <v>2020.0</v>
      </c>
      <c r="B68" s="1">
        <v>2.0</v>
      </c>
      <c r="C68" s="1" t="s">
        <v>68</v>
      </c>
      <c r="D68" s="1" t="s">
        <v>13</v>
      </c>
      <c r="E68" s="1" t="s">
        <v>72</v>
      </c>
      <c r="F68" s="1" t="s">
        <v>227</v>
      </c>
      <c r="G68" s="1"/>
      <c r="H68" s="1" t="s">
        <v>229</v>
      </c>
      <c r="I68" s="1">
        <f t="shared" si="1"/>
        <v>2.724914</v>
      </c>
      <c r="J68" s="1" t="s">
        <v>230</v>
      </c>
      <c r="K68" s="1"/>
      <c r="L68" s="1">
        <v>16.0</v>
      </c>
    </row>
    <row r="69">
      <c r="A69" s="1">
        <v>2020.0</v>
      </c>
      <c r="B69" s="1">
        <v>2.0</v>
      </c>
      <c r="C69" s="1" t="s">
        <v>68</v>
      </c>
      <c r="D69" s="1" t="s">
        <v>13</v>
      </c>
      <c r="E69" s="1" t="s">
        <v>17</v>
      </c>
      <c r="F69" s="1" t="s">
        <v>232</v>
      </c>
      <c r="G69" s="1"/>
      <c r="H69" s="1" t="s">
        <v>233</v>
      </c>
      <c r="I69" s="1">
        <f t="shared" si="1"/>
        <v>6994.827867</v>
      </c>
      <c r="J69" s="1" t="s">
        <v>234</v>
      </c>
      <c r="K69" s="1"/>
      <c r="L69" s="1">
        <v>9400.0</v>
      </c>
    </row>
    <row r="70">
      <c r="A70" s="1">
        <v>2020.0</v>
      </c>
      <c r="B70" s="1">
        <v>2.0</v>
      </c>
      <c r="C70" s="1" t="s">
        <v>68</v>
      </c>
      <c r="D70" s="1" t="s">
        <v>13</v>
      </c>
      <c r="E70" s="1" t="s">
        <v>21</v>
      </c>
      <c r="F70" s="3" t="s">
        <v>235</v>
      </c>
      <c r="G70" s="3"/>
      <c r="H70" s="1" t="s">
        <v>236</v>
      </c>
      <c r="I70" s="1">
        <f t="shared" si="1"/>
        <v>839.264868</v>
      </c>
      <c r="J70" s="3" t="s">
        <v>237</v>
      </c>
      <c r="K70" s="3"/>
      <c r="L70" s="1">
        <v>1291.0</v>
      </c>
    </row>
    <row r="71">
      <c r="A71" s="1">
        <v>2020.0</v>
      </c>
      <c r="B71" s="1">
        <v>2.0</v>
      </c>
      <c r="C71" s="1" t="s">
        <v>68</v>
      </c>
      <c r="D71" s="1" t="s">
        <v>13</v>
      </c>
      <c r="E71" s="1" t="s">
        <v>25</v>
      </c>
      <c r="F71" s="1" t="s">
        <v>239</v>
      </c>
      <c r="G71" s="1"/>
      <c r="H71" s="1" t="s">
        <v>240</v>
      </c>
      <c r="I71" s="1">
        <f t="shared" si="1"/>
        <v>79.266848</v>
      </c>
      <c r="J71" s="1" t="s">
        <v>241</v>
      </c>
      <c r="K71" s="1"/>
      <c r="L71" s="1">
        <v>279.0</v>
      </c>
    </row>
    <row r="72">
      <c r="A72" s="1">
        <v>2020.0</v>
      </c>
      <c r="B72" s="1">
        <v>2.0</v>
      </c>
      <c r="C72" s="1" t="s">
        <v>68</v>
      </c>
      <c r="D72" s="1" t="s">
        <v>45</v>
      </c>
      <c r="E72" s="1" t="s">
        <v>17</v>
      </c>
      <c r="F72" s="1" t="s">
        <v>243</v>
      </c>
      <c r="G72" s="1"/>
      <c r="H72" s="1" t="s">
        <v>244</v>
      </c>
      <c r="I72" s="1">
        <f t="shared" si="1"/>
        <v>2210.363738</v>
      </c>
      <c r="J72" s="1" t="s">
        <v>245</v>
      </c>
      <c r="K72" s="1"/>
      <c r="L72" s="1">
        <v>5524.0</v>
      </c>
    </row>
    <row r="73">
      <c r="A73" s="1">
        <v>2020.0</v>
      </c>
      <c r="B73" s="1">
        <v>2.0</v>
      </c>
      <c r="C73" s="1" t="s">
        <v>68</v>
      </c>
      <c r="D73" s="1" t="s">
        <v>29</v>
      </c>
      <c r="E73" s="1" t="s">
        <v>21</v>
      </c>
      <c r="F73" s="1" t="s">
        <v>246</v>
      </c>
      <c r="G73" s="1"/>
      <c r="H73" s="1" t="s">
        <v>247</v>
      </c>
      <c r="I73" s="1">
        <f t="shared" si="1"/>
        <v>1969.556878</v>
      </c>
      <c r="J73" s="3">
        <v>1667425.0</v>
      </c>
      <c r="K73" s="3"/>
      <c r="L73" s="1">
        <v>1919.0</v>
      </c>
    </row>
    <row r="74">
      <c r="A74" s="1">
        <v>2020.0</v>
      </c>
      <c r="B74" s="1">
        <v>2.0</v>
      </c>
      <c r="C74" s="1" t="s">
        <v>68</v>
      </c>
      <c r="D74" s="1" t="s">
        <v>32</v>
      </c>
      <c r="E74" s="1" t="s">
        <v>14</v>
      </c>
      <c r="F74" s="3">
        <v>1852543.0</v>
      </c>
      <c r="G74" s="3"/>
      <c r="H74" s="1" t="s">
        <v>249</v>
      </c>
      <c r="I74" s="1">
        <f t="shared" si="1"/>
        <v>195.339862</v>
      </c>
      <c r="J74" s="1" t="s">
        <v>250</v>
      </c>
      <c r="K74" s="1"/>
      <c r="L74" s="1">
        <v>1549.0</v>
      </c>
    </row>
    <row r="75">
      <c r="A75" s="1">
        <v>2020.0</v>
      </c>
      <c r="B75" s="1">
        <v>2.0</v>
      </c>
      <c r="C75" s="1" t="s">
        <v>68</v>
      </c>
      <c r="D75" s="1" t="s">
        <v>32</v>
      </c>
      <c r="E75" s="1" t="s">
        <v>21</v>
      </c>
      <c r="F75" s="3" t="s">
        <v>252</v>
      </c>
      <c r="G75" s="3"/>
      <c r="H75" s="1" t="s">
        <v>253</v>
      </c>
      <c r="I75" s="1">
        <f t="shared" si="1"/>
        <v>203.567716</v>
      </c>
      <c r="J75" s="1" t="s">
        <v>254</v>
      </c>
      <c r="K75" s="1"/>
      <c r="L75" s="1">
        <v>518.0</v>
      </c>
    </row>
    <row r="76">
      <c r="A76" s="1">
        <v>2020.0</v>
      </c>
      <c r="B76" s="1">
        <v>2.0</v>
      </c>
      <c r="C76" s="1" t="s">
        <v>68</v>
      </c>
      <c r="D76" s="1" t="s">
        <v>42</v>
      </c>
      <c r="E76" s="1" t="s">
        <v>17</v>
      </c>
      <c r="F76" s="1" t="s">
        <v>255</v>
      </c>
      <c r="G76" s="1"/>
      <c r="H76" s="1" t="s">
        <v>256</v>
      </c>
      <c r="I76" s="1">
        <f t="shared" si="1"/>
        <v>178.409536</v>
      </c>
      <c r="J76" s="1" t="s">
        <v>257</v>
      </c>
      <c r="K76" s="1"/>
      <c r="L76" s="1">
        <v>253.0</v>
      </c>
    </row>
    <row r="77">
      <c r="A77" s="1">
        <v>2020.0</v>
      </c>
      <c r="B77" s="1">
        <v>2.0</v>
      </c>
      <c r="C77" s="1" t="s">
        <v>68</v>
      </c>
      <c r="D77" s="1" t="s">
        <v>102</v>
      </c>
      <c r="E77" s="1" t="s">
        <v>39</v>
      </c>
      <c r="F77" s="1" t="s">
        <v>259</v>
      </c>
      <c r="G77" s="1"/>
      <c r="H77" s="1" t="s">
        <v>260</v>
      </c>
      <c r="I77" s="1">
        <f t="shared" si="1"/>
        <v>22.854508</v>
      </c>
      <c r="J77" s="1" t="s">
        <v>261</v>
      </c>
      <c r="K77" s="1"/>
      <c r="L77" s="1">
        <v>51.0</v>
      </c>
    </row>
    <row r="78">
      <c r="A78" s="1">
        <v>2020.0</v>
      </c>
      <c r="B78" s="1">
        <v>2.0</v>
      </c>
      <c r="C78" s="1" t="s">
        <v>68</v>
      </c>
      <c r="D78" s="1" t="s">
        <v>102</v>
      </c>
      <c r="E78" s="1" t="s">
        <v>21</v>
      </c>
      <c r="F78" s="1" t="s">
        <v>263</v>
      </c>
      <c r="G78" s="1"/>
      <c r="H78" s="1" t="s">
        <v>264</v>
      </c>
      <c r="I78" s="1">
        <f t="shared" si="1"/>
        <v>131.38103</v>
      </c>
      <c r="J78" s="1" t="s">
        <v>265</v>
      </c>
      <c r="K78" s="1"/>
      <c r="L78" s="1">
        <v>84.0</v>
      </c>
    </row>
    <row r="79">
      <c r="A79" s="1">
        <v>2020.0</v>
      </c>
      <c r="B79" s="1">
        <v>2.0</v>
      </c>
      <c r="C79" s="1" t="s">
        <v>68</v>
      </c>
      <c r="D79" s="1" t="s">
        <v>38</v>
      </c>
      <c r="E79" s="1" t="s">
        <v>39</v>
      </c>
      <c r="F79" s="3" t="s">
        <v>267</v>
      </c>
      <c r="G79" s="3"/>
      <c r="H79" s="1" t="s">
        <v>268</v>
      </c>
      <c r="I79" s="1">
        <f t="shared" si="1"/>
        <v>91.413191</v>
      </c>
      <c r="J79" s="1" t="s">
        <v>269</v>
      </c>
      <c r="K79" s="1"/>
      <c r="L79" s="1">
        <v>233.0</v>
      </c>
    </row>
    <row r="80">
      <c r="A80" s="1">
        <v>2020.0</v>
      </c>
      <c r="B80" s="1">
        <v>2.0</v>
      </c>
      <c r="C80" s="1" t="s">
        <v>68</v>
      </c>
      <c r="D80" s="1" t="s">
        <v>48</v>
      </c>
      <c r="E80" s="1" t="s">
        <v>21</v>
      </c>
      <c r="F80" s="1" t="s">
        <v>270</v>
      </c>
      <c r="G80" s="1"/>
      <c r="H80" s="1" t="s">
        <v>271</v>
      </c>
      <c r="I80" s="1">
        <f t="shared" si="1"/>
        <v>40.453398</v>
      </c>
      <c r="J80" s="1" t="s">
        <v>272</v>
      </c>
      <c r="K80" s="1"/>
      <c r="L80" s="1">
        <v>282.0</v>
      </c>
    </row>
    <row r="81">
      <c r="A81" s="1">
        <v>2020.0</v>
      </c>
      <c r="B81" s="1">
        <v>2.0</v>
      </c>
      <c r="C81" s="1" t="s">
        <v>68</v>
      </c>
      <c r="D81" s="1" t="s">
        <v>165</v>
      </c>
      <c r="E81" s="1" t="s">
        <v>39</v>
      </c>
      <c r="F81" s="1" t="s">
        <v>274</v>
      </c>
      <c r="G81" s="1"/>
      <c r="H81" s="1" t="s">
        <v>275</v>
      </c>
      <c r="I81" s="1">
        <f t="shared" si="1"/>
        <v>3.238388</v>
      </c>
      <c r="J81" s="1" t="s">
        <v>276</v>
      </c>
      <c r="K81" s="1"/>
      <c r="L81" s="1">
        <v>0.0</v>
      </c>
    </row>
    <row r="82">
      <c r="A82" s="1">
        <v>2020.0</v>
      </c>
      <c r="B82" s="1">
        <v>2.0</v>
      </c>
      <c r="C82" s="1" t="s">
        <v>68</v>
      </c>
      <c r="D82" s="1" t="s">
        <v>165</v>
      </c>
      <c r="E82" s="1" t="s">
        <v>17</v>
      </c>
      <c r="F82" s="1" t="s">
        <v>278</v>
      </c>
      <c r="G82" s="1"/>
      <c r="H82" s="1" t="s">
        <v>279</v>
      </c>
      <c r="I82" s="1">
        <f t="shared" si="1"/>
        <v>36.294018</v>
      </c>
      <c r="J82" s="1" t="s">
        <v>280</v>
      </c>
      <c r="K82" s="1"/>
      <c r="L82" s="1">
        <v>0.0</v>
      </c>
    </row>
    <row r="83">
      <c r="A83" s="1">
        <v>2020.0</v>
      </c>
      <c r="B83" s="1">
        <v>2.0</v>
      </c>
      <c r="C83" s="1" t="s">
        <v>68</v>
      </c>
      <c r="D83" s="1" t="s">
        <v>281</v>
      </c>
      <c r="E83" s="1" t="s">
        <v>72</v>
      </c>
      <c r="F83" s="1" t="s">
        <v>282</v>
      </c>
      <c r="G83" s="1"/>
      <c r="H83" s="1" t="s">
        <v>283</v>
      </c>
      <c r="I83" s="1">
        <f t="shared" si="1"/>
        <v>27.976055</v>
      </c>
      <c r="J83" s="1" t="s">
        <v>284</v>
      </c>
      <c r="K83" s="1"/>
      <c r="L83" s="1">
        <v>0.0</v>
      </c>
    </row>
    <row r="84">
      <c r="A84" s="1">
        <v>2020.0</v>
      </c>
      <c r="B84" s="1">
        <v>2.0</v>
      </c>
      <c r="C84" s="1" t="s">
        <v>68</v>
      </c>
      <c r="D84" s="1" t="s">
        <v>281</v>
      </c>
      <c r="E84" s="1" t="s">
        <v>21</v>
      </c>
      <c r="F84" s="1" t="s">
        <v>285</v>
      </c>
      <c r="G84" s="1"/>
      <c r="H84" s="1" t="s">
        <v>286</v>
      </c>
      <c r="I84" s="1">
        <f t="shared" si="1"/>
        <v>2.716891</v>
      </c>
      <c r="J84" s="1" t="s">
        <v>287</v>
      </c>
      <c r="K84" s="1"/>
      <c r="L84" s="1">
        <v>0.0</v>
      </c>
    </row>
    <row r="85">
      <c r="A85" s="1">
        <v>2020.0</v>
      </c>
      <c r="B85" s="1">
        <v>2.0</v>
      </c>
      <c r="C85" s="1" t="s">
        <v>116</v>
      </c>
      <c r="D85" s="1" t="s">
        <v>13</v>
      </c>
      <c r="E85" s="1" t="s">
        <v>14</v>
      </c>
      <c r="F85" s="1" t="s">
        <v>288</v>
      </c>
      <c r="G85" s="1"/>
      <c r="H85" s="1" t="s">
        <v>289</v>
      </c>
      <c r="I85" s="1">
        <f t="shared" si="1"/>
        <v>6261.83286</v>
      </c>
      <c r="J85" s="1" t="s">
        <v>290</v>
      </c>
      <c r="K85" s="1"/>
      <c r="L85" s="1">
        <v>9957.0</v>
      </c>
    </row>
    <row r="86">
      <c r="A86" s="1">
        <v>2020.0</v>
      </c>
      <c r="B86" s="1">
        <v>2.0</v>
      </c>
      <c r="C86" s="1" t="s">
        <v>116</v>
      </c>
      <c r="D86" s="1" t="s">
        <v>13</v>
      </c>
      <c r="E86" s="1" t="s">
        <v>17</v>
      </c>
      <c r="F86" s="1" t="s">
        <v>292</v>
      </c>
      <c r="G86" s="1"/>
      <c r="H86" s="1" t="s">
        <v>293</v>
      </c>
      <c r="I86" s="1">
        <f t="shared" si="1"/>
        <v>10193.82932</v>
      </c>
      <c r="J86" s="1" t="s">
        <v>294</v>
      </c>
      <c r="K86" s="1"/>
      <c r="L86" s="1">
        <v>8768.0</v>
      </c>
    </row>
    <row r="87">
      <c r="A87" s="1">
        <v>2020.0</v>
      </c>
      <c r="B87" s="1">
        <v>2.0</v>
      </c>
      <c r="C87" s="1" t="s">
        <v>116</v>
      </c>
      <c r="D87" s="1" t="s">
        <v>13</v>
      </c>
      <c r="E87" s="1" t="s">
        <v>21</v>
      </c>
      <c r="F87" s="1" t="s">
        <v>295</v>
      </c>
      <c r="G87" s="1"/>
      <c r="H87" s="1" t="s">
        <v>296</v>
      </c>
      <c r="I87" s="1">
        <f t="shared" si="1"/>
        <v>3303.863573</v>
      </c>
      <c r="J87" s="3">
        <v>1481029.0</v>
      </c>
      <c r="K87" s="3"/>
      <c r="L87" s="1">
        <v>2630.0</v>
      </c>
    </row>
    <row r="88">
      <c r="A88" s="1">
        <v>2020.0</v>
      </c>
      <c r="B88" s="1">
        <v>2.0</v>
      </c>
      <c r="C88" s="1" t="s">
        <v>116</v>
      </c>
      <c r="D88" s="1" t="s">
        <v>13</v>
      </c>
      <c r="E88" s="1" t="s">
        <v>25</v>
      </c>
      <c r="F88" s="1" t="s">
        <v>297</v>
      </c>
      <c r="G88" s="1"/>
      <c r="H88" s="1" t="s">
        <v>298</v>
      </c>
      <c r="I88" s="1">
        <f t="shared" si="1"/>
        <v>16.051771</v>
      </c>
      <c r="J88" s="1" t="s">
        <v>299</v>
      </c>
      <c r="K88" s="1"/>
      <c r="L88" s="1">
        <v>53.0</v>
      </c>
    </row>
    <row r="89">
      <c r="A89" s="1">
        <v>2020.0</v>
      </c>
      <c r="B89" s="1">
        <v>2.0</v>
      </c>
      <c r="C89" s="1" t="s">
        <v>116</v>
      </c>
      <c r="D89" s="1" t="s">
        <v>29</v>
      </c>
      <c r="E89" s="1" t="s">
        <v>21</v>
      </c>
      <c r="F89" s="1" t="s">
        <v>301</v>
      </c>
      <c r="G89" s="1"/>
      <c r="H89" s="1" t="s">
        <v>302</v>
      </c>
      <c r="I89" s="1">
        <f t="shared" si="1"/>
        <v>5580.485107</v>
      </c>
      <c r="J89" s="3">
        <v>572671.0</v>
      </c>
      <c r="K89" s="3"/>
      <c r="L89" s="1">
        <v>3891.0</v>
      </c>
    </row>
    <row r="90">
      <c r="A90" s="1">
        <v>2020.0</v>
      </c>
      <c r="B90" s="1">
        <v>2.0</v>
      </c>
      <c r="C90" s="1" t="s">
        <v>116</v>
      </c>
      <c r="D90" s="1" t="s">
        <v>45</v>
      </c>
      <c r="E90" s="1" t="s">
        <v>17</v>
      </c>
      <c r="F90" s="1" t="s">
        <v>303</v>
      </c>
      <c r="G90" s="1"/>
      <c r="H90" s="1" t="s">
        <v>304</v>
      </c>
      <c r="I90" s="1">
        <f t="shared" si="1"/>
        <v>2388.342617</v>
      </c>
      <c r="J90" s="1" t="s">
        <v>305</v>
      </c>
      <c r="K90" s="1"/>
      <c r="L90" s="1">
        <v>6043.0</v>
      </c>
    </row>
    <row r="91">
      <c r="A91" s="1">
        <v>2020.0</v>
      </c>
      <c r="B91" s="1">
        <v>2.0</v>
      </c>
      <c r="C91" s="1" t="s">
        <v>116</v>
      </c>
      <c r="D91" s="1" t="s">
        <v>32</v>
      </c>
      <c r="E91" s="1" t="s">
        <v>14</v>
      </c>
      <c r="F91" s="1" t="s">
        <v>306</v>
      </c>
      <c r="G91" s="1"/>
      <c r="H91" s="1" t="s">
        <v>307</v>
      </c>
      <c r="I91" s="1">
        <f t="shared" si="1"/>
        <v>564.161924</v>
      </c>
      <c r="J91" s="3" t="s">
        <v>308</v>
      </c>
      <c r="K91" s="3"/>
      <c r="L91" s="1">
        <v>2546.0</v>
      </c>
    </row>
    <row r="92">
      <c r="A92" s="1">
        <v>2020.0</v>
      </c>
      <c r="B92" s="1">
        <v>2.0</v>
      </c>
      <c r="C92" s="1" t="s">
        <v>116</v>
      </c>
      <c r="D92" s="1" t="s">
        <v>32</v>
      </c>
      <c r="E92" s="1" t="s">
        <v>21</v>
      </c>
      <c r="F92" s="3">
        <v>92529.0</v>
      </c>
      <c r="G92" s="3"/>
      <c r="H92" s="1" t="s">
        <v>309</v>
      </c>
      <c r="I92" s="1">
        <f t="shared" si="1"/>
        <v>824.082768</v>
      </c>
      <c r="J92" s="3">
        <v>572733.0</v>
      </c>
      <c r="K92" s="3"/>
      <c r="L92" s="1">
        <v>1093.0</v>
      </c>
    </row>
    <row r="93">
      <c r="A93" s="1">
        <v>2020.0</v>
      </c>
      <c r="B93" s="1">
        <v>2.0</v>
      </c>
      <c r="C93" s="1" t="s">
        <v>116</v>
      </c>
      <c r="D93" s="1" t="s">
        <v>42</v>
      </c>
      <c r="E93" s="1" t="s">
        <v>17</v>
      </c>
      <c r="F93" s="3">
        <v>2899205.0</v>
      </c>
      <c r="G93" s="3"/>
      <c r="H93" s="1" t="s">
        <v>310</v>
      </c>
      <c r="I93" s="1">
        <f t="shared" si="1"/>
        <v>1386.735499</v>
      </c>
      <c r="J93" s="1" t="s">
        <v>312</v>
      </c>
      <c r="K93" s="1"/>
      <c r="L93" s="1">
        <v>919.0</v>
      </c>
    </row>
    <row r="94">
      <c r="A94" s="1">
        <v>2020.0</v>
      </c>
      <c r="B94" s="1">
        <v>2.0</v>
      </c>
      <c r="C94" s="1" t="s">
        <v>116</v>
      </c>
      <c r="D94" s="1" t="s">
        <v>102</v>
      </c>
      <c r="E94" s="1" t="s">
        <v>39</v>
      </c>
      <c r="F94" s="1" t="s">
        <v>313</v>
      </c>
      <c r="G94" s="1"/>
      <c r="H94" s="1" t="s">
        <v>314</v>
      </c>
      <c r="I94" s="1">
        <f t="shared" si="1"/>
        <v>6.433346</v>
      </c>
      <c r="J94" s="1" t="s">
        <v>315</v>
      </c>
      <c r="K94" s="1"/>
      <c r="L94" s="1">
        <v>13.0</v>
      </c>
    </row>
    <row r="95">
      <c r="A95" s="1">
        <v>2020.0</v>
      </c>
      <c r="B95" s="1">
        <v>2.0</v>
      </c>
      <c r="C95" s="1" t="s">
        <v>116</v>
      </c>
      <c r="D95" s="1" t="s">
        <v>102</v>
      </c>
      <c r="E95" s="1" t="s">
        <v>21</v>
      </c>
      <c r="F95" s="1" t="s">
        <v>317</v>
      </c>
      <c r="G95" s="1"/>
      <c r="H95" s="1" t="s">
        <v>318</v>
      </c>
      <c r="I95" s="1">
        <f t="shared" si="1"/>
        <v>520.283287</v>
      </c>
      <c r="J95" s="1" t="s">
        <v>320</v>
      </c>
      <c r="K95" s="1"/>
      <c r="L95" s="1">
        <v>238.0</v>
      </c>
    </row>
    <row r="96">
      <c r="A96" s="1">
        <v>2020.0</v>
      </c>
      <c r="B96" s="1">
        <v>2.0</v>
      </c>
      <c r="C96" s="1" t="s">
        <v>116</v>
      </c>
      <c r="D96" s="1" t="s">
        <v>147</v>
      </c>
      <c r="E96" s="1" t="s">
        <v>39</v>
      </c>
      <c r="F96" s="3">
        <v>2003358.0</v>
      </c>
      <c r="G96" s="3"/>
      <c r="H96" s="1" t="s">
        <v>321</v>
      </c>
      <c r="I96" s="1">
        <f t="shared" si="1"/>
        <v>457.743868</v>
      </c>
      <c r="J96" s="1" t="s">
        <v>322</v>
      </c>
      <c r="K96" s="1"/>
      <c r="L96" s="1">
        <v>108.0</v>
      </c>
    </row>
    <row r="97">
      <c r="A97" s="1">
        <v>2020.0</v>
      </c>
      <c r="B97" s="1">
        <v>2.0</v>
      </c>
      <c r="C97" s="1" t="s">
        <v>116</v>
      </c>
      <c r="D97" s="1" t="s">
        <v>147</v>
      </c>
      <c r="E97" s="1" t="s">
        <v>17</v>
      </c>
      <c r="F97" s="1" t="s">
        <v>323</v>
      </c>
      <c r="G97" s="1"/>
      <c r="H97" s="1" t="s">
        <v>324</v>
      </c>
      <c r="I97" s="1">
        <f t="shared" si="1"/>
        <v>13.110632</v>
      </c>
      <c r="J97" s="1" t="s">
        <v>325</v>
      </c>
      <c r="K97" s="1"/>
      <c r="L97" s="1">
        <v>8.0</v>
      </c>
    </row>
    <row r="98">
      <c r="A98" s="1">
        <v>2020.0</v>
      </c>
      <c r="B98" s="1">
        <v>2.0</v>
      </c>
      <c r="C98" s="1" t="s">
        <v>116</v>
      </c>
      <c r="D98" s="1" t="s">
        <v>147</v>
      </c>
      <c r="E98" s="1" t="s">
        <v>21</v>
      </c>
      <c r="F98" s="1" t="s">
        <v>327</v>
      </c>
      <c r="G98" s="1"/>
      <c r="H98" s="1" t="s">
        <v>328</v>
      </c>
      <c r="I98" s="1">
        <f t="shared" si="1"/>
        <v>33.706557</v>
      </c>
      <c r="J98" s="1" t="s">
        <v>329</v>
      </c>
      <c r="K98" s="1"/>
      <c r="L98" s="1">
        <v>40.0</v>
      </c>
    </row>
    <row r="99">
      <c r="A99" s="1">
        <v>2020.0</v>
      </c>
      <c r="B99" s="1">
        <v>2.0</v>
      </c>
      <c r="C99" s="1" t="s">
        <v>116</v>
      </c>
      <c r="D99" s="1" t="s">
        <v>330</v>
      </c>
      <c r="E99" s="1" t="s">
        <v>39</v>
      </c>
      <c r="F99" s="1" t="s">
        <v>331</v>
      </c>
      <c r="G99" s="1"/>
      <c r="H99" s="1" t="s">
        <v>332</v>
      </c>
      <c r="I99" s="1">
        <f t="shared" si="1"/>
        <v>0.21092</v>
      </c>
      <c r="J99" s="1" t="s">
        <v>333</v>
      </c>
      <c r="K99" s="1"/>
      <c r="L99" s="1">
        <v>4.0</v>
      </c>
    </row>
    <row r="100">
      <c r="A100" s="1">
        <v>2020.0</v>
      </c>
      <c r="B100" s="1">
        <v>2.0</v>
      </c>
      <c r="C100" s="1" t="s">
        <v>116</v>
      </c>
      <c r="D100" s="1" t="s">
        <v>330</v>
      </c>
      <c r="E100" s="1" t="s">
        <v>17</v>
      </c>
      <c r="F100" s="3">
        <v>155626.0</v>
      </c>
      <c r="G100" s="3"/>
      <c r="H100" s="1" t="s">
        <v>335</v>
      </c>
      <c r="I100" s="1">
        <f t="shared" si="1"/>
        <v>287.868454</v>
      </c>
      <c r="J100" s="1" t="s">
        <v>336</v>
      </c>
      <c r="K100" s="1"/>
      <c r="L100" s="1">
        <v>150.0</v>
      </c>
    </row>
    <row r="101">
      <c r="A101" s="1">
        <v>2020.0</v>
      </c>
      <c r="B101" s="1">
        <v>2.0</v>
      </c>
      <c r="C101" s="1" t="s">
        <v>116</v>
      </c>
      <c r="D101" s="1" t="s">
        <v>158</v>
      </c>
      <c r="E101" s="1" t="s">
        <v>17</v>
      </c>
      <c r="F101" s="1" t="s">
        <v>337</v>
      </c>
      <c r="G101" s="1"/>
      <c r="H101" s="1" t="s">
        <v>338</v>
      </c>
      <c r="I101" s="1">
        <f t="shared" si="1"/>
        <v>24.106433</v>
      </c>
      <c r="J101" s="1" t="s">
        <v>339</v>
      </c>
      <c r="K101" s="1"/>
      <c r="L101" s="1">
        <v>0.0</v>
      </c>
    </row>
    <row r="102">
      <c r="A102" s="1">
        <v>2020.0</v>
      </c>
      <c r="B102" s="1">
        <v>2.0</v>
      </c>
      <c r="C102" s="1" t="s">
        <v>116</v>
      </c>
      <c r="D102" s="1" t="s">
        <v>158</v>
      </c>
      <c r="E102" s="1" t="s">
        <v>21</v>
      </c>
      <c r="F102" s="1" t="s">
        <v>340</v>
      </c>
      <c r="G102" s="1"/>
      <c r="H102" s="1" t="s">
        <v>342</v>
      </c>
      <c r="I102" s="1">
        <f t="shared" si="1"/>
        <v>205.549007</v>
      </c>
      <c r="J102" s="1" t="s">
        <v>343</v>
      </c>
      <c r="K102" s="1"/>
      <c r="L102" s="1">
        <v>0.0</v>
      </c>
    </row>
    <row r="103">
      <c r="A103" s="1">
        <v>2020.0</v>
      </c>
      <c r="B103" s="1">
        <v>2.0</v>
      </c>
      <c r="C103" s="1" t="s">
        <v>116</v>
      </c>
      <c r="D103" s="1" t="s">
        <v>345</v>
      </c>
      <c r="E103" s="1" t="s">
        <v>72</v>
      </c>
      <c r="F103" s="1" t="s">
        <v>346</v>
      </c>
      <c r="G103" s="1"/>
      <c r="H103" s="1" t="s">
        <v>347</v>
      </c>
      <c r="I103" s="1">
        <f t="shared" si="1"/>
        <v>34.832102</v>
      </c>
      <c r="J103" s="1" t="s">
        <v>348</v>
      </c>
      <c r="K103" s="1"/>
      <c r="L103" s="1">
        <v>0.0</v>
      </c>
    </row>
    <row r="104">
      <c r="A104" s="1">
        <v>2020.0</v>
      </c>
      <c r="B104" s="1">
        <v>2.0</v>
      </c>
      <c r="C104" s="1" t="s">
        <v>116</v>
      </c>
      <c r="D104" s="1" t="s">
        <v>345</v>
      </c>
      <c r="E104" s="1" t="s">
        <v>21</v>
      </c>
      <c r="F104" s="1" t="s">
        <v>350</v>
      </c>
      <c r="G104" s="1"/>
      <c r="H104" s="1" t="s">
        <v>351</v>
      </c>
      <c r="I104" s="1">
        <f t="shared" si="1"/>
        <v>146.807534</v>
      </c>
      <c r="J104" s="1" t="s">
        <v>352</v>
      </c>
      <c r="K104" s="1"/>
      <c r="L104" s="1">
        <v>0.0</v>
      </c>
    </row>
    <row r="105">
      <c r="A105" s="1">
        <v>2020.0</v>
      </c>
      <c r="B105" s="1">
        <v>3.0</v>
      </c>
      <c r="C105" s="1" t="s">
        <v>12</v>
      </c>
      <c r="D105" s="1" t="s">
        <v>13</v>
      </c>
      <c r="E105" s="1" t="s">
        <v>14</v>
      </c>
      <c r="F105" s="1" t="s">
        <v>353</v>
      </c>
      <c r="G105" s="1"/>
      <c r="H105" s="1" t="s">
        <v>354</v>
      </c>
      <c r="I105" s="1">
        <f t="shared" si="1"/>
        <v>928.92665</v>
      </c>
      <c r="J105" s="3">
        <v>430682.0</v>
      </c>
      <c r="K105" s="3"/>
      <c r="L105" s="1">
        <v>480.0</v>
      </c>
    </row>
    <row r="106">
      <c r="A106" s="1">
        <v>2020.0</v>
      </c>
      <c r="B106" s="1">
        <v>3.0</v>
      </c>
      <c r="C106" s="1" t="s">
        <v>12</v>
      </c>
      <c r="D106" s="1" t="s">
        <v>13</v>
      </c>
      <c r="E106" s="1" t="s">
        <v>17</v>
      </c>
      <c r="F106" s="1" t="s">
        <v>356</v>
      </c>
      <c r="G106" s="1"/>
      <c r="H106" s="1" t="s">
        <v>357</v>
      </c>
      <c r="I106" s="1">
        <f t="shared" si="1"/>
        <v>9105.207427</v>
      </c>
      <c r="J106" s="1" t="s">
        <v>358</v>
      </c>
      <c r="K106" s="1"/>
      <c r="L106" s="1">
        <v>776.0</v>
      </c>
    </row>
    <row r="107">
      <c r="A107" s="1">
        <v>2020.0</v>
      </c>
      <c r="B107" s="1">
        <v>3.0</v>
      </c>
      <c r="C107" s="1" t="s">
        <v>12</v>
      </c>
      <c r="D107" s="1" t="s">
        <v>13</v>
      </c>
      <c r="E107" s="1" t="s">
        <v>21</v>
      </c>
      <c r="F107" s="1" t="s">
        <v>360</v>
      </c>
      <c r="G107" s="1"/>
      <c r="H107" s="1" t="s">
        <v>361</v>
      </c>
      <c r="I107" s="1">
        <f t="shared" si="1"/>
        <v>5049.820876</v>
      </c>
      <c r="J107" s="1" t="s">
        <v>362</v>
      </c>
      <c r="K107" s="1"/>
      <c r="L107" s="1">
        <v>664.0</v>
      </c>
    </row>
    <row r="108">
      <c r="A108" s="1">
        <v>2020.0</v>
      </c>
      <c r="B108" s="1">
        <v>3.0</v>
      </c>
      <c r="C108" s="1" t="s">
        <v>12</v>
      </c>
      <c r="D108" s="1" t="s">
        <v>13</v>
      </c>
      <c r="E108" s="1" t="s">
        <v>25</v>
      </c>
      <c r="F108" s="1" t="s">
        <v>364</v>
      </c>
      <c r="G108" s="1"/>
      <c r="H108" s="1" t="s">
        <v>365</v>
      </c>
      <c r="I108" s="1">
        <f t="shared" si="1"/>
        <v>58.307367</v>
      </c>
      <c r="J108" s="1" t="s">
        <v>367</v>
      </c>
      <c r="K108" s="1"/>
      <c r="L108" s="1">
        <v>23.0</v>
      </c>
    </row>
    <row r="109">
      <c r="A109" s="1">
        <v>2020.0</v>
      </c>
      <c r="B109" s="1">
        <v>3.0</v>
      </c>
      <c r="C109" s="1" t="s">
        <v>12</v>
      </c>
      <c r="D109" s="1" t="s">
        <v>29</v>
      </c>
      <c r="E109" s="1" t="s">
        <v>21</v>
      </c>
      <c r="F109" s="1" t="s">
        <v>369</v>
      </c>
      <c r="G109" s="1"/>
      <c r="H109" s="1" t="s">
        <v>370</v>
      </c>
      <c r="I109" s="1">
        <f t="shared" si="1"/>
        <v>3529.609076</v>
      </c>
      <c r="J109" s="3">
        <v>2710983.0</v>
      </c>
      <c r="K109" s="3"/>
      <c r="L109" s="1">
        <v>668.0</v>
      </c>
    </row>
    <row r="110">
      <c r="A110" s="1">
        <v>2020.0</v>
      </c>
      <c r="B110" s="1">
        <v>3.0</v>
      </c>
      <c r="C110" s="1" t="s">
        <v>12</v>
      </c>
      <c r="D110" s="1" t="s">
        <v>32</v>
      </c>
      <c r="E110" s="1" t="s">
        <v>14</v>
      </c>
      <c r="F110" s="3">
        <v>1565371.0</v>
      </c>
      <c r="G110" s="3"/>
      <c r="H110" s="1" t="s">
        <v>371</v>
      </c>
      <c r="I110" s="1">
        <f t="shared" si="1"/>
        <v>677.017966</v>
      </c>
      <c r="J110" s="3">
        <v>1761597.0</v>
      </c>
      <c r="K110" s="3"/>
      <c r="L110" s="1">
        <v>503.0</v>
      </c>
    </row>
    <row r="111">
      <c r="A111" s="1">
        <v>2020.0</v>
      </c>
      <c r="B111" s="1">
        <v>3.0</v>
      </c>
      <c r="C111" s="1" t="s">
        <v>12</v>
      </c>
      <c r="D111" s="1" t="s">
        <v>32</v>
      </c>
      <c r="E111" s="1" t="s">
        <v>72</v>
      </c>
      <c r="F111" s="1" t="s">
        <v>373</v>
      </c>
      <c r="G111" s="1"/>
      <c r="H111" s="1" t="s">
        <v>374</v>
      </c>
      <c r="I111" s="1">
        <f t="shared" si="1"/>
        <v>0.042303</v>
      </c>
      <c r="J111" s="1" t="s">
        <v>376</v>
      </c>
      <c r="K111" s="1"/>
      <c r="L111" s="1">
        <v>2.0</v>
      </c>
    </row>
    <row r="112">
      <c r="A112" s="1">
        <v>2020.0</v>
      </c>
      <c r="B112" s="1">
        <v>3.0</v>
      </c>
      <c r="C112" s="1" t="s">
        <v>12</v>
      </c>
      <c r="D112" s="1" t="s">
        <v>32</v>
      </c>
      <c r="E112" s="1" t="s">
        <v>21</v>
      </c>
      <c r="F112" s="3">
        <v>2362787.0</v>
      </c>
      <c r="G112" s="3"/>
      <c r="H112" s="1" t="s">
        <v>377</v>
      </c>
      <c r="I112" s="1">
        <f t="shared" si="1"/>
        <v>433.006136</v>
      </c>
      <c r="J112" s="3">
        <v>316302.0</v>
      </c>
      <c r="K112" s="3"/>
      <c r="L112" s="1">
        <v>301.0</v>
      </c>
    </row>
    <row r="113">
      <c r="A113" s="1">
        <v>2020.0</v>
      </c>
      <c r="B113" s="1">
        <v>3.0</v>
      </c>
      <c r="C113" s="1" t="s">
        <v>12</v>
      </c>
      <c r="D113" s="1" t="s">
        <v>32</v>
      </c>
      <c r="E113" s="1" t="s">
        <v>25</v>
      </c>
      <c r="F113" s="1" t="s">
        <v>373</v>
      </c>
      <c r="G113" s="1"/>
      <c r="H113" s="1" t="s">
        <v>379</v>
      </c>
      <c r="I113" s="1">
        <f t="shared" si="1"/>
        <v>0.096674</v>
      </c>
      <c r="J113" s="1" t="s">
        <v>333</v>
      </c>
      <c r="K113" s="1"/>
      <c r="L113" s="1">
        <v>1.0</v>
      </c>
    </row>
    <row r="114">
      <c r="A114" s="1">
        <v>2020.0</v>
      </c>
      <c r="B114" s="1">
        <v>3.0</v>
      </c>
      <c r="C114" s="1" t="s">
        <v>12</v>
      </c>
      <c r="D114" s="1" t="s">
        <v>38</v>
      </c>
      <c r="E114" s="1" t="s">
        <v>39</v>
      </c>
      <c r="F114" s="3">
        <v>755383.0</v>
      </c>
      <c r="G114" s="3"/>
      <c r="H114" s="1" t="s">
        <v>380</v>
      </c>
      <c r="I114" s="1">
        <f t="shared" si="1"/>
        <v>329.873082</v>
      </c>
      <c r="J114" s="1" t="s">
        <v>381</v>
      </c>
      <c r="K114" s="1"/>
      <c r="L114" s="1">
        <v>93.0</v>
      </c>
    </row>
    <row r="115">
      <c r="A115" s="1">
        <v>2020.0</v>
      </c>
      <c r="B115" s="1">
        <v>3.0</v>
      </c>
      <c r="C115" s="1" t="s">
        <v>12</v>
      </c>
      <c r="D115" s="1" t="s">
        <v>42</v>
      </c>
      <c r="E115" s="1" t="s">
        <v>17</v>
      </c>
      <c r="F115" s="3" t="s">
        <v>382</v>
      </c>
      <c r="G115" s="3"/>
      <c r="H115" s="1" t="s">
        <v>383</v>
      </c>
      <c r="I115" s="1">
        <f t="shared" si="1"/>
        <v>317.591342</v>
      </c>
      <c r="J115" s="1" t="s">
        <v>384</v>
      </c>
      <c r="K115" s="1"/>
      <c r="L115" s="1">
        <v>95.0</v>
      </c>
    </row>
    <row r="116">
      <c r="A116" s="1">
        <v>2020.0</v>
      </c>
      <c r="B116" s="1">
        <v>3.0</v>
      </c>
      <c r="C116" s="1" t="s">
        <v>12</v>
      </c>
      <c r="D116" s="1" t="s">
        <v>45</v>
      </c>
      <c r="E116" s="1" t="s">
        <v>17</v>
      </c>
      <c r="F116" s="3">
        <v>1561810.0</v>
      </c>
      <c r="G116" s="3"/>
      <c r="H116" s="1" t="s">
        <v>388</v>
      </c>
      <c r="I116" s="1">
        <f t="shared" si="1"/>
        <v>197.90962</v>
      </c>
      <c r="J116" s="1" t="s">
        <v>390</v>
      </c>
      <c r="K116" s="1"/>
      <c r="L116" s="1">
        <v>128.0</v>
      </c>
    </row>
    <row r="117">
      <c r="A117" s="1">
        <v>2020.0</v>
      </c>
      <c r="B117" s="1">
        <v>3.0</v>
      </c>
      <c r="C117" s="1" t="s">
        <v>12</v>
      </c>
      <c r="D117" s="1" t="s">
        <v>48</v>
      </c>
      <c r="E117" s="1" t="s">
        <v>49</v>
      </c>
      <c r="F117" s="1" t="s">
        <v>393</v>
      </c>
      <c r="G117" s="1"/>
      <c r="H117" s="1" t="s">
        <v>394</v>
      </c>
      <c r="I117" s="1">
        <f t="shared" si="1"/>
        <v>3.203644</v>
      </c>
      <c r="J117" s="1" t="s">
        <v>396</v>
      </c>
      <c r="K117" s="1"/>
      <c r="L117" s="1">
        <v>2.0</v>
      </c>
    </row>
    <row r="118">
      <c r="A118" s="1">
        <v>2020.0</v>
      </c>
      <c r="B118" s="1">
        <v>3.0</v>
      </c>
      <c r="C118" s="1" t="s">
        <v>12</v>
      </c>
      <c r="D118" s="1" t="s">
        <v>48</v>
      </c>
      <c r="E118" s="1" t="s">
        <v>21</v>
      </c>
      <c r="F118" s="3">
        <v>27030.0</v>
      </c>
      <c r="G118" s="3"/>
      <c r="H118" s="1" t="s">
        <v>399</v>
      </c>
      <c r="I118" s="1">
        <f t="shared" si="1"/>
        <v>121.778651</v>
      </c>
      <c r="J118" s="1" t="s">
        <v>400</v>
      </c>
      <c r="K118" s="1"/>
      <c r="L118" s="1">
        <v>114.0</v>
      </c>
    </row>
    <row r="119">
      <c r="A119" s="1">
        <v>2020.0</v>
      </c>
      <c r="B119" s="1">
        <v>3.0</v>
      </c>
      <c r="C119" s="1" t="s">
        <v>12</v>
      </c>
      <c r="D119" s="1" t="s">
        <v>56</v>
      </c>
      <c r="E119" s="1" t="s">
        <v>21</v>
      </c>
      <c r="F119" s="1" t="s">
        <v>401</v>
      </c>
      <c r="G119" s="1"/>
      <c r="H119" s="1" t="s">
        <v>404</v>
      </c>
      <c r="I119" s="1">
        <f t="shared" si="1"/>
        <v>78.294403</v>
      </c>
      <c r="J119" s="1" t="s">
        <v>405</v>
      </c>
      <c r="K119" s="1"/>
      <c r="L119" s="1">
        <v>96.0</v>
      </c>
    </row>
    <row r="120">
      <c r="A120" s="1">
        <v>2020.0</v>
      </c>
      <c r="B120" s="1">
        <v>3.0</v>
      </c>
      <c r="C120" s="1" t="s">
        <v>12</v>
      </c>
      <c r="D120" s="1" t="s">
        <v>60</v>
      </c>
      <c r="E120" s="1" t="s">
        <v>39</v>
      </c>
      <c r="F120" s="1" t="s">
        <v>407</v>
      </c>
      <c r="G120" s="1"/>
      <c r="H120" s="1" t="s">
        <v>409</v>
      </c>
      <c r="I120" s="1">
        <f t="shared" si="1"/>
        <v>58.161958</v>
      </c>
      <c r="J120" s="1" t="s">
        <v>412</v>
      </c>
      <c r="K120" s="1"/>
      <c r="L120" s="1">
        <v>0.0</v>
      </c>
    </row>
    <row r="121">
      <c r="A121" s="1">
        <v>2020.0</v>
      </c>
      <c r="B121" s="1">
        <v>3.0</v>
      </c>
      <c r="C121" s="1" t="s">
        <v>12</v>
      </c>
      <c r="D121" s="1" t="s">
        <v>60</v>
      </c>
      <c r="E121" s="1" t="s">
        <v>17</v>
      </c>
      <c r="F121" s="1" t="s">
        <v>414</v>
      </c>
      <c r="G121" s="1"/>
      <c r="H121" s="1" t="s">
        <v>415</v>
      </c>
      <c r="I121" s="1">
        <f t="shared" si="1"/>
        <v>0.094486</v>
      </c>
      <c r="J121" s="1" t="s">
        <v>333</v>
      </c>
      <c r="K121" s="1"/>
      <c r="L121" s="1">
        <v>0.0</v>
      </c>
    </row>
    <row r="122">
      <c r="A122" s="1">
        <v>2020.0</v>
      </c>
      <c r="B122" s="1">
        <v>3.0</v>
      </c>
      <c r="C122" s="1" t="s">
        <v>12</v>
      </c>
      <c r="D122" s="1" t="s">
        <v>64</v>
      </c>
      <c r="E122" s="1" t="s">
        <v>21</v>
      </c>
      <c r="F122" s="1" t="s">
        <v>417</v>
      </c>
      <c r="G122" s="1"/>
      <c r="H122" s="1" t="s">
        <v>419</v>
      </c>
      <c r="I122" s="1">
        <f t="shared" si="1"/>
        <v>45.010945</v>
      </c>
      <c r="J122" s="1" t="s">
        <v>420</v>
      </c>
      <c r="K122" s="1"/>
      <c r="L122" s="1">
        <v>0.0</v>
      </c>
    </row>
    <row r="123">
      <c r="A123" s="1">
        <v>2020.0</v>
      </c>
      <c r="B123" s="1">
        <v>3.0</v>
      </c>
      <c r="C123" s="1" t="s">
        <v>68</v>
      </c>
      <c r="D123" s="1" t="s">
        <v>13</v>
      </c>
      <c r="E123" s="1" t="s">
        <v>14</v>
      </c>
      <c r="F123" s="1" t="s">
        <v>423</v>
      </c>
      <c r="G123" s="1"/>
      <c r="H123" s="1" t="s">
        <v>424</v>
      </c>
      <c r="I123" s="1">
        <f t="shared" si="1"/>
        <v>3925.894315</v>
      </c>
      <c r="J123" s="3">
        <v>1435009.0</v>
      </c>
      <c r="K123" s="3"/>
      <c r="L123" s="1">
        <v>7797.0</v>
      </c>
    </row>
    <row r="124">
      <c r="A124" s="1">
        <v>2020.0</v>
      </c>
      <c r="B124" s="1">
        <v>3.0</v>
      </c>
      <c r="C124" s="1" t="s">
        <v>68</v>
      </c>
      <c r="D124" s="1" t="s">
        <v>13</v>
      </c>
      <c r="E124" s="1" t="s">
        <v>72</v>
      </c>
      <c r="F124" s="1" t="s">
        <v>426</v>
      </c>
      <c r="G124" s="1"/>
      <c r="H124" s="1" t="s">
        <v>428</v>
      </c>
      <c r="I124" s="1">
        <f t="shared" si="1"/>
        <v>0.239033</v>
      </c>
      <c r="J124" s="1" t="s">
        <v>429</v>
      </c>
      <c r="K124" s="1"/>
      <c r="L124" s="1">
        <v>3.0</v>
      </c>
    </row>
    <row r="125">
      <c r="A125" s="1">
        <v>2020.0</v>
      </c>
      <c r="B125" s="1">
        <v>3.0</v>
      </c>
      <c r="C125" s="1" t="s">
        <v>68</v>
      </c>
      <c r="D125" s="1" t="s">
        <v>13</v>
      </c>
      <c r="E125" s="1" t="s">
        <v>17</v>
      </c>
      <c r="F125" s="1" t="s">
        <v>430</v>
      </c>
      <c r="G125" s="1"/>
      <c r="H125" s="1" t="s">
        <v>431</v>
      </c>
      <c r="I125" s="1">
        <f t="shared" si="1"/>
        <v>6958.625881</v>
      </c>
      <c r="J125" s="1" t="s">
        <v>434</v>
      </c>
      <c r="K125" s="1"/>
      <c r="L125" s="1">
        <v>8564.0</v>
      </c>
    </row>
    <row r="126">
      <c r="A126" s="1">
        <v>2020.0</v>
      </c>
      <c r="B126" s="1">
        <v>3.0</v>
      </c>
      <c r="C126" s="1" t="s">
        <v>68</v>
      </c>
      <c r="D126" s="1" t="s">
        <v>13</v>
      </c>
      <c r="E126" s="1" t="s">
        <v>21</v>
      </c>
      <c r="F126" s="3">
        <v>243101.0</v>
      </c>
      <c r="G126" s="3"/>
      <c r="H126" s="1" t="s">
        <v>436</v>
      </c>
      <c r="I126" s="1">
        <f t="shared" si="1"/>
        <v>1088.468861</v>
      </c>
      <c r="J126" s="3" t="s">
        <v>438</v>
      </c>
      <c r="K126" s="3"/>
      <c r="L126" s="1">
        <v>1297.0</v>
      </c>
    </row>
    <row r="127">
      <c r="A127" s="1">
        <v>2020.0</v>
      </c>
      <c r="B127" s="1">
        <v>3.0</v>
      </c>
      <c r="C127" s="1" t="s">
        <v>68</v>
      </c>
      <c r="D127" s="1" t="s">
        <v>13</v>
      </c>
      <c r="E127" s="1" t="s">
        <v>25</v>
      </c>
      <c r="F127" s="1" t="s">
        <v>441</v>
      </c>
      <c r="G127" s="1"/>
      <c r="H127" s="1" t="s">
        <v>442</v>
      </c>
      <c r="I127" s="1">
        <f t="shared" si="1"/>
        <v>62.655918</v>
      </c>
      <c r="J127" s="1" t="s">
        <v>444</v>
      </c>
      <c r="K127" s="1"/>
      <c r="L127" s="1">
        <v>283.0</v>
      </c>
    </row>
    <row r="128">
      <c r="A128" s="1">
        <v>2020.0</v>
      </c>
      <c r="B128" s="1">
        <v>3.0</v>
      </c>
      <c r="C128" s="1" t="s">
        <v>68</v>
      </c>
      <c r="D128" s="1" t="s">
        <v>29</v>
      </c>
      <c r="E128" s="1" t="s">
        <v>21</v>
      </c>
      <c r="F128" s="3">
        <v>1521511.0</v>
      </c>
      <c r="G128" s="3"/>
      <c r="H128" s="1" t="s">
        <v>447</v>
      </c>
      <c r="I128" s="1">
        <f t="shared" si="1"/>
        <v>1949.093433</v>
      </c>
      <c r="J128" s="3">
        <v>192575.0</v>
      </c>
      <c r="K128" s="3"/>
      <c r="L128" s="1">
        <v>1612.0</v>
      </c>
    </row>
    <row r="129">
      <c r="A129" s="1">
        <v>2020.0</v>
      </c>
      <c r="B129" s="1">
        <v>3.0</v>
      </c>
      <c r="C129" s="1" t="s">
        <v>68</v>
      </c>
      <c r="D129" s="1" t="s">
        <v>45</v>
      </c>
      <c r="E129" s="1" t="s">
        <v>17</v>
      </c>
      <c r="F129" s="1" t="s">
        <v>449</v>
      </c>
      <c r="G129" s="1"/>
      <c r="H129" s="1" t="s">
        <v>451</v>
      </c>
      <c r="I129" s="1">
        <f t="shared" si="1"/>
        <v>1072.220825</v>
      </c>
      <c r="J129" s="3">
        <v>1931525.0</v>
      </c>
      <c r="K129" s="3"/>
      <c r="L129" s="1">
        <v>3521.0</v>
      </c>
    </row>
    <row r="130">
      <c r="A130" s="1">
        <v>2020.0</v>
      </c>
      <c r="B130" s="1">
        <v>3.0</v>
      </c>
      <c r="C130" s="1" t="s">
        <v>68</v>
      </c>
      <c r="D130" s="1" t="s">
        <v>32</v>
      </c>
      <c r="E130" s="1" t="s">
        <v>14</v>
      </c>
      <c r="F130" s="3">
        <v>57801.0</v>
      </c>
      <c r="G130" s="3"/>
      <c r="H130" s="1" t="s">
        <v>455</v>
      </c>
      <c r="I130" s="1">
        <f t="shared" si="1"/>
        <v>285.332048</v>
      </c>
      <c r="J130" s="1" t="s">
        <v>457</v>
      </c>
      <c r="K130" s="1"/>
      <c r="L130" s="1">
        <v>1440.0</v>
      </c>
    </row>
    <row r="131">
      <c r="A131" s="1">
        <v>2020.0</v>
      </c>
      <c r="B131" s="1">
        <v>3.0</v>
      </c>
      <c r="C131" s="1" t="s">
        <v>68</v>
      </c>
      <c r="D131" s="1" t="s">
        <v>32</v>
      </c>
      <c r="E131" s="1" t="s">
        <v>21</v>
      </c>
      <c r="F131" s="3" t="s">
        <v>459</v>
      </c>
      <c r="G131" s="3"/>
      <c r="H131" s="1" t="s">
        <v>461</v>
      </c>
      <c r="I131" s="1">
        <f t="shared" si="1"/>
        <v>177.547756</v>
      </c>
      <c r="J131" s="1" t="s">
        <v>463</v>
      </c>
      <c r="K131" s="1"/>
      <c r="L131" s="1">
        <v>434.0</v>
      </c>
    </row>
    <row r="132">
      <c r="A132" s="1">
        <v>2020.0</v>
      </c>
      <c r="B132" s="1">
        <v>3.0</v>
      </c>
      <c r="C132" s="1" t="s">
        <v>68</v>
      </c>
      <c r="D132" s="1" t="s">
        <v>465</v>
      </c>
      <c r="E132" s="1" t="s">
        <v>21</v>
      </c>
      <c r="F132" s="3">
        <v>1151643.0</v>
      </c>
      <c r="G132" s="3"/>
      <c r="H132" s="1" t="s">
        <v>466</v>
      </c>
      <c r="I132" s="1">
        <f t="shared" si="1"/>
        <v>321.675</v>
      </c>
      <c r="J132" s="3">
        <v>229009.0</v>
      </c>
      <c r="K132" s="3"/>
      <c r="L132" s="1">
        <v>976.0</v>
      </c>
    </row>
    <row r="133">
      <c r="A133" s="1">
        <v>2020.0</v>
      </c>
      <c r="B133" s="1">
        <v>3.0</v>
      </c>
      <c r="C133" s="1" t="s">
        <v>68</v>
      </c>
      <c r="D133" s="1" t="s">
        <v>42</v>
      </c>
      <c r="E133" s="1" t="s">
        <v>17</v>
      </c>
      <c r="F133" s="1" t="s">
        <v>471</v>
      </c>
      <c r="G133" s="1"/>
      <c r="H133" s="1" t="s">
        <v>472</v>
      </c>
      <c r="I133" s="1">
        <f t="shared" si="1"/>
        <v>124.803203</v>
      </c>
      <c r="J133" s="1" t="s">
        <v>475</v>
      </c>
      <c r="K133" s="1"/>
      <c r="L133" s="1">
        <v>253.0</v>
      </c>
    </row>
    <row r="134">
      <c r="A134" s="1">
        <v>2020.0</v>
      </c>
      <c r="B134" s="1">
        <v>3.0</v>
      </c>
      <c r="C134" s="1" t="s">
        <v>68</v>
      </c>
      <c r="D134" s="1" t="s">
        <v>98</v>
      </c>
      <c r="E134" s="1" t="s">
        <v>17</v>
      </c>
      <c r="F134" s="1" t="s">
        <v>477</v>
      </c>
      <c r="G134" s="1"/>
      <c r="H134" s="1" t="s">
        <v>478</v>
      </c>
      <c r="I134" s="1">
        <f t="shared" si="1"/>
        <v>123.330744</v>
      </c>
      <c r="J134" s="1" t="s">
        <v>481</v>
      </c>
      <c r="K134" s="1"/>
      <c r="L134" s="1">
        <v>72.0</v>
      </c>
    </row>
    <row r="135">
      <c r="A135" s="1">
        <v>2020.0</v>
      </c>
      <c r="B135" s="1">
        <v>3.0</v>
      </c>
      <c r="C135" s="1" t="s">
        <v>68</v>
      </c>
      <c r="D135" s="1" t="s">
        <v>38</v>
      </c>
      <c r="E135" s="1" t="s">
        <v>39</v>
      </c>
      <c r="F135" s="3">
        <v>28491.0</v>
      </c>
      <c r="G135" s="3"/>
      <c r="H135" s="1" t="s">
        <v>483</v>
      </c>
      <c r="I135" s="1">
        <f t="shared" si="1"/>
        <v>108.865611</v>
      </c>
      <c r="J135" s="1" t="s">
        <v>484</v>
      </c>
      <c r="K135" s="1"/>
      <c r="L135" s="1">
        <v>239.0</v>
      </c>
    </row>
    <row r="136">
      <c r="A136" s="1">
        <v>2020.0</v>
      </c>
      <c r="B136" s="1">
        <v>3.0</v>
      </c>
      <c r="C136" s="1" t="s">
        <v>68</v>
      </c>
      <c r="D136" s="1" t="s">
        <v>102</v>
      </c>
      <c r="E136" s="1" t="s">
        <v>39</v>
      </c>
      <c r="F136" s="1" t="s">
        <v>487</v>
      </c>
      <c r="G136" s="1"/>
      <c r="H136" s="1" t="s">
        <v>488</v>
      </c>
      <c r="I136" s="1">
        <f t="shared" si="1"/>
        <v>1.605336</v>
      </c>
      <c r="J136" s="1" t="s">
        <v>479</v>
      </c>
      <c r="K136" s="1"/>
      <c r="L136" s="1">
        <v>0.0</v>
      </c>
    </row>
    <row r="137">
      <c r="A137" s="1">
        <v>2020.0</v>
      </c>
      <c r="B137" s="1">
        <v>3.0</v>
      </c>
      <c r="C137" s="1" t="s">
        <v>68</v>
      </c>
      <c r="D137" s="1" t="s">
        <v>102</v>
      </c>
      <c r="E137" s="1" t="s">
        <v>21</v>
      </c>
      <c r="F137" s="1" t="s">
        <v>491</v>
      </c>
      <c r="G137" s="1"/>
      <c r="H137" s="1" t="s">
        <v>492</v>
      </c>
      <c r="I137" s="1">
        <f t="shared" si="1"/>
        <v>93.23621</v>
      </c>
      <c r="J137" s="1" t="s">
        <v>495</v>
      </c>
      <c r="K137" s="1"/>
      <c r="L137" s="1">
        <v>0.0</v>
      </c>
    </row>
    <row r="138">
      <c r="A138" s="1">
        <v>2020.0</v>
      </c>
      <c r="B138" s="1">
        <v>3.0</v>
      </c>
      <c r="C138" s="1" t="s">
        <v>68</v>
      </c>
      <c r="D138" s="1" t="s">
        <v>48</v>
      </c>
      <c r="E138" s="1" t="s">
        <v>21</v>
      </c>
      <c r="F138" s="1" t="s">
        <v>497</v>
      </c>
      <c r="G138" s="1"/>
      <c r="H138" s="1" t="s">
        <v>498</v>
      </c>
      <c r="I138" s="1">
        <f t="shared" si="1"/>
        <v>48.423851</v>
      </c>
      <c r="J138" s="1" t="s">
        <v>499</v>
      </c>
      <c r="K138" s="1"/>
      <c r="L138" s="1">
        <v>292.0</v>
      </c>
    </row>
    <row r="139">
      <c r="A139" s="1">
        <v>2020.0</v>
      </c>
      <c r="B139" s="1">
        <v>3.0</v>
      </c>
      <c r="C139" s="1" t="s">
        <v>116</v>
      </c>
      <c r="D139" s="1" t="s">
        <v>13</v>
      </c>
      <c r="E139" s="1" t="s">
        <v>14</v>
      </c>
      <c r="F139" s="1" t="s">
        <v>502</v>
      </c>
      <c r="G139" s="1"/>
      <c r="H139" s="1" t="s">
        <v>503</v>
      </c>
      <c r="I139" s="1">
        <f t="shared" si="1"/>
        <v>4860.261843</v>
      </c>
      <c r="J139" s="1" t="s">
        <v>505</v>
      </c>
      <c r="K139" s="1"/>
      <c r="L139" s="1">
        <v>10268.0</v>
      </c>
    </row>
    <row r="140">
      <c r="A140" s="1">
        <v>2020.0</v>
      </c>
      <c r="B140" s="1">
        <v>3.0</v>
      </c>
      <c r="C140" s="1" t="s">
        <v>116</v>
      </c>
      <c r="D140" s="1" t="s">
        <v>13</v>
      </c>
      <c r="E140" s="1" t="s">
        <v>17</v>
      </c>
      <c r="F140" s="1" t="s">
        <v>509</v>
      </c>
      <c r="G140" s="1"/>
      <c r="H140" s="1" t="s">
        <v>510</v>
      </c>
      <c r="I140" s="1">
        <f t="shared" si="1"/>
        <v>9525.273204</v>
      </c>
      <c r="J140" s="1" t="s">
        <v>511</v>
      </c>
      <c r="K140" s="1"/>
      <c r="L140" s="1">
        <v>8169.0</v>
      </c>
    </row>
    <row r="141">
      <c r="A141" s="1">
        <v>2020.0</v>
      </c>
      <c r="B141" s="1">
        <v>3.0</v>
      </c>
      <c r="C141" s="1" t="s">
        <v>116</v>
      </c>
      <c r="D141" s="1" t="s">
        <v>13</v>
      </c>
      <c r="E141" s="1" t="s">
        <v>21</v>
      </c>
      <c r="F141" s="1" t="s">
        <v>514</v>
      </c>
      <c r="G141" s="1"/>
      <c r="H141" s="1" t="s">
        <v>515</v>
      </c>
      <c r="I141" s="1">
        <f t="shared" si="1"/>
        <v>5053.812038</v>
      </c>
      <c r="J141" s="1" t="s">
        <v>516</v>
      </c>
      <c r="K141" s="1"/>
      <c r="L141" s="1">
        <v>2632.0</v>
      </c>
    </row>
    <row r="142">
      <c r="A142" s="1">
        <v>2020.0</v>
      </c>
      <c r="B142" s="1">
        <v>3.0</v>
      </c>
      <c r="C142" s="1" t="s">
        <v>116</v>
      </c>
      <c r="D142" s="1" t="s">
        <v>13</v>
      </c>
      <c r="E142" s="1" t="s">
        <v>25</v>
      </c>
      <c r="F142" s="1" t="s">
        <v>520</v>
      </c>
      <c r="G142" s="1"/>
      <c r="H142" s="1" t="s">
        <v>522</v>
      </c>
      <c r="I142" s="1">
        <f t="shared" si="1"/>
        <v>13.352451</v>
      </c>
      <c r="J142" s="1" t="s">
        <v>299</v>
      </c>
      <c r="K142" s="1"/>
      <c r="L142" s="1">
        <v>65.0</v>
      </c>
    </row>
    <row r="143">
      <c r="A143" s="1">
        <v>2020.0</v>
      </c>
      <c r="B143" s="1">
        <v>3.0</v>
      </c>
      <c r="C143" s="1" t="s">
        <v>116</v>
      </c>
      <c r="D143" s="1" t="s">
        <v>29</v>
      </c>
      <c r="E143" s="1" t="s">
        <v>21</v>
      </c>
      <c r="F143" s="1" t="s">
        <v>524</v>
      </c>
      <c r="G143" s="1"/>
      <c r="H143" s="1" t="s">
        <v>526</v>
      </c>
      <c r="I143" s="1">
        <f t="shared" si="1"/>
        <v>4874.68381</v>
      </c>
      <c r="J143" s="3" t="s">
        <v>528</v>
      </c>
      <c r="K143" s="3"/>
      <c r="L143" s="1">
        <v>2764.0</v>
      </c>
    </row>
    <row r="144">
      <c r="A144" s="1">
        <v>2020.0</v>
      </c>
      <c r="B144" s="1">
        <v>3.0</v>
      </c>
      <c r="C144" s="1" t="s">
        <v>116</v>
      </c>
      <c r="D144" s="1" t="s">
        <v>32</v>
      </c>
      <c r="E144" s="1" t="s">
        <v>14</v>
      </c>
      <c r="F144" s="3">
        <v>1638692.0</v>
      </c>
      <c r="G144" s="3"/>
      <c r="H144" s="1" t="s">
        <v>530</v>
      </c>
      <c r="I144" s="1">
        <f t="shared" si="1"/>
        <v>518.473264</v>
      </c>
      <c r="J144" s="3">
        <v>2910620.0</v>
      </c>
      <c r="K144" s="3"/>
      <c r="L144" s="1">
        <v>1801.0</v>
      </c>
    </row>
    <row r="145">
      <c r="A145" s="1">
        <v>2020.0</v>
      </c>
      <c r="B145" s="1">
        <v>3.0</v>
      </c>
      <c r="C145" s="1" t="s">
        <v>116</v>
      </c>
      <c r="D145" s="1" t="s">
        <v>32</v>
      </c>
      <c r="E145" s="1" t="s">
        <v>21</v>
      </c>
      <c r="F145" s="3">
        <v>2869803.0</v>
      </c>
      <c r="G145" s="3"/>
      <c r="H145" s="1" t="s">
        <v>533</v>
      </c>
      <c r="I145" s="1">
        <f t="shared" si="1"/>
        <v>855.17176</v>
      </c>
      <c r="J145" s="3">
        <v>179367.0</v>
      </c>
      <c r="K145" s="3"/>
      <c r="L145" s="1">
        <v>1471.0</v>
      </c>
    </row>
    <row r="146">
      <c r="A146" s="1">
        <v>2020.0</v>
      </c>
      <c r="B146" s="1">
        <v>3.0</v>
      </c>
      <c r="C146" s="1" t="s">
        <v>116</v>
      </c>
      <c r="D146" s="1" t="s">
        <v>45</v>
      </c>
      <c r="E146" s="1" t="s">
        <v>17</v>
      </c>
      <c r="F146" s="1" t="s">
        <v>537</v>
      </c>
      <c r="G146" s="1"/>
      <c r="H146" s="1" t="s">
        <v>538</v>
      </c>
      <c r="I146" s="1">
        <f t="shared" si="1"/>
        <v>1306.620265</v>
      </c>
      <c r="J146" s="3">
        <v>1346467.0</v>
      </c>
      <c r="K146" s="3"/>
      <c r="L146" s="1">
        <v>3778.0</v>
      </c>
    </row>
    <row r="147">
      <c r="A147" s="1">
        <v>2020.0</v>
      </c>
      <c r="B147" s="1">
        <v>3.0</v>
      </c>
      <c r="C147" s="1" t="s">
        <v>116</v>
      </c>
      <c r="D147" s="1" t="s">
        <v>42</v>
      </c>
      <c r="E147" s="1" t="s">
        <v>17</v>
      </c>
      <c r="F147" s="3">
        <v>1159494.0</v>
      </c>
      <c r="G147" s="3"/>
      <c r="H147" s="1" t="s">
        <v>543</v>
      </c>
      <c r="I147" s="1">
        <f t="shared" si="1"/>
        <v>1124.589953</v>
      </c>
      <c r="J147" s="3" t="s">
        <v>547</v>
      </c>
      <c r="K147" s="3"/>
      <c r="L147" s="1">
        <v>869.0</v>
      </c>
    </row>
    <row r="148">
      <c r="A148" s="1">
        <v>2020.0</v>
      </c>
      <c r="B148" s="1">
        <v>3.0</v>
      </c>
      <c r="C148" s="1" t="s">
        <v>116</v>
      </c>
      <c r="D148" s="1" t="s">
        <v>465</v>
      </c>
      <c r="E148" s="1" t="s">
        <v>21</v>
      </c>
      <c r="F148" s="3">
        <v>744152.0</v>
      </c>
      <c r="G148" s="3"/>
      <c r="H148" s="1" t="s">
        <v>550</v>
      </c>
      <c r="I148" s="1">
        <f t="shared" si="1"/>
        <v>811.186105</v>
      </c>
      <c r="J148" s="3">
        <v>25263.0</v>
      </c>
      <c r="K148" s="3"/>
      <c r="L148" s="1">
        <v>2485.0</v>
      </c>
    </row>
    <row r="149">
      <c r="A149" s="1">
        <v>2020.0</v>
      </c>
      <c r="B149" s="1">
        <v>3.0</v>
      </c>
      <c r="C149" s="1" t="s">
        <v>116</v>
      </c>
      <c r="D149" s="1" t="s">
        <v>147</v>
      </c>
      <c r="E149" s="1" t="s">
        <v>39</v>
      </c>
      <c r="F149" s="3">
        <v>1342664.0</v>
      </c>
      <c r="G149" s="3"/>
      <c r="H149" s="1" t="s">
        <v>552</v>
      </c>
      <c r="I149" s="1">
        <f t="shared" si="1"/>
        <v>700.968116</v>
      </c>
      <c r="J149" s="1" t="s">
        <v>554</v>
      </c>
      <c r="K149" s="1"/>
      <c r="L149" s="1">
        <v>111.0</v>
      </c>
    </row>
    <row r="150">
      <c r="A150" s="1">
        <v>2020.0</v>
      </c>
      <c r="B150" s="1">
        <v>3.0</v>
      </c>
      <c r="C150" s="1" t="s">
        <v>116</v>
      </c>
      <c r="D150" s="1" t="s">
        <v>147</v>
      </c>
      <c r="E150" s="1" t="s">
        <v>17</v>
      </c>
      <c r="F150" s="1" t="s">
        <v>556</v>
      </c>
      <c r="G150" s="1"/>
      <c r="H150" s="1" t="s">
        <v>559</v>
      </c>
      <c r="I150" s="1">
        <f t="shared" si="1"/>
        <v>13.251864</v>
      </c>
      <c r="J150" s="1" t="s">
        <v>560</v>
      </c>
      <c r="K150" s="1"/>
      <c r="L150" s="1">
        <v>6.0</v>
      </c>
    </row>
    <row r="151">
      <c r="A151" s="1">
        <v>2020.0</v>
      </c>
      <c r="B151" s="1">
        <v>3.0</v>
      </c>
      <c r="C151" s="1" t="s">
        <v>116</v>
      </c>
      <c r="D151" s="1" t="s">
        <v>147</v>
      </c>
      <c r="E151" s="1" t="s">
        <v>21</v>
      </c>
      <c r="F151" s="1" t="s">
        <v>562</v>
      </c>
      <c r="G151" s="1"/>
      <c r="H151" s="1" t="s">
        <v>563</v>
      </c>
      <c r="I151" s="1">
        <f t="shared" si="1"/>
        <v>39.988526</v>
      </c>
      <c r="J151" s="1" t="s">
        <v>567</v>
      </c>
      <c r="K151" s="1"/>
      <c r="L151" s="1">
        <v>47.0</v>
      </c>
    </row>
    <row r="152">
      <c r="A152" s="1">
        <v>2020.0</v>
      </c>
      <c r="B152" s="1">
        <v>3.0</v>
      </c>
      <c r="C152" s="1" t="s">
        <v>116</v>
      </c>
      <c r="D152" s="1" t="s">
        <v>102</v>
      </c>
      <c r="E152" s="1" t="s">
        <v>39</v>
      </c>
      <c r="F152" s="1" t="s">
        <v>569</v>
      </c>
      <c r="G152" s="1"/>
      <c r="H152" s="1" t="s">
        <v>570</v>
      </c>
      <c r="I152" s="1">
        <f t="shared" si="1"/>
        <v>7.884587</v>
      </c>
      <c r="J152" s="1" t="s">
        <v>572</v>
      </c>
      <c r="K152" s="1"/>
      <c r="L152" s="1">
        <v>21.0</v>
      </c>
    </row>
    <row r="153">
      <c r="A153" s="1">
        <v>2020.0</v>
      </c>
      <c r="B153" s="1">
        <v>3.0</v>
      </c>
      <c r="C153" s="1" t="s">
        <v>116</v>
      </c>
      <c r="D153" s="1" t="s">
        <v>102</v>
      </c>
      <c r="E153" s="1" t="s">
        <v>21</v>
      </c>
      <c r="F153" s="3" t="s">
        <v>575</v>
      </c>
      <c r="G153" s="3"/>
      <c r="H153" s="1" t="s">
        <v>576</v>
      </c>
      <c r="I153" s="1">
        <f t="shared" si="1"/>
        <v>603.625107</v>
      </c>
      <c r="J153" s="1" t="s">
        <v>577</v>
      </c>
      <c r="K153" s="1"/>
      <c r="L153" s="1">
        <v>257.0</v>
      </c>
    </row>
    <row r="154">
      <c r="A154" s="1">
        <v>2020.0</v>
      </c>
      <c r="B154" s="1">
        <v>3.0</v>
      </c>
      <c r="C154" s="1" t="s">
        <v>116</v>
      </c>
      <c r="D154" s="1" t="s">
        <v>158</v>
      </c>
      <c r="E154" s="1" t="s">
        <v>17</v>
      </c>
      <c r="F154" s="1" t="s">
        <v>582</v>
      </c>
      <c r="G154" s="1"/>
      <c r="H154" s="1" t="s">
        <v>583</v>
      </c>
      <c r="I154" s="1">
        <f t="shared" si="1"/>
        <v>25.981502</v>
      </c>
      <c r="J154" s="1" t="s">
        <v>585</v>
      </c>
      <c r="K154" s="1"/>
      <c r="L154" s="1">
        <v>0.0</v>
      </c>
    </row>
    <row r="155">
      <c r="A155" s="1">
        <v>2020.0</v>
      </c>
      <c r="B155" s="1">
        <v>3.0</v>
      </c>
      <c r="C155" s="1" t="s">
        <v>116</v>
      </c>
      <c r="D155" s="1" t="s">
        <v>158</v>
      </c>
      <c r="E155" s="1" t="s">
        <v>21</v>
      </c>
      <c r="F155" s="1" t="s">
        <v>589</v>
      </c>
      <c r="G155" s="1"/>
      <c r="H155" s="1" t="s">
        <v>590</v>
      </c>
      <c r="I155" s="1">
        <f t="shared" si="1"/>
        <v>290.24294</v>
      </c>
      <c r="J155" s="1" t="s">
        <v>592</v>
      </c>
      <c r="K155" s="1"/>
      <c r="L155" s="1">
        <v>0.0</v>
      </c>
    </row>
    <row r="156">
      <c r="A156" s="1">
        <v>2020.0</v>
      </c>
      <c r="B156" s="1">
        <v>3.0</v>
      </c>
      <c r="C156" s="1" t="s">
        <v>116</v>
      </c>
      <c r="D156" s="1" t="s">
        <v>330</v>
      </c>
      <c r="E156" s="1" t="s">
        <v>39</v>
      </c>
      <c r="F156" s="1" t="s">
        <v>75</v>
      </c>
      <c r="G156" s="1"/>
      <c r="H156" s="1" t="s">
        <v>595</v>
      </c>
      <c r="I156" s="1">
        <f t="shared" si="1"/>
        <v>0.049663</v>
      </c>
      <c r="J156" s="1" t="s">
        <v>596</v>
      </c>
      <c r="K156" s="1"/>
      <c r="L156" s="1">
        <v>1.0</v>
      </c>
    </row>
    <row r="157">
      <c r="A157" s="1">
        <v>2020.0</v>
      </c>
      <c r="B157" s="1">
        <v>3.0</v>
      </c>
      <c r="C157" s="1" t="s">
        <v>116</v>
      </c>
      <c r="D157" s="1" t="s">
        <v>330</v>
      </c>
      <c r="E157" s="1" t="s">
        <v>17</v>
      </c>
      <c r="F157" s="3">
        <v>708938.0</v>
      </c>
      <c r="G157" s="3"/>
      <c r="H157" s="1" t="s">
        <v>599</v>
      </c>
      <c r="I157" s="1">
        <f t="shared" si="1"/>
        <v>238.904142</v>
      </c>
      <c r="J157" s="1" t="s">
        <v>601</v>
      </c>
      <c r="K157" s="1"/>
      <c r="L157" s="1">
        <v>158.0</v>
      </c>
    </row>
    <row r="158">
      <c r="A158" s="1">
        <v>2020.0</v>
      </c>
      <c r="B158" s="1">
        <v>4.0</v>
      </c>
      <c r="C158" s="1" t="s">
        <v>12</v>
      </c>
      <c r="D158" s="1" t="s">
        <v>13</v>
      </c>
      <c r="E158" s="1" t="s">
        <v>14</v>
      </c>
      <c r="F158" s="1" t="s">
        <v>604</v>
      </c>
      <c r="G158" s="1"/>
      <c r="H158" s="1" t="s">
        <v>606</v>
      </c>
      <c r="I158" s="1">
        <f t="shared" si="1"/>
        <v>819.698677</v>
      </c>
      <c r="J158" s="1" t="s">
        <v>607</v>
      </c>
      <c r="K158" s="1"/>
      <c r="L158" s="1">
        <v>478.0</v>
      </c>
    </row>
    <row r="159">
      <c r="A159" s="1">
        <v>2020.0</v>
      </c>
      <c r="B159" s="1">
        <v>4.0</v>
      </c>
      <c r="C159" s="1" t="s">
        <v>12</v>
      </c>
      <c r="D159" s="1" t="s">
        <v>13</v>
      </c>
      <c r="E159" s="1" t="s">
        <v>17</v>
      </c>
      <c r="F159" s="1" t="s">
        <v>610</v>
      </c>
      <c r="G159" s="1"/>
      <c r="H159" s="1" t="s">
        <v>611</v>
      </c>
      <c r="I159" s="1">
        <f t="shared" si="1"/>
        <v>4806.202042</v>
      </c>
      <c r="J159" s="1" t="s">
        <v>613</v>
      </c>
      <c r="K159" s="1"/>
      <c r="L159" s="1">
        <v>786.0</v>
      </c>
    </row>
    <row r="160">
      <c r="A160" s="1">
        <v>2020.0</v>
      </c>
      <c r="B160" s="1">
        <v>4.0</v>
      </c>
      <c r="C160" s="1" t="s">
        <v>12</v>
      </c>
      <c r="D160" s="1" t="s">
        <v>13</v>
      </c>
      <c r="E160" s="1" t="s">
        <v>21</v>
      </c>
      <c r="F160" s="1" t="s">
        <v>616</v>
      </c>
      <c r="G160" s="1"/>
      <c r="H160" s="1" t="s">
        <v>618</v>
      </c>
      <c r="I160" s="1">
        <f t="shared" si="1"/>
        <v>5104.909681</v>
      </c>
      <c r="J160" s="1" t="s">
        <v>620</v>
      </c>
      <c r="K160" s="1"/>
      <c r="L160" s="1">
        <v>663.0</v>
      </c>
    </row>
    <row r="161">
      <c r="A161" s="1">
        <v>2020.0</v>
      </c>
      <c r="B161" s="1">
        <v>4.0</v>
      </c>
      <c r="C161" s="1" t="s">
        <v>12</v>
      </c>
      <c r="D161" s="1" t="s">
        <v>13</v>
      </c>
      <c r="E161" s="1" t="s">
        <v>25</v>
      </c>
      <c r="F161" s="1" t="s">
        <v>624</v>
      </c>
      <c r="G161" s="1"/>
      <c r="H161" s="1" t="s">
        <v>625</v>
      </c>
      <c r="I161" s="1">
        <f t="shared" si="1"/>
        <v>129.175226</v>
      </c>
      <c r="J161" s="1" t="s">
        <v>627</v>
      </c>
      <c r="K161" s="1"/>
      <c r="L161" s="1">
        <v>23.0</v>
      </c>
    </row>
    <row r="162">
      <c r="A162" s="1">
        <v>2020.0</v>
      </c>
      <c r="B162" s="1">
        <v>4.0</v>
      </c>
      <c r="C162" s="1" t="s">
        <v>12</v>
      </c>
      <c r="D162" s="1" t="s">
        <v>29</v>
      </c>
      <c r="E162" s="1" t="s">
        <v>21</v>
      </c>
      <c r="F162" s="1" t="s">
        <v>630</v>
      </c>
      <c r="G162" s="1"/>
      <c r="H162" s="1" t="s">
        <v>631</v>
      </c>
      <c r="I162" s="1">
        <f t="shared" si="1"/>
        <v>3008.328546</v>
      </c>
      <c r="J162" s="3">
        <v>2503859.0</v>
      </c>
      <c r="K162" s="3"/>
      <c r="L162" s="1">
        <v>671.0</v>
      </c>
    </row>
    <row r="163">
      <c r="A163" s="1">
        <v>2020.0</v>
      </c>
      <c r="B163" s="1">
        <v>4.0</v>
      </c>
      <c r="C163" s="1" t="s">
        <v>12</v>
      </c>
      <c r="D163" s="1" t="s">
        <v>32</v>
      </c>
      <c r="E163" s="1" t="s">
        <v>14</v>
      </c>
      <c r="F163" s="3">
        <v>2329792.0</v>
      </c>
      <c r="G163" s="3"/>
      <c r="H163" s="1" t="s">
        <v>633</v>
      </c>
      <c r="I163" s="1">
        <f t="shared" si="1"/>
        <v>634.098977</v>
      </c>
      <c r="J163" s="3">
        <v>1097221.0</v>
      </c>
      <c r="K163" s="3"/>
      <c r="L163" s="1">
        <v>482.0</v>
      </c>
    </row>
    <row r="164">
      <c r="A164" s="1">
        <v>2020.0</v>
      </c>
      <c r="B164" s="1">
        <v>4.0</v>
      </c>
      <c r="C164" s="1" t="s">
        <v>12</v>
      </c>
      <c r="D164" s="1" t="s">
        <v>32</v>
      </c>
      <c r="E164" s="1" t="s">
        <v>72</v>
      </c>
      <c r="F164" s="1" t="s">
        <v>596</v>
      </c>
      <c r="G164" s="1"/>
      <c r="H164" s="1" t="s">
        <v>636</v>
      </c>
      <c r="I164" s="1">
        <f t="shared" si="1"/>
        <v>0.007028</v>
      </c>
      <c r="J164" s="1">
        <v>0.0</v>
      </c>
      <c r="K164" s="1"/>
      <c r="L164" s="1">
        <v>0.0</v>
      </c>
    </row>
    <row r="165">
      <c r="A165" s="1">
        <v>2020.0</v>
      </c>
      <c r="B165" s="1">
        <v>4.0</v>
      </c>
      <c r="C165" s="1" t="s">
        <v>12</v>
      </c>
      <c r="D165" s="1" t="s">
        <v>32</v>
      </c>
      <c r="E165" s="1" t="s">
        <v>21</v>
      </c>
      <c r="F165" s="3" t="s">
        <v>640</v>
      </c>
      <c r="G165" s="3"/>
      <c r="H165" s="1" t="s">
        <v>642</v>
      </c>
      <c r="I165" s="1">
        <f t="shared" si="1"/>
        <v>337.342593</v>
      </c>
      <c r="J165" s="1" t="s">
        <v>644</v>
      </c>
      <c r="K165" s="1"/>
      <c r="L165" s="1">
        <v>302.0</v>
      </c>
    </row>
    <row r="166">
      <c r="A166" s="1">
        <v>2020.0</v>
      </c>
      <c r="B166" s="1">
        <v>4.0</v>
      </c>
      <c r="C166" s="1" t="s">
        <v>12</v>
      </c>
      <c r="D166" s="1" t="s">
        <v>32</v>
      </c>
      <c r="E166" s="1" t="s">
        <v>25</v>
      </c>
      <c r="F166" s="1" t="s">
        <v>596</v>
      </c>
      <c r="G166" s="1"/>
      <c r="H166" s="1" t="s">
        <v>646</v>
      </c>
      <c r="I166" s="1">
        <f t="shared" si="1"/>
        <v>0.016112</v>
      </c>
      <c r="J166" s="1" t="s">
        <v>596</v>
      </c>
      <c r="K166" s="1"/>
      <c r="L166" s="1">
        <v>2.0</v>
      </c>
    </row>
    <row r="167">
      <c r="A167" s="1">
        <v>2020.0</v>
      </c>
      <c r="B167" s="1">
        <v>4.0</v>
      </c>
      <c r="C167" s="1" t="s">
        <v>12</v>
      </c>
      <c r="D167" s="1" t="s">
        <v>38</v>
      </c>
      <c r="E167" s="1" t="s">
        <v>39</v>
      </c>
      <c r="F167" s="3">
        <v>2698445.0</v>
      </c>
      <c r="G167" s="3"/>
      <c r="H167" s="1" t="s">
        <v>650</v>
      </c>
      <c r="I167" s="1">
        <f t="shared" si="1"/>
        <v>285.831332</v>
      </c>
      <c r="J167" s="1" t="s">
        <v>651</v>
      </c>
      <c r="K167" s="1"/>
      <c r="L167" s="1">
        <v>94.0</v>
      </c>
    </row>
    <row r="168">
      <c r="A168" s="1">
        <v>2020.0</v>
      </c>
      <c r="B168" s="1">
        <v>4.0</v>
      </c>
      <c r="C168" s="1" t="s">
        <v>12</v>
      </c>
      <c r="D168" s="1" t="s">
        <v>42</v>
      </c>
      <c r="E168" s="1" t="s">
        <v>17</v>
      </c>
      <c r="F168" s="3">
        <v>2284959.0</v>
      </c>
      <c r="G168" s="3"/>
      <c r="H168" s="1" t="s">
        <v>655</v>
      </c>
      <c r="I168" s="1">
        <f t="shared" si="1"/>
        <v>283.721208</v>
      </c>
      <c r="J168" s="1" t="s">
        <v>656</v>
      </c>
      <c r="K168" s="1"/>
      <c r="L168" s="1">
        <v>115.0</v>
      </c>
    </row>
    <row r="169">
      <c r="A169" s="1">
        <v>2020.0</v>
      </c>
      <c r="B169" s="1">
        <v>4.0</v>
      </c>
      <c r="C169" s="1" t="s">
        <v>12</v>
      </c>
      <c r="D169" s="1" t="s">
        <v>45</v>
      </c>
      <c r="E169" s="1" t="s">
        <v>17</v>
      </c>
      <c r="F169" s="3">
        <v>464256.0</v>
      </c>
      <c r="G169" s="3"/>
      <c r="H169" s="1" t="s">
        <v>660</v>
      </c>
      <c r="I169" s="1">
        <f t="shared" si="1"/>
        <v>172.71895</v>
      </c>
      <c r="J169" s="1" t="s">
        <v>662</v>
      </c>
      <c r="K169" s="1"/>
      <c r="L169" s="1">
        <v>119.0</v>
      </c>
    </row>
    <row r="170">
      <c r="A170" s="1">
        <v>2020.0</v>
      </c>
      <c r="B170" s="1">
        <v>4.0</v>
      </c>
      <c r="C170" s="1" t="s">
        <v>12</v>
      </c>
      <c r="D170" s="1" t="s">
        <v>48</v>
      </c>
      <c r="E170" s="1" t="s">
        <v>49</v>
      </c>
      <c r="F170" s="1" t="s">
        <v>664</v>
      </c>
      <c r="G170" s="1"/>
      <c r="H170" s="1" t="s">
        <v>665</v>
      </c>
      <c r="I170" s="1">
        <f t="shared" si="1"/>
        <v>3.648823</v>
      </c>
      <c r="J170" s="1" t="s">
        <v>666</v>
      </c>
      <c r="K170" s="1"/>
      <c r="L170" s="1">
        <v>4.0</v>
      </c>
    </row>
    <row r="171">
      <c r="A171" s="1">
        <v>2020.0</v>
      </c>
      <c r="B171" s="1">
        <v>4.0</v>
      </c>
      <c r="C171" s="1" t="s">
        <v>12</v>
      </c>
      <c r="D171" s="1" t="s">
        <v>48</v>
      </c>
      <c r="E171" s="1" t="s">
        <v>21</v>
      </c>
      <c r="F171" s="1" t="s">
        <v>668</v>
      </c>
      <c r="G171" s="1"/>
      <c r="H171" s="1" t="s">
        <v>669</v>
      </c>
      <c r="I171" s="1">
        <f t="shared" si="1"/>
        <v>102.900452</v>
      </c>
      <c r="J171" s="1" t="s">
        <v>671</v>
      </c>
      <c r="K171" s="1"/>
      <c r="L171" s="1">
        <v>113.0</v>
      </c>
    </row>
    <row r="172">
      <c r="A172" s="1">
        <v>2020.0</v>
      </c>
      <c r="B172" s="1">
        <v>4.0</v>
      </c>
      <c r="C172" s="1" t="s">
        <v>12</v>
      </c>
      <c r="D172" s="1" t="s">
        <v>56</v>
      </c>
      <c r="E172" s="1" t="s">
        <v>21</v>
      </c>
      <c r="F172" s="1" t="s">
        <v>673</v>
      </c>
      <c r="G172" s="1"/>
      <c r="H172" s="1" t="s">
        <v>675</v>
      </c>
      <c r="I172" s="1">
        <f t="shared" si="1"/>
        <v>68.126832</v>
      </c>
      <c r="J172" s="1" t="s">
        <v>676</v>
      </c>
      <c r="K172" s="1"/>
      <c r="L172" s="1">
        <v>105.0</v>
      </c>
    </row>
    <row r="173">
      <c r="A173" s="1">
        <v>2020.0</v>
      </c>
      <c r="B173" s="1">
        <v>4.0</v>
      </c>
      <c r="C173" s="1" t="s">
        <v>12</v>
      </c>
      <c r="D173" s="1" t="s">
        <v>60</v>
      </c>
      <c r="E173" s="1" t="s">
        <v>39</v>
      </c>
      <c r="F173" s="1" t="s">
        <v>679</v>
      </c>
      <c r="G173" s="1"/>
      <c r="H173" s="1" t="s">
        <v>680</v>
      </c>
      <c r="I173" s="1">
        <f t="shared" si="1"/>
        <v>41.763937</v>
      </c>
      <c r="J173" s="1" t="s">
        <v>682</v>
      </c>
      <c r="K173" s="1"/>
      <c r="L173" s="1">
        <v>0.0</v>
      </c>
    </row>
    <row r="174">
      <c r="A174" s="1">
        <v>2020.0</v>
      </c>
      <c r="B174" s="1">
        <v>4.0</v>
      </c>
      <c r="C174" s="1" t="s">
        <v>12</v>
      </c>
      <c r="D174" s="1" t="s">
        <v>64</v>
      </c>
      <c r="E174" s="1" t="s">
        <v>21</v>
      </c>
      <c r="F174" s="1" t="s">
        <v>684</v>
      </c>
      <c r="G174" s="1"/>
      <c r="H174" s="1" t="s">
        <v>685</v>
      </c>
      <c r="I174" s="1">
        <f t="shared" si="1"/>
        <v>30.341988</v>
      </c>
      <c r="J174" s="1" t="s">
        <v>688</v>
      </c>
      <c r="K174" s="1"/>
      <c r="L174" s="1">
        <v>0.0</v>
      </c>
    </row>
    <row r="175">
      <c r="A175" s="1">
        <v>2020.0</v>
      </c>
      <c r="B175" s="1">
        <v>4.0</v>
      </c>
      <c r="C175" s="1" t="s">
        <v>68</v>
      </c>
      <c r="D175" s="1" t="s">
        <v>13</v>
      </c>
      <c r="E175" s="1" t="s">
        <v>14</v>
      </c>
      <c r="F175" s="1" t="s">
        <v>689</v>
      </c>
      <c r="G175" s="1"/>
      <c r="H175" s="1" t="s">
        <v>690</v>
      </c>
      <c r="I175" s="1">
        <f t="shared" si="1"/>
        <v>4037.903364</v>
      </c>
      <c r="J175" s="1" t="s">
        <v>692</v>
      </c>
      <c r="K175" s="1"/>
      <c r="L175" s="1">
        <v>8093.0</v>
      </c>
    </row>
    <row r="176">
      <c r="A176" s="1">
        <v>2020.0</v>
      </c>
      <c r="B176" s="1">
        <v>4.0</v>
      </c>
      <c r="C176" s="1" t="s">
        <v>68</v>
      </c>
      <c r="D176" s="1" t="s">
        <v>13</v>
      </c>
      <c r="E176" s="1" t="s">
        <v>72</v>
      </c>
      <c r="F176" s="1" t="s">
        <v>693</v>
      </c>
      <c r="G176" s="1"/>
      <c r="H176" s="1" t="s">
        <v>694</v>
      </c>
      <c r="I176" s="1">
        <f t="shared" si="1"/>
        <v>0.171467</v>
      </c>
      <c r="J176" s="1" t="s">
        <v>674</v>
      </c>
      <c r="K176" s="1"/>
      <c r="L176" s="1">
        <v>2.0</v>
      </c>
    </row>
    <row r="177">
      <c r="A177" s="1">
        <v>2020.0</v>
      </c>
      <c r="B177" s="1">
        <v>4.0</v>
      </c>
      <c r="C177" s="1" t="s">
        <v>68</v>
      </c>
      <c r="D177" s="1" t="s">
        <v>13</v>
      </c>
      <c r="E177" s="1" t="s">
        <v>17</v>
      </c>
      <c r="F177" s="1" t="s">
        <v>698</v>
      </c>
      <c r="G177" s="1"/>
      <c r="H177" s="1" t="s">
        <v>699</v>
      </c>
      <c r="I177" s="1">
        <f t="shared" si="1"/>
        <v>6338.200409</v>
      </c>
      <c r="J177" s="1" t="s">
        <v>701</v>
      </c>
      <c r="K177" s="1"/>
      <c r="L177" s="1">
        <v>8792.0</v>
      </c>
    </row>
    <row r="178">
      <c r="A178" s="1">
        <v>2020.0</v>
      </c>
      <c r="B178" s="1">
        <v>4.0</v>
      </c>
      <c r="C178" s="1" t="s">
        <v>68</v>
      </c>
      <c r="D178" s="1" t="s">
        <v>13</v>
      </c>
      <c r="E178" s="1" t="s">
        <v>21</v>
      </c>
      <c r="F178" s="3">
        <v>6727.0</v>
      </c>
      <c r="G178" s="3"/>
      <c r="H178" s="1" t="s">
        <v>702</v>
      </c>
      <c r="I178" s="1">
        <f t="shared" si="1"/>
        <v>880.140635</v>
      </c>
      <c r="J178" s="3" t="s">
        <v>703</v>
      </c>
      <c r="K178" s="3"/>
      <c r="L178" s="1">
        <v>1462.0</v>
      </c>
    </row>
    <row r="179">
      <c r="A179" s="1">
        <v>2020.0</v>
      </c>
      <c r="B179" s="1">
        <v>4.0</v>
      </c>
      <c r="C179" s="1" t="s">
        <v>68</v>
      </c>
      <c r="D179" s="1" t="s">
        <v>13</v>
      </c>
      <c r="E179" s="1" t="s">
        <v>25</v>
      </c>
      <c r="F179" s="1" t="s">
        <v>705</v>
      </c>
      <c r="G179" s="1"/>
      <c r="H179" s="1" t="s">
        <v>706</v>
      </c>
      <c r="I179" s="1">
        <f t="shared" si="1"/>
        <v>80.219931</v>
      </c>
      <c r="J179" s="1" t="s">
        <v>707</v>
      </c>
      <c r="K179" s="1"/>
      <c r="L179" s="1">
        <v>323.0</v>
      </c>
    </row>
    <row r="180">
      <c r="A180" s="1">
        <v>2020.0</v>
      </c>
      <c r="B180" s="1">
        <v>4.0</v>
      </c>
      <c r="C180" s="1" t="s">
        <v>68</v>
      </c>
      <c r="D180" s="1" t="s">
        <v>29</v>
      </c>
      <c r="E180" s="1" t="s">
        <v>21</v>
      </c>
      <c r="F180" s="3">
        <v>560496.0</v>
      </c>
      <c r="G180" s="3"/>
      <c r="H180" s="1" t="s">
        <v>708</v>
      </c>
      <c r="I180" s="1">
        <f t="shared" si="1"/>
        <v>1553.383466</v>
      </c>
      <c r="J180" s="3">
        <v>538429.0</v>
      </c>
      <c r="K180" s="3"/>
      <c r="L180" s="1">
        <v>1496.0</v>
      </c>
    </row>
    <row r="181">
      <c r="A181" s="1">
        <v>2020.0</v>
      </c>
      <c r="B181" s="1">
        <v>4.0</v>
      </c>
      <c r="C181" s="1" t="s">
        <v>68</v>
      </c>
      <c r="D181" s="1" t="s">
        <v>45</v>
      </c>
      <c r="E181" s="1" t="s">
        <v>17</v>
      </c>
      <c r="F181" s="1" t="s">
        <v>709</v>
      </c>
      <c r="G181" s="1"/>
      <c r="H181" s="1" t="s">
        <v>710</v>
      </c>
      <c r="I181" s="1">
        <f t="shared" si="1"/>
        <v>1076.441935</v>
      </c>
      <c r="J181" s="3" t="s">
        <v>712</v>
      </c>
      <c r="K181" s="3"/>
      <c r="L181" s="1">
        <v>2626.0</v>
      </c>
    </row>
    <row r="182">
      <c r="A182" s="1">
        <v>2020.0</v>
      </c>
      <c r="B182" s="1">
        <v>4.0</v>
      </c>
      <c r="C182" s="1" t="s">
        <v>68</v>
      </c>
      <c r="D182" s="1" t="s">
        <v>32</v>
      </c>
      <c r="E182" s="1" t="s">
        <v>14</v>
      </c>
      <c r="F182" s="3" t="s">
        <v>713</v>
      </c>
      <c r="G182" s="3"/>
      <c r="H182" s="1" t="s">
        <v>714</v>
      </c>
      <c r="I182" s="1">
        <f t="shared" si="1"/>
        <v>225.61309</v>
      </c>
      <c r="J182" s="1" t="s">
        <v>715</v>
      </c>
      <c r="K182" s="1"/>
      <c r="L182" s="1">
        <v>1774.0</v>
      </c>
    </row>
    <row r="183">
      <c r="A183" s="1">
        <v>2020.0</v>
      </c>
      <c r="B183" s="1">
        <v>4.0</v>
      </c>
      <c r="C183" s="1" t="s">
        <v>68</v>
      </c>
      <c r="D183" s="1" t="s">
        <v>32</v>
      </c>
      <c r="E183" s="1" t="s">
        <v>21</v>
      </c>
      <c r="F183" s="3">
        <v>215861.0</v>
      </c>
      <c r="G183" s="3"/>
      <c r="H183" s="1" t="s">
        <v>716</v>
      </c>
      <c r="I183" s="1">
        <f t="shared" si="1"/>
        <v>242.389454</v>
      </c>
      <c r="J183" s="1" t="s">
        <v>717</v>
      </c>
      <c r="K183" s="1"/>
      <c r="L183" s="1">
        <v>580.0</v>
      </c>
    </row>
    <row r="184">
      <c r="A184" s="1">
        <v>2020.0</v>
      </c>
      <c r="B184" s="1">
        <v>4.0</v>
      </c>
      <c r="C184" s="1" t="s">
        <v>68</v>
      </c>
      <c r="D184" s="1" t="s">
        <v>465</v>
      </c>
      <c r="E184" s="1" t="s">
        <v>21</v>
      </c>
      <c r="F184" s="3">
        <v>545706.0</v>
      </c>
      <c r="G184" s="3"/>
      <c r="H184" s="1" t="s">
        <v>719</v>
      </c>
      <c r="I184" s="1">
        <f t="shared" si="1"/>
        <v>258.553945</v>
      </c>
      <c r="J184" s="3" t="s">
        <v>720</v>
      </c>
      <c r="K184" s="3"/>
      <c r="L184" s="1">
        <v>996.0</v>
      </c>
    </row>
    <row r="185">
      <c r="A185" s="1">
        <v>2020.0</v>
      </c>
      <c r="B185" s="1">
        <v>4.0</v>
      </c>
      <c r="C185" s="1" t="s">
        <v>68</v>
      </c>
      <c r="D185" s="1" t="s">
        <v>42</v>
      </c>
      <c r="E185" s="1" t="s">
        <v>17</v>
      </c>
      <c r="F185" s="3" t="s">
        <v>721</v>
      </c>
      <c r="G185" s="3"/>
      <c r="H185" s="1" t="s">
        <v>722</v>
      </c>
      <c r="I185" s="1">
        <f t="shared" si="1"/>
        <v>186.019152</v>
      </c>
      <c r="J185" s="1" t="s">
        <v>723</v>
      </c>
      <c r="K185" s="1"/>
      <c r="L185" s="1">
        <v>406.0</v>
      </c>
    </row>
    <row r="186">
      <c r="A186" s="1">
        <v>2020.0</v>
      </c>
      <c r="B186" s="1">
        <v>4.0</v>
      </c>
      <c r="C186" s="1" t="s">
        <v>68</v>
      </c>
      <c r="D186" s="1" t="s">
        <v>38</v>
      </c>
      <c r="E186" s="1" t="s">
        <v>39</v>
      </c>
      <c r="F186" s="3" t="s">
        <v>724</v>
      </c>
      <c r="G186" s="3"/>
      <c r="H186" s="1" t="s">
        <v>725</v>
      </c>
      <c r="I186" s="1">
        <f t="shared" si="1"/>
        <v>98.75062</v>
      </c>
      <c r="J186" s="1" t="s">
        <v>727</v>
      </c>
      <c r="K186" s="1"/>
      <c r="L186" s="1">
        <v>243.0</v>
      </c>
    </row>
    <row r="187">
      <c r="A187" s="1">
        <v>2020.0</v>
      </c>
      <c r="B187" s="1">
        <v>4.0</v>
      </c>
      <c r="C187" s="1" t="s">
        <v>68</v>
      </c>
      <c r="D187" s="1" t="s">
        <v>729</v>
      </c>
      <c r="E187" s="1" t="s">
        <v>21</v>
      </c>
      <c r="F187" s="1" t="s">
        <v>730</v>
      </c>
      <c r="G187" s="1"/>
      <c r="H187" s="1" t="s">
        <v>731</v>
      </c>
      <c r="I187" s="1">
        <f t="shared" si="1"/>
        <v>58.388659</v>
      </c>
      <c r="J187" s="1" t="s">
        <v>732</v>
      </c>
      <c r="K187" s="1"/>
      <c r="L187" s="1">
        <v>0.0</v>
      </c>
    </row>
    <row r="188">
      <c r="A188" s="1">
        <v>2020.0</v>
      </c>
      <c r="B188" s="1">
        <v>4.0</v>
      </c>
      <c r="C188" s="1" t="s">
        <v>68</v>
      </c>
      <c r="D188" s="1" t="s">
        <v>56</v>
      </c>
      <c r="E188" s="1" t="s">
        <v>21</v>
      </c>
      <c r="F188" s="1" t="s">
        <v>734</v>
      </c>
      <c r="G188" s="1"/>
      <c r="H188" s="1" t="s">
        <v>735</v>
      </c>
      <c r="I188" s="1">
        <f t="shared" si="1"/>
        <v>55.786411</v>
      </c>
      <c r="J188" s="1" t="s">
        <v>736</v>
      </c>
      <c r="K188" s="1"/>
      <c r="L188" s="1">
        <v>104.0</v>
      </c>
    </row>
    <row r="189">
      <c r="A189" s="1">
        <v>2020.0</v>
      </c>
      <c r="B189" s="1">
        <v>4.0</v>
      </c>
      <c r="C189" s="1" t="s">
        <v>68</v>
      </c>
      <c r="D189" s="1" t="s">
        <v>48</v>
      </c>
      <c r="E189" s="1" t="s">
        <v>49</v>
      </c>
      <c r="F189" s="1" t="s">
        <v>414</v>
      </c>
      <c r="G189" s="1"/>
      <c r="H189" s="1" t="s">
        <v>738</v>
      </c>
      <c r="I189" s="1">
        <f t="shared" si="1"/>
        <v>0.259456</v>
      </c>
      <c r="J189" s="1" t="s">
        <v>376</v>
      </c>
      <c r="K189" s="1"/>
      <c r="L189" s="1">
        <v>2.0</v>
      </c>
    </row>
    <row r="190">
      <c r="A190" s="1">
        <v>2020.0</v>
      </c>
      <c r="B190" s="1">
        <v>4.0</v>
      </c>
      <c r="C190" s="1" t="s">
        <v>68</v>
      </c>
      <c r="D190" s="1" t="s">
        <v>48</v>
      </c>
      <c r="E190" s="1" t="s">
        <v>21</v>
      </c>
      <c r="F190" s="1" t="s">
        <v>740</v>
      </c>
      <c r="G190" s="1"/>
      <c r="H190" s="1" t="s">
        <v>741</v>
      </c>
      <c r="I190" s="1">
        <f t="shared" si="1"/>
        <v>50.164253</v>
      </c>
      <c r="J190" s="1" t="s">
        <v>742</v>
      </c>
      <c r="K190" s="1"/>
      <c r="L190" s="1">
        <v>307.0</v>
      </c>
    </row>
    <row r="191">
      <c r="A191" s="1">
        <v>2020.0</v>
      </c>
      <c r="B191" s="1">
        <v>4.0</v>
      </c>
      <c r="C191" s="1" t="s">
        <v>116</v>
      </c>
      <c r="D191" s="1" t="s">
        <v>13</v>
      </c>
      <c r="E191" s="1" t="s">
        <v>14</v>
      </c>
      <c r="F191" s="1" t="s">
        <v>743</v>
      </c>
      <c r="G191" s="1"/>
      <c r="H191" s="1" t="s">
        <v>744</v>
      </c>
      <c r="I191" s="1">
        <f t="shared" si="1"/>
        <v>8413.267214</v>
      </c>
      <c r="J191" s="1" t="s">
        <v>745</v>
      </c>
      <c r="K191" s="1"/>
      <c r="L191" s="1">
        <v>11160.0</v>
      </c>
    </row>
    <row r="192">
      <c r="A192" s="1">
        <v>2020.0</v>
      </c>
      <c r="B192" s="1">
        <v>4.0</v>
      </c>
      <c r="C192" s="1" t="s">
        <v>116</v>
      </c>
      <c r="D192" s="1" t="s">
        <v>13</v>
      </c>
      <c r="E192" s="1" t="s">
        <v>17</v>
      </c>
      <c r="F192" s="1" t="s">
        <v>747</v>
      </c>
      <c r="G192" s="1"/>
      <c r="H192" s="1" t="s">
        <v>748</v>
      </c>
      <c r="I192" s="1">
        <f t="shared" si="1"/>
        <v>8971.843249</v>
      </c>
      <c r="J192" s="1" t="s">
        <v>749</v>
      </c>
      <c r="K192" s="1"/>
      <c r="L192" s="1">
        <v>8304.0</v>
      </c>
    </row>
    <row r="193">
      <c r="A193" s="1">
        <v>2020.0</v>
      </c>
      <c r="B193" s="1">
        <v>4.0</v>
      </c>
      <c r="C193" s="1" t="s">
        <v>116</v>
      </c>
      <c r="D193" s="1" t="s">
        <v>13</v>
      </c>
      <c r="E193" s="1" t="s">
        <v>21</v>
      </c>
      <c r="F193" s="1" t="s">
        <v>751</v>
      </c>
      <c r="G193" s="1"/>
      <c r="H193" s="1" t="s">
        <v>752</v>
      </c>
      <c r="I193" s="1">
        <f t="shared" si="1"/>
        <v>2762.443039</v>
      </c>
      <c r="J193" s="3" t="s">
        <v>753</v>
      </c>
      <c r="K193" s="3"/>
      <c r="L193" s="1">
        <v>2421.0</v>
      </c>
    </row>
    <row r="194">
      <c r="A194" s="1">
        <v>2020.0</v>
      </c>
      <c r="B194" s="1">
        <v>4.0</v>
      </c>
      <c r="C194" s="1" t="s">
        <v>116</v>
      </c>
      <c r="D194" s="1" t="s">
        <v>13</v>
      </c>
      <c r="E194" s="1" t="s">
        <v>25</v>
      </c>
      <c r="F194" s="1" t="s">
        <v>754</v>
      </c>
      <c r="G194" s="1"/>
      <c r="H194" s="1" t="s">
        <v>755</v>
      </c>
      <c r="I194" s="1">
        <f t="shared" si="1"/>
        <v>33.022278</v>
      </c>
      <c r="J194" s="1" t="s">
        <v>757</v>
      </c>
      <c r="K194" s="1"/>
      <c r="L194" s="1">
        <v>65.0</v>
      </c>
    </row>
    <row r="195">
      <c r="A195" s="1">
        <v>2020.0</v>
      </c>
      <c r="B195" s="1">
        <v>4.0</v>
      </c>
      <c r="C195" s="1" t="s">
        <v>116</v>
      </c>
      <c r="D195" s="1" t="s">
        <v>29</v>
      </c>
      <c r="E195" s="1" t="s">
        <v>21</v>
      </c>
      <c r="F195" s="1" t="s">
        <v>758</v>
      </c>
      <c r="G195" s="1"/>
      <c r="H195" s="1" t="s">
        <v>759</v>
      </c>
      <c r="I195" s="1">
        <f t="shared" si="1"/>
        <v>5927.9104</v>
      </c>
      <c r="J195" s="1" t="s">
        <v>760</v>
      </c>
      <c r="K195" s="1"/>
      <c r="L195" s="1">
        <v>2316.0</v>
      </c>
    </row>
    <row r="196">
      <c r="A196" s="1">
        <v>2020.0</v>
      </c>
      <c r="B196" s="1">
        <v>4.0</v>
      </c>
      <c r="C196" s="1" t="s">
        <v>116</v>
      </c>
      <c r="D196" s="1" t="s">
        <v>45</v>
      </c>
      <c r="E196" s="1" t="s">
        <v>17</v>
      </c>
      <c r="F196" s="1" t="s">
        <v>761</v>
      </c>
      <c r="G196" s="1"/>
      <c r="H196" s="1" t="s">
        <v>762</v>
      </c>
      <c r="I196" s="1">
        <f t="shared" si="1"/>
        <v>1168.584361</v>
      </c>
      <c r="J196" s="3">
        <v>1482307.0</v>
      </c>
      <c r="K196" s="3"/>
      <c r="L196" s="1">
        <v>2651.0</v>
      </c>
    </row>
    <row r="197">
      <c r="A197" s="1">
        <v>2020.0</v>
      </c>
      <c r="B197" s="1">
        <v>4.0</v>
      </c>
      <c r="C197" s="1" t="s">
        <v>116</v>
      </c>
      <c r="D197" s="1" t="s">
        <v>32</v>
      </c>
      <c r="E197" s="1" t="s">
        <v>14</v>
      </c>
      <c r="F197" s="3">
        <v>2317921.0</v>
      </c>
      <c r="G197" s="3"/>
      <c r="H197" s="1" t="s">
        <v>764</v>
      </c>
      <c r="I197" s="1">
        <f t="shared" si="1"/>
        <v>343.430485</v>
      </c>
      <c r="J197" s="3" t="s">
        <v>767</v>
      </c>
      <c r="K197" s="3"/>
      <c r="L197" s="1">
        <v>1399.0</v>
      </c>
    </row>
    <row r="198">
      <c r="A198" s="1">
        <v>2020.0</v>
      </c>
      <c r="B198" s="1">
        <v>4.0</v>
      </c>
      <c r="C198" s="1" t="s">
        <v>116</v>
      </c>
      <c r="D198" s="1" t="s">
        <v>32</v>
      </c>
      <c r="E198" s="1" t="s">
        <v>21</v>
      </c>
      <c r="F198" s="3">
        <v>1131583.0</v>
      </c>
      <c r="G198" s="3"/>
      <c r="H198" s="1" t="s">
        <v>768</v>
      </c>
      <c r="I198" s="1">
        <f t="shared" si="1"/>
        <v>654.637547</v>
      </c>
      <c r="J198" s="3">
        <v>1405455.0</v>
      </c>
      <c r="K198" s="3"/>
      <c r="L198" s="1">
        <v>1473.0</v>
      </c>
    </row>
    <row r="199">
      <c r="A199" s="1">
        <v>2020.0</v>
      </c>
      <c r="B199" s="1">
        <v>4.0</v>
      </c>
      <c r="C199" s="1" t="s">
        <v>116</v>
      </c>
      <c r="D199" s="1" t="s">
        <v>42</v>
      </c>
      <c r="E199" s="1" t="s">
        <v>17</v>
      </c>
      <c r="F199" s="3">
        <v>1611176.0</v>
      </c>
      <c r="G199" s="3"/>
      <c r="H199" s="1" t="s">
        <v>770</v>
      </c>
      <c r="I199" s="1">
        <f t="shared" si="1"/>
        <v>722.763649</v>
      </c>
      <c r="J199" s="3">
        <v>1912046.0</v>
      </c>
      <c r="K199" s="3"/>
      <c r="L199" s="1">
        <v>743.0</v>
      </c>
    </row>
    <row r="200">
      <c r="A200" s="1">
        <v>2020.0</v>
      </c>
      <c r="B200" s="1">
        <v>4.0</v>
      </c>
      <c r="C200" s="1" t="s">
        <v>116</v>
      </c>
      <c r="D200" s="1" t="s">
        <v>465</v>
      </c>
      <c r="E200" s="1" t="s">
        <v>21</v>
      </c>
      <c r="F200" s="3">
        <v>1882217.0</v>
      </c>
      <c r="G200" s="3"/>
      <c r="H200" s="1" t="s">
        <v>773</v>
      </c>
      <c r="I200" s="1">
        <f t="shared" si="1"/>
        <v>649.040983</v>
      </c>
      <c r="J200" s="3">
        <v>2420495.0</v>
      </c>
      <c r="K200" s="3"/>
      <c r="L200" s="1">
        <v>2566.0</v>
      </c>
    </row>
    <row r="201">
      <c r="A201" s="1">
        <v>2020.0</v>
      </c>
      <c r="B201" s="1">
        <v>4.0</v>
      </c>
      <c r="C201" s="1" t="s">
        <v>116</v>
      </c>
      <c r="D201" s="1" t="s">
        <v>147</v>
      </c>
      <c r="E201" s="1" t="s">
        <v>39</v>
      </c>
      <c r="F201" s="1" t="s">
        <v>776</v>
      </c>
      <c r="G201" s="1"/>
      <c r="H201" s="1" t="s">
        <v>777</v>
      </c>
      <c r="I201" s="1">
        <f t="shared" si="1"/>
        <v>457.457559</v>
      </c>
      <c r="J201" s="1" t="s">
        <v>779</v>
      </c>
      <c r="K201" s="1"/>
      <c r="L201" s="1">
        <v>115.0</v>
      </c>
    </row>
    <row r="202">
      <c r="A202" s="1">
        <v>2020.0</v>
      </c>
      <c r="B202" s="1">
        <v>4.0</v>
      </c>
      <c r="C202" s="1" t="s">
        <v>116</v>
      </c>
      <c r="D202" s="1" t="s">
        <v>147</v>
      </c>
      <c r="E202" s="1" t="s">
        <v>17</v>
      </c>
      <c r="F202" s="1" t="s">
        <v>782</v>
      </c>
      <c r="G202" s="1"/>
      <c r="H202" s="1" t="s">
        <v>783</v>
      </c>
      <c r="I202" s="1">
        <f t="shared" si="1"/>
        <v>7.416068</v>
      </c>
      <c r="J202" s="1" t="s">
        <v>785</v>
      </c>
      <c r="K202" s="1"/>
      <c r="L202" s="1">
        <v>6.0</v>
      </c>
    </row>
    <row r="203">
      <c r="A203" s="1">
        <v>2020.0</v>
      </c>
      <c r="B203" s="1">
        <v>4.0</v>
      </c>
      <c r="C203" s="1" t="s">
        <v>116</v>
      </c>
      <c r="D203" s="1" t="s">
        <v>147</v>
      </c>
      <c r="E203" s="1" t="s">
        <v>21</v>
      </c>
      <c r="F203" s="1" t="s">
        <v>788</v>
      </c>
      <c r="G203" s="1"/>
      <c r="H203" s="1" t="s">
        <v>789</v>
      </c>
      <c r="I203" s="1">
        <f t="shared" si="1"/>
        <v>31.154171</v>
      </c>
      <c r="J203" s="1" t="s">
        <v>791</v>
      </c>
      <c r="K203" s="1"/>
      <c r="L203" s="1">
        <v>54.0</v>
      </c>
    </row>
    <row r="204">
      <c r="A204" s="1">
        <v>2020.0</v>
      </c>
      <c r="B204" s="1">
        <v>4.0</v>
      </c>
      <c r="C204" s="1" t="s">
        <v>116</v>
      </c>
      <c r="D204" s="1" t="s">
        <v>102</v>
      </c>
      <c r="E204" s="1" t="s">
        <v>39</v>
      </c>
      <c r="F204" s="1" t="s">
        <v>793</v>
      </c>
      <c r="G204" s="1"/>
      <c r="H204" s="1" t="s">
        <v>795</v>
      </c>
      <c r="I204" s="1">
        <f t="shared" si="1"/>
        <v>10.94554</v>
      </c>
      <c r="J204" s="1" t="s">
        <v>796</v>
      </c>
      <c r="K204" s="1"/>
      <c r="L204" s="1">
        <v>28.0</v>
      </c>
    </row>
    <row r="205">
      <c r="A205" s="1">
        <v>2020.0</v>
      </c>
      <c r="B205" s="1">
        <v>4.0</v>
      </c>
      <c r="C205" s="1" t="s">
        <v>116</v>
      </c>
      <c r="D205" s="1" t="s">
        <v>102</v>
      </c>
      <c r="E205" s="1" t="s">
        <v>17</v>
      </c>
      <c r="F205" s="1" t="s">
        <v>414</v>
      </c>
      <c r="G205" s="1"/>
      <c r="H205" s="1" t="s">
        <v>797</v>
      </c>
      <c r="I205" s="1">
        <f t="shared" si="1"/>
        <v>0.250637</v>
      </c>
      <c r="J205" s="1" t="s">
        <v>376</v>
      </c>
      <c r="K205" s="1"/>
      <c r="L205" s="1">
        <v>1.0</v>
      </c>
    </row>
    <row r="206">
      <c r="A206" s="1">
        <v>2020.0</v>
      </c>
      <c r="B206" s="1">
        <v>4.0</v>
      </c>
      <c r="C206" s="1" t="s">
        <v>116</v>
      </c>
      <c r="D206" s="1" t="s">
        <v>102</v>
      </c>
      <c r="E206" s="1" t="s">
        <v>21</v>
      </c>
      <c r="F206" s="3">
        <v>2196570.0</v>
      </c>
      <c r="G206" s="3"/>
      <c r="H206" s="1" t="s">
        <v>800</v>
      </c>
      <c r="I206" s="1">
        <f t="shared" si="1"/>
        <v>455.096599</v>
      </c>
      <c r="J206" s="1" t="s">
        <v>802</v>
      </c>
      <c r="K206" s="1"/>
      <c r="L206" s="1">
        <v>262.0</v>
      </c>
    </row>
    <row r="207">
      <c r="A207" s="1">
        <v>2020.0</v>
      </c>
      <c r="B207" s="1">
        <v>4.0</v>
      </c>
      <c r="C207" s="1" t="s">
        <v>116</v>
      </c>
      <c r="D207" s="1" t="s">
        <v>158</v>
      </c>
      <c r="E207" s="1" t="s">
        <v>17</v>
      </c>
      <c r="F207" s="1" t="s">
        <v>804</v>
      </c>
      <c r="G207" s="1"/>
      <c r="H207" s="1" t="s">
        <v>805</v>
      </c>
      <c r="I207" s="1">
        <f t="shared" si="1"/>
        <v>27.19477</v>
      </c>
      <c r="J207" s="1" t="s">
        <v>806</v>
      </c>
      <c r="K207" s="1"/>
      <c r="L207" s="1">
        <v>0.0</v>
      </c>
    </row>
    <row r="208">
      <c r="A208" s="1">
        <v>2020.0</v>
      </c>
      <c r="B208" s="1">
        <v>4.0</v>
      </c>
      <c r="C208" s="1" t="s">
        <v>116</v>
      </c>
      <c r="D208" s="1" t="s">
        <v>158</v>
      </c>
      <c r="E208" s="1" t="s">
        <v>21</v>
      </c>
      <c r="F208" s="1" t="s">
        <v>809</v>
      </c>
      <c r="G208" s="1"/>
      <c r="H208" s="1" t="s">
        <v>810</v>
      </c>
      <c r="I208" s="1">
        <f t="shared" si="1"/>
        <v>360.11203</v>
      </c>
      <c r="J208" s="1" t="s">
        <v>812</v>
      </c>
      <c r="K208" s="1"/>
      <c r="L208" s="1">
        <v>0.0</v>
      </c>
    </row>
    <row r="209">
      <c r="A209" s="1">
        <v>2020.0</v>
      </c>
      <c r="B209" s="1">
        <v>4.0</v>
      </c>
      <c r="C209" s="1" t="s">
        <v>116</v>
      </c>
      <c r="D209" s="1" t="s">
        <v>165</v>
      </c>
      <c r="E209" s="1" t="s">
        <v>39</v>
      </c>
      <c r="F209" s="1" t="s">
        <v>814</v>
      </c>
      <c r="G209" s="1"/>
      <c r="H209" s="1" t="s">
        <v>816</v>
      </c>
      <c r="I209" s="1">
        <f t="shared" si="1"/>
        <v>54.916409</v>
      </c>
      <c r="J209" s="1" t="s">
        <v>817</v>
      </c>
      <c r="K209" s="1"/>
      <c r="L209" s="1">
        <v>0.0</v>
      </c>
    </row>
    <row r="210">
      <c r="A210" s="1">
        <v>2020.0</v>
      </c>
      <c r="B210" s="1">
        <v>4.0</v>
      </c>
      <c r="C210" s="1" t="s">
        <v>116</v>
      </c>
      <c r="D210" s="1" t="s">
        <v>165</v>
      </c>
      <c r="E210" s="1" t="s">
        <v>17</v>
      </c>
      <c r="F210" s="1" t="s">
        <v>819</v>
      </c>
      <c r="G210" s="1"/>
      <c r="H210" s="1" t="s">
        <v>820</v>
      </c>
      <c r="I210" s="1">
        <f t="shared" si="1"/>
        <v>129.905255</v>
      </c>
      <c r="J210" s="1" t="s">
        <v>822</v>
      </c>
      <c r="K210" s="1"/>
      <c r="L210" s="1">
        <v>0.0</v>
      </c>
    </row>
    <row r="211">
      <c r="A211" s="1">
        <v>2020.0</v>
      </c>
      <c r="B211" s="1">
        <v>5.0</v>
      </c>
      <c r="C211" s="1" t="s">
        <v>12</v>
      </c>
      <c r="D211" s="1" t="s">
        <v>13</v>
      </c>
      <c r="E211" s="1" t="s">
        <v>14</v>
      </c>
      <c r="F211" s="1" t="s">
        <v>823</v>
      </c>
      <c r="G211" s="1"/>
      <c r="H211" s="1" t="s">
        <v>824</v>
      </c>
      <c r="I211" s="1">
        <f t="shared" si="1"/>
        <v>1261.464109</v>
      </c>
      <c r="J211" s="3">
        <v>1844932.0</v>
      </c>
      <c r="K211" s="3"/>
      <c r="L211" s="1">
        <v>572.0</v>
      </c>
    </row>
    <row r="212">
      <c r="A212" s="1">
        <v>2020.0</v>
      </c>
      <c r="B212" s="1">
        <v>5.0</v>
      </c>
      <c r="C212" s="1" t="s">
        <v>12</v>
      </c>
      <c r="D212" s="1" t="s">
        <v>13</v>
      </c>
      <c r="E212" s="1" t="s">
        <v>17</v>
      </c>
      <c r="F212" s="1" t="s">
        <v>827</v>
      </c>
      <c r="G212" s="1"/>
      <c r="H212" s="1" t="s">
        <v>828</v>
      </c>
      <c r="I212" s="1">
        <f t="shared" si="1"/>
        <v>5056.081495</v>
      </c>
      <c r="J212" s="1" t="s">
        <v>830</v>
      </c>
      <c r="K212" s="1"/>
      <c r="L212" s="1">
        <v>778.0</v>
      </c>
    </row>
    <row r="213">
      <c r="A213" s="1">
        <v>2020.0</v>
      </c>
      <c r="B213" s="1">
        <v>5.0</v>
      </c>
      <c r="C213" s="1" t="s">
        <v>12</v>
      </c>
      <c r="D213" s="1" t="s">
        <v>13</v>
      </c>
      <c r="E213" s="1" t="s">
        <v>21</v>
      </c>
      <c r="F213" s="1" t="s">
        <v>833</v>
      </c>
      <c r="G213" s="1"/>
      <c r="H213" s="1" t="s">
        <v>834</v>
      </c>
      <c r="I213" s="1">
        <f t="shared" si="1"/>
        <v>3514.288662</v>
      </c>
      <c r="J213" s="1" t="s">
        <v>836</v>
      </c>
      <c r="K213" s="1"/>
      <c r="L213" s="1">
        <v>640.0</v>
      </c>
    </row>
    <row r="214">
      <c r="A214" s="1">
        <v>2020.0</v>
      </c>
      <c r="B214" s="1">
        <v>5.0</v>
      </c>
      <c r="C214" s="1" t="s">
        <v>12</v>
      </c>
      <c r="D214" s="1" t="s">
        <v>13</v>
      </c>
      <c r="E214" s="1" t="s">
        <v>25</v>
      </c>
      <c r="F214" s="1" t="s">
        <v>839</v>
      </c>
      <c r="G214" s="1"/>
      <c r="H214" s="1" t="s">
        <v>840</v>
      </c>
      <c r="I214" s="1">
        <f t="shared" si="1"/>
        <v>67.328507</v>
      </c>
      <c r="J214" s="1" t="s">
        <v>842</v>
      </c>
      <c r="K214" s="1"/>
      <c r="L214" s="1">
        <v>22.0</v>
      </c>
    </row>
    <row r="215">
      <c r="A215" s="1">
        <v>2020.0</v>
      </c>
      <c r="B215" s="1">
        <v>5.0</v>
      </c>
      <c r="C215" s="1" t="s">
        <v>12</v>
      </c>
      <c r="D215" s="1" t="s">
        <v>29</v>
      </c>
      <c r="E215" s="1" t="s">
        <v>21</v>
      </c>
      <c r="F215" s="1" t="s">
        <v>843</v>
      </c>
      <c r="G215" s="1"/>
      <c r="H215" s="1" t="s">
        <v>844</v>
      </c>
      <c r="I215" s="1">
        <f t="shared" si="1"/>
        <v>3209.643513</v>
      </c>
      <c r="J215" s="3">
        <v>2367290.0</v>
      </c>
      <c r="K215" s="3"/>
      <c r="L215" s="1">
        <v>633.0</v>
      </c>
    </row>
    <row r="216">
      <c r="A216" s="1">
        <v>2020.0</v>
      </c>
      <c r="B216" s="1">
        <v>5.0</v>
      </c>
      <c r="C216" s="1" t="s">
        <v>12</v>
      </c>
      <c r="D216" s="1" t="s">
        <v>32</v>
      </c>
      <c r="E216" s="1" t="s">
        <v>14</v>
      </c>
      <c r="F216" s="3" t="s">
        <v>849</v>
      </c>
      <c r="G216" s="3"/>
      <c r="H216" s="1" t="s">
        <v>850</v>
      </c>
      <c r="I216" s="1">
        <f t="shared" si="1"/>
        <v>665.216812</v>
      </c>
      <c r="J216" s="3">
        <v>2111501.0</v>
      </c>
      <c r="K216" s="3"/>
      <c r="L216" s="1">
        <v>478.0</v>
      </c>
    </row>
    <row r="217">
      <c r="A217" s="1">
        <v>2020.0</v>
      </c>
      <c r="B217" s="1">
        <v>5.0</v>
      </c>
      <c r="C217" s="1" t="s">
        <v>12</v>
      </c>
      <c r="D217" s="1" t="s">
        <v>32</v>
      </c>
      <c r="E217" s="1" t="s">
        <v>21</v>
      </c>
      <c r="F217" s="3">
        <v>2241496.0</v>
      </c>
      <c r="G217" s="3"/>
      <c r="H217" s="1" t="s">
        <v>854</v>
      </c>
      <c r="I217" s="1">
        <f t="shared" si="1"/>
        <v>280.366585</v>
      </c>
      <c r="J217" s="1" t="s">
        <v>855</v>
      </c>
      <c r="K217" s="1"/>
      <c r="L217" s="1">
        <v>285.0</v>
      </c>
    </row>
    <row r="218">
      <c r="A218" s="1">
        <v>2020.0</v>
      </c>
      <c r="B218" s="1">
        <v>5.0</v>
      </c>
      <c r="C218" s="1" t="s">
        <v>12</v>
      </c>
      <c r="D218" s="1" t="s">
        <v>42</v>
      </c>
      <c r="E218" s="1" t="s">
        <v>17</v>
      </c>
      <c r="F218" s="3" t="s">
        <v>857</v>
      </c>
      <c r="G218" s="3"/>
      <c r="H218" s="1" t="s">
        <v>859</v>
      </c>
      <c r="I218" s="1">
        <f t="shared" si="1"/>
        <v>330.982913</v>
      </c>
      <c r="J218" s="1" t="s">
        <v>860</v>
      </c>
      <c r="K218" s="1"/>
      <c r="L218" s="1">
        <v>138.0</v>
      </c>
    </row>
    <row r="219">
      <c r="A219" s="1">
        <v>2020.0</v>
      </c>
      <c r="B219" s="1">
        <v>5.0</v>
      </c>
      <c r="C219" s="1" t="s">
        <v>12</v>
      </c>
      <c r="D219" s="1" t="s">
        <v>38</v>
      </c>
      <c r="E219" s="1" t="s">
        <v>39</v>
      </c>
      <c r="F219" s="3">
        <v>114382.0</v>
      </c>
      <c r="G219" s="3"/>
      <c r="H219" s="1" t="s">
        <v>863</v>
      </c>
      <c r="I219" s="1">
        <f t="shared" si="1"/>
        <v>305.898532</v>
      </c>
      <c r="J219" s="1" t="s">
        <v>865</v>
      </c>
      <c r="K219" s="1"/>
      <c r="L219" s="1">
        <v>95.0</v>
      </c>
    </row>
    <row r="220">
      <c r="A220" s="1">
        <v>2020.0</v>
      </c>
      <c r="B220" s="1">
        <v>5.0</v>
      </c>
      <c r="C220" s="1" t="s">
        <v>12</v>
      </c>
      <c r="D220" s="1" t="s">
        <v>45</v>
      </c>
      <c r="E220" s="1" t="s">
        <v>17</v>
      </c>
      <c r="F220" s="3">
        <v>2444205.0</v>
      </c>
      <c r="G220" s="3"/>
      <c r="H220" s="1" t="s">
        <v>867</v>
      </c>
      <c r="I220" s="1">
        <f t="shared" si="1"/>
        <v>140.871749</v>
      </c>
      <c r="J220" s="1" t="s">
        <v>869</v>
      </c>
      <c r="K220" s="1"/>
      <c r="L220" s="1">
        <v>105.0</v>
      </c>
    </row>
    <row r="221">
      <c r="A221" s="1">
        <v>2020.0</v>
      </c>
      <c r="B221" s="1">
        <v>5.0</v>
      </c>
      <c r="C221" s="1" t="s">
        <v>12</v>
      </c>
      <c r="D221" s="1" t="s">
        <v>56</v>
      </c>
      <c r="E221" s="1" t="s">
        <v>21</v>
      </c>
      <c r="F221" s="1" t="s">
        <v>870</v>
      </c>
      <c r="G221" s="1"/>
      <c r="H221" s="1" t="s">
        <v>872</v>
      </c>
      <c r="I221" s="1">
        <f t="shared" si="1"/>
        <v>126.123622</v>
      </c>
      <c r="J221" s="1" t="s">
        <v>874</v>
      </c>
      <c r="K221" s="1"/>
      <c r="L221" s="1">
        <v>138.0</v>
      </c>
    </row>
    <row r="222">
      <c r="A222" s="1">
        <v>2020.0</v>
      </c>
      <c r="B222" s="1">
        <v>5.0</v>
      </c>
      <c r="C222" s="1" t="s">
        <v>12</v>
      </c>
      <c r="D222" s="1" t="s">
        <v>48</v>
      </c>
      <c r="E222" s="1" t="s">
        <v>49</v>
      </c>
      <c r="F222" s="1" t="s">
        <v>876</v>
      </c>
      <c r="G222" s="1"/>
      <c r="H222" s="1" t="s">
        <v>877</v>
      </c>
      <c r="I222" s="1">
        <f t="shared" si="1"/>
        <v>2.613454</v>
      </c>
      <c r="J222" s="1" t="s">
        <v>880</v>
      </c>
      <c r="K222" s="1"/>
      <c r="L222" s="1">
        <v>3.0</v>
      </c>
    </row>
    <row r="223">
      <c r="A223" s="1">
        <v>2020.0</v>
      </c>
      <c r="B223" s="1">
        <v>5.0</v>
      </c>
      <c r="C223" s="1" t="s">
        <v>12</v>
      </c>
      <c r="D223" s="1" t="s">
        <v>48</v>
      </c>
      <c r="E223" s="1" t="s">
        <v>21</v>
      </c>
      <c r="F223" s="1" t="s">
        <v>881</v>
      </c>
      <c r="G223" s="1"/>
      <c r="H223" s="1" t="s">
        <v>882</v>
      </c>
      <c r="I223" s="1">
        <f t="shared" si="1"/>
        <v>92.107813</v>
      </c>
      <c r="J223" s="1" t="s">
        <v>883</v>
      </c>
      <c r="K223" s="1"/>
      <c r="L223" s="1">
        <v>115.0</v>
      </c>
    </row>
    <row r="224">
      <c r="A224" s="1">
        <v>2020.0</v>
      </c>
      <c r="B224" s="1">
        <v>5.0</v>
      </c>
      <c r="C224" s="1" t="s">
        <v>12</v>
      </c>
      <c r="D224" s="1" t="s">
        <v>60</v>
      </c>
      <c r="E224" s="1" t="s">
        <v>39</v>
      </c>
      <c r="F224" s="1" t="s">
        <v>885</v>
      </c>
      <c r="G224" s="1"/>
      <c r="H224" s="1" t="s">
        <v>886</v>
      </c>
      <c r="I224" s="1">
        <f t="shared" si="1"/>
        <v>37.023186</v>
      </c>
      <c r="J224" s="1" t="s">
        <v>889</v>
      </c>
      <c r="K224" s="1"/>
      <c r="L224" s="1">
        <v>0.0</v>
      </c>
    </row>
    <row r="225">
      <c r="A225" s="1">
        <v>2020.0</v>
      </c>
      <c r="B225" s="1">
        <v>5.0</v>
      </c>
      <c r="C225" s="1" t="s">
        <v>12</v>
      </c>
      <c r="D225" s="1" t="s">
        <v>60</v>
      </c>
      <c r="E225" s="1" t="s">
        <v>17</v>
      </c>
      <c r="F225" s="1" t="s">
        <v>479</v>
      </c>
      <c r="G225" s="1"/>
      <c r="H225" s="1" t="s">
        <v>890</v>
      </c>
      <c r="I225" s="1">
        <f t="shared" si="1"/>
        <v>0.119351</v>
      </c>
      <c r="J225" s="1" t="s">
        <v>75</v>
      </c>
      <c r="K225" s="1"/>
      <c r="L225" s="1">
        <v>0.0</v>
      </c>
    </row>
    <row r="226">
      <c r="A226" s="1">
        <v>2020.0</v>
      </c>
      <c r="B226" s="1">
        <v>5.0</v>
      </c>
      <c r="C226" s="1" t="s">
        <v>12</v>
      </c>
      <c r="D226" s="1" t="s">
        <v>848</v>
      </c>
      <c r="E226" s="1" t="s">
        <v>21</v>
      </c>
      <c r="F226" s="1" t="s">
        <v>894</v>
      </c>
      <c r="G226" s="1"/>
      <c r="H226" s="1" t="s">
        <v>895</v>
      </c>
      <c r="I226" s="1">
        <f t="shared" si="1"/>
        <v>35.477459</v>
      </c>
      <c r="J226" s="1" t="s">
        <v>896</v>
      </c>
      <c r="K226" s="1"/>
      <c r="L226" s="1">
        <v>46.0</v>
      </c>
    </row>
    <row r="227">
      <c r="A227" s="1">
        <v>2020.0</v>
      </c>
      <c r="B227" s="1">
        <v>5.0</v>
      </c>
      <c r="C227" s="1" t="s">
        <v>68</v>
      </c>
      <c r="D227" s="1" t="s">
        <v>13</v>
      </c>
      <c r="E227" s="1" t="s">
        <v>14</v>
      </c>
      <c r="F227" s="1" t="s">
        <v>900</v>
      </c>
      <c r="G227" s="1"/>
      <c r="H227" s="1" t="s">
        <v>901</v>
      </c>
      <c r="I227" s="1">
        <f t="shared" si="1"/>
        <v>3886.490741</v>
      </c>
      <c r="J227" s="1" t="s">
        <v>902</v>
      </c>
      <c r="K227" s="1"/>
      <c r="L227" s="1">
        <v>7742.0</v>
      </c>
    </row>
    <row r="228">
      <c r="A228" s="1">
        <v>2020.0</v>
      </c>
      <c r="B228" s="1">
        <v>5.0</v>
      </c>
      <c r="C228" s="1" t="s">
        <v>68</v>
      </c>
      <c r="D228" s="1" t="s">
        <v>13</v>
      </c>
      <c r="E228" s="1" t="s">
        <v>72</v>
      </c>
      <c r="F228" s="1" t="s">
        <v>414</v>
      </c>
      <c r="G228" s="1"/>
      <c r="H228" s="1" t="s">
        <v>905</v>
      </c>
      <c r="I228" s="1">
        <f t="shared" si="1"/>
        <v>0.07665</v>
      </c>
      <c r="J228" s="1" t="s">
        <v>376</v>
      </c>
      <c r="K228" s="1"/>
      <c r="L228" s="1">
        <v>1.0</v>
      </c>
    </row>
    <row r="229">
      <c r="A229" s="1">
        <v>2020.0</v>
      </c>
      <c r="B229" s="1">
        <v>5.0</v>
      </c>
      <c r="C229" s="1" t="s">
        <v>68</v>
      </c>
      <c r="D229" s="1" t="s">
        <v>13</v>
      </c>
      <c r="E229" s="1" t="s">
        <v>17</v>
      </c>
      <c r="F229" s="1" t="s">
        <v>908</v>
      </c>
      <c r="G229" s="1"/>
      <c r="H229" s="1" t="s">
        <v>910</v>
      </c>
      <c r="I229" s="1">
        <f t="shared" si="1"/>
        <v>6461.604885</v>
      </c>
      <c r="J229" s="1" t="s">
        <v>911</v>
      </c>
      <c r="K229" s="1"/>
      <c r="L229" s="1">
        <v>8213.0</v>
      </c>
    </row>
    <row r="230">
      <c r="A230" s="1">
        <v>2020.0</v>
      </c>
      <c r="B230" s="1">
        <v>5.0</v>
      </c>
      <c r="C230" s="1" t="s">
        <v>68</v>
      </c>
      <c r="D230" s="1" t="s">
        <v>13</v>
      </c>
      <c r="E230" s="1" t="s">
        <v>21</v>
      </c>
      <c r="F230" s="1" t="s">
        <v>914</v>
      </c>
      <c r="G230" s="1"/>
      <c r="H230" s="1" t="s">
        <v>915</v>
      </c>
      <c r="I230" s="1">
        <f t="shared" si="1"/>
        <v>978.03047</v>
      </c>
      <c r="J230" s="3">
        <v>1276219.0</v>
      </c>
      <c r="K230" s="3"/>
      <c r="L230" s="1">
        <v>1256.0</v>
      </c>
    </row>
    <row r="231">
      <c r="A231" s="1">
        <v>2020.0</v>
      </c>
      <c r="B231" s="1">
        <v>5.0</v>
      </c>
      <c r="C231" s="1" t="s">
        <v>68</v>
      </c>
      <c r="D231" s="1" t="s">
        <v>13</v>
      </c>
      <c r="E231" s="1" t="s">
        <v>25</v>
      </c>
      <c r="F231" s="1" t="s">
        <v>918</v>
      </c>
      <c r="G231" s="1"/>
      <c r="H231" s="1" t="s">
        <v>919</v>
      </c>
      <c r="I231" s="1">
        <f t="shared" si="1"/>
        <v>71.137857</v>
      </c>
      <c r="J231" s="1" t="s">
        <v>920</v>
      </c>
      <c r="K231" s="1"/>
      <c r="L231" s="1">
        <v>337.0</v>
      </c>
    </row>
    <row r="232">
      <c r="A232" s="1">
        <v>2020.0</v>
      </c>
      <c r="B232" s="1">
        <v>5.0</v>
      </c>
      <c r="C232" s="1" t="s">
        <v>68</v>
      </c>
      <c r="D232" s="1" t="s">
        <v>29</v>
      </c>
      <c r="E232" s="1" t="s">
        <v>21</v>
      </c>
      <c r="F232" s="3">
        <v>1026941.0</v>
      </c>
      <c r="G232" s="3"/>
      <c r="H232" s="1" t="s">
        <v>923</v>
      </c>
      <c r="I232" s="1">
        <f t="shared" si="1"/>
        <v>1704.141979</v>
      </c>
      <c r="J232" s="3">
        <v>2186038.0</v>
      </c>
      <c r="K232" s="3"/>
      <c r="L232" s="1">
        <v>1342.0</v>
      </c>
    </row>
    <row r="233">
      <c r="A233" s="1">
        <v>2020.0</v>
      </c>
      <c r="B233" s="1">
        <v>5.0</v>
      </c>
      <c r="C233" s="1" t="s">
        <v>68</v>
      </c>
      <c r="D233" s="1" t="s">
        <v>45</v>
      </c>
      <c r="E233" s="1" t="s">
        <v>17</v>
      </c>
      <c r="F233" s="1" t="s">
        <v>926</v>
      </c>
      <c r="G233" s="1"/>
      <c r="H233" s="1" t="s">
        <v>927</v>
      </c>
      <c r="I233" s="1">
        <f t="shared" si="1"/>
        <v>881.70831</v>
      </c>
      <c r="J233" s="3">
        <v>357330.0</v>
      </c>
      <c r="K233" s="3"/>
      <c r="L233" s="1">
        <v>2350.0</v>
      </c>
    </row>
    <row r="234">
      <c r="A234" s="1">
        <v>2020.0</v>
      </c>
      <c r="B234" s="1">
        <v>5.0</v>
      </c>
      <c r="C234" s="1" t="s">
        <v>68</v>
      </c>
      <c r="D234" s="1" t="s">
        <v>32</v>
      </c>
      <c r="E234" s="1" t="s">
        <v>14</v>
      </c>
      <c r="F234" s="3">
        <v>2221466.0</v>
      </c>
      <c r="G234" s="3"/>
      <c r="H234" s="1" t="s">
        <v>930</v>
      </c>
      <c r="I234" s="1">
        <f t="shared" si="1"/>
        <v>283.989748</v>
      </c>
      <c r="J234" s="1" t="s">
        <v>932</v>
      </c>
      <c r="K234" s="1"/>
      <c r="L234" s="1">
        <v>1569.0</v>
      </c>
    </row>
    <row r="235">
      <c r="A235" s="1">
        <v>2020.0</v>
      </c>
      <c r="B235" s="1">
        <v>5.0</v>
      </c>
      <c r="C235" s="1" t="s">
        <v>68</v>
      </c>
      <c r="D235" s="1" t="s">
        <v>32</v>
      </c>
      <c r="E235" s="1" t="s">
        <v>21</v>
      </c>
      <c r="F235" s="1" t="s">
        <v>935</v>
      </c>
      <c r="G235" s="1"/>
      <c r="H235" s="1" t="s">
        <v>936</v>
      </c>
      <c r="I235" s="1">
        <f t="shared" si="1"/>
        <v>112.811286</v>
      </c>
      <c r="J235" s="1" t="s">
        <v>938</v>
      </c>
      <c r="K235" s="1"/>
      <c r="L235" s="1">
        <v>330.0</v>
      </c>
    </row>
    <row r="236">
      <c r="A236" s="1">
        <v>2020.0</v>
      </c>
      <c r="B236" s="1">
        <v>5.0</v>
      </c>
      <c r="C236" s="1" t="s">
        <v>68</v>
      </c>
      <c r="D236" s="1" t="s">
        <v>42</v>
      </c>
      <c r="E236" s="1" t="s">
        <v>17</v>
      </c>
      <c r="F236" s="1" t="s">
        <v>939</v>
      </c>
      <c r="G236" s="1"/>
      <c r="H236" s="1" t="s">
        <v>941</v>
      </c>
      <c r="I236" s="1">
        <f t="shared" si="1"/>
        <v>224.946184</v>
      </c>
      <c r="J236" s="1" t="s">
        <v>942</v>
      </c>
      <c r="K236" s="1"/>
      <c r="L236" s="1">
        <v>327.0</v>
      </c>
    </row>
    <row r="237">
      <c r="A237" s="1">
        <v>2020.0</v>
      </c>
      <c r="B237" s="1">
        <v>5.0</v>
      </c>
      <c r="C237" s="1" t="s">
        <v>68</v>
      </c>
      <c r="D237" s="1" t="s">
        <v>465</v>
      </c>
      <c r="E237" s="1" t="s">
        <v>21</v>
      </c>
      <c r="F237" s="1" t="s">
        <v>944</v>
      </c>
      <c r="G237" s="1"/>
      <c r="H237" s="1" t="s">
        <v>946</v>
      </c>
      <c r="I237" s="1">
        <f t="shared" si="1"/>
        <v>137.342741</v>
      </c>
      <c r="J237" s="1" t="s">
        <v>948</v>
      </c>
      <c r="K237" s="1"/>
      <c r="L237" s="1">
        <v>780.0</v>
      </c>
    </row>
    <row r="238">
      <c r="A238" s="1">
        <v>2020.0</v>
      </c>
      <c r="B238" s="1">
        <v>5.0</v>
      </c>
      <c r="C238" s="1" t="s">
        <v>68</v>
      </c>
      <c r="D238" s="1" t="s">
        <v>38</v>
      </c>
      <c r="E238" s="1" t="s">
        <v>39</v>
      </c>
      <c r="F238" s="3">
        <v>639907.0</v>
      </c>
      <c r="G238" s="3"/>
      <c r="H238" s="1" t="s">
        <v>950</v>
      </c>
      <c r="I238" s="1">
        <f t="shared" si="1"/>
        <v>128.123744</v>
      </c>
      <c r="J238" s="1" t="s">
        <v>953</v>
      </c>
      <c r="K238" s="1"/>
      <c r="L238" s="1">
        <v>245.0</v>
      </c>
    </row>
    <row r="239">
      <c r="A239" s="1">
        <v>2020.0</v>
      </c>
      <c r="B239" s="1">
        <v>5.0</v>
      </c>
      <c r="C239" s="1" t="s">
        <v>68</v>
      </c>
      <c r="D239" s="1" t="s">
        <v>48</v>
      </c>
      <c r="E239" s="1" t="s">
        <v>49</v>
      </c>
      <c r="F239" s="1" t="s">
        <v>73</v>
      </c>
      <c r="G239" s="1"/>
      <c r="H239" s="1" t="s">
        <v>957</v>
      </c>
      <c r="I239" s="1">
        <f t="shared" si="1"/>
        <v>0.429929</v>
      </c>
      <c r="J239" s="1" t="s">
        <v>333</v>
      </c>
      <c r="K239" s="1"/>
      <c r="L239" s="1">
        <v>2.0</v>
      </c>
    </row>
    <row r="240">
      <c r="A240" s="1">
        <v>2020.0</v>
      </c>
      <c r="B240" s="1">
        <v>5.0</v>
      </c>
      <c r="C240" s="1" t="s">
        <v>68</v>
      </c>
      <c r="D240" s="1" t="s">
        <v>48</v>
      </c>
      <c r="E240" s="1" t="s">
        <v>21</v>
      </c>
      <c r="F240" s="1" t="s">
        <v>959</v>
      </c>
      <c r="G240" s="1"/>
      <c r="H240" s="1" t="s">
        <v>960</v>
      </c>
      <c r="I240" s="1">
        <f t="shared" si="1"/>
        <v>65.790073</v>
      </c>
      <c r="J240" s="1" t="s">
        <v>961</v>
      </c>
      <c r="K240" s="1"/>
      <c r="L240" s="1">
        <v>334.0</v>
      </c>
    </row>
    <row r="241">
      <c r="A241" s="1">
        <v>2020.0</v>
      </c>
      <c r="B241" s="1">
        <v>5.0</v>
      </c>
      <c r="C241" s="1" t="s">
        <v>68</v>
      </c>
      <c r="D241" s="1" t="s">
        <v>962</v>
      </c>
      <c r="E241" s="1" t="s">
        <v>17</v>
      </c>
      <c r="F241" s="1" t="s">
        <v>963</v>
      </c>
      <c r="G241" s="1"/>
      <c r="H241" s="1" t="s">
        <v>964</v>
      </c>
      <c r="I241" s="1">
        <f t="shared" si="1"/>
        <v>42.52785</v>
      </c>
      <c r="J241" s="1" t="s">
        <v>965</v>
      </c>
      <c r="K241" s="1"/>
      <c r="L241" s="1">
        <v>188.0</v>
      </c>
    </row>
    <row r="242">
      <c r="A242" s="1">
        <v>2020.0</v>
      </c>
      <c r="B242" s="1">
        <v>5.0</v>
      </c>
      <c r="C242" s="1" t="s">
        <v>68</v>
      </c>
      <c r="D242" s="1" t="s">
        <v>56</v>
      </c>
      <c r="E242" s="1" t="s">
        <v>21</v>
      </c>
      <c r="F242" s="1" t="s">
        <v>966</v>
      </c>
      <c r="G242" s="1"/>
      <c r="H242" s="1" t="s">
        <v>967</v>
      </c>
      <c r="I242" s="1">
        <f t="shared" si="1"/>
        <v>41.459526</v>
      </c>
      <c r="J242" s="1" t="s">
        <v>968</v>
      </c>
      <c r="K242" s="1"/>
      <c r="L242" s="1">
        <v>0.0</v>
      </c>
    </row>
    <row r="243">
      <c r="A243" s="1">
        <v>2020.0</v>
      </c>
      <c r="B243" s="1">
        <v>5.0</v>
      </c>
      <c r="C243" s="1" t="s">
        <v>116</v>
      </c>
      <c r="D243" s="1" t="s">
        <v>13</v>
      </c>
      <c r="E243" s="1" t="s">
        <v>14</v>
      </c>
      <c r="F243" s="1" t="s">
        <v>970</v>
      </c>
      <c r="G243" s="1"/>
      <c r="H243" s="1" t="s">
        <v>971</v>
      </c>
      <c r="I243" s="1">
        <f t="shared" si="1"/>
        <v>6964.641234</v>
      </c>
      <c r="J243" s="1" t="s">
        <v>973</v>
      </c>
      <c r="K243" s="1"/>
      <c r="L243" s="1">
        <v>11236.0</v>
      </c>
    </row>
    <row r="244">
      <c r="A244" s="1">
        <v>2020.0</v>
      </c>
      <c r="B244" s="1">
        <v>5.0</v>
      </c>
      <c r="C244" s="1" t="s">
        <v>116</v>
      </c>
      <c r="D244" s="1" t="s">
        <v>13</v>
      </c>
      <c r="E244" s="1" t="s">
        <v>17</v>
      </c>
      <c r="F244" s="1" t="s">
        <v>976</v>
      </c>
      <c r="G244" s="1"/>
      <c r="H244" s="1" t="s">
        <v>977</v>
      </c>
      <c r="I244" s="1">
        <f t="shared" si="1"/>
        <v>7894.581306</v>
      </c>
      <c r="J244" s="1" t="s">
        <v>978</v>
      </c>
      <c r="K244" s="1"/>
      <c r="L244" s="1">
        <v>7935.0</v>
      </c>
    </row>
    <row r="245">
      <c r="A245" s="1">
        <v>2020.0</v>
      </c>
      <c r="B245" s="1">
        <v>5.0</v>
      </c>
      <c r="C245" s="1" t="s">
        <v>116</v>
      </c>
      <c r="D245" s="1" t="s">
        <v>13</v>
      </c>
      <c r="E245" s="1" t="s">
        <v>21</v>
      </c>
      <c r="F245" s="1" t="s">
        <v>984</v>
      </c>
      <c r="G245" s="1"/>
      <c r="H245" s="1" t="s">
        <v>986</v>
      </c>
      <c r="I245" s="1">
        <f t="shared" si="1"/>
        <v>2313.44746</v>
      </c>
      <c r="J245" s="3">
        <v>2102916.0</v>
      </c>
      <c r="K245" s="3"/>
      <c r="L245" s="1">
        <v>2129.0</v>
      </c>
    </row>
    <row r="246">
      <c r="A246" s="1">
        <v>2020.0</v>
      </c>
      <c r="B246" s="1">
        <v>5.0</v>
      </c>
      <c r="C246" s="1" t="s">
        <v>116</v>
      </c>
      <c r="D246" s="1" t="s">
        <v>13</v>
      </c>
      <c r="E246" s="1" t="s">
        <v>25</v>
      </c>
      <c r="F246" s="1" t="s">
        <v>989</v>
      </c>
      <c r="G246" s="1"/>
      <c r="H246" s="1" t="s">
        <v>991</v>
      </c>
      <c r="I246" s="1">
        <f t="shared" si="1"/>
        <v>10.34063</v>
      </c>
      <c r="J246" s="1" t="s">
        <v>992</v>
      </c>
      <c r="K246" s="1"/>
      <c r="L246" s="1">
        <v>34.0</v>
      </c>
    </row>
    <row r="247">
      <c r="A247" s="1">
        <v>2020.0</v>
      </c>
      <c r="B247" s="1">
        <v>5.0</v>
      </c>
      <c r="C247" s="1" t="s">
        <v>116</v>
      </c>
      <c r="D247" s="1" t="s">
        <v>29</v>
      </c>
      <c r="E247" s="1" t="s">
        <v>21</v>
      </c>
      <c r="F247" s="1" t="s">
        <v>993</v>
      </c>
      <c r="G247" s="1"/>
      <c r="H247" s="1" t="s">
        <v>994</v>
      </c>
      <c r="I247" s="1">
        <f t="shared" si="1"/>
        <v>4815.378802</v>
      </c>
      <c r="J247" s="3">
        <v>1273116.0</v>
      </c>
      <c r="K247" s="3"/>
      <c r="L247" s="1">
        <v>2262.0</v>
      </c>
    </row>
    <row r="248">
      <c r="A248" s="1">
        <v>2020.0</v>
      </c>
      <c r="B248" s="1">
        <v>5.0</v>
      </c>
      <c r="C248" s="1" t="s">
        <v>116</v>
      </c>
      <c r="D248" s="1" t="s">
        <v>32</v>
      </c>
      <c r="E248" s="1" t="s">
        <v>14</v>
      </c>
      <c r="F248" s="3">
        <v>512284.0</v>
      </c>
      <c r="G248" s="3"/>
      <c r="H248" s="1" t="s">
        <v>995</v>
      </c>
      <c r="I248" s="1">
        <f t="shared" si="1"/>
        <v>493.352945</v>
      </c>
      <c r="J248" s="3">
        <v>2651297.0</v>
      </c>
      <c r="K248" s="3"/>
      <c r="L248" s="1">
        <v>1621.0</v>
      </c>
    </row>
    <row r="249">
      <c r="A249" s="1">
        <v>2020.0</v>
      </c>
      <c r="B249" s="1">
        <v>5.0</v>
      </c>
      <c r="C249" s="1" t="s">
        <v>116</v>
      </c>
      <c r="D249" s="1" t="s">
        <v>32</v>
      </c>
      <c r="E249" s="1" t="s">
        <v>21</v>
      </c>
      <c r="F249" s="3">
        <v>1620277.0</v>
      </c>
      <c r="G249" s="3"/>
      <c r="H249" s="1" t="s">
        <v>996</v>
      </c>
      <c r="I249" s="1">
        <f t="shared" si="1"/>
        <v>655.264603</v>
      </c>
      <c r="J249" s="3">
        <v>1625696.0</v>
      </c>
      <c r="K249" s="3"/>
      <c r="L249" s="1">
        <v>1225.0</v>
      </c>
    </row>
    <row r="250">
      <c r="A250" s="1">
        <v>2020.0</v>
      </c>
      <c r="B250" s="1">
        <v>5.0</v>
      </c>
      <c r="C250" s="1" t="s">
        <v>116</v>
      </c>
      <c r="D250" s="1" t="s">
        <v>45</v>
      </c>
      <c r="E250" s="1" t="s">
        <v>17</v>
      </c>
      <c r="F250" s="1" t="s">
        <v>997</v>
      </c>
      <c r="G250" s="1"/>
      <c r="H250" s="1" t="s">
        <v>998</v>
      </c>
      <c r="I250" s="1">
        <f t="shared" si="1"/>
        <v>985.101548</v>
      </c>
      <c r="J250" s="1" t="s">
        <v>999</v>
      </c>
      <c r="K250" s="1"/>
      <c r="L250" s="1">
        <v>2207.0</v>
      </c>
    </row>
    <row r="251">
      <c r="A251" s="1">
        <v>2020.0</v>
      </c>
      <c r="B251" s="1">
        <v>5.0</v>
      </c>
      <c r="C251" s="1" t="s">
        <v>116</v>
      </c>
      <c r="D251" s="1" t="s">
        <v>42</v>
      </c>
      <c r="E251" s="1" t="s">
        <v>17</v>
      </c>
      <c r="F251" s="3">
        <v>490674.0</v>
      </c>
      <c r="G251" s="3"/>
      <c r="H251" s="1" t="s">
        <v>1000</v>
      </c>
      <c r="I251" s="1">
        <f t="shared" si="1"/>
        <v>868.844336</v>
      </c>
      <c r="J251" s="1" t="s">
        <v>1001</v>
      </c>
      <c r="K251" s="1"/>
      <c r="L251" s="1">
        <v>827.0</v>
      </c>
    </row>
    <row r="252">
      <c r="A252" s="1">
        <v>2020.0</v>
      </c>
      <c r="B252" s="1">
        <v>5.0</v>
      </c>
      <c r="C252" s="1" t="s">
        <v>116</v>
      </c>
      <c r="D252" s="1" t="s">
        <v>147</v>
      </c>
      <c r="E252" s="1" t="s">
        <v>39</v>
      </c>
      <c r="F252" s="1" t="s">
        <v>1002</v>
      </c>
      <c r="G252" s="1"/>
      <c r="H252" s="1" t="s">
        <v>1003</v>
      </c>
      <c r="I252" s="1">
        <f t="shared" si="1"/>
        <v>390.842837</v>
      </c>
      <c r="J252" s="1" t="s">
        <v>1004</v>
      </c>
      <c r="K252" s="1"/>
      <c r="L252" s="1">
        <v>106.0</v>
      </c>
    </row>
    <row r="253">
      <c r="A253" s="1">
        <v>2020.0</v>
      </c>
      <c r="B253" s="1">
        <v>5.0</v>
      </c>
      <c r="C253" s="1" t="s">
        <v>116</v>
      </c>
      <c r="D253" s="1" t="s">
        <v>147</v>
      </c>
      <c r="E253" s="1" t="s">
        <v>17</v>
      </c>
      <c r="F253" s="1" t="s">
        <v>1005</v>
      </c>
      <c r="G253" s="1"/>
      <c r="H253" s="1" t="s">
        <v>1006</v>
      </c>
      <c r="I253" s="1">
        <f t="shared" si="1"/>
        <v>8.962127</v>
      </c>
      <c r="J253" s="1" t="s">
        <v>1007</v>
      </c>
      <c r="K253" s="1"/>
      <c r="L253" s="1">
        <v>5.0</v>
      </c>
    </row>
    <row r="254">
      <c r="A254" s="1">
        <v>2020.0</v>
      </c>
      <c r="B254" s="1">
        <v>5.0</v>
      </c>
      <c r="C254" s="1" t="s">
        <v>116</v>
      </c>
      <c r="D254" s="1" t="s">
        <v>147</v>
      </c>
      <c r="E254" s="1" t="s">
        <v>21</v>
      </c>
      <c r="F254" s="1" t="s">
        <v>1008</v>
      </c>
      <c r="G254" s="1"/>
      <c r="H254" s="1" t="s">
        <v>1009</v>
      </c>
      <c r="I254" s="1">
        <f t="shared" si="1"/>
        <v>38.584694</v>
      </c>
      <c r="J254" s="1" t="s">
        <v>1010</v>
      </c>
      <c r="K254" s="1"/>
      <c r="L254" s="1">
        <v>48.0</v>
      </c>
    </row>
    <row r="255">
      <c r="A255" s="1">
        <v>2020.0</v>
      </c>
      <c r="B255" s="1">
        <v>5.0</v>
      </c>
      <c r="C255" s="1" t="s">
        <v>116</v>
      </c>
      <c r="D255" s="1" t="s">
        <v>102</v>
      </c>
      <c r="E255" s="1" t="s">
        <v>39</v>
      </c>
      <c r="F255" s="1" t="s">
        <v>1011</v>
      </c>
      <c r="G255" s="1"/>
      <c r="H255" s="1" t="s">
        <v>1012</v>
      </c>
      <c r="I255" s="1">
        <f t="shared" si="1"/>
        <v>5.718368</v>
      </c>
      <c r="J255" s="1" t="s">
        <v>50</v>
      </c>
      <c r="K255" s="1"/>
      <c r="L255" s="1">
        <v>14.0</v>
      </c>
    </row>
    <row r="256">
      <c r="A256" s="1">
        <v>2020.0</v>
      </c>
      <c r="B256" s="1">
        <v>5.0</v>
      </c>
      <c r="C256" s="1" t="s">
        <v>116</v>
      </c>
      <c r="D256" s="1" t="s">
        <v>102</v>
      </c>
      <c r="E256" s="1" t="s">
        <v>21</v>
      </c>
      <c r="F256" s="3">
        <v>668761.0</v>
      </c>
      <c r="G256" s="3"/>
      <c r="H256" s="1" t="s">
        <v>1013</v>
      </c>
      <c r="I256" s="1">
        <f t="shared" si="1"/>
        <v>365.607411</v>
      </c>
      <c r="J256" s="1" t="s">
        <v>1014</v>
      </c>
      <c r="K256" s="1"/>
      <c r="L256" s="1">
        <v>202.0</v>
      </c>
    </row>
    <row r="257">
      <c r="A257" s="1">
        <v>2020.0</v>
      </c>
      <c r="B257" s="1">
        <v>5.0</v>
      </c>
      <c r="C257" s="1" t="s">
        <v>116</v>
      </c>
      <c r="D257" s="1" t="s">
        <v>465</v>
      </c>
      <c r="E257" s="1" t="s">
        <v>21</v>
      </c>
      <c r="F257" s="3">
        <v>266323.0</v>
      </c>
      <c r="G257" s="3"/>
      <c r="H257" s="1" t="s">
        <v>1015</v>
      </c>
      <c r="I257" s="1">
        <f t="shared" si="1"/>
        <v>358.536068</v>
      </c>
      <c r="J257" s="3">
        <v>1612547.0</v>
      </c>
      <c r="K257" s="3"/>
      <c r="L257" s="1">
        <v>1966.0</v>
      </c>
    </row>
    <row r="258">
      <c r="A258" s="1">
        <v>2020.0</v>
      </c>
      <c r="B258" s="1">
        <v>5.0</v>
      </c>
      <c r="C258" s="1" t="s">
        <v>116</v>
      </c>
      <c r="D258" s="1" t="s">
        <v>345</v>
      </c>
      <c r="E258" s="1" t="s">
        <v>72</v>
      </c>
      <c r="F258" s="1" t="s">
        <v>1016</v>
      </c>
      <c r="G258" s="1"/>
      <c r="H258" s="1" t="s">
        <v>1017</v>
      </c>
      <c r="I258" s="1">
        <f t="shared" si="1"/>
        <v>46.870565</v>
      </c>
      <c r="J258" s="1" t="s">
        <v>1018</v>
      </c>
      <c r="K258" s="1"/>
      <c r="L258" s="1">
        <v>0.0</v>
      </c>
    </row>
    <row r="259">
      <c r="A259" s="1">
        <v>2020.0</v>
      </c>
      <c r="B259" s="1">
        <v>5.0</v>
      </c>
      <c r="C259" s="1" t="s">
        <v>116</v>
      </c>
      <c r="D259" s="1" t="s">
        <v>345</v>
      </c>
      <c r="E259" s="1" t="s">
        <v>21</v>
      </c>
      <c r="F259" s="1" t="s">
        <v>1019</v>
      </c>
      <c r="G259" s="1"/>
      <c r="H259" s="1" t="s">
        <v>1020</v>
      </c>
      <c r="I259" s="1">
        <f t="shared" si="1"/>
        <v>215.208807</v>
      </c>
      <c r="J259" s="1" t="s">
        <v>1021</v>
      </c>
      <c r="K259" s="1"/>
      <c r="L259" s="1">
        <v>0.0</v>
      </c>
    </row>
    <row r="260">
      <c r="A260" s="1">
        <v>2020.0</v>
      </c>
      <c r="B260" s="1">
        <v>5.0</v>
      </c>
      <c r="C260" s="1" t="s">
        <v>116</v>
      </c>
      <c r="D260" s="1" t="s">
        <v>158</v>
      </c>
      <c r="E260" s="1" t="s">
        <v>17</v>
      </c>
      <c r="F260" s="1" t="s">
        <v>1022</v>
      </c>
      <c r="G260" s="1"/>
      <c r="H260" s="1" t="s">
        <v>1023</v>
      </c>
      <c r="I260" s="1">
        <f t="shared" si="1"/>
        <v>29.755378</v>
      </c>
      <c r="J260" s="1" t="s">
        <v>1024</v>
      </c>
      <c r="K260" s="1"/>
      <c r="L260" s="1">
        <v>0.0</v>
      </c>
    </row>
    <row r="261">
      <c r="A261" s="1">
        <v>2020.0</v>
      </c>
      <c r="B261" s="1">
        <v>5.0</v>
      </c>
      <c r="C261" s="1" t="s">
        <v>116</v>
      </c>
      <c r="D261" s="1" t="s">
        <v>158</v>
      </c>
      <c r="E261" s="1" t="s">
        <v>21</v>
      </c>
      <c r="F261" s="1" t="s">
        <v>1025</v>
      </c>
      <c r="G261" s="1"/>
      <c r="H261" s="1" t="s">
        <v>1026</v>
      </c>
      <c r="I261" s="1">
        <f t="shared" si="1"/>
        <v>173.026412</v>
      </c>
      <c r="J261" s="1" t="s">
        <v>1027</v>
      </c>
      <c r="K261" s="1"/>
      <c r="L261" s="1">
        <v>0.0</v>
      </c>
    </row>
    <row r="262">
      <c r="A262" s="1">
        <v>2020.0</v>
      </c>
      <c r="B262" s="1">
        <v>6.0</v>
      </c>
      <c r="C262" s="1" t="s">
        <v>12</v>
      </c>
      <c r="D262" s="1" t="s">
        <v>13</v>
      </c>
      <c r="E262" s="1" t="s">
        <v>14</v>
      </c>
      <c r="F262" s="1" t="s">
        <v>1028</v>
      </c>
      <c r="G262" s="1"/>
      <c r="H262" s="1" t="s">
        <v>1029</v>
      </c>
      <c r="I262" s="1">
        <f t="shared" si="1"/>
        <v>1029.598821</v>
      </c>
      <c r="J262" s="3">
        <v>1729484.0</v>
      </c>
      <c r="K262" s="3"/>
      <c r="L262" s="1">
        <v>598.0</v>
      </c>
    </row>
    <row r="263">
      <c r="A263" s="1">
        <v>2020.0</v>
      </c>
      <c r="B263" s="1">
        <v>6.0</v>
      </c>
      <c r="C263" s="1" t="s">
        <v>12</v>
      </c>
      <c r="D263" s="1" t="s">
        <v>13</v>
      </c>
      <c r="E263" s="1" t="s">
        <v>17</v>
      </c>
      <c r="F263" s="1" t="s">
        <v>1030</v>
      </c>
      <c r="G263" s="1"/>
      <c r="H263" s="1" t="s">
        <v>1031</v>
      </c>
      <c r="I263" s="1">
        <f t="shared" si="1"/>
        <v>4036.583675</v>
      </c>
      <c r="J263" s="1" t="s">
        <v>1032</v>
      </c>
      <c r="K263" s="1"/>
      <c r="L263" s="1">
        <v>719.0</v>
      </c>
    </row>
    <row r="264">
      <c r="A264" s="1">
        <v>2020.0</v>
      </c>
      <c r="B264" s="1">
        <v>6.0</v>
      </c>
      <c r="C264" s="1" t="s">
        <v>12</v>
      </c>
      <c r="D264" s="1" t="s">
        <v>13</v>
      </c>
      <c r="E264" s="1" t="s">
        <v>21</v>
      </c>
      <c r="F264" s="1" t="s">
        <v>1033</v>
      </c>
      <c r="G264" s="1"/>
      <c r="H264" s="1" t="s">
        <v>1034</v>
      </c>
      <c r="I264" s="1">
        <f t="shared" si="1"/>
        <v>5268.299434</v>
      </c>
      <c r="J264" s="1" t="s">
        <v>1035</v>
      </c>
      <c r="K264" s="1"/>
      <c r="L264" s="1">
        <v>620.0</v>
      </c>
    </row>
    <row r="265">
      <c r="A265" s="1">
        <v>2020.0</v>
      </c>
      <c r="B265" s="1">
        <v>6.0</v>
      </c>
      <c r="C265" s="1" t="s">
        <v>12</v>
      </c>
      <c r="D265" s="1" t="s">
        <v>13</v>
      </c>
      <c r="E265" s="1" t="s">
        <v>25</v>
      </c>
      <c r="F265" s="1" t="s">
        <v>1036</v>
      </c>
      <c r="G265" s="1"/>
      <c r="H265" s="1" t="s">
        <v>1037</v>
      </c>
      <c r="I265" s="1">
        <f t="shared" si="1"/>
        <v>213.294153</v>
      </c>
      <c r="J265" s="3">
        <v>1305014.0</v>
      </c>
      <c r="K265" s="3"/>
      <c r="L265" s="1">
        <v>22.0</v>
      </c>
    </row>
    <row r="266">
      <c r="A266" s="1">
        <v>2020.0</v>
      </c>
      <c r="B266" s="1">
        <v>6.0</v>
      </c>
      <c r="C266" s="1" t="s">
        <v>12</v>
      </c>
      <c r="D266" s="1" t="s">
        <v>29</v>
      </c>
      <c r="E266" s="1" t="s">
        <v>21</v>
      </c>
      <c r="F266" s="1" t="s">
        <v>1038</v>
      </c>
      <c r="G266" s="1"/>
      <c r="H266" s="1" t="s">
        <v>1039</v>
      </c>
      <c r="I266" s="1">
        <f t="shared" si="1"/>
        <v>2643.416951</v>
      </c>
      <c r="J266" s="3">
        <v>462519.0</v>
      </c>
      <c r="K266" s="3"/>
      <c r="L266" s="1">
        <v>580.0</v>
      </c>
    </row>
    <row r="267">
      <c r="A267" s="1">
        <v>2020.0</v>
      </c>
      <c r="B267" s="1">
        <v>6.0</v>
      </c>
      <c r="C267" s="1" t="s">
        <v>12</v>
      </c>
      <c r="D267" s="1" t="s">
        <v>32</v>
      </c>
      <c r="E267" s="1" t="s">
        <v>14</v>
      </c>
      <c r="F267" s="3">
        <v>1942635.0</v>
      </c>
      <c r="G267" s="3"/>
      <c r="H267" s="1" t="s">
        <v>1040</v>
      </c>
      <c r="I267" s="1">
        <f t="shared" si="1"/>
        <v>622.228998</v>
      </c>
      <c r="J267" s="3">
        <v>1008468.0</v>
      </c>
      <c r="K267" s="3"/>
      <c r="L267" s="1">
        <v>490.0</v>
      </c>
    </row>
    <row r="268">
      <c r="A268" s="1">
        <v>2020.0</v>
      </c>
      <c r="B268" s="1">
        <v>6.0</v>
      </c>
      <c r="C268" s="1" t="s">
        <v>12</v>
      </c>
      <c r="D268" s="1" t="s">
        <v>32</v>
      </c>
      <c r="E268" s="1" t="s">
        <v>21</v>
      </c>
      <c r="F268" s="3" t="s">
        <v>1041</v>
      </c>
      <c r="G268" s="3"/>
      <c r="H268" s="1" t="s">
        <v>1042</v>
      </c>
      <c r="I268" s="1">
        <f t="shared" si="1"/>
        <v>160.392984</v>
      </c>
      <c r="J268" s="1" t="s">
        <v>1043</v>
      </c>
      <c r="K268" s="1"/>
      <c r="L268" s="1">
        <v>222.0</v>
      </c>
    </row>
    <row r="269">
      <c r="A269" s="1">
        <v>2020.0</v>
      </c>
      <c r="B269" s="1">
        <v>6.0</v>
      </c>
      <c r="C269" s="1" t="s">
        <v>12</v>
      </c>
      <c r="D269" s="1" t="s">
        <v>42</v>
      </c>
      <c r="E269" s="1" t="s">
        <v>17</v>
      </c>
      <c r="F269" s="3">
        <v>2104926.0</v>
      </c>
      <c r="G269" s="3"/>
      <c r="H269" s="1" t="s">
        <v>1044</v>
      </c>
      <c r="I269" s="1">
        <f t="shared" si="1"/>
        <v>391.482226</v>
      </c>
      <c r="J269" s="3" t="s">
        <v>1045</v>
      </c>
      <c r="K269" s="3"/>
      <c r="L269" s="1">
        <v>150.0</v>
      </c>
    </row>
    <row r="270">
      <c r="A270" s="1">
        <v>2020.0</v>
      </c>
      <c r="B270" s="1">
        <v>6.0</v>
      </c>
      <c r="C270" s="1" t="s">
        <v>12</v>
      </c>
      <c r="D270" s="1" t="s">
        <v>38</v>
      </c>
      <c r="E270" s="1" t="s">
        <v>39</v>
      </c>
      <c r="F270" s="1" t="s">
        <v>1046</v>
      </c>
      <c r="G270" s="1"/>
      <c r="H270" s="1" t="s">
        <v>1047</v>
      </c>
      <c r="I270" s="1">
        <f t="shared" si="1"/>
        <v>360.477244</v>
      </c>
      <c r="J270" s="1" t="s">
        <v>1048</v>
      </c>
      <c r="K270" s="1"/>
      <c r="L270" s="1">
        <v>98.0</v>
      </c>
    </row>
    <row r="271">
      <c r="A271" s="1">
        <v>2020.0</v>
      </c>
      <c r="B271" s="1">
        <v>6.0</v>
      </c>
      <c r="C271" s="1" t="s">
        <v>12</v>
      </c>
      <c r="D271" s="1" t="s">
        <v>45</v>
      </c>
      <c r="E271" s="1" t="s">
        <v>17</v>
      </c>
      <c r="F271" s="3" t="s">
        <v>1049</v>
      </c>
      <c r="G271" s="3"/>
      <c r="H271" s="1" t="s">
        <v>1050</v>
      </c>
      <c r="I271" s="1">
        <f t="shared" si="1"/>
        <v>156.110209</v>
      </c>
      <c r="J271" s="1" t="s">
        <v>1051</v>
      </c>
      <c r="K271" s="1"/>
      <c r="L271" s="1">
        <v>100.0</v>
      </c>
    </row>
    <row r="272">
      <c r="A272" s="1">
        <v>2020.0</v>
      </c>
      <c r="B272" s="1">
        <v>6.0</v>
      </c>
      <c r="C272" s="1" t="s">
        <v>12</v>
      </c>
      <c r="D272" s="1" t="s">
        <v>56</v>
      </c>
      <c r="E272" s="1" t="s">
        <v>21</v>
      </c>
      <c r="F272" s="1" t="s">
        <v>1052</v>
      </c>
      <c r="G272" s="1"/>
      <c r="H272" s="1" t="s">
        <v>1053</v>
      </c>
      <c r="I272" s="1">
        <f t="shared" si="1"/>
        <v>117.64838</v>
      </c>
      <c r="J272" s="1" t="s">
        <v>1054</v>
      </c>
      <c r="K272" s="1"/>
      <c r="L272" s="1">
        <v>164.0</v>
      </c>
    </row>
    <row r="273">
      <c r="A273" s="1">
        <v>2020.0</v>
      </c>
      <c r="B273" s="1">
        <v>6.0</v>
      </c>
      <c r="C273" s="1" t="s">
        <v>12</v>
      </c>
      <c r="D273" s="1" t="s">
        <v>48</v>
      </c>
      <c r="E273" s="1" t="s">
        <v>49</v>
      </c>
      <c r="F273" s="1" t="s">
        <v>931</v>
      </c>
      <c r="G273" s="1"/>
      <c r="H273" s="1" t="s">
        <v>1055</v>
      </c>
      <c r="I273" s="1">
        <f t="shared" si="1"/>
        <v>1.560646</v>
      </c>
      <c r="J273" s="1" t="s">
        <v>1056</v>
      </c>
      <c r="K273" s="1"/>
      <c r="L273" s="1">
        <v>4.0</v>
      </c>
    </row>
    <row r="274">
      <c r="A274" s="1">
        <v>2020.0</v>
      </c>
      <c r="B274" s="1">
        <v>6.0</v>
      </c>
      <c r="C274" s="1" t="s">
        <v>12</v>
      </c>
      <c r="D274" s="1" t="s">
        <v>48</v>
      </c>
      <c r="E274" s="1" t="s">
        <v>21</v>
      </c>
      <c r="F274" s="1" t="s">
        <v>1057</v>
      </c>
      <c r="G274" s="1"/>
      <c r="H274" s="1" t="s">
        <v>1058</v>
      </c>
      <c r="I274" s="1">
        <f t="shared" si="1"/>
        <v>92.905343</v>
      </c>
      <c r="J274" s="1" t="s">
        <v>1059</v>
      </c>
      <c r="K274" s="1"/>
      <c r="L274" s="1">
        <v>117.0</v>
      </c>
    </row>
    <row r="275">
      <c r="A275" s="1">
        <v>2020.0</v>
      </c>
      <c r="B275" s="1">
        <v>6.0</v>
      </c>
      <c r="C275" s="1" t="s">
        <v>12</v>
      </c>
      <c r="D275" s="1" t="s">
        <v>147</v>
      </c>
      <c r="E275" s="1" t="s">
        <v>39</v>
      </c>
      <c r="F275" s="3" t="s">
        <v>1060</v>
      </c>
      <c r="G275" s="3"/>
      <c r="H275" s="1" t="s">
        <v>1061</v>
      </c>
      <c r="I275" s="1">
        <f t="shared" si="1"/>
        <v>55.474507</v>
      </c>
      <c r="J275" s="1" t="s">
        <v>1062</v>
      </c>
      <c r="K275" s="1"/>
      <c r="L275" s="1">
        <v>82.0</v>
      </c>
    </row>
    <row r="276">
      <c r="A276" s="1">
        <v>2020.0</v>
      </c>
      <c r="B276" s="1">
        <v>6.0</v>
      </c>
      <c r="C276" s="1" t="s">
        <v>12</v>
      </c>
      <c r="D276" s="1" t="s">
        <v>147</v>
      </c>
      <c r="E276" s="1" t="s">
        <v>17</v>
      </c>
      <c r="F276" s="1" t="s">
        <v>73</v>
      </c>
      <c r="G276" s="1"/>
      <c r="H276" s="1" t="s">
        <v>1063</v>
      </c>
      <c r="I276" s="1">
        <f t="shared" si="1"/>
        <v>0.425287</v>
      </c>
      <c r="J276" s="1" t="s">
        <v>674</v>
      </c>
      <c r="K276" s="1"/>
      <c r="L276" s="1">
        <v>1.0</v>
      </c>
    </row>
    <row r="277">
      <c r="A277" s="1">
        <v>2020.0</v>
      </c>
      <c r="B277" s="1">
        <v>6.0</v>
      </c>
      <c r="C277" s="1" t="s">
        <v>12</v>
      </c>
      <c r="D277" s="1" t="s">
        <v>848</v>
      </c>
      <c r="E277" s="1" t="s">
        <v>21</v>
      </c>
      <c r="F277" s="1" t="s">
        <v>1064</v>
      </c>
      <c r="G277" s="1"/>
      <c r="H277" s="1" t="s">
        <v>1065</v>
      </c>
      <c r="I277" s="1">
        <f t="shared" si="1"/>
        <v>44.131594</v>
      </c>
      <c r="J277" s="1" t="s">
        <v>297</v>
      </c>
      <c r="K277" s="1"/>
      <c r="L277" s="1">
        <v>0.0</v>
      </c>
    </row>
    <row r="278">
      <c r="A278" s="1">
        <v>2020.0</v>
      </c>
      <c r="B278" s="1">
        <v>6.0</v>
      </c>
      <c r="C278" s="1" t="s">
        <v>68</v>
      </c>
      <c r="D278" s="1" t="s">
        <v>13</v>
      </c>
      <c r="E278" s="1" t="s">
        <v>14</v>
      </c>
      <c r="F278" s="1" t="s">
        <v>1066</v>
      </c>
      <c r="G278" s="1"/>
      <c r="H278" s="1" t="s">
        <v>1067</v>
      </c>
      <c r="I278" s="1">
        <f t="shared" si="1"/>
        <v>3056.350782</v>
      </c>
      <c r="J278" s="1" t="s">
        <v>1068</v>
      </c>
      <c r="K278" s="1"/>
      <c r="L278" s="1">
        <v>7767.0</v>
      </c>
    </row>
    <row r="279">
      <c r="A279" s="1">
        <v>2020.0</v>
      </c>
      <c r="B279" s="1">
        <v>6.0</v>
      </c>
      <c r="C279" s="1" t="s">
        <v>68</v>
      </c>
      <c r="D279" s="1" t="s">
        <v>13</v>
      </c>
      <c r="E279" s="1" t="s">
        <v>72</v>
      </c>
      <c r="F279" s="1" t="s">
        <v>73</v>
      </c>
      <c r="G279" s="1"/>
      <c r="H279" s="1" t="s">
        <v>1069</v>
      </c>
      <c r="I279" s="1">
        <f t="shared" si="1"/>
        <v>0.142293</v>
      </c>
      <c r="J279" s="1" t="s">
        <v>75</v>
      </c>
      <c r="K279" s="1"/>
      <c r="L279" s="1">
        <v>2.0</v>
      </c>
    </row>
    <row r="280">
      <c r="A280" s="1">
        <v>2020.0</v>
      </c>
      <c r="B280" s="1">
        <v>6.0</v>
      </c>
      <c r="C280" s="1" t="s">
        <v>68</v>
      </c>
      <c r="D280" s="1" t="s">
        <v>13</v>
      </c>
      <c r="E280" s="1" t="s">
        <v>17</v>
      </c>
      <c r="F280" s="1" t="s">
        <v>1070</v>
      </c>
      <c r="G280" s="1"/>
      <c r="H280" s="1" t="s">
        <v>1071</v>
      </c>
      <c r="I280" s="1">
        <f t="shared" si="1"/>
        <v>6777.613965</v>
      </c>
      <c r="J280" s="1" t="s">
        <v>1072</v>
      </c>
      <c r="K280" s="1"/>
      <c r="L280" s="1">
        <v>8911.0</v>
      </c>
    </row>
    <row r="281">
      <c r="A281" s="1">
        <v>2020.0</v>
      </c>
      <c r="B281" s="1">
        <v>6.0</v>
      </c>
      <c r="C281" s="1" t="s">
        <v>68</v>
      </c>
      <c r="D281" s="1" t="s">
        <v>13</v>
      </c>
      <c r="E281" s="1" t="s">
        <v>21</v>
      </c>
      <c r="F281" s="3">
        <v>2833674.0</v>
      </c>
      <c r="G281" s="3"/>
      <c r="H281" s="1" t="s">
        <v>1073</v>
      </c>
      <c r="I281" s="1">
        <f t="shared" si="1"/>
        <v>822.030462</v>
      </c>
      <c r="J281" s="3">
        <v>2896041.0</v>
      </c>
      <c r="K281" s="3"/>
      <c r="L281" s="1">
        <v>1480.0</v>
      </c>
    </row>
    <row r="282">
      <c r="A282" s="1">
        <v>2020.0</v>
      </c>
      <c r="B282" s="1">
        <v>6.0</v>
      </c>
      <c r="C282" s="1" t="s">
        <v>68</v>
      </c>
      <c r="D282" s="1" t="s">
        <v>13</v>
      </c>
      <c r="E282" s="1" t="s">
        <v>25</v>
      </c>
      <c r="F282" s="1" t="s">
        <v>1074</v>
      </c>
      <c r="G282" s="1"/>
      <c r="H282" s="1" t="s">
        <v>1075</v>
      </c>
      <c r="I282" s="1">
        <f t="shared" si="1"/>
        <v>66.62911</v>
      </c>
      <c r="J282" s="1" t="s">
        <v>1076</v>
      </c>
      <c r="K282" s="1"/>
      <c r="L282" s="1">
        <v>308.0</v>
      </c>
    </row>
    <row r="283">
      <c r="A283" s="1">
        <v>2020.0</v>
      </c>
      <c r="B283" s="1">
        <v>6.0</v>
      </c>
      <c r="C283" s="1" t="s">
        <v>68</v>
      </c>
      <c r="D283" s="1" t="s">
        <v>29</v>
      </c>
      <c r="E283" s="1" t="s">
        <v>21</v>
      </c>
      <c r="F283" s="3">
        <v>2248556.0</v>
      </c>
      <c r="G283" s="3"/>
      <c r="H283" s="1" t="s">
        <v>1077</v>
      </c>
      <c r="I283" s="1">
        <f t="shared" si="1"/>
        <v>1161.256081</v>
      </c>
      <c r="J283" s="3">
        <v>482884.0</v>
      </c>
      <c r="K283" s="3"/>
      <c r="L283" s="1">
        <v>1295.0</v>
      </c>
    </row>
    <row r="284">
      <c r="A284" s="1">
        <v>2020.0</v>
      </c>
      <c r="B284" s="1">
        <v>6.0</v>
      </c>
      <c r="C284" s="1" t="s">
        <v>68</v>
      </c>
      <c r="D284" s="1" t="s">
        <v>45</v>
      </c>
      <c r="E284" s="1" t="s">
        <v>17</v>
      </c>
      <c r="F284" s="1" t="s">
        <v>1078</v>
      </c>
      <c r="G284" s="1"/>
      <c r="H284" s="1" t="s">
        <v>1079</v>
      </c>
      <c r="I284" s="1">
        <f t="shared" si="1"/>
        <v>1016.720657</v>
      </c>
      <c r="J284" s="3">
        <v>2098472.0</v>
      </c>
      <c r="K284" s="3"/>
      <c r="L284" s="1">
        <v>2074.0</v>
      </c>
    </row>
    <row r="285">
      <c r="A285" s="1">
        <v>2020.0</v>
      </c>
      <c r="B285" s="1">
        <v>6.0</v>
      </c>
      <c r="C285" s="1" t="s">
        <v>68</v>
      </c>
      <c r="D285" s="1" t="s">
        <v>32</v>
      </c>
      <c r="E285" s="1" t="s">
        <v>14</v>
      </c>
      <c r="F285" s="3">
        <v>490948.0</v>
      </c>
      <c r="G285" s="3"/>
      <c r="H285" s="1" t="s">
        <v>1080</v>
      </c>
      <c r="I285" s="1">
        <f t="shared" si="1"/>
        <v>262.774193</v>
      </c>
      <c r="J285" s="1" t="s">
        <v>1081</v>
      </c>
      <c r="K285" s="1"/>
      <c r="L285" s="1">
        <v>1783.0</v>
      </c>
    </row>
    <row r="286">
      <c r="A286" s="1">
        <v>2020.0</v>
      </c>
      <c r="B286" s="1">
        <v>6.0</v>
      </c>
      <c r="C286" s="1" t="s">
        <v>68</v>
      </c>
      <c r="D286" s="1" t="s">
        <v>32</v>
      </c>
      <c r="E286" s="1" t="s">
        <v>21</v>
      </c>
      <c r="F286" s="1" t="s">
        <v>1082</v>
      </c>
      <c r="G286" s="1"/>
      <c r="H286" s="1" t="s">
        <v>1083</v>
      </c>
      <c r="I286" s="1">
        <f t="shared" si="1"/>
        <v>119.821694</v>
      </c>
      <c r="J286" s="1" t="s">
        <v>1084</v>
      </c>
      <c r="K286" s="1"/>
      <c r="L286" s="1">
        <v>235.0</v>
      </c>
    </row>
    <row r="287">
      <c r="A287" s="1">
        <v>2020.0</v>
      </c>
      <c r="B287" s="1">
        <v>6.0</v>
      </c>
      <c r="C287" s="1" t="s">
        <v>68</v>
      </c>
      <c r="D287" s="1" t="s">
        <v>42</v>
      </c>
      <c r="E287" s="1" t="s">
        <v>17</v>
      </c>
      <c r="F287" s="3">
        <v>710033.0</v>
      </c>
      <c r="G287" s="3"/>
      <c r="H287" s="1" t="s">
        <v>1085</v>
      </c>
      <c r="I287" s="1">
        <f t="shared" si="1"/>
        <v>236.517256</v>
      </c>
      <c r="J287" s="1" t="s">
        <v>1086</v>
      </c>
      <c r="K287" s="1"/>
      <c r="L287" s="1">
        <v>320.0</v>
      </c>
    </row>
    <row r="288">
      <c r="A288" s="1">
        <v>2020.0</v>
      </c>
      <c r="B288" s="1">
        <v>6.0</v>
      </c>
      <c r="C288" s="1" t="s">
        <v>68</v>
      </c>
      <c r="D288" s="1" t="s">
        <v>38</v>
      </c>
      <c r="E288" s="1" t="s">
        <v>39</v>
      </c>
      <c r="F288" s="1" t="s">
        <v>1087</v>
      </c>
      <c r="G288" s="1"/>
      <c r="H288" s="1" t="s">
        <v>1088</v>
      </c>
      <c r="I288" s="1">
        <f t="shared" si="1"/>
        <v>120.12206</v>
      </c>
      <c r="J288" s="1" t="s">
        <v>1089</v>
      </c>
      <c r="K288" s="1"/>
      <c r="L288" s="1">
        <v>367.0</v>
      </c>
    </row>
    <row r="289">
      <c r="A289" s="1">
        <v>2020.0</v>
      </c>
      <c r="B289" s="1">
        <v>6.0</v>
      </c>
      <c r="C289" s="1" t="s">
        <v>68</v>
      </c>
      <c r="D289" s="1" t="s">
        <v>465</v>
      </c>
      <c r="E289" s="1" t="s">
        <v>21</v>
      </c>
      <c r="F289" s="1" t="s">
        <v>1090</v>
      </c>
      <c r="G289" s="1"/>
      <c r="H289" s="1" t="s">
        <v>1091</v>
      </c>
      <c r="I289" s="1">
        <f t="shared" si="1"/>
        <v>92.652783</v>
      </c>
      <c r="J289" s="1" t="s">
        <v>1092</v>
      </c>
      <c r="K289" s="1"/>
      <c r="L289" s="1">
        <v>608.0</v>
      </c>
    </row>
    <row r="290">
      <c r="A290" s="1">
        <v>2020.0</v>
      </c>
      <c r="B290" s="1">
        <v>6.0</v>
      </c>
      <c r="C290" s="1" t="s">
        <v>68</v>
      </c>
      <c r="D290" s="1" t="s">
        <v>48</v>
      </c>
      <c r="E290" s="1" t="s">
        <v>49</v>
      </c>
      <c r="F290" s="1" t="s">
        <v>396</v>
      </c>
      <c r="G290" s="1"/>
      <c r="H290" s="1" t="s">
        <v>1093</v>
      </c>
      <c r="I290" s="1">
        <f t="shared" si="1"/>
        <v>1.081717</v>
      </c>
      <c r="J290" s="1" t="s">
        <v>414</v>
      </c>
      <c r="K290" s="1"/>
      <c r="L290" s="1">
        <v>2.0</v>
      </c>
    </row>
    <row r="291">
      <c r="A291" s="1">
        <v>2020.0</v>
      </c>
      <c r="B291" s="1">
        <v>6.0</v>
      </c>
      <c r="C291" s="1" t="s">
        <v>68</v>
      </c>
      <c r="D291" s="1" t="s">
        <v>48</v>
      </c>
      <c r="E291" s="1" t="s">
        <v>21</v>
      </c>
      <c r="F291" s="1" t="s">
        <v>1094</v>
      </c>
      <c r="G291" s="1"/>
      <c r="H291" s="1" t="s">
        <v>1095</v>
      </c>
      <c r="I291" s="1">
        <f t="shared" si="1"/>
        <v>56.30877</v>
      </c>
      <c r="J291" s="1" t="s">
        <v>1096</v>
      </c>
      <c r="K291" s="1"/>
      <c r="L291" s="1">
        <v>338.0</v>
      </c>
    </row>
    <row r="292">
      <c r="A292" s="1">
        <v>2020.0</v>
      </c>
      <c r="B292" s="1">
        <v>6.0</v>
      </c>
      <c r="C292" s="1" t="s">
        <v>68</v>
      </c>
      <c r="D292" s="1" t="s">
        <v>108</v>
      </c>
      <c r="E292" s="1" t="s">
        <v>49</v>
      </c>
      <c r="F292" s="3" t="s">
        <v>1097</v>
      </c>
      <c r="G292" s="3"/>
      <c r="H292" s="1" t="s">
        <v>1098</v>
      </c>
      <c r="I292" s="1">
        <f t="shared" si="1"/>
        <v>49.519426</v>
      </c>
      <c r="J292" s="1" t="s">
        <v>1099</v>
      </c>
      <c r="K292" s="1"/>
      <c r="L292" s="1">
        <v>701.0</v>
      </c>
    </row>
    <row r="293">
      <c r="A293" s="1">
        <v>2020.0</v>
      </c>
      <c r="B293" s="1">
        <v>6.0</v>
      </c>
      <c r="C293" s="1" t="s">
        <v>68</v>
      </c>
      <c r="D293" s="1" t="s">
        <v>112</v>
      </c>
      <c r="E293" s="1" t="s">
        <v>21</v>
      </c>
      <c r="F293" s="1" t="s">
        <v>1100</v>
      </c>
      <c r="G293" s="1"/>
      <c r="H293" s="1" t="s">
        <v>1101</v>
      </c>
      <c r="I293" s="1">
        <f t="shared" si="1"/>
        <v>47.024197</v>
      </c>
      <c r="J293" s="1" t="s">
        <v>1102</v>
      </c>
      <c r="K293" s="1"/>
      <c r="L293" s="1">
        <v>121.0</v>
      </c>
    </row>
    <row r="294">
      <c r="A294" s="1">
        <v>2020.0</v>
      </c>
      <c r="B294" s="1">
        <v>6.0</v>
      </c>
      <c r="C294" s="1" t="s">
        <v>116</v>
      </c>
      <c r="D294" s="1" t="s">
        <v>13</v>
      </c>
      <c r="E294" s="1" t="s">
        <v>14</v>
      </c>
      <c r="F294" s="1" t="s">
        <v>1103</v>
      </c>
      <c r="G294" s="1"/>
      <c r="H294" s="1" t="s">
        <v>1104</v>
      </c>
      <c r="I294" s="1">
        <f t="shared" si="1"/>
        <v>4901.720639</v>
      </c>
      <c r="J294" s="1" t="s">
        <v>1105</v>
      </c>
      <c r="K294" s="1"/>
      <c r="L294" s="1">
        <v>10036.0</v>
      </c>
    </row>
    <row r="295">
      <c r="A295" s="1">
        <v>2020.0</v>
      </c>
      <c r="B295" s="1">
        <v>6.0</v>
      </c>
      <c r="C295" s="1" t="s">
        <v>116</v>
      </c>
      <c r="D295" s="1" t="s">
        <v>13</v>
      </c>
      <c r="E295" s="1" t="s">
        <v>17</v>
      </c>
      <c r="F295" s="1" t="s">
        <v>1106</v>
      </c>
      <c r="G295" s="1"/>
      <c r="H295" s="1" t="s">
        <v>1107</v>
      </c>
      <c r="I295" s="1">
        <f t="shared" si="1"/>
        <v>7862.024497</v>
      </c>
      <c r="J295" s="1" t="s">
        <v>1108</v>
      </c>
      <c r="K295" s="1"/>
      <c r="L295" s="1">
        <v>8203.0</v>
      </c>
    </row>
    <row r="296">
      <c r="A296" s="1">
        <v>2020.0</v>
      </c>
      <c r="B296" s="1">
        <v>6.0</v>
      </c>
      <c r="C296" s="1" t="s">
        <v>116</v>
      </c>
      <c r="D296" s="1" t="s">
        <v>13</v>
      </c>
      <c r="E296" s="1" t="s">
        <v>21</v>
      </c>
      <c r="F296" s="1" t="s">
        <v>1109</v>
      </c>
      <c r="G296" s="1"/>
      <c r="H296" s="1" t="s">
        <v>1110</v>
      </c>
      <c r="I296" s="1">
        <f t="shared" si="1"/>
        <v>1864.033093</v>
      </c>
      <c r="J296" s="3">
        <v>843163.0</v>
      </c>
      <c r="K296" s="3"/>
      <c r="L296" s="1">
        <v>1810.0</v>
      </c>
    </row>
    <row r="297">
      <c r="A297" s="1">
        <v>2020.0</v>
      </c>
      <c r="B297" s="1">
        <v>6.0</v>
      </c>
      <c r="C297" s="1" t="s">
        <v>116</v>
      </c>
      <c r="D297" s="1" t="s">
        <v>13</v>
      </c>
      <c r="E297" s="1" t="s">
        <v>25</v>
      </c>
      <c r="F297" s="1" t="s">
        <v>1111</v>
      </c>
      <c r="G297" s="1"/>
      <c r="H297" s="1" t="s">
        <v>1112</v>
      </c>
      <c r="I297" s="1">
        <f t="shared" si="1"/>
        <v>15.912793</v>
      </c>
      <c r="J297" s="1" t="s">
        <v>568</v>
      </c>
      <c r="K297" s="1"/>
      <c r="L297" s="1">
        <v>71.0</v>
      </c>
    </row>
    <row r="298">
      <c r="A298" s="1">
        <v>2020.0</v>
      </c>
      <c r="B298" s="1">
        <v>6.0</v>
      </c>
      <c r="C298" s="1" t="s">
        <v>116</v>
      </c>
      <c r="D298" s="1" t="s">
        <v>29</v>
      </c>
      <c r="E298" s="1" t="s">
        <v>21</v>
      </c>
      <c r="F298" s="1" t="s">
        <v>1113</v>
      </c>
      <c r="G298" s="1"/>
      <c r="H298" s="1" t="s">
        <v>1114</v>
      </c>
      <c r="I298" s="1">
        <f t="shared" si="1"/>
        <v>4241.478373</v>
      </c>
      <c r="J298" s="3" t="s">
        <v>1115</v>
      </c>
      <c r="K298" s="3"/>
      <c r="L298" s="1">
        <v>2246.0</v>
      </c>
    </row>
    <row r="299">
      <c r="A299" s="1">
        <v>2020.0</v>
      </c>
      <c r="B299" s="1">
        <v>6.0</v>
      </c>
      <c r="C299" s="1" t="s">
        <v>116</v>
      </c>
      <c r="D299" s="1" t="s">
        <v>45</v>
      </c>
      <c r="E299" s="1" t="s">
        <v>17</v>
      </c>
      <c r="F299" s="1" t="s">
        <v>1116</v>
      </c>
      <c r="G299" s="1"/>
      <c r="H299" s="1" t="s">
        <v>1117</v>
      </c>
      <c r="I299" s="1">
        <f t="shared" si="1"/>
        <v>1824.296596</v>
      </c>
      <c r="J299" s="3">
        <v>258167.0</v>
      </c>
      <c r="K299" s="3"/>
      <c r="L299" s="1">
        <v>2090.0</v>
      </c>
    </row>
    <row r="300">
      <c r="A300" s="1">
        <v>2020.0</v>
      </c>
      <c r="B300" s="1">
        <v>6.0</v>
      </c>
      <c r="C300" s="1" t="s">
        <v>116</v>
      </c>
      <c r="D300" s="1" t="s">
        <v>42</v>
      </c>
      <c r="E300" s="1" t="s">
        <v>17</v>
      </c>
      <c r="F300" s="3" t="s">
        <v>1118</v>
      </c>
      <c r="G300" s="3"/>
      <c r="H300" s="1" t="s">
        <v>1119</v>
      </c>
      <c r="I300" s="1">
        <f t="shared" si="1"/>
        <v>1209.394551</v>
      </c>
      <c r="J300" s="3">
        <v>2888370.0</v>
      </c>
      <c r="K300" s="3"/>
      <c r="L300" s="1">
        <v>630.0</v>
      </c>
    </row>
    <row r="301">
      <c r="A301" s="1">
        <v>2020.0</v>
      </c>
      <c r="B301" s="1">
        <v>6.0</v>
      </c>
      <c r="C301" s="1" t="s">
        <v>116</v>
      </c>
      <c r="D301" s="1" t="s">
        <v>32</v>
      </c>
      <c r="E301" s="1" t="s">
        <v>14</v>
      </c>
      <c r="F301" s="3">
        <v>448610.0</v>
      </c>
      <c r="G301" s="3"/>
      <c r="H301" s="1" t="s">
        <v>1120</v>
      </c>
      <c r="I301" s="1">
        <f t="shared" si="1"/>
        <v>302.101449</v>
      </c>
      <c r="J301" s="1" t="s">
        <v>1121</v>
      </c>
      <c r="K301" s="1"/>
      <c r="L301" s="1">
        <v>1587.0</v>
      </c>
    </row>
    <row r="302">
      <c r="A302" s="1">
        <v>2020.0</v>
      </c>
      <c r="B302" s="1">
        <v>6.0</v>
      </c>
      <c r="C302" s="1" t="s">
        <v>116</v>
      </c>
      <c r="D302" s="1" t="s">
        <v>32</v>
      </c>
      <c r="E302" s="1" t="s">
        <v>21</v>
      </c>
      <c r="F302" s="3" t="s">
        <v>1122</v>
      </c>
      <c r="G302" s="3"/>
      <c r="H302" s="1" t="s">
        <v>1123</v>
      </c>
      <c r="I302" s="1">
        <f t="shared" si="1"/>
        <v>565.056658</v>
      </c>
      <c r="J302" s="3">
        <v>765916.0</v>
      </c>
      <c r="K302" s="3"/>
      <c r="L302" s="1">
        <v>1088.0</v>
      </c>
    </row>
    <row r="303">
      <c r="A303" s="1">
        <v>2020.0</v>
      </c>
      <c r="B303" s="1">
        <v>6.0</v>
      </c>
      <c r="C303" s="1" t="s">
        <v>116</v>
      </c>
      <c r="D303" s="1" t="s">
        <v>147</v>
      </c>
      <c r="E303" s="1" t="s">
        <v>39</v>
      </c>
      <c r="F303" s="3">
        <v>2077867.0</v>
      </c>
      <c r="G303" s="3"/>
      <c r="H303" s="1" t="s">
        <v>1124</v>
      </c>
      <c r="I303" s="1">
        <f t="shared" si="1"/>
        <v>476.183387</v>
      </c>
      <c r="J303" s="1" t="s">
        <v>1125</v>
      </c>
      <c r="K303" s="1"/>
      <c r="L303" s="1">
        <v>97.0</v>
      </c>
    </row>
    <row r="304">
      <c r="A304" s="1">
        <v>2020.0</v>
      </c>
      <c r="B304" s="1">
        <v>6.0</v>
      </c>
      <c r="C304" s="1" t="s">
        <v>116</v>
      </c>
      <c r="D304" s="1" t="s">
        <v>147</v>
      </c>
      <c r="E304" s="1" t="s">
        <v>17</v>
      </c>
      <c r="F304" s="1" t="s">
        <v>1126</v>
      </c>
      <c r="G304" s="1"/>
      <c r="H304" s="1" t="s">
        <v>1127</v>
      </c>
      <c r="I304" s="1">
        <f t="shared" si="1"/>
        <v>7.848517</v>
      </c>
      <c r="J304" s="1" t="s">
        <v>1128</v>
      </c>
      <c r="K304" s="1"/>
      <c r="L304" s="1">
        <v>6.0</v>
      </c>
    </row>
    <row r="305">
      <c r="A305" s="1">
        <v>2020.0</v>
      </c>
      <c r="B305" s="1">
        <v>6.0</v>
      </c>
      <c r="C305" s="1" t="s">
        <v>116</v>
      </c>
      <c r="D305" s="1" t="s">
        <v>147</v>
      </c>
      <c r="E305" s="1" t="s">
        <v>21</v>
      </c>
      <c r="F305" s="1" t="s">
        <v>1129</v>
      </c>
      <c r="G305" s="1"/>
      <c r="H305" s="1" t="s">
        <v>1130</v>
      </c>
      <c r="I305" s="1">
        <f t="shared" si="1"/>
        <v>27.373598</v>
      </c>
      <c r="J305" s="1" t="s">
        <v>1131</v>
      </c>
      <c r="K305" s="1"/>
      <c r="L305" s="1">
        <v>43.0</v>
      </c>
    </row>
    <row r="306">
      <c r="A306" s="1">
        <v>2020.0</v>
      </c>
      <c r="B306" s="1">
        <v>6.0</v>
      </c>
      <c r="C306" s="1" t="s">
        <v>116</v>
      </c>
      <c r="D306" s="1" t="s">
        <v>102</v>
      </c>
      <c r="E306" s="1" t="s">
        <v>39</v>
      </c>
      <c r="F306" s="1" t="s">
        <v>1132</v>
      </c>
      <c r="G306" s="1"/>
      <c r="H306" s="1" t="s">
        <v>1133</v>
      </c>
      <c r="I306" s="1">
        <f t="shared" si="1"/>
        <v>3.280559</v>
      </c>
      <c r="J306" s="1" t="s">
        <v>1134</v>
      </c>
      <c r="K306" s="1"/>
      <c r="L306" s="1">
        <v>7.0</v>
      </c>
    </row>
    <row r="307">
      <c r="A307" s="1">
        <v>2020.0</v>
      </c>
      <c r="B307" s="1">
        <v>6.0</v>
      </c>
      <c r="C307" s="1" t="s">
        <v>116</v>
      </c>
      <c r="D307" s="1" t="s">
        <v>102</v>
      </c>
      <c r="E307" s="1" t="s">
        <v>21</v>
      </c>
      <c r="F307" s="3">
        <v>504768.0</v>
      </c>
      <c r="G307" s="3"/>
      <c r="H307" s="1" t="s">
        <v>1135</v>
      </c>
      <c r="I307" s="1">
        <f t="shared" si="1"/>
        <v>371.495588</v>
      </c>
      <c r="J307" s="1" t="s">
        <v>837</v>
      </c>
      <c r="K307" s="1"/>
      <c r="L307" s="1">
        <v>220.0</v>
      </c>
    </row>
    <row r="308">
      <c r="A308" s="1">
        <v>2020.0</v>
      </c>
      <c r="B308" s="1">
        <v>6.0</v>
      </c>
      <c r="C308" s="1" t="s">
        <v>116</v>
      </c>
      <c r="D308" s="1" t="s">
        <v>465</v>
      </c>
      <c r="E308" s="1" t="s">
        <v>21</v>
      </c>
      <c r="F308" s="3" t="s">
        <v>1136</v>
      </c>
      <c r="G308" s="3"/>
      <c r="H308" s="1" t="s">
        <v>1137</v>
      </c>
      <c r="I308" s="1">
        <f t="shared" si="1"/>
        <v>223.758046</v>
      </c>
      <c r="J308" s="3" t="s">
        <v>1138</v>
      </c>
      <c r="K308" s="3"/>
      <c r="L308" s="1">
        <v>1456.0</v>
      </c>
    </row>
    <row r="309">
      <c r="A309" s="1">
        <v>2020.0</v>
      </c>
      <c r="B309" s="1">
        <v>6.0</v>
      </c>
      <c r="C309" s="1" t="s">
        <v>116</v>
      </c>
      <c r="D309" s="1" t="s">
        <v>165</v>
      </c>
      <c r="E309" s="1" t="s">
        <v>39</v>
      </c>
      <c r="F309" s="1" t="s">
        <v>1139</v>
      </c>
      <c r="G309" s="1"/>
      <c r="H309" s="1" t="s">
        <v>1140</v>
      </c>
      <c r="I309" s="1">
        <f t="shared" si="1"/>
        <v>60.613095</v>
      </c>
      <c r="J309" s="1" t="s">
        <v>1141</v>
      </c>
      <c r="K309" s="1"/>
      <c r="L309" s="1">
        <v>0.0</v>
      </c>
    </row>
    <row r="310">
      <c r="A310" s="1">
        <v>2020.0</v>
      </c>
      <c r="B310" s="1">
        <v>6.0</v>
      </c>
      <c r="C310" s="1" t="s">
        <v>116</v>
      </c>
      <c r="D310" s="1" t="s">
        <v>165</v>
      </c>
      <c r="E310" s="1" t="s">
        <v>17</v>
      </c>
      <c r="F310" s="1" t="s">
        <v>1142</v>
      </c>
      <c r="G310" s="1"/>
      <c r="H310" s="1" t="s">
        <v>1143</v>
      </c>
      <c r="I310" s="1">
        <f t="shared" si="1"/>
        <v>120.995908</v>
      </c>
      <c r="J310" s="1" t="s">
        <v>1144</v>
      </c>
      <c r="K310" s="1"/>
      <c r="L310" s="1">
        <v>0.0</v>
      </c>
    </row>
    <row r="311">
      <c r="A311" s="1">
        <v>2020.0</v>
      </c>
      <c r="B311" s="1">
        <v>6.0</v>
      </c>
      <c r="C311" s="1" t="s">
        <v>116</v>
      </c>
      <c r="D311" s="1" t="s">
        <v>345</v>
      </c>
      <c r="E311" s="1" t="s">
        <v>72</v>
      </c>
      <c r="F311" s="1" t="s">
        <v>1145</v>
      </c>
      <c r="G311" s="1"/>
      <c r="H311" s="1" t="s">
        <v>1146</v>
      </c>
      <c r="I311" s="1">
        <f t="shared" si="1"/>
        <v>24.489549</v>
      </c>
      <c r="J311" s="1" t="s">
        <v>1147</v>
      </c>
      <c r="K311" s="1"/>
      <c r="L311" s="1">
        <v>0.0</v>
      </c>
    </row>
    <row r="312">
      <c r="A312" s="1">
        <v>2020.0</v>
      </c>
      <c r="B312" s="1">
        <v>6.0</v>
      </c>
      <c r="C312" s="1" t="s">
        <v>116</v>
      </c>
      <c r="D312" s="1" t="s">
        <v>345</v>
      </c>
      <c r="E312" s="1" t="s">
        <v>21</v>
      </c>
      <c r="F312" s="1" t="s">
        <v>1148</v>
      </c>
      <c r="G312" s="1"/>
      <c r="H312" s="1" t="s">
        <v>1149</v>
      </c>
      <c r="I312" s="1">
        <f t="shared" si="1"/>
        <v>149.109018</v>
      </c>
      <c r="J312" s="1" t="s">
        <v>1150</v>
      </c>
      <c r="K312" s="1"/>
      <c r="L312" s="1">
        <v>0.0</v>
      </c>
    </row>
    <row r="313">
      <c r="A313" s="1">
        <v>2020.0</v>
      </c>
      <c r="B313" s="1">
        <v>7.0</v>
      </c>
      <c r="C313" s="1" t="s">
        <v>12</v>
      </c>
      <c r="D313" s="1" t="s">
        <v>13</v>
      </c>
      <c r="E313" s="1" t="s">
        <v>14</v>
      </c>
      <c r="F313" s="1" t="s">
        <v>1151</v>
      </c>
      <c r="G313" s="1"/>
      <c r="H313" s="1" t="s">
        <v>1152</v>
      </c>
      <c r="I313" s="1">
        <f t="shared" si="1"/>
        <v>870.325083</v>
      </c>
      <c r="J313" s="3" t="s">
        <v>1153</v>
      </c>
      <c r="K313" s="3"/>
      <c r="L313" s="1">
        <v>608.0</v>
      </c>
    </row>
    <row r="314">
      <c r="A314" s="1">
        <v>2020.0</v>
      </c>
      <c r="B314" s="1">
        <v>7.0</v>
      </c>
      <c r="C314" s="1" t="s">
        <v>12</v>
      </c>
      <c r="D314" s="1" t="s">
        <v>13</v>
      </c>
      <c r="E314" s="1" t="s">
        <v>17</v>
      </c>
      <c r="F314" s="1" t="s">
        <v>1154</v>
      </c>
      <c r="G314" s="1"/>
      <c r="H314" s="1" t="s">
        <v>1155</v>
      </c>
      <c r="I314" s="1">
        <f t="shared" si="1"/>
        <v>7403.354863</v>
      </c>
      <c r="J314" s="1" t="s">
        <v>1156</v>
      </c>
      <c r="K314" s="1"/>
      <c r="L314" s="1">
        <v>714.0</v>
      </c>
    </row>
    <row r="315">
      <c r="A315" s="1">
        <v>2020.0</v>
      </c>
      <c r="B315" s="1">
        <v>7.0</v>
      </c>
      <c r="C315" s="1" t="s">
        <v>12</v>
      </c>
      <c r="D315" s="1" t="s">
        <v>13</v>
      </c>
      <c r="E315" s="1" t="s">
        <v>21</v>
      </c>
      <c r="F315" s="1" t="s">
        <v>1157</v>
      </c>
      <c r="G315" s="1"/>
      <c r="H315" s="1" t="s">
        <v>1158</v>
      </c>
      <c r="I315" s="1">
        <f t="shared" si="1"/>
        <v>2552.483087</v>
      </c>
      <c r="J315" s="3">
        <v>1293599.0</v>
      </c>
      <c r="K315" s="3"/>
      <c r="L315" s="1">
        <v>578.0</v>
      </c>
    </row>
    <row r="316">
      <c r="A316" s="1">
        <v>2020.0</v>
      </c>
      <c r="B316" s="1">
        <v>7.0</v>
      </c>
      <c r="C316" s="1" t="s">
        <v>12</v>
      </c>
      <c r="D316" s="1" t="s">
        <v>13</v>
      </c>
      <c r="E316" s="1" t="s">
        <v>25</v>
      </c>
      <c r="F316" s="1" t="s">
        <v>645</v>
      </c>
      <c r="G316" s="1"/>
      <c r="H316" s="1" t="s">
        <v>1160</v>
      </c>
      <c r="I316" s="1">
        <f t="shared" si="1"/>
        <v>6.283229</v>
      </c>
      <c r="J316" s="1" t="s">
        <v>1005</v>
      </c>
      <c r="K316" s="1"/>
      <c r="L316" s="1">
        <v>10.0</v>
      </c>
    </row>
    <row r="317">
      <c r="A317" s="1">
        <v>2020.0</v>
      </c>
      <c r="B317" s="1">
        <v>7.0</v>
      </c>
      <c r="C317" s="1" t="s">
        <v>12</v>
      </c>
      <c r="D317" s="1" t="s">
        <v>29</v>
      </c>
      <c r="E317" s="1" t="s">
        <v>21</v>
      </c>
      <c r="F317" s="1" t="s">
        <v>1161</v>
      </c>
      <c r="G317" s="1"/>
      <c r="H317" s="1" t="s">
        <v>1162</v>
      </c>
      <c r="I317" s="1">
        <f t="shared" si="1"/>
        <v>2822.831024</v>
      </c>
      <c r="J317" s="3">
        <v>2216048.0</v>
      </c>
      <c r="K317" s="3"/>
      <c r="L317" s="1">
        <v>575.0</v>
      </c>
    </row>
    <row r="318">
      <c r="A318" s="1">
        <v>2020.0</v>
      </c>
      <c r="B318" s="1">
        <v>7.0</v>
      </c>
      <c r="C318" s="1" t="s">
        <v>12</v>
      </c>
      <c r="D318" s="1" t="s">
        <v>32</v>
      </c>
      <c r="E318" s="1" t="s">
        <v>14</v>
      </c>
      <c r="F318" s="3">
        <v>2954265.0</v>
      </c>
      <c r="G318" s="3"/>
      <c r="H318" s="1" t="s">
        <v>1165</v>
      </c>
      <c r="I318" s="1">
        <f t="shared" si="1"/>
        <v>472.153171</v>
      </c>
      <c r="J318" s="3">
        <v>2372983.0</v>
      </c>
      <c r="K318" s="3"/>
      <c r="L318" s="1">
        <v>475.0</v>
      </c>
    </row>
    <row r="319">
      <c r="A319" s="1">
        <v>2020.0</v>
      </c>
      <c r="B319" s="1">
        <v>7.0</v>
      </c>
      <c r="C319" s="1" t="s">
        <v>12</v>
      </c>
      <c r="D319" s="1" t="s">
        <v>32</v>
      </c>
      <c r="E319" s="1" t="s">
        <v>21</v>
      </c>
      <c r="F319" s="1" t="s">
        <v>1167</v>
      </c>
      <c r="G319" s="1"/>
      <c r="H319" s="1" t="s">
        <v>1168</v>
      </c>
      <c r="I319" s="1">
        <f t="shared" si="1"/>
        <v>116.373314</v>
      </c>
      <c r="J319" s="1" t="s">
        <v>162</v>
      </c>
      <c r="K319" s="1"/>
      <c r="L319" s="1">
        <v>166.0</v>
      </c>
    </row>
    <row r="320">
      <c r="A320" s="1">
        <v>2020.0</v>
      </c>
      <c r="B320" s="1">
        <v>7.0</v>
      </c>
      <c r="C320" s="1" t="s">
        <v>12</v>
      </c>
      <c r="D320" s="1" t="s">
        <v>42</v>
      </c>
      <c r="E320" s="1" t="s">
        <v>17</v>
      </c>
      <c r="F320" s="3">
        <v>2135241.0</v>
      </c>
      <c r="G320" s="3"/>
      <c r="H320" s="1" t="s">
        <v>1170</v>
      </c>
      <c r="I320" s="1">
        <f t="shared" si="1"/>
        <v>382.445638</v>
      </c>
      <c r="J320" s="3" t="s">
        <v>1172</v>
      </c>
      <c r="K320" s="3"/>
      <c r="L320" s="1">
        <v>151.0</v>
      </c>
    </row>
    <row r="321">
      <c r="A321" s="1">
        <v>2020.0</v>
      </c>
      <c r="B321" s="1">
        <v>7.0</v>
      </c>
      <c r="C321" s="1" t="s">
        <v>12</v>
      </c>
      <c r="D321" s="1" t="s">
        <v>38</v>
      </c>
      <c r="E321" s="1" t="s">
        <v>39</v>
      </c>
      <c r="F321" s="3">
        <v>25993.0</v>
      </c>
      <c r="G321" s="3"/>
      <c r="H321" s="1" t="s">
        <v>1175</v>
      </c>
      <c r="I321" s="1">
        <f t="shared" si="1"/>
        <v>290.430785</v>
      </c>
      <c r="J321" s="1" t="s">
        <v>1177</v>
      </c>
      <c r="K321" s="1"/>
      <c r="L321" s="1">
        <v>97.0</v>
      </c>
    </row>
    <row r="322">
      <c r="A322" s="1">
        <v>2020.0</v>
      </c>
      <c r="B322" s="1">
        <v>7.0</v>
      </c>
      <c r="C322" s="1" t="s">
        <v>12</v>
      </c>
      <c r="D322" s="1" t="s">
        <v>45</v>
      </c>
      <c r="E322" s="1" t="s">
        <v>17</v>
      </c>
      <c r="F322" s="3" t="s">
        <v>1180</v>
      </c>
      <c r="G322" s="3"/>
      <c r="H322" s="1" t="s">
        <v>1181</v>
      </c>
      <c r="I322" s="1">
        <f t="shared" si="1"/>
        <v>201.709554</v>
      </c>
      <c r="J322" s="3" t="s">
        <v>1184</v>
      </c>
      <c r="K322" s="3"/>
      <c r="L322" s="1">
        <v>172.0</v>
      </c>
    </row>
    <row r="323">
      <c r="A323" s="1">
        <v>2020.0</v>
      </c>
      <c r="B323" s="1">
        <v>7.0</v>
      </c>
      <c r="C323" s="1" t="s">
        <v>12</v>
      </c>
      <c r="D323" s="1" t="s">
        <v>56</v>
      </c>
      <c r="E323" s="1" t="s">
        <v>21</v>
      </c>
      <c r="F323" s="1" t="s">
        <v>1186</v>
      </c>
      <c r="G323" s="1"/>
      <c r="H323" s="1" t="s">
        <v>1187</v>
      </c>
      <c r="I323" s="1">
        <f t="shared" si="1"/>
        <v>112.794113</v>
      </c>
      <c r="J323" s="1" t="s">
        <v>1189</v>
      </c>
      <c r="K323" s="1"/>
      <c r="L323" s="1">
        <v>183.0</v>
      </c>
    </row>
    <row r="324">
      <c r="A324" s="1">
        <v>2020.0</v>
      </c>
      <c r="B324" s="1">
        <v>7.0</v>
      </c>
      <c r="C324" s="1" t="s">
        <v>12</v>
      </c>
      <c r="D324" s="1" t="s">
        <v>48</v>
      </c>
      <c r="E324" s="1" t="s">
        <v>49</v>
      </c>
      <c r="F324" s="1" t="s">
        <v>207</v>
      </c>
      <c r="G324" s="1"/>
      <c r="H324" s="1" t="s">
        <v>1190</v>
      </c>
      <c r="I324" s="1">
        <f t="shared" si="1"/>
        <v>1.986265</v>
      </c>
      <c r="J324" s="1" t="s">
        <v>144</v>
      </c>
      <c r="K324" s="1"/>
      <c r="L324" s="1">
        <v>3.0</v>
      </c>
    </row>
    <row r="325">
      <c r="A325" s="1">
        <v>2020.0</v>
      </c>
      <c r="B325" s="1">
        <v>7.0</v>
      </c>
      <c r="C325" s="1" t="s">
        <v>12</v>
      </c>
      <c r="D325" s="1" t="s">
        <v>48</v>
      </c>
      <c r="E325" s="1" t="s">
        <v>21</v>
      </c>
      <c r="F325" s="1" t="s">
        <v>1194</v>
      </c>
      <c r="G325" s="1"/>
      <c r="H325" s="1" t="s">
        <v>1195</v>
      </c>
      <c r="I325" s="1">
        <f t="shared" si="1"/>
        <v>93.897746</v>
      </c>
      <c r="J325" s="1" t="s">
        <v>1198</v>
      </c>
      <c r="K325" s="1"/>
      <c r="L325" s="1">
        <v>117.0</v>
      </c>
    </row>
    <row r="326">
      <c r="A326" s="1">
        <v>2020.0</v>
      </c>
      <c r="B326" s="1">
        <v>7.0</v>
      </c>
      <c r="C326" s="1" t="s">
        <v>12</v>
      </c>
      <c r="D326" s="1" t="s">
        <v>848</v>
      </c>
      <c r="E326" s="1" t="s">
        <v>21</v>
      </c>
      <c r="F326" s="1" t="s">
        <v>1200</v>
      </c>
      <c r="G326" s="1"/>
      <c r="H326" s="1" t="s">
        <v>1201</v>
      </c>
      <c r="I326" s="1">
        <f t="shared" si="1"/>
        <v>47.412949</v>
      </c>
      <c r="J326" s="1" t="s">
        <v>1203</v>
      </c>
      <c r="K326" s="1"/>
      <c r="L326" s="1">
        <v>57.0</v>
      </c>
    </row>
    <row r="327">
      <c r="A327" s="1">
        <v>2020.0</v>
      </c>
      <c r="B327" s="1">
        <v>7.0</v>
      </c>
      <c r="C327" s="1" t="s">
        <v>12</v>
      </c>
      <c r="D327" s="1" t="s">
        <v>60</v>
      </c>
      <c r="E327" s="1" t="s">
        <v>39</v>
      </c>
      <c r="F327" s="1" t="s">
        <v>1206</v>
      </c>
      <c r="G327" s="1"/>
      <c r="H327" s="1" t="s">
        <v>1207</v>
      </c>
      <c r="I327" s="1">
        <f t="shared" si="1"/>
        <v>35.509419</v>
      </c>
      <c r="J327" s="1" t="s">
        <v>323</v>
      </c>
      <c r="K327" s="1"/>
      <c r="L327" s="1">
        <v>0.0</v>
      </c>
    </row>
    <row r="328">
      <c r="A328" s="1">
        <v>2020.0</v>
      </c>
      <c r="B328" s="1">
        <v>7.0</v>
      </c>
      <c r="C328" s="1" t="s">
        <v>12</v>
      </c>
      <c r="D328" s="1" t="s">
        <v>60</v>
      </c>
      <c r="E328" s="1" t="s">
        <v>17</v>
      </c>
      <c r="F328" s="1" t="s">
        <v>479</v>
      </c>
      <c r="G328" s="1"/>
      <c r="H328" s="1" t="s">
        <v>1211</v>
      </c>
      <c r="I328" s="1">
        <f t="shared" si="1"/>
        <v>0.149852</v>
      </c>
      <c r="J328" s="1" t="s">
        <v>75</v>
      </c>
      <c r="K328" s="1"/>
      <c r="L328" s="1">
        <v>0.0</v>
      </c>
    </row>
    <row r="329">
      <c r="A329" s="1">
        <v>2020.0</v>
      </c>
      <c r="B329" s="1">
        <v>7.0</v>
      </c>
      <c r="C329" s="1" t="s">
        <v>68</v>
      </c>
      <c r="D329" s="1" t="s">
        <v>13</v>
      </c>
      <c r="E329" s="1" t="s">
        <v>14</v>
      </c>
      <c r="F329" s="1" t="s">
        <v>1215</v>
      </c>
      <c r="G329" s="1"/>
      <c r="H329" s="1" t="s">
        <v>1216</v>
      </c>
      <c r="I329" s="1">
        <f t="shared" si="1"/>
        <v>3398.473048</v>
      </c>
      <c r="J329" s="3">
        <v>1674182.0</v>
      </c>
      <c r="K329" s="3"/>
      <c r="L329" s="1">
        <v>8349.0</v>
      </c>
    </row>
    <row r="330">
      <c r="A330" s="1">
        <v>2020.0</v>
      </c>
      <c r="B330" s="1">
        <v>7.0</v>
      </c>
      <c r="C330" s="1" t="s">
        <v>68</v>
      </c>
      <c r="D330" s="1" t="s">
        <v>13</v>
      </c>
      <c r="E330" s="1" t="s">
        <v>72</v>
      </c>
      <c r="F330" s="1" t="s">
        <v>596</v>
      </c>
      <c r="G330" s="1"/>
      <c r="H330" s="1" t="s">
        <v>1219</v>
      </c>
      <c r="I330" s="1">
        <f t="shared" si="1"/>
        <v>0.010941</v>
      </c>
      <c r="J330" s="1">
        <v>0.0</v>
      </c>
      <c r="K330" s="1"/>
      <c r="L330" s="1">
        <v>0.0</v>
      </c>
    </row>
    <row r="331">
      <c r="A331" s="1">
        <v>2020.0</v>
      </c>
      <c r="B331" s="1">
        <v>7.0</v>
      </c>
      <c r="C331" s="1" t="s">
        <v>68</v>
      </c>
      <c r="D331" s="1" t="s">
        <v>13</v>
      </c>
      <c r="E331" s="1" t="s">
        <v>17</v>
      </c>
      <c r="F331" s="1" t="s">
        <v>1222</v>
      </c>
      <c r="G331" s="1"/>
      <c r="H331" s="1" t="s">
        <v>1223</v>
      </c>
      <c r="I331" s="1">
        <f t="shared" si="1"/>
        <v>5999.003434</v>
      </c>
      <c r="J331" s="1" t="s">
        <v>1224</v>
      </c>
      <c r="K331" s="1"/>
      <c r="L331" s="1">
        <v>8630.0</v>
      </c>
    </row>
    <row r="332">
      <c r="A332" s="1">
        <v>2020.0</v>
      </c>
      <c r="B332" s="1">
        <v>7.0</v>
      </c>
      <c r="C332" s="1" t="s">
        <v>68</v>
      </c>
      <c r="D332" s="1" t="s">
        <v>13</v>
      </c>
      <c r="E332" s="1" t="s">
        <v>21</v>
      </c>
      <c r="F332" s="1" t="s">
        <v>1227</v>
      </c>
      <c r="G332" s="1"/>
      <c r="H332" s="1" t="s">
        <v>1228</v>
      </c>
      <c r="I332" s="1">
        <f t="shared" si="1"/>
        <v>909.795361</v>
      </c>
      <c r="J332" s="3">
        <v>152002.0</v>
      </c>
      <c r="K332" s="3"/>
      <c r="L332" s="1">
        <v>1457.0</v>
      </c>
    </row>
    <row r="333">
      <c r="A333" s="1">
        <v>2020.0</v>
      </c>
      <c r="B333" s="1">
        <v>7.0</v>
      </c>
      <c r="C333" s="1" t="s">
        <v>68</v>
      </c>
      <c r="D333" s="1" t="s">
        <v>13</v>
      </c>
      <c r="E333" s="1" t="s">
        <v>25</v>
      </c>
      <c r="F333" s="1" t="s">
        <v>1230</v>
      </c>
      <c r="G333" s="1"/>
      <c r="H333" s="1" t="s">
        <v>1231</v>
      </c>
      <c r="I333" s="1">
        <f t="shared" si="1"/>
        <v>79.825211</v>
      </c>
      <c r="J333" s="1" t="s">
        <v>440</v>
      </c>
      <c r="K333" s="1"/>
      <c r="L333" s="1">
        <v>307.0</v>
      </c>
    </row>
    <row r="334">
      <c r="A334" s="1">
        <v>2020.0</v>
      </c>
      <c r="B334" s="1">
        <v>7.0</v>
      </c>
      <c r="C334" s="1" t="s">
        <v>68</v>
      </c>
      <c r="D334" s="1" t="s">
        <v>29</v>
      </c>
      <c r="E334" s="1" t="s">
        <v>21</v>
      </c>
      <c r="F334" s="3">
        <v>81998.0</v>
      </c>
      <c r="G334" s="3"/>
      <c r="H334" s="1" t="s">
        <v>1234</v>
      </c>
      <c r="I334" s="1">
        <f t="shared" si="1"/>
        <v>1518.623836</v>
      </c>
      <c r="J334" s="3">
        <v>2538104.0</v>
      </c>
      <c r="K334" s="3"/>
      <c r="L334" s="1">
        <v>1343.0</v>
      </c>
    </row>
    <row r="335">
      <c r="A335" s="1">
        <v>2020.0</v>
      </c>
      <c r="B335" s="1">
        <v>7.0</v>
      </c>
      <c r="C335" s="1" t="s">
        <v>68</v>
      </c>
      <c r="D335" s="1" t="s">
        <v>45</v>
      </c>
      <c r="E335" s="1" t="s">
        <v>17</v>
      </c>
      <c r="F335" s="1" t="s">
        <v>1238</v>
      </c>
      <c r="G335" s="1"/>
      <c r="H335" s="1" t="s">
        <v>1239</v>
      </c>
      <c r="I335" s="1">
        <f t="shared" si="1"/>
        <v>612.199476</v>
      </c>
      <c r="J335" s="3">
        <v>38047.0</v>
      </c>
      <c r="K335" s="3"/>
      <c r="L335" s="1">
        <v>1973.0</v>
      </c>
    </row>
    <row r="336">
      <c r="A336" s="1">
        <v>2020.0</v>
      </c>
      <c r="B336" s="1">
        <v>7.0</v>
      </c>
      <c r="C336" s="1" t="s">
        <v>68</v>
      </c>
      <c r="D336" s="1" t="s">
        <v>32</v>
      </c>
      <c r="E336" s="1" t="s">
        <v>14</v>
      </c>
      <c r="F336" s="3">
        <v>2424148.0</v>
      </c>
      <c r="G336" s="3"/>
      <c r="H336" s="1" t="s">
        <v>1243</v>
      </c>
      <c r="I336" s="1">
        <f t="shared" si="1"/>
        <v>235.936746</v>
      </c>
      <c r="J336" s="1" t="s">
        <v>1245</v>
      </c>
      <c r="K336" s="1"/>
      <c r="L336" s="1">
        <v>1216.0</v>
      </c>
    </row>
    <row r="337">
      <c r="A337" s="1">
        <v>2020.0</v>
      </c>
      <c r="B337" s="1">
        <v>7.0</v>
      </c>
      <c r="C337" s="1" t="s">
        <v>68</v>
      </c>
      <c r="D337" s="1" t="s">
        <v>32</v>
      </c>
      <c r="E337" s="1" t="s">
        <v>21</v>
      </c>
      <c r="F337" s="3">
        <v>8767.0</v>
      </c>
      <c r="G337" s="3"/>
      <c r="H337" s="1" t="s">
        <v>1248</v>
      </c>
      <c r="I337" s="1">
        <f t="shared" si="1"/>
        <v>193.56644</v>
      </c>
      <c r="J337" s="1" t="s">
        <v>1249</v>
      </c>
      <c r="K337" s="1"/>
      <c r="L337" s="1">
        <v>292.0</v>
      </c>
    </row>
    <row r="338">
      <c r="A338" s="1">
        <v>2020.0</v>
      </c>
      <c r="B338" s="1">
        <v>7.0</v>
      </c>
      <c r="C338" s="1" t="s">
        <v>68</v>
      </c>
      <c r="D338" s="1" t="s">
        <v>42</v>
      </c>
      <c r="E338" s="1" t="s">
        <v>17</v>
      </c>
      <c r="F338" s="1" t="s">
        <v>1252</v>
      </c>
      <c r="G338" s="1"/>
      <c r="H338" s="1" t="s">
        <v>1253</v>
      </c>
      <c r="I338" s="1">
        <f t="shared" si="1"/>
        <v>132.964286</v>
      </c>
      <c r="J338" s="1" t="s">
        <v>1254</v>
      </c>
      <c r="K338" s="1"/>
      <c r="L338" s="1">
        <v>484.0</v>
      </c>
    </row>
    <row r="339">
      <c r="A339" s="1">
        <v>2020.0</v>
      </c>
      <c r="B339" s="1">
        <v>7.0</v>
      </c>
      <c r="C339" s="1" t="s">
        <v>68</v>
      </c>
      <c r="D339" s="1" t="s">
        <v>38</v>
      </c>
      <c r="E339" s="1" t="s">
        <v>39</v>
      </c>
      <c r="F339" s="3">
        <v>565397.0</v>
      </c>
      <c r="G339" s="3"/>
      <c r="H339" s="1" t="s">
        <v>1257</v>
      </c>
      <c r="I339" s="1">
        <f t="shared" si="1"/>
        <v>119.129525</v>
      </c>
      <c r="J339" s="1" t="s">
        <v>57</v>
      </c>
      <c r="K339" s="1"/>
      <c r="L339" s="1">
        <v>394.0</v>
      </c>
    </row>
    <row r="340">
      <c r="A340" s="1">
        <v>2020.0</v>
      </c>
      <c r="B340" s="1">
        <v>7.0</v>
      </c>
      <c r="C340" s="1" t="s">
        <v>68</v>
      </c>
      <c r="D340" s="1" t="s">
        <v>1259</v>
      </c>
      <c r="E340" s="1" t="s">
        <v>17</v>
      </c>
      <c r="F340" s="1" t="s">
        <v>1260</v>
      </c>
      <c r="G340" s="1"/>
      <c r="H340" s="1" t="s">
        <v>1261</v>
      </c>
      <c r="I340" s="1">
        <f t="shared" si="1"/>
        <v>86.020452</v>
      </c>
      <c r="J340" s="1" t="s">
        <v>1263</v>
      </c>
      <c r="K340" s="1"/>
      <c r="L340" s="1">
        <v>0.0</v>
      </c>
    </row>
    <row r="341">
      <c r="A341" s="1">
        <v>2020.0</v>
      </c>
      <c r="B341" s="1">
        <v>7.0</v>
      </c>
      <c r="C341" s="1" t="s">
        <v>68</v>
      </c>
      <c r="D341" s="1" t="s">
        <v>48</v>
      </c>
      <c r="E341" s="1" t="s">
        <v>49</v>
      </c>
      <c r="F341" s="1" t="s">
        <v>1265</v>
      </c>
      <c r="G341" s="1"/>
      <c r="H341" s="1" t="s">
        <v>1266</v>
      </c>
      <c r="I341" s="1">
        <f t="shared" si="1"/>
        <v>1.922279</v>
      </c>
      <c r="J341" s="1" t="s">
        <v>693</v>
      </c>
      <c r="K341" s="1"/>
      <c r="L341" s="1">
        <v>2.0</v>
      </c>
    </row>
    <row r="342">
      <c r="A342" s="1">
        <v>2020.0</v>
      </c>
      <c r="B342" s="1">
        <v>7.0</v>
      </c>
      <c r="C342" s="1" t="s">
        <v>68</v>
      </c>
      <c r="D342" s="1" t="s">
        <v>48</v>
      </c>
      <c r="E342" s="1" t="s">
        <v>21</v>
      </c>
      <c r="F342" s="1" t="s">
        <v>1270</v>
      </c>
      <c r="G342" s="1"/>
      <c r="H342" s="1" t="s">
        <v>1271</v>
      </c>
      <c r="I342" s="1">
        <f t="shared" si="1"/>
        <v>70.732262</v>
      </c>
      <c r="J342" s="1" t="s">
        <v>1274</v>
      </c>
      <c r="K342" s="1"/>
      <c r="L342" s="1">
        <v>422.0</v>
      </c>
    </row>
    <row r="343">
      <c r="A343" s="1">
        <v>2020.0</v>
      </c>
      <c r="B343" s="1">
        <v>7.0</v>
      </c>
      <c r="C343" s="1" t="s">
        <v>68</v>
      </c>
      <c r="D343" s="1" t="s">
        <v>102</v>
      </c>
      <c r="E343" s="1" t="s">
        <v>39</v>
      </c>
      <c r="F343" s="1" t="s">
        <v>1275</v>
      </c>
      <c r="G343" s="1"/>
      <c r="H343" s="1" t="s">
        <v>1276</v>
      </c>
      <c r="I343" s="1">
        <f t="shared" si="1"/>
        <v>10.112935</v>
      </c>
      <c r="J343" s="1" t="s">
        <v>1279</v>
      </c>
      <c r="K343" s="1"/>
      <c r="L343" s="1">
        <v>0.0</v>
      </c>
    </row>
    <row r="344">
      <c r="A344" s="1">
        <v>2020.0</v>
      </c>
      <c r="B344" s="1">
        <v>7.0</v>
      </c>
      <c r="C344" s="1" t="s">
        <v>68</v>
      </c>
      <c r="D344" s="1" t="s">
        <v>102</v>
      </c>
      <c r="E344" s="1" t="s">
        <v>21</v>
      </c>
      <c r="F344" s="1" t="s">
        <v>1281</v>
      </c>
      <c r="G344" s="1"/>
      <c r="H344" s="1" t="s">
        <v>1282</v>
      </c>
      <c r="I344" s="1">
        <f t="shared" si="1"/>
        <v>46.945756</v>
      </c>
      <c r="J344" s="1" t="s">
        <v>1285</v>
      </c>
      <c r="K344" s="1"/>
      <c r="L344" s="1">
        <v>0.0</v>
      </c>
    </row>
    <row r="345">
      <c r="A345" s="1">
        <v>2020.0</v>
      </c>
      <c r="B345" s="1">
        <v>7.0</v>
      </c>
      <c r="C345" s="1" t="s">
        <v>68</v>
      </c>
      <c r="D345" s="1" t="s">
        <v>465</v>
      </c>
      <c r="E345" s="1" t="s">
        <v>21</v>
      </c>
      <c r="F345" s="1" t="s">
        <v>1287</v>
      </c>
      <c r="G345" s="1"/>
      <c r="H345" s="1" t="s">
        <v>1288</v>
      </c>
      <c r="I345" s="1">
        <f t="shared" si="1"/>
        <v>51.738094</v>
      </c>
      <c r="J345" s="1" t="s">
        <v>1291</v>
      </c>
      <c r="K345" s="1"/>
      <c r="L345" s="1">
        <v>400.0</v>
      </c>
    </row>
    <row r="346">
      <c r="A346" s="1">
        <v>2020.0</v>
      </c>
      <c r="B346" s="1">
        <v>7.0</v>
      </c>
      <c r="C346" s="1" t="s">
        <v>116</v>
      </c>
      <c r="D346" s="1" t="s">
        <v>13</v>
      </c>
      <c r="E346" s="1" t="s">
        <v>14</v>
      </c>
      <c r="F346" s="1" t="s">
        <v>1293</v>
      </c>
      <c r="G346" s="1"/>
      <c r="H346" s="1" t="s">
        <v>1295</v>
      </c>
      <c r="I346" s="1">
        <f t="shared" si="1"/>
        <v>5422.054982</v>
      </c>
      <c r="J346" s="1" t="s">
        <v>1296</v>
      </c>
      <c r="K346" s="1"/>
      <c r="L346" s="1">
        <v>11371.0</v>
      </c>
    </row>
    <row r="347">
      <c r="A347" s="1">
        <v>2020.0</v>
      </c>
      <c r="B347" s="1">
        <v>7.0</v>
      </c>
      <c r="C347" s="1" t="s">
        <v>116</v>
      </c>
      <c r="D347" s="1" t="s">
        <v>13</v>
      </c>
      <c r="E347" s="1" t="s">
        <v>17</v>
      </c>
      <c r="F347" s="1" t="s">
        <v>1299</v>
      </c>
      <c r="G347" s="1"/>
      <c r="H347" s="1" t="s">
        <v>1300</v>
      </c>
      <c r="I347" s="1">
        <f t="shared" si="1"/>
        <v>5977.697769</v>
      </c>
      <c r="J347" s="1" t="s">
        <v>1302</v>
      </c>
      <c r="K347" s="1"/>
      <c r="L347" s="1">
        <v>7935.0</v>
      </c>
    </row>
    <row r="348">
      <c r="A348" s="1">
        <v>2020.0</v>
      </c>
      <c r="B348" s="1">
        <v>7.0</v>
      </c>
      <c r="C348" s="1" t="s">
        <v>116</v>
      </c>
      <c r="D348" s="1" t="s">
        <v>13</v>
      </c>
      <c r="E348" s="1" t="s">
        <v>21</v>
      </c>
      <c r="F348" s="3" t="s">
        <v>1305</v>
      </c>
      <c r="G348" s="3"/>
      <c r="H348" s="1" t="s">
        <v>1306</v>
      </c>
      <c r="I348" s="1">
        <f t="shared" si="1"/>
        <v>1411.179164</v>
      </c>
      <c r="J348" s="1" t="s">
        <v>1308</v>
      </c>
      <c r="K348" s="1"/>
      <c r="L348" s="1">
        <v>1569.0</v>
      </c>
    </row>
    <row r="349">
      <c r="A349" s="1">
        <v>2020.0</v>
      </c>
      <c r="B349" s="1">
        <v>7.0</v>
      </c>
      <c r="C349" s="1" t="s">
        <v>116</v>
      </c>
      <c r="D349" s="1" t="s">
        <v>13</v>
      </c>
      <c r="E349" s="1" t="s">
        <v>25</v>
      </c>
      <c r="F349" s="3" t="s">
        <v>1310</v>
      </c>
      <c r="G349" s="3"/>
      <c r="H349" s="1" t="s">
        <v>1311</v>
      </c>
      <c r="I349" s="1">
        <f t="shared" si="1"/>
        <v>147.300122</v>
      </c>
      <c r="J349" s="1" t="s">
        <v>1312</v>
      </c>
      <c r="K349" s="1"/>
      <c r="L349" s="1">
        <v>117.0</v>
      </c>
    </row>
    <row r="350">
      <c r="A350" s="1">
        <v>2020.0</v>
      </c>
      <c r="B350" s="1">
        <v>7.0</v>
      </c>
      <c r="C350" s="1" t="s">
        <v>116</v>
      </c>
      <c r="D350" s="1" t="s">
        <v>29</v>
      </c>
      <c r="E350" s="1" t="s">
        <v>21</v>
      </c>
      <c r="F350" s="1" t="s">
        <v>1315</v>
      </c>
      <c r="G350" s="1"/>
      <c r="H350" s="1" t="s">
        <v>1316</v>
      </c>
      <c r="I350" s="1">
        <f t="shared" si="1"/>
        <v>6144.165251</v>
      </c>
      <c r="J350" s="1" t="s">
        <v>1317</v>
      </c>
      <c r="K350" s="1"/>
      <c r="L350" s="1">
        <v>2354.0</v>
      </c>
    </row>
    <row r="351">
      <c r="A351" s="1">
        <v>2020.0</v>
      </c>
      <c r="B351" s="1">
        <v>7.0</v>
      </c>
      <c r="C351" s="1" t="s">
        <v>116</v>
      </c>
      <c r="D351" s="1" t="s">
        <v>45</v>
      </c>
      <c r="E351" s="1" t="s">
        <v>17</v>
      </c>
      <c r="F351" s="1" t="s">
        <v>1320</v>
      </c>
      <c r="G351" s="1"/>
      <c r="H351" s="1" t="s">
        <v>1322</v>
      </c>
      <c r="I351" s="1">
        <f t="shared" si="1"/>
        <v>1520.411846</v>
      </c>
      <c r="J351" s="3">
        <v>2512321.0</v>
      </c>
      <c r="K351" s="3"/>
      <c r="L351" s="1">
        <v>2063.0</v>
      </c>
    </row>
    <row r="352">
      <c r="A352" s="1">
        <v>2020.0</v>
      </c>
      <c r="B352" s="1">
        <v>7.0</v>
      </c>
      <c r="C352" s="1" t="s">
        <v>116</v>
      </c>
      <c r="D352" s="1" t="s">
        <v>32</v>
      </c>
      <c r="E352" s="1" t="s">
        <v>14</v>
      </c>
      <c r="F352" s="3">
        <v>512649.0</v>
      </c>
      <c r="G352" s="3"/>
      <c r="H352" s="1" t="s">
        <v>1325</v>
      </c>
      <c r="I352" s="1">
        <f t="shared" si="1"/>
        <v>521.917002</v>
      </c>
      <c r="J352" s="1" t="s">
        <v>1326</v>
      </c>
      <c r="K352" s="1"/>
      <c r="L352" s="1">
        <v>1689.0</v>
      </c>
    </row>
    <row r="353">
      <c r="A353" s="1">
        <v>2020.0</v>
      </c>
      <c r="B353" s="1">
        <v>7.0</v>
      </c>
      <c r="C353" s="1" t="s">
        <v>116</v>
      </c>
      <c r="D353" s="1" t="s">
        <v>32</v>
      </c>
      <c r="E353" s="1" t="s">
        <v>21</v>
      </c>
      <c r="F353" s="3">
        <v>2088125.0</v>
      </c>
      <c r="G353" s="3"/>
      <c r="H353" s="1" t="s">
        <v>1330</v>
      </c>
      <c r="I353" s="1">
        <f t="shared" si="1"/>
        <v>499.183237</v>
      </c>
      <c r="J353" s="3">
        <v>192850.0</v>
      </c>
      <c r="K353" s="3"/>
      <c r="L353" s="1">
        <v>1130.0</v>
      </c>
    </row>
    <row r="354">
      <c r="A354" s="1">
        <v>2020.0</v>
      </c>
      <c r="B354" s="1">
        <v>7.0</v>
      </c>
      <c r="C354" s="1" t="s">
        <v>116</v>
      </c>
      <c r="D354" s="1" t="s">
        <v>42</v>
      </c>
      <c r="E354" s="1" t="s">
        <v>17</v>
      </c>
      <c r="F354" s="3">
        <v>1307236.0</v>
      </c>
      <c r="G354" s="3"/>
      <c r="H354" s="1" t="s">
        <v>1333</v>
      </c>
      <c r="I354" s="1">
        <f t="shared" si="1"/>
        <v>411.200988</v>
      </c>
      <c r="J354" s="1" t="s">
        <v>1336</v>
      </c>
      <c r="K354" s="1"/>
      <c r="L354" s="1">
        <v>718.0</v>
      </c>
    </row>
    <row r="355">
      <c r="A355" s="1">
        <v>2020.0</v>
      </c>
      <c r="B355" s="1">
        <v>7.0</v>
      </c>
      <c r="C355" s="1" t="s">
        <v>116</v>
      </c>
      <c r="D355" s="1" t="s">
        <v>102</v>
      </c>
      <c r="E355" s="1" t="s">
        <v>39</v>
      </c>
      <c r="F355" s="1" t="s">
        <v>1337</v>
      </c>
      <c r="G355" s="1"/>
      <c r="H355" s="1" t="s">
        <v>1338</v>
      </c>
      <c r="I355" s="1">
        <f t="shared" si="1"/>
        <v>3.348456</v>
      </c>
      <c r="J355" s="1" t="s">
        <v>1341</v>
      </c>
      <c r="K355" s="1"/>
      <c r="L355" s="1">
        <v>7.0</v>
      </c>
    </row>
    <row r="356">
      <c r="A356" s="1">
        <v>2020.0</v>
      </c>
      <c r="B356" s="1">
        <v>7.0</v>
      </c>
      <c r="C356" s="1" t="s">
        <v>116</v>
      </c>
      <c r="D356" s="1" t="s">
        <v>102</v>
      </c>
      <c r="E356" s="1" t="s">
        <v>17</v>
      </c>
      <c r="F356" s="1" t="s">
        <v>414</v>
      </c>
      <c r="G356" s="1"/>
      <c r="H356" s="1" t="s">
        <v>1343</v>
      </c>
      <c r="I356" s="1">
        <f t="shared" si="1"/>
        <v>0.242017</v>
      </c>
      <c r="J356" s="1" t="s">
        <v>376</v>
      </c>
      <c r="K356" s="1"/>
      <c r="L356" s="1">
        <v>1.0</v>
      </c>
    </row>
    <row r="357">
      <c r="A357" s="1">
        <v>2020.0</v>
      </c>
      <c r="B357" s="1">
        <v>7.0</v>
      </c>
      <c r="C357" s="1" t="s">
        <v>116</v>
      </c>
      <c r="D357" s="1" t="s">
        <v>102</v>
      </c>
      <c r="E357" s="1" t="s">
        <v>21</v>
      </c>
      <c r="F357" s="3">
        <v>627854.0</v>
      </c>
      <c r="G357" s="3"/>
      <c r="H357" s="1" t="s">
        <v>1345</v>
      </c>
      <c r="I357" s="1">
        <f t="shared" si="1"/>
        <v>374.905378</v>
      </c>
      <c r="J357" s="1" t="s">
        <v>1348</v>
      </c>
      <c r="K357" s="1"/>
      <c r="L357" s="1">
        <v>235.0</v>
      </c>
    </row>
    <row r="358">
      <c r="A358" s="1">
        <v>2020.0</v>
      </c>
      <c r="B358" s="1">
        <v>7.0</v>
      </c>
      <c r="C358" s="1" t="s">
        <v>116</v>
      </c>
      <c r="D358" s="1" t="s">
        <v>147</v>
      </c>
      <c r="E358" s="1" t="s">
        <v>39</v>
      </c>
      <c r="F358" s="3" t="s">
        <v>1350</v>
      </c>
      <c r="G358" s="3"/>
      <c r="H358" s="1" t="s">
        <v>1351</v>
      </c>
      <c r="I358" s="1">
        <f t="shared" si="1"/>
        <v>298.579602</v>
      </c>
      <c r="J358" s="1" t="s">
        <v>1353</v>
      </c>
      <c r="K358" s="1"/>
      <c r="L358" s="1">
        <v>96.0</v>
      </c>
    </row>
    <row r="359">
      <c r="A359" s="1">
        <v>2020.0</v>
      </c>
      <c r="B359" s="1">
        <v>7.0</v>
      </c>
      <c r="C359" s="1" t="s">
        <v>116</v>
      </c>
      <c r="D359" s="1" t="s">
        <v>147</v>
      </c>
      <c r="E359" s="1" t="s">
        <v>17</v>
      </c>
      <c r="F359" s="1" t="s">
        <v>1355</v>
      </c>
      <c r="G359" s="1"/>
      <c r="H359" s="1" t="s">
        <v>1356</v>
      </c>
      <c r="I359" s="1">
        <f t="shared" si="1"/>
        <v>9.620347</v>
      </c>
      <c r="J359" s="1" t="s">
        <v>1357</v>
      </c>
      <c r="K359" s="1"/>
      <c r="L359" s="1">
        <v>7.0</v>
      </c>
    </row>
    <row r="360">
      <c r="A360" s="1">
        <v>2020.0</v>
      </c>
      <c r="B360" s="1">
        <v>7.0</v>
      </c>
      <c r="C360" s="1" t="s">
        <v>116</v>
      </c>
      <c r="D360" s="1" t="s">
        <v>147</v>
      </c>
      <c r="E360" s="1" t="s">
        <v>21</v>
      </c>
      <c r="F360" s="1" t="s">
        <v>1360</v>
      </c>
      <c r="G360" s="1"/>
      <c r="H360" s="1" t="s">
        <v>1361</v>
      </c>
      <c r="I360" s="1">
        <f t="shared" si="1"/>
        <v>22.065598</v>
      </c>
      <c r="J360" s="1" t="s">
        <v>1362</v>
      </c>
      <c r="K360" s="1"/>
      <c r="L360" s="1">
        <v>46.0</v>
      </c>
    </row>
    <row r="361">
      <c r="A361" s="1">
        <v>2020.0</v>
      </c>
      <c r="B361" s="1">
        <v>7.0</v>
      </c>
      <c r="C361" s="1" t="s">
        <v>116</v>
      </c>
      <c r="D361" s="1" t="s">
        <v>165</v>
      </c>
      <c r="E361" s="1" t="s">
        <v>39</v>
      </c>
      <c r="F361" s="1" t="s">
        <v>1365</v>
      </c>
      <c r="G361" s="1"/>
      <c r="H361" s="1" t="s">
        <v>1367</v>
      </c>
      <c r="I361" s="1">
        <f t="shared" si="1"/>
        <v>49.084923</v>
      </c>
      <c r="J361" s="1" t="s">
        <v>1368</v>
      </c>
      <c r="K361" s="1"/>
      <c r="L361" s="1">
        <v>0.0</v>
      </c>
    </row>
    <row r="362">
      <c r="A362" s="1">
        <v>2020.0</v>
      </c>
      <c r="B362" s="1">
        <v>7.0</v>
      </c>
      <c r="C362" s="1" t="s">
        <v>116</v>
      </c>
      <c r="D362" s="1" t="s">
        <v>165</v>
      </c>
      <c r="E362" s="1" t="s">
        <v>17</v>
      </c>
      <c r="F362" s="1" t="s">
        <v>1370</v>
      </c>
      <c r="G362" s="1"/>
      <c r="H362" s="1" t="s">
        <v>1372</v>
      </c>
      <c r="I362" s="1">
        <f t="shared" si="1"/>
        <v>140.649292</v>
      </c>
      <c r="J362" s="1" t="s">
        <v>1374</v>
      </c>
      <c r="K362" s="1"/>
      <c r="L362" s="1">
        <v>0.0</v>
      </c>
    </row>
    <row r="363">
      <c r="A363" s="1">
        <v>2020.0</v>
      </c>
      <c r="B363" s="1">
        <v>7.0</v>
      </c>
      <c r="C363" s="1" t="s">
        <v>116</v>
      </c>
      <c r="D363" s="1" t="s">
        <v>158</v>
      </c>
      <c r="E363" s="1" t="s">
        <v>39</v>
      </c>
      <c r="F363" s="1" t="s">
        <v>574</v>
      </c>
      <c r="G363" s="1"/>
      <c r="H363" s="1" t="s">
        <v>1376</v>
      </c>
      <c r="I363" s="1">
        <f t="shared" si="1"/>
        <v>0.424558</v>
      </c>
      <c r="J363" s="1" t="s">
        <v>596</v>
      </c>
      <c r="K363" s="1"/>
      <c r="L363" s="1">
        <v>0.0</v>
      </c>
    </row>
    <row r="364">
      <c r="A364" s="1">
        <v>2020.0</v>
      </c>
      <c r="B364" s="1">
        <v>7.0</v>
      </c>
      <c r="C364" s="1" t="s">
        <v>116</v>
      </c>
      <c r="D364" s="1" t="s">
        <v>158</v>
      </c>
      <c r="E364" s="1" t="s">
        <v>17</v>
      </c>
      <c r="F364" s="1" t="s">
        <v>1378</v>
      </c>
      <c r="G364" s="1"/>
      <c r="H364" s="1" t="s">
        <v>1379</v>
      </c>
      <c r="I364" s="1">
        <f t="shared" si="1"/>
        <v>20.850142</v>
      </c>
      <c r="J364" s="1" t="s">
        <v>1380</v>
      </c>
      <c r="K364" s="1"/>
      <c r="L364" s="1">
        <v>0.0</v>
      </c>
    </row>
    <row r="365">
      <c r="A365" s="1">
        <v>2020.0</v>
      </c>
      <c r="B365" s="1">
        <v>7.0</v>
      </c>
      <c r="C365" s="1" t="s">
        <v>116</v>
      </c>
      <c r="D365" s="1" t="s">
        <v>158</v>
      </c>
      <c r="E365" s="1" t="s">
        <v>21</v>
      </c>
      <c r="F365" s="1" t="s">
        <v>1383</v>
      </c>
      <c r="G365" s="1"/>
      <c r="H365" s="1" t="s">
        <v>1384</v>
      </c>
      <c r="I365" s="1">
        <f t="shared" si="1"/>
        <v>140.824207</v>
      </c>
      <c r="J365" s="1" t="s">
        <v>1386</v>
      </c>
      <c r="K365" s="1"/>
      <c r="L365" s="1">
        <v>0.0</v>
      </c>
    </row>
    <row r="366">
      <c r="A366" s="1">
        <v>2020.0</v>
      </c>
      <c r="B366" s="1">
        <v>7.0</v>
      </c>
      <c r="C366" s="1" t="s">
        <v>116</v>
      </c>
      <c r="D366" s="1" t="s">
        <v>38</v>
      </c>
      <c r="E366" s="1" t="s">
        <v>39</v>
      </c>
      <c r="F366" s="3">
        <v>1380254.0</v>
      </c>
      <c r="G366" s="3"/>
      <c r="H366" s="1" t="s">
        <v>1389</v>
      </c>
      <c r="I366" s="1">
        <f t="shared" si="1"/>
        <v>154.4753</v>
      </c>
      <c r="J366" s="1" t="s">
        <v>1390</v>
      </c>
      <c r="K366" s="1"/>
      <c r="L366" s="1">
        <v>201.0</v>
      </c>
    </row>
    <row r="367">
      <c r="A367" s="1">
        <v>2020.0</v>
      </c>
      <c r="B367" s="1">
        <v>8.0</v>
      </c>
      <c r="C367" s="1" t="s">
        <v>12</v>
      </c>
      <c r="D367" s="1" t="s">
        <v>13</v>
      </c>
      <c r="E367" s="1" t="s">
        <v>14</v>
      </c>
      <c r="F367" s="1" t="s">
        <v>1393</v>
      </c>
      <c r="G367" s="1"/>
      <c r="H367" s="1" t="s">
        <v>1395</v>
      </c>
      <c r="I367" s="1">
        <f t="shared" si="1"/>
        <v>839.675037</v>
      </c>
      <c r="J367" s="3" t="s">
        <v>1397</v>
      </c>
      <c r="K367" s="3"/>
      <c r="L367" s="1">
        <v>529.0</v>
      </c>
    </row>
    <row r="368">
      <c r="A368" s="1">
        <v>2020.0</v>
      </c>
      <c r="B368" s="1">
        <v>8.0</v>
      </c>
      <c r="C368" s="1" t="s">
        <v>12</v>
      </c>
      <c r="D368" s="1" t="s">
        <v>13</v>
      </c>
      <c r="E368" s="1" t="s">
        <v>17</v>
      </c>
      <c r="F368" s="1" t="s">
        <v>1400</v>
      </c>
      <c r="G368" s="1"/>
      <c r="H368" s="1" t="s">
        <v>1401</v>
      </c>
      <c r="I368" s="1">
        <f t="shared" si="1"/>
        <v>4545.647378</v>
      </c>
      <c r="J368" s="1" t="s">
        <v>1403</v>
      </c>
      <c r="K368" s="1"/>
      <c r="L368" s="1">
        <v>697.0</v>
      </c>
    </row>
    <row r="369">
      <c r="A369" s="1">
        <v>2020.0</v>
      </c>
      <c r="B369" s="1">
        <v>8.0</v>
      </c>
      <c r="C369" s="1" t="s">
        <v>12</v>
      </c>
      <c r="D369" s="1" t="s">
        <v>13</v>
      </c>
      <c r="E369" s="1" t="s">
        <v>21</v>
      </c>
      <c r="F369" s="1" t="s">
        <v>1406</v>
      </c>
      <c r="G369" s="1"/>
      <c r="H369" s="1" t="s">
        <v>1407</v>
      </c>
      <c r="I369" s="1">
        <f t="shared" si="1"/>
        <v>2912.236932</v>
      </c>
      <c r="J369" s="1" t="s">
        <v>1409</v>
      </c>
      <c r="K369" s="1"/>
      <c r="L369" s="1">
        <v>506.0</v>
      </c>
    </row>
    <row r="370">
      <c r="A370" s="1">
        <v>2020.0</v>
      </c>
      <c r="B370" s="1">
        <v>8.0</v>
      </c>
      <c r="C370" s="1" t="s">
        <v>12</v>
      </c>
      <c r="D370" s="1" t="s">
        <v>13</v>
      </c>
      <c r="E370" s="1" t="s">
        <v>25</v>
      </c>
      <c r="F370" s="1" t="s">
        <v>152</v>
      </c>
      <c r="G370" s="1"/>
      <c r="H370" s="1" t="s">
        <v>1410</v>
      </c>
      <c r="I370" s="1">
        <f t="shared" si="1"/>
        <v>2.343986</v>
      </c>
      <c r="J370" s="1" t="s">
        <v>785</v>
      </c>
      <c r="K370" s="1"/>
      <c r="L370" s="1">
        <v>5.0</v>
      </c>
    </row>
    <row r="371">
      <c r="A371" s="1">
        <v>2020.0</v>
      </c>
      <c r="B371" s="1">
        <v>8.0</v>
      </c>
      <c r="C371" s="1" t="s">
        <v>12</v>
      </c>
      <c r="D371" s="1" t="s">
        <v>29</v>
      </c>
      <c r="E371" s="1" t="s">
        <v>21</v>
      </c>
      <c r="F371" s="1" t="s">
        <v>1414</v>
      </c>
      <c r="G371" s="1"/>
      <c r="H371" s="1" t="s">
        <v>1415</v>
      </c>
      <c r="I371" s="1">
        <f t="shared" si="1"/>
        <v>3144.032997</v>
      </c>
      <c r="J371" s="3">
        <v>751092.0</v>
      </c>
      <c r="K371" s="3"/>
      <c r="L371" s="1">
        <v>580.0</v>
      </c>
    </row>
    <row r="372">
      <c r="A372" s="1">
        <v>2020.0</v>
      </c>
      <c r="B372" s="1">
        <v>8.0</v>
      </c>
      <c r="C372" s="1" t="s">
        <v>12</v>
      </c>
      <c r="D372" s="1" t="s">
        <v>32</v>
      </c>
      <c r="E372" s="1" t="s">
        <v>14</v>
      </c>
      <c r="F372" s="1" t="s">
        <v>1419</v>
      </c>
      <c r="G372" s="1"/>
      <c r="H372" s="1" t="s">
        <v>1420</v>
      </c>
      <c r="I372" s="1">
        <f t="shared" si="1"/>
        <v>386.054146</v>
      </c>
      <c r="J372" s="3">
        <v>1123123.0</v>
      </c>
      <c r="K372" s="3"/>
      <c r="L372" s="1">
        <v>461.0</v>
      </c>
    </row>
    <row r="373">
      <c r="A373" s="1">
        <v>2020.0</v>
      </c>
      <c r="B373" s="1">
        <v>8.0</v>
      </c>
      <c r="C373" s="1" t="s">
        <v>12</v>
      </c>
      <c r="D373" s="1" t="s">
        <v>32</v>
      </c>
      <c r="E373" s="1" t="s">
        <v>21</v>
      </c>
      <c r="F373" s="3">
        <v>20486.0</v>
      </c>
      <c r="G373" s="3"/>
      <c r="H373" s="1" t="s">
        <v>1424</v>
      </c>
      <c r="I373" s="1">
        <f t="shared" si="1"/>
        <v>152.672372</v>
      </c>
      <c r="J373" s="1" t="s">
        <v>1427</v>
      </c>
      <c r="K373" s="1"/>
      <c r="L373" s="1">
        <v>106.0</v>
      </c>
    </row>
    <row r="374">
      <c r="A374" s="1">
        <v>2020.0</v>
      </c>
      <c r="B374" s="1">
        <v>8.0</v>
      </c>
      <c r="C374" s="1" t="s">
        <v>12</v>
      </c>
      <c r="D374" s="1" t="s">
        <v>45</v>
      </c>
      <c r="E374" s="1" t="s">
        <v>17</v>
      </c>
      <c r="F374" s="3">
        <v>1194922.0</v>
      </c>
      <c r="G374" s="3"/>
      <c r="H374" s="1" t="s">
        <v>1428</v>
      </c>
      <c r="I374" s="1">
        <f t="shared" si="1"/>
        <v>418.475559</v>
      </c>
      <c r="J374" s="3" t="s">
        <v>1430</v>
      </c>
      <c r="K374" s="3"/>
      <c r="L374" s="1">
        <v>172.0</v>
      </c>
    </row>
    <row r="375">
      <c r="A375" s="1">
        <v>2020.0</v>
      </c>
      <c r="B375" s="1">
        <v>8.0</v>
      </c>
      <c r="C375" s="1" t="s">
        <v>12</v>
      </c>
      <c r="D375" s="1" t="s">
        <v>42</v>
      </c>
      <c r="E375" s="1" t="s">
        <v>17</v>
      </c>
      <c r="F375" s="1" t="s">
        <v>1432</v>
      </c>
      <c r="G375" s="1"/>
      <c r="H375" s="1" t="s">
        <v>1433</v>
      </c>
      <c r="I375" s="1">
        <f t="shared" si="1"/>
        <v>373.798464</v>
      </c>
      <c r="J375" s="1" t="s">
        <v>1436</v>
      </c>
      <c r="K375" s="1"/>
      <c r="L375" s="1">
        <v>153.0</v>
      </c>
    </row>
    <row r="376">
      <c r="A376" s="1">
        <v>2020.0</v>
      </c>
      <c r="B376" s="1">
        <v>8.0</v>
      </c>
      <c r="C376" s="1" t="s">
        <v>12</v>
      </c>
      <c r="D376" s="1" t="s">
        <v>38</v>
      </c>
      <c r="E376" s="1" t="s">
        <v>39</v>
      </c>
      <c r="F376" s="3">
        <v>2389815.0</v>
      </c>
      <c r="G376" s="3"/>
      <c r="H376" s="1" t="s">
        <v>1438</v>
      </c>
      <c r="I376" s="1">
        <f t="shared" si="1"/>
        <v>284.902185</v>
      </c>
      <c r="J376" s="1" t="s">
        <v>1441</v>
      </c>
      <c r="K376" s="1"/>
      <c r="L376" s="1">
        <v>97.0</v>
      </c>
    </row>
    <row r="377">
      <c r="A377" s="1">
        <v>2020.0</v>
      </c>
      <c r="B377" s="1">
        <v>8.0</v>
      </c>
      <c r="C377" s="1" t="s">
        <v>12</v>
      </c>
      <c r="D377" s="1" t="s">
        <v>56</v>
      </c>
      <c r="E377" s="1" t="s">
        <v>21</v>
      </c>
      <c r="F377" s="1" t="s">
        <v>1443</v>
      </c>
      <c r="G377" s="1"/>
      <c r="H377" s="1" t="s">
        <v>1444</v>
      </c>
      <c r="I377" s="1">
        <f t="shared" si="1"/>
        <v>127.709397</v>
      </c>
      <c r="J377" s="1" t="s">
        <v>1447</v>
      </c>
      <c r="K377" s="1"/>
      <c r="L377" s="1">
        <v>187.0</v>
      </c>
    </row>
    <row r="378">
      <c r="A378" s="1">
        <v>2020.0</v>
      </c>
      <c r="B378" s="1">
        <v>8.0</v>
      </c>
      <c r="C378" s="1" t="s">
        <v>12</v>
      </c>
      <c r="D378" s="1" t="s">
        <v>48</v>
      </c>
      <c r="E378" s="1" t="s">
        <v>49</v>
      </c>
      <c r="F378" s="1" t="s">
        <v>1449</v>
      </c>
      <c r="G378" s="1"/>
      <c r="H378" s="1" t="s">
        <v>1450</v>
      </c>
      <c r="I378" s="1">
        <f t="shared" si="1"/>
        <v>2.463735</v>
      </c>
      <c r="J378" s="1" t="s">
        <v>103</v>
      </c>
      <c r="K378" s="1"/>
      <c r="L378" s="1">
        <v>3.0</v>
      </c>
    </row>
    <row r="379">
      <c r="A379" s="1">
        <v>2020.0</v>
      </c>
      <c r="B379" s="1">
        <v>8.0</v>
      </c>
      <c r="C379" s="1" t="s">
        <v>12</v>
      </c>
      <c r="D379" s="1" t="s">
        <v>48</v>
      </c>
      <c r="E379" s="1" t="s">
        <v>21</v>
      </c>
      <c r="F379" s="1" t="s">
        <v>1453</v>
      </c>
      <c r="G379" s="1"/>
      <c r="H379" s="1" t="s">
        <v>1454</v>
      </c>
      <c r="I379" s="1">
        <f t="shared" si="1"/>
        <v>88.74046</v>
      </c>
      <c r="J379" s="1" t="s">
        <v>1456</v>
      </c>
      <c r="K379" s="1"/>
      <c r="L379" s="1">
        <v>116.0</v>
      </c>
    </row>
    <row r="380">
      <c r="A380" s="1">
        <v>2020.0</v>
      </c>
      <c r="B380" s="1">
        <v>8.0</v>
      </c>
      <c r="C380" s="1" t="s">
        <v>12</v>
      </c>
      <c r="D380" s="1" t="s">
        <v>848</v>
      </c>
      <c r="E380" s="1" t="s">
        <v>21</v>
      </c>
      <c r="F380" s="1" t="s">
        <v>1458</v>
      </c>
      <c r="G380" s="1"/>
      <c r="H380" s="1" t="s">
        <v>1459</v>
      </c>
      <c r="I380" s="1">
        <f t="shared" si="1"/>
        <v>52.956799</v>
      </c>
      <c r="J380" s="1" t="s">
        <v>1461</v>
      </c>
      <c r="K380" s="1"/>
      <c r="L380" s="1">
        <v>57.0</v>
      </c>
    </row>
    <row r="381">
      <c r="A381" s="1">
        <v>2020.0</v>
      </c>
      <c r="B381" s="1">
        <v>8.0</v>
      </c>
      <c r="C381" s="1" t="s">
        <v>12</v>
      </c>
      <c r="D381" s="1" t="s">
        <v>64</v>
      </c>
      <c r="E381" s="1" t="s">
        <v>39</v>
      </c>
      <c r="F381" s="1" t="s">
        <v>1463</v>
      </c>
      <c r="G381" s="1"/>
      <c r="H381" s="1" t="s">
        <v>1464</v>
      </c>
      <c r="I381" s="1">
        <f t="shared" si="1"/>
        <v>24.720427</v>
      </c>
      <c r="J381" s="1" t="s">
        <v>1147</v>
      </c>
      <c r="K381" s="1"/>
      <c r="L381" s="1">
        <v>79.0</v>
      </c>
    </row>
    <row r="382">
      <c r="A382" s="1">
        <v>2020.0</v>
      </c>
      <c r="B382" s="1">
        <v>8.0</v>
      </c>
      <c r="C382" s="1" t="s">
        <v>12</v>
      </c>
      <c r="D382" s="1" t="s">
        <v>64</v>
      </c>
      <c r="E382" s="1" t="s">
        <v>21</v>
      </c>
      <c r="F382" s="1" t="s">
        <v>1468</v>
      </c>
      <c r="G382" s="1"/>
      <c r="H382" s="1" t="s">
        <v>1469</v>
      </c>
      <c r="I382" s="1">
        <f t="shared" si="1"/>
        <v>9.577978</v>
      </c>
      <c r="J382" s="1" t="s">
        <v>1472</v>
      </c>
      <c r="K382" s="1"/>
      <c r="L382" s="1">
        <v>40.0</v>
      </c>
    </row>
    <row r="383">
      <c r="A383" s="1">
        <v>2020.0</v>
      </c>
      <c r="B383" s="1">
        <v>8.0</v>
      </c>
      <c r="C383" s="1" t="s">
        <v>68</v>
      </c>
      <c r="D383" s="1" t="s">
        <v>13</v>
      </c>
      <c r="E383" s="1" t="s">
        <v>14</v>
      </c>
      <c r="F383" s="1" t="s">
        <v>1474</v>
      </c>
      <c r="G383" s="1"/>
      <c r="H383" s="1" t="s">
        <v>1475</v>
      </c>
      <c r="I383" s="1">
        <f t="shared" si="1"/>
        <v>3827.928427</v>
      </c>
      <c r="J383" s="3">
        <v>2496038.0</v>
      </c>
      <c r="K383" s="3"/>
      <c r="L383" s="1">
        <v>8388.0</v>
      </c>
    </row>
    <row r="384">
      <c r="A384" s="1">
        <v>2020.0</v>
      </c>
      <c r="B384" s="1">
        <v>8.0</v>
      </c>
      <c r="C384" s="1" t="s">
        <v>68</v>
      </c>
      <c r="D384" s="1" t="s">
        <v>13</v>
      </c>
      <c r="E384" s="1" t="s">
        <v>72</v>
      </c>
      <c r="F384" s="1" t="s">
        <v>1479</v>
      </c>
      <c r="G384" s="1"/>
      <c r="H384" s="1" t="s">
        <v>1480</v>
      </c>
      <c r="I384" s="1">
        <f t="shared" si="1"/>
        <v>0.54729</v>
      </c>
      <c r="J384" s="1" t="s">
        <v>693</v>
      </c>
      <c r="K384" s="1"/>
      <c r="L384" s="1">
        <v>2.0</v>
      </c>
    </row>
    <row r="385">
      <c r="A385" s="1">
        <v>2020.0</v>
      </c>
      <c r="B385" s="1">
        <v>8.0</v>
      </c>
      <c r="C385" s="1" t="s">
        <v>68</v>
      </c>
      <c r="D385" s="1" t="s">
        <v>13</v>
      </c>
      <c r="E385" s="1" t="s">
        <v>17</v>
      </c>
      <c r="F385" s="1" t="s">
        <v>1484</v>
      </c>
      <c r="G385" s="1"/>
      <c r="H385" s="1" t="s">
        <v>1485</v>
      </c>
      <c r="I385" s="1">
        <f t="shared" si="1"/>
        <v>6359.161149</v>
      </c>
      <c r="J385" s="1" t="s">
        <v>1488</v>
      </c>
      <c r="K385" s="1"/>
      <c r="L385" s="1">
        <v>9467.0</v>
      </c>
    </row>
    <row r="386">
      <c r="A386" s="1">
        <v>2020.0</v>
      </c>
      <c r="B386" s="1">
        <v>8.0</v>
      </c>
      <c r="C386" s="1" t="s">
        <v>68</v>
      </c>
      <c r="D386" s="1" t="s">
        <v>13</v>
      </c>
      <c r="E386" s="1" t="s">
        <v>21</v>
      </c>
      <c r="F386" s="3">
        <v>2517739.0</v>
      </c>
      <c r="G386" s="3"/>
      <c r="H386" s="1" t="s">
        <v>1490</v>
      </c>
      <c r="I386" s="1">
        <f t="shared" si="1"/>
        <v>836.630462</v>
      </c>
      <c r="J386" s="3">
        <v>2738257.0</v>
      </c>
      <c r="K386" s="3"/>
      <c r="L386" s="1">
        <v>1318.0</v>
      </c>
    </row>
    <row r="387">
      <c r="A387" s="1">
        <v>2020.0</v>
      </c>
      <c r="B387" s="1">
        <v>8.0</v>
      </c>
      <c r="C387" s="1" t="s">
        <v>68</v>
      </c>
      <c r="D387" s="1" t="s">
        <v>13</v>
      </c>
      <c r="E387" s="1" t="s">
        <v>25</v>
      </c>
      <c r="F387" s="1" t="s">
        <v>441</v>
      </c>
      <c r="G387" s="1"/>
      <c r="H387" s="1" t="s">
        <v>1493</v>
      </c>
      <c r="I387" s="1">
        <f t="shared" si="1"/>
        <v>58.669398</v>
      </c>
      <c r="J387" s="1" t="s">
        <v>444</v>
      </c>
      <c r="K387" s="1"/>
      <c r="L387" s="1">
        <v>307.0</v>
      </c>
    </row>
    <row r="388">
      <c r="A388" s="1">
        <v>2020.0</v>
      </c>
      <c r="B388" s="1">
        <v>8.0</v>
      </c>
      <c r="C388" s="1" t="s">
        <v>68</v>
      </c>
      <c r="D388" s="1" t="s">
        <v>29</v>
      </c>
      <c r="E388" s="1" t="s">
        <v>21</v>
      </c>
      <c r="F388" s="3">
        <v>549539.0</v>
      </c>
      <c r="G388" s="3"/>
      <c r="H388" s="1" t="s">
        <v>1497</v>
      </c>
      <c r="I388" s="1">
        <f t="shared" si="1"/>
        <v>1734.232667</v>
      </c>
      <c r="J388" s="3">
        <v>533681.0</v>
      </c>
      <c r="K388" s="3"/>
      <c r="L388" s="1">
        <v>1323.0</v>
      </c>
    </row>
    <row r="389">
      <c r="A389" s="1">
        <v>2020.0</v>
      </c>
      <c r="B389" s="1">
        <v>8.0</v>
      </c>
      <c r="C389" s="1" t="s">
        <v>68</v>
      </c>
      <c r="D389" s="1" t="s">
        <v>45</v>
      </c>
      <c r="E389" s="1" t="s">
        <v>17</v>
      </c>
      <c r="F389" s="1" t="s">
        <v>1498</v>
      </c>
      <c r="G389" s="1"/>
      <c r="H389" s="1" t="s">
        <v>1499</v>
      </c>
      <c r="I389" s="1">
        <f t="shared" si="1"/>
        <v>797.208189</v>
      </c>
      <c r="J389" s="3" t="s">
        <v>1500</v>
      </c>
      <c r="K389" s="3"/>
      <c r="L389" s="1">
        <v>2058.0</v>
      </c>
    </row>
    <row r="390">
      <c r="A390" s="1">
        <v>2020.0</v>
      </c>
      <c r="B390" s="1">
        <v>8.0</v>
      </c>
      <c r="C390" s="1" t="s">
        <v>68</v>
      </c>
      <c r="D390" s="1" t="s">
        <v>32</v>
      </c>
      <c r="E390" s="1" t="s">
        <v>14</v>
      </c>
      <c r="F390" s="3">
        <v>318918.0</v>
      </c>
      <c r="G390" s="3"/>
      <c r="H390" s="1" t="s">
        <v>1501</v>
      </c>
      <c r="I390" s="1">
        <f t="shared" si="1"/>
        <v>258.942763</v>
      </c>
      <c r="J390" s="1" t="s">
        <v>1502</v>
      </c>
      <c r="K390" s="1"/>
      <c r="L390" s="1">
        <v>1415.0</v>
      </c>
    </row>
    <row r="391">
      <c r="A391" s="1">
        <v>2020.0</v>
      </c>
      <c r="B391" s="1">
        <v>8.0</v>
      </c>
      <c r="C391" s="1" t="s">
        <v>68</v>
      </c>
      <c r="D391" s="1" t="s">
        <v>32</v>
      </c>
      <c r="E391" s="1" t="s">
        <v>21</v>
      </c>
      <c r="F391" s="3">
        <v>201251.0</v>
      </c>
      <c r="G391" s="3"/>
      <c r="H391" s="1" t="s">
        <v>1503</v>
      </c>
      <c r="I391" s="1">
        <f t="shared" si="1"/>
        <v>129.596335</v>
      </c>
      <c r="J391" s="1" t="s">
        <v>1504</v>
      </c>
      <c r="K391" s="1"/>
      <c r="L391" s="1">
        <v>250.0</v>
      </c>
    </row>
    <row r="392">
      <c r="A392" s="1">
        <v>2020.0</v>
      </c>
      <c r="B392" s="1">
        <v>8.0</v>
      </c>
      <c r="C392" s="1" t="s">
        <v>68</v>
      </c>
      <c r="D392" s="1" t="s">
        <v>42</v>
      </c>
      <c r="E392" s="1" t="s">
        <v>17</v>
      </c>
      <c r="F392" s="3" t="s">
        <v>1505</v>
      </c>
      <c r="G392" s="3"/>
      <c r="H392" s="1" t="s">
        <v>1506</v>
      </c>
      <c r="I392" s="1">
        <f t="shared" si="1"/>
        <v>178.452502</v>
      </c>
      <c r="J392" s="1" t="s">
        <v>1507</v>
      </c>
      <c r="K392" s="1"/>
      <c r="L392" s="1">
        <v>409.0</v>
      </c>
    </row>
    <row r="393">
      <c r="A393" s="1">
        <v>2020.0</v>
      </c>
      <c r="B393" s="1">
        <v>8.0</v>
      </c>
      <c r="C393" s="1" t="s">
        <v>68</v>
      </c>
      <c r="D393" s="1" t="s">
        <v>98</v>
      </c>
      <c r="E393" s="1" t="s">
        <v>17</v>
      </c>
      <c r="F393" s="1" t="s">
        <v>1508</v>
      </c>
      <c r="G393" s="1"/>
      <c r="H393" s="1" t="s">
        <v>1509</v>
      </c>
      <c r="I393" s="1">
        <f t="shared" si="1"/>
        <v>112.748627</v>
      </c>
      <c r="J393" s="1" t="s">
        <v>1511</v>
      </c>
      <c r="K393" s="1"/>
      <c r="L393" s="1">
        <v>0.0</v>
      </c>
    </row>
    <row r="394">
      <c r="A394" s="1">
        <v>2020.0</v>
      </c>
      <c r="B394" s="1">
        <v>8.0</v>
      </c>
      <c r="C394" s="1" t="s">
        <v>68</v>
      </c>
      <c r="D394" s="1" t="s">
        <v>38</v>
      </c>
      <c r="E394" s="1" t="s">
        <v>39</v>
      </c>
      <c r="F394" s="3" t="s">
        <v>1512</v>
      </c>
      <c r="G394" s="3"/>
      <c r="H394" s="1" t="s">
        <v>1513</v>
      </c>
      <c r="I394" s="1">
        <f t="shared" si="1"/>
        <v>103.196774</v>
      </c>
      <c r="J394" s="1" t="s">
        <v>1489</v>
      </c>
      <c r="K394" s="1"/>
      <c r="L394" s="1">
        <v>256.0</v>
      </c>
    </row>
    <row r="395">
      <c r="A395" s="1">
        <v>2020.0</v>
      </c>
      <c r="B395" s="1">
        <v>8.0</v>
      </c>
      <c r="C395" s="1" t="s">
        <v>68</v>
      </c>
      <c r="D395" s="1" t="s">
        <v>48</v>
      </c>
      <c r="E395" s="1" t="s">
        <v>49</v>
      </c>
      <c r="F395" s="1" t="s">
        <v>1514</v>
      </c>
      <c r="G395" s="1"/>
      <c r="H395" s="1" t="s">
        <v>1515</v>
      </c>
      <c r="I395" s="1">
        <f t="shared" si="1"/>
        <v>3.297931</v>
      </c>
      <c r="J395" s="1" t="s">
        <v>426</v>
      </c>
      <c r="K395" s="1"/>
      <c r="L395" s="1">
        <v>4.0</v>
      </c>
    </row>
    <row r="396">
      <c r="A396" s="1">
        <v>2020.0</v>
      </c>
      <c r="B396" s="1">
        <v>8.0</v>
      </c>
      <c r="C396" s="1" t="s">
        <v>68</v>
      </c>
      <c r="D396" s="1" t="s">
        <v>48</v>
      </c>
      <c r="E396" s="1" t="s">
        <v>21</v>
      </c>
      <c r="F396" s="1" t="s">
        <v>1516</v>
      </c>
      <c r="G396" s="1"/>
      <c r="H396" s="1" t="s">
        <v>1517</v>
      </c>
      <c r="I396" s="1">
        <f t="shared" si="1"/>
        <v>85.608891</v>
      </c>
      <c r="J396" s="1" t="s">
        <v>1004</v>
      </c>
      <c r="K396" s="1"/>
      <c r="L396" s="1">
        <v>397.0</v>
      </c>
    </row>
    <row r="397">
      <c r="A397" s="1">
        <v>2020.0</v>
      </c>
      <c r="B397" s="1">
        <v>8.0</v>
      </c>
      <c r="C397" s="1" t="s">
        <v>68</v>
      </c>
      <c r="D397" s="1" t="s">
        <v>544</v>
      </c>
      <c r="E397" s="1" t="s">
        <v>17</v>
      </c>
      <c r="F397" s="1" t="s">
        <v>1518</v>
      </c>
      <c r="G397" s="1"/>
      <c r="H397" s="1" t="s">
        <v>1519</v>
      </c>
      <c r="I397" s="1">
        <f t="shared" si="1"/>
        <v>84.815141</v>
      </c>
      <c r="J397" s="1" t="s">
        <v>1520</v>
      </c>
      <c r="K397" s="1"/>
      <c r="L397" s="1">
        <v>243.0</v>
      </c>
    </row>
    <row r="398">
      <c r="A398" s="1">
        <v>2020.0</v>
      </c>
      <c r="B398" s="1">
        <v>8.0</v>
      </c>
      <c r="C398" s="1" t="s">
        <v>68</v>
      </c>
      <c r="D398" s="1" t="s">
        <v>102</v>
      </c>
      <c r="E398" s="1" t="s">
        <v>39</v>
      </c>
      <c r="F398" s="1" t="s">
        <v>1521</v>
      </c>
      <c r="G398" s="1"/>
      <c r="H398" s="1" t="s">
        <v>1522</v>
      </c>
      <c r="I398" s="1">
        <f t="shared" si="1"/>
        <v>22.486045</v>
      </c>
      <c r="J398" s="1" t="s">
        <v>1523</v>
      </c>
      <c r="K398" s="1"/>
      <c r="L398" s="1">
        <v>0.0</v>
      </c>
    </row>
    <row r="399">
      <c r="A399" s="1">
        <v>2020.0</v>
      </c>
      <c r="B399" s="1">
        <v>8.0</v>
      </c>
      <c r="C399" s="1" t="s">
        <v>68</v>
      </c>
      <c r="D399" s="1" t="s">
        <v>102</v>
      </c>
      <c r="E399" s="1" t="s">
        <v>21</v>
      </c>
      <c r="F399" s="1" t="s">
        <v>1524</v>
      </c>
      <c r="G399" s="1"/>
      <c r="H399" s="1" t="s">
        <v>1525</v>
      </c>
      <c r="I399" s="1">
        <f t="shared" si="1"/>
        <v>50.11333</v>
      </c>
      <c r="J399" s="1" t="s">
        <v>1478</v>
      </c>
      <c r="K399" s="1"/>
      <c r="L399" s="1">
        <v>0.0</v>
      </c>
    </row>
    <row r="400">
      <c r="A400" s="1">
        <v>2020.0</v>
      </c>
      <c r="B400" s="1">
        <v>8.0</v>
      </c>
      <c r="C400" s="1" t="s">
        <v>116</v>
      </c>
      <c r="D400" s="1" t="s">
        <v>13</v>
      </c>
      <c r="E400" s="1" t="s">
        <v>14</v>
      </c>
      <c r="F400" s="1" t="s">
        <v>1526</v>
      </c>
      <c r="G400" s="1"/>
      <c r="H400" s="1" t="s">
        <v>1527</v>
      </c>
      <c r="I400" s="1">
        <f t="shared" si="1"/>
        <v>6709.745395</v>
      </c>
      <c r="J400" s="1" t="s">
        <v>1528</v>
      </c>
      <c r="K400" s="1"/>
      <c r="L400" s="1">
        <v>11510.0</v>
      </c>
    </row>
    <row r="401">
      <c r="A401" s="1">
        <v>2020.0</v>
      </c>
      <c r="B401" s="1">
        <v>8.0</v>
      </c>
      <c r="C401" s="1" t="s">
        <v>116</v>
      </c>
      <c r="D401" s="1" t="s">
        <v>13</v>
      </c>
      <c r="E401" s="1" t="s">
        <v>17</v>
      </c>
      <c r="F401" s="1" t="s">
        <v>1529</v>
      </c>
      <c r="G401" s="1"/>
      <c r="H401" s="1" t="s">
        <v>1530</v>
      </c>
      <c r="I401" s="1">
        <f t="shared" si="1"/>
        <v>7205.293469</v>
      </c>
      <c r="J401" s="1" t="s">
        <v>1531</v>
      </c>
      <c r="K401" s="1"/>
      <c r="L401" s="1">
        <v>7827.0</v>
      </c>
    </row>
    <row r="402">
      <c r="A402" s="1">
        <v>2020.0</v>
      </c>
      <c r="B402" s="1">
        <v>8.0</v>
      </c>
      <c r="C402" s="1" t="s">
        <v>116</v>
      </c>
      <c r="D402" s="1" t="s">
        <v>13</v>
      </c>
      <c r="E402" s="1" t="s">
        <v>21</v>
      </c>
      <c r="F402" s="3">
        <v>2901732.0</v>
      </c>
      <c r="G402" s="3"/>
      <c r="H402" s="1" t="s">
        <v>1532</v>
      </c>
      <c r="I402" s="1">
        <f t="shared" si="1"/>
        <v>1220.229029</v>
      </c>
      <c r="J402" s="3">
        <v>2930432.0</v>
      </c>
      <c r="K402" s="3"/>
      <c r="L402" s="1">
        <v>1230.0</v>
      </c>
    </row>
    <row r="403">
      <c r="A403" s="1">
        <v>2020.0</v>
      </c>
      <c r="B403" s="1">
        <v>8.0</v>
      </c>
      <c r="C403" s="1" t="s">
        <v>116</v>
      </c>
      <c r="D403" s="1" t="s">
        <v>13</v>
      </c>
      <c r="E403" s="1" t="s">
        <v>25</v>
      </c>
      <c r="F403" s="1" t="s">
        <v>239</v>
      </c>
      <c r="G403" s="1"/>
      <c r="H403" s="1" t="s">
        <v>1534</v>
      </c>
      <c r="I403" s="1">
        <f t="shared" si="1"/>
        <v>66.266284</v>
      </c>
      <c r="J403" s="1" t="s">
        <v>241</v>
      </c>
      <c r="K403" s="1"/>
      <c r="L403" s="1">
        <v>117.0</v>
      </c>
    </row>
    <row r="404">
      <c r="A404" s="1">
        <v>2020.0</v>
      </c>
      <c r="B404" s="1">
        <v>8.0</v>
      </c>
      <c r="C404" s="1" t="s">
        <v>116</v>
      </c>
      <c r="D404" s="1" t="s">
        <v>29</v>
      </c>
      <c r="E404" s="1" t="s">
        <v>21</v>
      </c>
      <c r="F404" s="1" t="s">
        <v>1535</v>
      </c>
      <c r="G404" s="1"/>
      <c r="H404" s="1" t="s">
        <v>1536</v>
      </c>
      <c r="I404" s="1">
        <f t="shared" si="1"/>
        <v>6101.673406</v>
      </c>
      <c r="J404" s="1" t="s">
        <v>1537</v>
      </c>
      <c r="K404" s="1"/>
      <c r="L404" s="1">
        <v>2016.0</v>
      </c>
    </row>
    <row r="405">
      <c r="A405" s="1">
        <v>2020.0</v>
      </c>
      <c r="B405" s="1">
        <v>8.0</v>
      </c>
      <c r="C405" s="1" t="s">
        <v>116</v>
      </c>
      <c r="D405" s="1" t="s">
        <v>45</v>
      </c>
      <c r="E405" s="1" t="s">
        <v>17</v>
      </c>
      <c r="F405" s="1" t="s">
        <v>1538</v>
      </c>
      <c r="G405" s="1"/>
      <c r="H405" s="1" t="s">
        <v>1539</v>
      </c>
      <c r="I405" s="1">
        <f t="shared" si="1"/>
        <v>1907.523043</v>
      </c>
      <c r="J405" s="3">
        <v>702302.0</v>
      </c>
      <c r="K405" s="3"/>
      <c r="L405" s="1">
        <v>1997.0</v>
      </c>
    </row>
    <row r="406">
      <c r="A406" s="1">
        <v>2020.0</v>
      </c>
      <c r="B406" s="1">
        <v>8.0</v>
      </c>
      <c r="C406" s="1" t="s">
        <v>116</v>
      </c>
      <c r="D406" s="1" t="s">
        <v>32</v>
      </c>
      <c r="E406" s="1" t="s">
        <v>14</v>
      </c>
      <c r="F406" s="3">
        <v>1710919.0</v>
      </c>
      <c r="G406" s="3"/>
      <c r="H406" s="1" t="s">
        <v>1540</v>
      </c>
      <c r="I406" s="1">
        <f t="shared" si="1"/>
        <v>363.135918</v>
      </c>
      <c r="J406" s="3">
        <v>406882.0</v>
      </c>
      <c r="K406" s="3"/>
      <c r="L406" s="1">
        <v>1584.0</v>
      </c>
    </row>
    <row r="407">
      <c r="A407" s="1">
        <v>2020.0</v>
      </c>
      <c r="B407" s="1">
        <v>8.0</v>
      </c>
      <c r="C407" s="1" t="s">
        <v>116</v>
      </c>
      <c r="D407" s="1" t="s">
        <v>32</v>
      </c>
      <c r="E407" s="1" t="s">
        <v>21</v>
      </c>
      <c r="F407" s="3">
        <v>2843475.0</v>
      </c>
      <c r="G407" s="3"/>
      <c r="H407" s="1" t="s">
        <v>1541</v>
      </c>
      <c r="I407" s="1">
        <f t="shared" si="1"/>
        <v>436.589117</v>
      </c>
      <c r="J407" s="3">
        <v>2176117.0</v>
      </c>
      <c r="K407" s="3"/>
      <c r="L407" s="1">
        <v>872.0</v>
      </c>
    </row>
    <row r="408">
      <c r="A408" s="1">
        <v>2020.0</v>
      </c>
      <c r="B408" s="1">
        <v>8.0</v>
      </c>
      <c r="C408" s="1" t="s">
        <v>116</v>
      </c>
      <c r="D408" s="1" t="s">
        <v>42</v>
      </c>
      <c r="E408" s="1" t="s">
        <v>17</v>
      </c>
      <c r="F408" s="3">
        <v>1198759.0</v>
      </c>
      <c r="G408" s="3"/>
      <c r="H408" s="1" t="s">
        <v>1542</v>
      </c>
      <c r="I408" s="1">
        <f t="shared" si="1"/>
        <v>415.783864</v>
      </c>
      <c r="J408" s="1" t="s">
        <v>1543</v>
      </c>
      <c r="K408" s="1"/>
      <c r="L408" s="1">
        <v>479.0</v>
      </c>
    </row>
    <row r="409">
      <c r="A409" s="1">
        <v>2020.0</v>
      </c>
      <c r="B409" s="1">
        <v>8.0</v>
      </c>
      <c r="C409" s="1" t="s">
        <v>116</v>
      </c>
      <c r="D409" s="1" t="s">
        <v>147</v>
      </c>
      <c r="E409" s="1" t="s">
        <v>39</v>
      </c>
      <c r="F409" s="3">
        <v>218783.0</v>
      </c>
      <c r="G409" s="3"/>
      <c r="H409" s="1" t="s">
        <v>1544</v>
      </c>
      <c r="I409" s="1">
        <f t="shared" si="1"/>
        <v>347.719692</v>
      </c>
      <c r="J409" s="1" t="s">
        <v>1545</v>
      </c>
      <c r="K409" s="1"/>
      <c r="L409" s="1">
        <v>91.0</v>
      </c>
    </row>
    <row r="410">
      <c r="A410" s="1">
        <v>2020.0</v>
      </c>
      <c r="B410" s="1">
        <v>8.0</v>
      </c>
      <c r="C410" s="1" t="s">
        <v>116</v>
      </c>
      <c r="D410" s="1" t="s">
        <v>147</v>
      </c>
      <c r="E410" s="1" t="s">
        <v>17</v>
      </c>
      <c r="F410" s="1" t="s">
        <v>1546</v>
      </c>
      <c r="G410" s="1"/>
      <c r="H410" s="1" t="s">
        <v>1547</v>
      </c>
      <c r="I410" s="1">
        <f t="shared" si="1"/>
        <v>9.360229</v>
      </c>
      <c r="J410" s="1" t="s">
        <v>507</v>
      </c>
      <c r="K410" s="1"/>
      <c r="L410" s="1">
        <v>6.0</v>
      </c>
    </row>
    <row r="411">
      <c r="A411" s="1">
        <v>2020.0</v>
      </c>
      <c r="B411" s="1">
        <v>8.0</v>
      </c>
      <c r="C411" s="1" t="s">
        <v>116</v>
      </c>
      <c r="D411" s="1" t="s">
        <v>147</v>
      </c>
      <c r="E411" s="1" t="s">
        <v>21</v>
      </c>
      <c r="F411" s="1" t="s">
        <v>1548</v>
      </c>
      <c r="G411" s="1"/>
      <c r="H411" s="1" t="s">
        <v>1549</v>
      </c>
      <c r="I411" s="1">
        <f t="shared" si="1"/>
        <v>26.511486</v>
      </c>
      <c r="J411" s="1" t="s">
        <v>1550</v>
      </c>
      <c r="K411" s="1"/>
      <c r="L411" s="1">
        <v>41.0</v>
      </c>
    </row>
    <row r="412">
      <c r="A412" s="1">
        <v>2020.0</v>
      </c>
      <c r="B412" s="1">
        <v>8.0</v>
      </c>
      <c r="C412" s="1" t="s">
        <v>116</v>
      </c>
      <c r="D412" s="1" t="s">
        <v>102</v>
      </c>
      <c r="E412" s="1" t="s">
        <v>39</v>
      </c>
      <c r="F412" s="1" t="s">
        <v>1551</v>
      </c>
      <c r="G412" s="1"/>
      <c r="H412" s="1" t="s">
        <v>1552</v>
      </c>
      <c r="I412" s="1">
        <f t="shared" si="1"/>
        <v>2.915876</v>
      </c>
      <c r="J412" s="1" t="s">
        <v>666</v>
      </c>
      <c r="K412" s="1"/>
      <c r="L412" s="1">
        <v>7.0</v>
      </c>
    </row>
    <row r="413">
      <c r="A413" s="1">
        <v>2020.0</v>
      </c>
      <c r="B413" s="1">
        <v>8.0</v>
      </c>
      <c r="C413" s="1" t="s">
        <v>116</v>
      </c>
      <c r="D413" s="1" t="s">
        <v>102</v>
      </c>
      <c r="E413" s="1" t="s">
        <v>17</v>
      </c>
      <c r="F413" s="1" t="s">
        <v>414</v>
      </c>
      <c r="G413" s="1"/>
      <c r="H413" s="1" t="s">
        <v>1553</v>
      </c>
      <c r="I413" s="1">
        <f t="shared" si="1"/>
        <v>0.183668</v>
      </c>
      <c r="J413" s="1" t="s">
        <v>376</v>
      </c>
      <c r="K413" s="1"/>
      <c r="L413" s="1">
        <v>1.0</v>
      </c>
    </row>
    <row r="414">
      <c r="A414" s="1">
        <v>2020.0</v>
      </c>
      <c r="B414" s="1">
        <v>8.0</v>
      </c>
      <c r="C414" s="1" t="s">
        <v>116</v>
      </c>
      <c r="D414" s="1" t="s">
        <v>102</v>
      </c>
      <c r="E414" s="1" t="s">
        <v>21</v>
      </c>
      <c r="F414" s="3">
        <v>28126.0</v>
      </c>
      <c r="G414" s="3"/>
      <c r="H414" s="1" t="s">
        <v>1554</v>
      </c>
      <c r="I414" s="1">
        <f t="shared" si="1"/>
        <v>345.456599</v>
      </c>
      <c r="J414" s="1" t="s">
        <v>1555</v>
      </c>
      <c r="K414" s="1"/>
      <c r="L414" s="1">
        <v>201.0</v>
      </c>
    </row>
    <row r="415">
      <c r="A415" s="1">
        <v>2020.0</v>
      </c>
      <c r="B415" s="1">
        <v>8.0</v>
      </c>
      <c r="C415" s="1" t="s">
        <v>116</v>
      </c>
      <c r="D415" s="1" t="s">
        <v>158</v>
      </c>
      <c r="E415" s="1" t="s">
        <v>39</v>
      </c>
      <c r="F415" s="1" t="s">
        <v>674</v>
      </c>
      <c r="G415" s="1"/>
      <c r="H415" s="1" t="s">
        <v>1556</v>
      </c>
      <c r="I415" s="1">
        <f t="shared" si="1"/>
        <v>0.235851</v>
      </c>
      <c r="J415" s="1" t="s">
        <v>596</v>
      </c>
      <c r="K415" s="1"/>
      <c r="L415" s="1">
        <v>0.0</v>
      </c>
    </row>
    <row r="416">
      <c r="A416" s="1">
        <v>2020.0</v>
      </c>
      <c r="B416" s="1">
        <v>8.0</v>
      </c>
      <c r="C416" s="1" t="s">
        <v>116</v>
      </c>
      <c r="D416" s="1" t="s">
        <v>158</v>
      </c>
      <c r="E416" s="1" t="s">
        <v>17</v>
      </c>
      <c r="F416" s="1" t="s">
        <v>284</v>
      </c>
      <c r="G416" s="1"/>
      <c r="H416" s="1" t="s">
        <v>1557</v>
      </c>
      <c r="I416" s="1">
        <f t="shared" si="1"/>
        <v>21.17829</v>
      </c>
      <c r="J416" s="1" t="s">
        <v>1558</v>
      </c>
      <c r="K416" s="1"/>
      <c r="L416" s="1">
        <v>0.0</v>
      </c>
    </row>
    <row r="417">
      <c r="A417" s="1">
        <v>2020.0</v>
      </c>
      <c r="B417" s="1">
        <v>8.0</v>
      </c>
      <c r="C417" s="1" t="s">
        <v>116</v>
      </c>
      <c r="D417" s="1" t="s">
        <v>158</v>
      </c>
      <c r="E417" s="1" t="s">
        <v>21</v>
      </c>
      <c r="F417" s="1" t="s">
        <v>1559</v>
      </c>
      <c r="G417" s="1"/>
      <c r="H417" s="1" t="s">
        <v>1560</v>
      </c>
      <c r="I417" s="1">
        <f t="shared" si="1"/>
        <v>161.393145</v>
      </c>
      <c r="J417" s="1" t="s">
        <v>1561</v>
      </c>
      <c r="K417" s="1"/>
      <c r="L417" s="1">
        <v>0.0</v>
      </c>
    </row>
    <row r="418">
      <c r="A418" s="1">
        <v>2020.0</v>
      </c>
      <c r="B418" s="1">
        <v>8.0</v>
      </c>
      <c r="C418" s="1" t="s">
        <v>116</v>
      </c>
      <c r="D418" s="1" t="s">
        <v>165</v>
      </c>
      <c r="E418" s="1" t="s">
        <v>39</v>
      </c>
      <c r="F418" s="1" t="s">
        <v>1562</v>
      </c>
      <c r="G418" s="1"/>
      <c r="H418" s="1" t="s">
        <v>1563</v>
      </c>
      <c r="I418" s="1">
        <f t="shared" si="1"/>
        <v>41.636364</v>
      </c>
      <c r="J418" s="1" t="s">
        <v>1564</v>
      </c>
      <c r="K418" s="1"/>
      <c r="L418" s="1">
        <v>0.0</v>
      </c>
    </row>
    <row r="419">
      <c r="A419" s="1">
        <v>2020.0</v>
      </c>
      <c r="B419" s="1">
        <v>8.0</v>
      </c>
      <c r="C419" s="1" t="s">
        <v>116</v>
      </c>
      <c r="D419" s="1" t="s">
        <v>165</v>
      </c>
      <c r="E419" s="1" t="s">
        <v>17</v>
      </c>
      <c r="F419" s="1" t="s">
        <v>1186</v>
      </c>
      <c r="G419" s="1"/>
      <c r="H419" s="1" t="s">
        <v>1565</v>
      </c>
      <c r="I419" s="1">
        <f t="shared" si="1"/>
        <v>128.825793</v>
      </c>
      <c r="J419" s="1" t="s">
        <v>1566</v>
      </c>
      <c r="K419" s="1"/>
      <c r="L419" s="1">
        <v>0.0</v>
      </c>
    </row>
    <row r="420">
      <c r="A420" s="1">
        <v>2020.0</v>
      </c>
      <c r="B420" s="1">
        <v>8.0</v>
      </c>
      <c r="C420" s="1" t="s">
        <v>116</v>
      </c>
      <c r="D420" s="1" t="s">
        <v>38</v>
      </c>
      <c r="E420" s="1" t="s">
        <v>39</v>
      </c>
      <c r="F420" s="1" t="s">
        <v>1567</v>
      </c>
      <c r="G420" s="1"/>
      <c r="H420" s="1" t="s">
        <v>1568</v>
      </c>
      <c r="I420" s="1">
        <f t="shared" si="1"/>
        <v>152.140199</v>
      </c>
      <c r="J420" s="1" t="s">
        <v>1569</v>
      </c>
      <c r="K420" s="1"/>
      <c r="L420" s="1">
        <v>190.0</v>
      </c>
    </row>
    <row r="421">
      <c r="A421" s="1">
        <v>2020.0</v>
      </c>
      <c r="B421" s="1">
        <v>9.0</v>
      </c>
      <c r="C421" s="1" t="s">
        <v>12</v>
      </c>
      <c r="D421" s="1" t="s">
        <v>13</v>
      </c>
      <c r="E421" s="1" t="s">
        <v>14</v>
      </c>
      <c r="F421" s="3">
        <v>1787438.0</v>
      </c>
      <c r="G421" s="3"/>
      <c r="H421" s="1" t="s">
        <v>1570</v>
      </c>
      <c r="I421" s="1">
        <f t="shared" si="1"/>
        <v>692.956619</v>
      </c>
      <c r="J421" s="3">
        <v>959525.0</v>
      </c>
      <c r="K421" s="3"/>
      <c r="L421" s="1">
        <v>532.0</v>
      </c>
    </row>
    <row r="422">
      <c r="A422" s="1">
        <v>2020.0</v>
      </c>
      <c r="B422" s="1">
        <v>9.0</v>
      </c>
      <c r="C422" s="1" t="s">
        <v>12</v>
      </c>
      <c r="D422" s="1" t="s">
        <v>13</v>
      </c>
      <c r="E422" s="1" t="s">
        <v>17</v>
      </c>
      <c r="F422" s="1" t="s">
        <v>1571</v>
      </c>
      <c r="G422" s="1"/>
      <c r="H422" s="1" t="s">
        <v>1572</v>
      </c>
      <c r="I422" s="1">
        <f t="shared" si="1"/>
        <v>6512.425501</v>
      </c>
      <c r="J422" s="1" t="s">
        <v>1573</v>
      </c>
      <c r="K422" s="1"/>
      <c r="L422" s="1">
        <v>710.0</v>
      </c>
    </row>
    <row r="423">
      <c r="A423" s="1">
        <v>2020.0</v>
      </c>
      <c r="B423" s="1">
        <v>9.0</v>
      </c>
      <c r="C423" s="1" t="s">
        <v>12</v>
      </c>
      <c r="D423" s="1" t="s">
        <v>13</v>
      </c>
      <c r="E423" s="1" t="s">
        <v>21</v>
      </c>
      <c r="F423" s="1" t="s">
        <v>1574</v>
      </c>
      <c r="G423" s="1"/>
      <c r="H423" s="1" t="s">
        <v>1575</v>
      </c>
      <c r="I423" s="1">
        <f t="shared" si="1"/>
        <v>2124.543597</v>
      </c>
      <c r="J423" s="3">
        <v>2407894.0</v>
      </c>
      <c r="K423" s="3"/>
      <c r="L423" s="1">
        <v>508.0</v>
      </c>
    </row>
    <row r="424">
      <c r="A424" s="1">
        <v>2020.0</v>
      </c>
      <c r="B424" s="1">
        <v>9.0</v>
      </c>
      <c r="C424" s="1" t="s">
        <v>12</v>
      </c>
      <c r="D424" s="1" t="s">
        <v>13</v>
      </c>
      <c r="E424" s="1" t="s">
        <v>25</v>
      </c>
      <c r="F424" s="1" t="s">
        <v>1479</v>
      </c>
      <c r="G424" s="1"/>
      <c r="H424" s="1" t="s">
        <v>1576</v>
      </c>
      <c r="I424" s="1">
        <f t="shared" si="1"/>
        <v>1.028076</v>
      </c>
      <c r="J424" s="1" t="s">
        <v>561</v>
      </c>
      <c r="K424" s="1"/>
      <c r="L424" s="1">
        <v>5.0</v>
      </c>
    </row>
    <row r="425">
      <c r="A425" s="1">
        <v>2020.0</v>
      </c>
      <c r="B425" s="1">
        <v>9.0</v>
      </c>
      <c r="C425" s="1" t="s">
        <v>12</v>
      </c>
      <c r="D425" s="1" t="s">
        <v>29</v>
      </c>
      <c r="E425" s="1" t="s">
        <v>21</v>
      </c>
      <c r="F425" s="1" t="s">
        <v>1577</v>
      </c>
      <c r="G425" s="1"/>
      <c r="H425" s="1" t="s">
        <v>1578</v>
      </c>
      <c r="I425" s="1">
        <f t="shared" si="1"/>
        <v>4467.334807</v>
      </c>
      <c r="J425" s="3">
        <v>1292899.0</v>
      </c>
      <c r="K425" s="3"/>
      <c r="L425" s="1">
        <v>646.0</v>
      </c>
    </row>
    <row r="426">
      <c r="A426" s="1">
        <v>2020.0</v>
      </c>
      <c r="B426" s="1">
        <v>9.0</v>
      </c>
      <c r="C426" s="1" t="s">
        <v>12</v>
      </c>
      <c r="D426" s="1" t="s">
        <v>32</v>
      </c>
      <c r="E426" s="1" t="s">
        <v>14</v>
      </c>
      <c r="F426" s="3">
        <v>1686843.0</v>
      </c>
      <c r="G426" s="3"/>
      <c r="H426" s="1" t="s">
        <v>1579</v>
      </c>
      <c r="I426" s="1">
        <f t="shared" si="1"/>
        <v>372.043144</v>
      </c>
      <c r="J426" s="3">
        <v>1241462.0</v>
      </c>
      <c r="K426" s="3"/>
      <c r="L426" s="1">
        <v>454.0</v>
      </c>
    </row>
    <row r="427">
      <c r="A427" s="1">
        <v>2020.0</v>
      </c>
      <c r="B427" s="1">
        <v>9.0</v>
      </c>
      <c r="C427" s="1" t="s">
        <v>12</v>
      </c>
      <c r="D427" s="1" t="s">
        <v>32</v>
      </c>
      <c r="E427" s="1" t="s">
        <v>21</v>
      </c>
      <c r="F427" s="1" t="s">
        <v>1580</v>
      </c>
      <c r="G427" s="1"/>
      <c r="H427" s="1" t="s">
        <v>1581</v>
      </c>
      <c r="I427" s="1">
        <f t="shared" si="1"/>
        <v>60.611304</v>
      </c>
      <c r="J427" s="1" t="s">
        <v>1582</v>
      </c>
      <c r="K427" s="1"/>
      <c r="L427" s="1">
        <v>91.0</v>
      </c>
    </row>
    <row r="428">
      <c r="A428" s="1">
        <v>2020.0</v>
      </c>
      <c r="B428" s="1">
        <v>9.0</v>
      </c>
      <c r="C428" s="1" t="s">
        <v>12</v>
      </c>
      <c r="D428" s="1" t="s">
        <v>42</v>
      </c>
      <c r="E428" s="1" t="s">
        <v>17</v>
      </c>
      <c r="F428" s="3">
        <v>996780.0</v>
      </c>
      <c r="G428" s="3"/>
      <c r="H428" s="1" t="s">
        <v>1583</v>
      </c>
      <c r="I428" s="1">
        <f t="shared" si="1"/>
        <v>369.873609</v>
      </c>
      <c r="J428" s="1" t="s">
        <v>1584</v>
      </c>
      <c r="K428" s="1"/>
      <c r="L428" s="1">
        <v>162.0</v>
      </c>
    </row>
    <row r="429">
      <c r="A429" s="1">
        <v>2020.0</v>
      </c>
      <c r="B429" s="1">
        <v>9.0</v>
      </c>
      <c r="C429" s="1" t="s">
        <v>12</v>
      </c>
      <c r="D429" s="1" t="s">
        <v>45</v>
      </c>
      <c r="E429" s="1" t="s">
        <v>17</v>
      </c>
      <c r="F429" s="3">
        <v>1704344.0</v>
      </c>
      <c r="G429" s="3"/>
      <c r="H429" s="1" t="s">
        <v>1585</v>
      </c>
      <c r="I429" s="1">
        <f t="shared" si="1"/>
        <v>335.499881</v>
      </c>
      <c r="J429" s="3" t="s">
        <v>1586</v>
      </c>
      <c r="K429" s="3"/>
      <c r="L429" s="1">
        <v>174.0</v>
      </c>
    </row>
    <row r="430">
      <c r="A430" s="1">
        <v>2020.0</v>
      </c>
      <c r="B430" s="1">
        <v>9.0</v>
      </c>
      <c r="C430" s="1" t="s">
        <v>12</v>
      </c>
      <c r="D430" s="1" t="s">
        <v>38</v>
      </c>
      <c r="E430" s="1" t="s">
        <v>39</v>
      </c>
      <c r="F430" s="3">
        <v>2175052.0</v>
      </c>
      <c r="G430" s="3"/>
      <c r="H430" s="1" t="s">
        <v>1587</v>
      </c>
      <c r="I430" s="1">
        <f t="shared" si="1"/>
        <v>291.057245</v>
      </c>
      <c r="J430" s="1" t="s">
        <v>1588</v>
      </c>
      <c r="K430" s="1"/>
      <c r="L430" s="1">
        <v>98.0</v>
      </c>
    </row>
    <row r="431">
      <c r="A431" s="1">
        <v>2020.0</v>
      </c>
      <c r="B431" s="1">
        <v>9.0</v>
      </c>
      <c r="C431" s="1" t="s">
        <v>12</v>
      </c>
      <c r="D431" s="1" t="s">
        <v>48</v>
      </c>
      <c r="E431" s="1" t="s">
        <v>49</v>
      </c>
      <c r="F431" s="1" t="s">
        <v>1589</v>
      </c>
      <c r="G431" s="1"/>
      <c r="H431" s="1" t="s">
        <v>1590</v>
      </c>
      <c r="I431" s="1">
        <f t="shared" si="1"/>
        <v>1.373928</v>
      </c>
      <c r="J431" s="1" t="s">
        <v>73</v>
      </c>
      <c r="K431" s="1"/>
      <c r="L431" s="1">
        <v>3.0</v>
      </c>
    </row>
    <row r="432">
      <c r="A432" s="1">
        <v>2020.0</v>
      </c>
      <c r="B432" s="1">
        <v>9.0</v>
      </c>
      <c r="C432" s="1" t="s">
        <v>12</v>
      </c>
      <c r="D432" s="1" t="s">
        <v>48</v>
      </c>
      <c r="E432" s="1" t="s">
        <v>21</v>
      </c>
      <c r="F432" s="1" t="s">
        <v>1591</v>
      </c>
      <c r="G432" s="1"/>
      <c r="H432" s="1" t="s">
        <v>1592</v>
      </c>
      <c r="I432" s="1">
        <f t="shared" si="1"/>
        <v>92.426348</v>
      </c>
      <c r="J432" s="1" t="s">
        <v>1593</v>
      </c>
      <c r="K432" s="1"/>
      <c r="L432" s="1">
        <v>121.0</v>
      </c>
    </row>
    <row r="433">
      <c r="A433" s="1">
        <v>2020.0</v>
      </c>
      <c r="B433" s="1">
        <v>9.0</v>
      </c>
      <c r="C433" s="1" t="s">
        <v>12</v>
      </c>
      <c r="D433" s="1" t="s">
        <v>56</v>
      </c>
      <c r="E433" s="1" t="s">
        <v>21</v>
      </c>
      <c r="F433" s="1" t="s">
        <v>1594</v>
      </c>
      <c r="G433" s="1"/>
      <c r="H433" s="1" t="s">
        <v>1595</v>
      </c>
      <c r="I433" s="1">
        <f t="shared" si="1"/>
        <v>93.170169</v>
      </c>
      <c r="J433" s="1" t="s">
        <v>1596</v>
      </c>
      <c r="K433" s="1"/>
      <c r="L433" s="1">
        <v>181.0</v>
      </c>
    </row>
    <row r="434">
      <c r="A434" s="1">
        <v>2020.0</v>
      </c>
      <c r="B434" s="1">
        <v>9.0</v>
      </c>
      <c r="C434" s="1" t="s">
        <v>12</v>
      </c>
      <c r="D434" s="1" t="s">
        <v>848</v>
      </c>
      <c r="E434" s="1" t="s">
        <v>21</v>
      </c>
      <c r="F434" s="1" t="s">
        <v>57</v>
      </c>
      <c r="G434" s="1"/>
      <c r="H434" s="1" t="s">
        <v>1597</v>
      </c>
      <c r="I434" s="1">
        <f t="shared" si="1"/>
        <v>51.531351</v>
      </c>
      <c r="J434" s="1" t="s">
        <v>1598</v>
      </c>
      <c r="K434" s="1"/>
      <c r="L434" s="1">
        <v>47.0</v>
      </c>
    </row>
    <row r="435">
      <c r="A435" s="1">
        <v>2020.0</v>
      </c>
      <c r="B435" s="1">
        <v>9.0</v>
      </c>
      <c r="C435" s="1" t="s">
        <v>12</v>
      </c>
      <c r="D435" s="1" t="s">
        <v>60</v>
      </c>
      <c r="E435" s="1" t="s">
        <v>39</v>
      </c>
      <c r="F435" s="1" t="s">
        <v>1599</v>
      </c>
      <c r="G435" s="1"/>
      <c r="H435" s="1" t="s">
        <v>1600</v>
      </c>
      <c r="I435" s="1">
        <f t="shared" si="1"/>
        <v>35.386023</v>
      </c>
      <c r="J435" s="1" t="s">
        <v>1601</v>
      </c>
      <c r="K435" s="1"/>
      <c r="L435" s="1">
        <v>0.0</v>
      </c>
    </row>
    <row r="436">
      <c r="A436" s="1">
        <v>2020.0</v>
      </c>
      <c r="B436" s="1">
        <v>9.0</v>
      </c>
      <c r="C436" s="1" t="s">
        <v>12</v>
      </c>
      <c r="D436" s="1" t="s">
        <v>60</v>
      </c>
      <c r="E436" s="1" t="s">
        <v>17</v>
      </c>
      <c r="F436" s="1" t="s">
        <v>73</v>
      </c>
      <c r="G436" s="1"/>
      <c r="H436" s="1" t="s">
        <v>1602</v>
      </c>
      <c r="I436" s="1">
        <f t="shared" si="1"/>
        <v>0.175645</v>
      </c>
      <c r="J436" s="1" t="s">
        <v>674</v>
      </c>
      <c r="K436" s="1"/>
      <c r="L436" s="1">
        <v>0.0</v>
      </c>
    </row>
    <row r="437">
      <c r="A437" s="1">
        <v>2020.0</v>
      </c>
      <c r="B437" s="1">
        <v>9.0</v>
      </c>
      <c r="C437" s="1" t="s">
        <v>68</v>
      </c>
      <c r="D437" s="1" t="s">
        <v>13</v>
      </c>
      <c r="E437" s="1" t="s">
        <v>14</v>
      </c>
      <c r="F437" s="1" t="s">
        <v>1603</v>
      </c>
      <c r="G437" s="1"/>
      <c r="H437" s="1" t="s">
        <v>1604</v>
      </c>
      <c r="I437" s="1">
        <f t="shared" si="1"/>
        <v>3386.327367</v>
      </c>
      <c r="J437" s="3">
        <v>224565.0</v>
      </c>
      <c r="K437" s="3"/>
      <c r="L437" s="1">
        <v>7789.0</v>
      </c>
    </row>
    <row r="438">
      <c r="A438" s="1">
        <v>2020.0</v>
      </c>
      <c r="B438" s="1">
        <v>9.0</v>
      </c>
      <c r="C438" s="1" t="s">
        <v>68</v>
      </c>
      <c r="D438" s="1" t="s">
        <v>13</v>
      </c>
      <c r="E438" s="1" t="s">
        <v>72</v>
      </c>
      <c r="F438" s="1" t="s">
        <v>1605</v>
      </c>
      <c r="G438" s="1"/>
      <c r="H438" s="1" t="s">
        <v>1606</v>
      </c>
      <c r="I438" s="1">
        <f t="shared" si="1"/>
        <v>0.985176</v>
      </c>
      <c r="J438" s="1" t="s">
        <v>396</v>
      </c>
      <c r="K438" s="1"/>
      <c r="L438" s="1">
        <v>1.0</v>
      </c>
    </row>
    <row r="439">
      <c r="A439" s="1">
        <v>2020.0</v>
      </c>
      <c r="B439" s="1">
        <v>9.0</v>
      </c>
      <c r="C439" s="1" t="s">
        <v>68</v>
      </c>
      <c r="D439" s="1" t="s">
        <v>13</v>
      </c>
      <c r="E439" s="1" t="s">
        <v>17</v>
      </c>
      <c r="F439" s="1" t="s">
        <v>1607</v>
      </c>
      <c r="G439" s="1"/>
      <c r="H439" s="1" t="s">
        <v>1608</v>
      </c>
      <c r="I439" s="1">
        <f t="shared" si="1"/>
        <v>6367.316132</v>
      </c>
      <c r="J439" s="1" t="s">
        <v>1609</v>
      </c>
      <c r="K439" s="1"/>
      <c r="L439" s="1">
        <v>9323.0</v>
      </c>
    </row>
    <row r="440">
      <c r="A440" s="1">
        <v>2020.0</v>
      </c>
      <c r="B440" s="1">
        <v>9.0</v>
      </c>
      <c r="C440" s="1" t="s">
        <v>68</v>
      </c>
      <c r="D440" s="1" t="s">
        <v>13</v>
      </c>
      <c r="E440" s="1" t="s">
        <v>21</v>
      </c>
      <c r="F440" s="3">
        <v>1874547.0</v>
      </c>
      <c r="G440" s="3"/>
      <c r="H440" s="1" t="s">
        <v>1610</v>
      </c>
      <c r="I440" s="1">
        <f t="shared" si="1"/>
        <v>825.612183</v>
      </c>
      <c r="J440" s="3">
        <v>2416477.0</v>
      </c>
      <c r="K440" s="3"/>
      <c r="L440" s="1">
        <v>1288.0</v>
      </c>
    </row>
    <row r="441">
      <c r="A441" s="1">
        <v>2020.0</v>
      </c>
      <c r="B441" s="1">
        <v>9.0</v>
      </c>
      <c r="C441" s="1" t="s">
        <v>68</v>
      </c>
      <c r="D441" s="1" t="s">
        <v>13</v>
      </c>
      <c r="E441" s="1" t="s">
        <v>25</v>
      </c>
      <c r="F441" s="1" t="s">
        <v>1611</v>
      </c>
      <c r="G441" s="1"/>
      <c r="H441" s="1" t="s">
        <v>1612</v>
      </c>
      <c r="I441" s="1">
        <f t="shared" si="1"/>
        <v>68.190552</v>
      </c>
      <c r="J441" s="1" t="s">
        <v>1613</v>
      </c>
      <c r="K441" s="1"/>
      <c r="L441" s="1">
        <v>305.0</v>
      </c>
    </row>
    <row r="442">
      <c r="A442" s="1">
        <v>2020.0</v>
      </c>
      <c r="B442" s="1">
        <v>9.0</v>
      </c>
      <c r="C442" s="1" t="s">
        <v>68</v>
      </c>
      <c r="D442" s="1" t="s">
        <v>29</v>
      </c>
      <c r="E442" s="1" t="s">
        <v>21</v>
      </c>
      <c r="F442" s="3">
        <v>1001375.0</v>
      </c>
      <c r="G442" s="3"/>
      <c r="H442" s="1" t="s">
        <v>1614</v>
      </c>
      <c r="I442" s="1">
        <f t="shared" si="1"/>
        <v>1951.666573</v>
      </c>
      <c r="J442" s="3">
        <v>2175811.0</v>
      </c>
      <c r="K442" s="3"/>
      <c r="L442" s="1">
        <v>1363.0</v>
      </c>
    </row>
    <row r="443">
      <c r="A443" s="1">
        <v>2020.0</v>
      </c>
      <c r="B443" s="1">
        <v>9.0</v>
      </c>
      <c r="C443" s="1" t="s">
        <v>68</v>
      </c>
      <c r="D443" s="1" t="s">
        <v>45</v>
      </c>
      <c r="E443" s="1" t="s">
        <v>17</v>
      </c>
      <c r="F443" s="3" t="s">
        <v>1615</v>
      </c>
      <c r="G443" s="3"/>
      <c r="H443" s="1" t="s">
        <v>1616</v>
      </c>
      <c r="I443" s="1">
        <f t="shared" si="1"/>
        <v>600.12229</v>
      </c>
      <c r="J443" s="3">
        <v>2767110.0</v>
      </c>
      <c r="K443" s="3"/>
      <c r="L443" s="1">
        <v>1787.0</v>
      </c>
    </row>
    <row r="444">
      <c r="A444" s="1">
        <v>2020.0</v>
      </c>
      <c r="B444" s="1">
        <v>9.0</v>
      </c>
      <c r="C444" s="1" t="s">
        <v>68</v>
      </c>
      <c r="D444" s="1" t="s">
        <v>32</v>
      </c>
      <c r="E444" s="1" t="s">
        <v>14</v>
      </c>
      <c r="F444" s="3">
        <v>590995.0</v>
      </c>
      <c r="G444" s="3"/>
      <c r="H444" s="1" t="s">
        <v>1617</v>
      </c>
      <c r="I444" s="1">
        <f t="shared" si="1"/>
        <v>180.630856</v>
      </c>
      <c r="J444" s="1" t="s">
        <v>1618</v>
      </c>
      <c r="K444" s="1"/>
      <c r="L444" s="1">
        <v>1360.0</v>
      </c>
    </row>
    <row r="445">
      <c r="A445" s="1">
        <v>2020.0</v>
      </c>
      <c r="B445" s="1">
        <v>9.0</v>
      </c>
      <c r="C445" s="1" t="s">
        <v>68</v>
      </c>
      <c r="D445" s="1" t="s">
        <v>32</v>
      </c>
      <c r="E445" s="1" t="s">
        <v>21</v>
      </c>
      <c r="F445" s="1" t="s">
        <v>1619</v>
      </c>
      <c r="G445" s="1"/>
      <c r="H445" s="1" t="s">
        <v>1620</v>
      </c>
      <c r="I445" s="1">
        <f t="shared" si="1"/>
        <v>156.616257</v>
      </c>
      <c r="J445" s="1" t="s">
        <v>1621</v>
      </c>
      <c r="K445" s="1"/>
      <c r="L445" s="1">
        <v>319.0</v>
      </c>
    </row>
    <row r="446">
      <c r="A446" s="1">
        <v>2020.0</v>
      </c>
      <c r="B446" s="1">
        <v>9.0</v>
      </c>
      <c r="C446" s="1" t="s">
        <v>68</v>
      </c>
      <c r="D446" s="1" t="s">
        <v>38</v>
      </c>
      <c r="E446" s="1" t="s">
        <v>39</v>
      </c>
      <c r="F446" s="3" t="s">
        <v>1622</v>
      </c>
      <c r="G446" s="3"/>
      <c r="H446" s="1" t="s">
        <v>1623</v>
      </c>
      <c r="I446" s="1">
        <f t="shared" si="1"/>
        <v>102.778449</v>
      </c>
      <c r="J446" s="1" t="s">
        <v>1624</v>
      </c>
      <c r="K446" s="1"/>
      <c r="L446" s="1">
        <v>259.0</v>
      </c>
    </row>
    <row r="447">
      <c r="A447" s="1">
        <v>2020.0</v>
      </c>
      <c r="B447" s="1">
        <v>9.0</v>
      </c>
      <c r="C447" s="1" t="s">
        <v>68</v>
      </c>
      <c r="D447" s="1" t="s">
        <v>42</v>
      </c>
      <c r="E447" s="1" t="s">
        <v>17</v>
      </c>
      <c r="F447" s="1" t="s">
        <v>1625</v>
      </c>
      <c r="G447" s="1"/>
      <c r="H447" s="1" t="s">
        <v>1626</v>
      </c>
      <c r="I447" s="1">
        <f t="shared" si="1"/>
        <v>99.389678</v>
      </c>
      <c r="J447" s="1" t="s">
        <v>1627</v>
      </c>
      <c r="K447" s="1"/>
      <c r="L447" s="1">
        <v>234.0</v>
      </c>
    </row>
    <row r="448">
      <c r="A448" s="1">
        <v>2020.0</v>
      </c>
      <c r="B448" s="1">
        <v>9.0</v>
      </c>
      <c r="C448" s="1" t="s">
        <v>68</v>
      </c>
      <c r="D448" s="1" t="s">
        <v>102</v>
      </c>
      <c r="E448" s="1" t="s">
        <v>39</v>
      </c>
      <c r="F448" s="1" t="s">
        <v>1629</v>
      </c>
      <c r="G448" s="1"/>
      <c r="H448" s="1" t="s">
        <v>1630</v>
      </c>
      <c r="I448" s="1">
        <f t="shared" si="1"/>
        <v>20.959746</v>
      </c>
      <c r="J448" s="1" t="s">
        <v>287</v>
      </c>
      <c r="K448" s="1"/>
      <c r="L448" s="1">
        <v>73.0</v>
      </c>
    </row>
    <row r="449">
      <c r="A449" s="1">
        <v>2020.0</v>
      </c>
      <c r="B449" s="1">
        <v>9.0</v>
      </c>
      <c r="C449" s="1" t="s">
        <v>68</v>
      </c>
      <c r="D449" s="1" t="s">
        <v>102</v>
      </c>
      <c r="E449" s="1" t="s">
        <v>21</v>
      </c>
      <c r="F449" s="1" t="s">
        <v>1631</v>
      </c>
      <c r="G449" s="1"/>
      <c r="H449" s="1" t="s">
        <v>1632</v>
      </c>
      <c r="I449" s="1">
        <f t="shared" si="1"/>
        <v>59.082552</v>
      </c>
      <c r="J449" s="1" t="s">
        <v>1633</v>
      </c>
      <c r="K449" s="1"/>
      <c r="L449" s="1">
        <v>74.0</v>
      </c>
    </row>
    <row r="450">
      <c r="A450" s="1">
        <v>2020.0</v>
      </c>
      <c r="B450" s="1">
        <v>9.0</v>
      </c>
      <c r="C450" s="1" t="s">
        <v>68</v>
      </c>
      <c r="D450" s="1" t="s">
        <v>98</v>
      </c>
      <c r="E450" s="1" t="s">
        <v>17</v>
      </c>
      <c r="F450" s="1" t="s">
        <v>1634</v>
      </c>
      <c r="G450" s="1"/>
      <c r="H450" s="1" t="s">
        <v>1635</v>
      </c>
      <c r="I450" s="1">
        <f t="shared" si="1"/>
        <v>65.509333</v>
      </c>
      <c r="J450" s="1" t="s">
        <v>1636</v>
      </c>
      <c r="K450" s="1"/>
      <c r="L450" s="1">
        <v>0.0</v>
      </c>
    </row>
    <row r="451">
      <c r="A451" s="1">
        <v>2020.0</v>
      </c>
      <c r="B451" s="1">
        <v>9.0</v>
      </c>
      <c r="C451" s="1" t="s">
        <v>68</v>
      </c>
      <c r="D451" s="1" t="s">
        <v>108</v>
      </c>
      <c r="E451" s="1" t="s">
        <v>49</v>
      </c>
      <c r="F451" s="3">
        <v>475548.0</v>
      </c>
      <c r="G451" s="3"/>
      <c r="H451" s="1" t="s">
        <v>1637</v>
      </c>
      <c r="I451" s="1">
        <f t="shared" si="1"/>
        <v>62.586761</v>
      </c>
      <c r="J451" s="1" t="s">
        <v>1639</v>
      </c>
      <c r="K451" s="1"/>
      <c r="L451" s="1">
        <v>830.0</v>
      </c>
    </row>
    <row r="452">
      <c r="A452" s="1">
        <v>2020.0</v>
      </c>
      <c r="B452" s="1">
        <v>9.0</v>
      </c>
      <c r="C452" s="1" t="s">
        <v>68</v>
      </c>
      <c r="D452" s="1" t="s">
        <v>48</v>
      </c>
      <c r="E452" s="1" t="s">
        <v>49</v>
      </c>
      <c r="F452" s="1" t="s">
        <v>103</v>
      </c>
      <c r="G452" s="1"/>
      <c r="H452" s="1" t="s">
        <v>1640</v>
      </c>
      <c r="I452" s="1">
        <f t="shared" si="1"/>
        <v>0.854022</v>
      </c>
      <c r="J452" s="1" t="s">
        <v>373</v>
      </c>
      <c r="K452" s="1"/>
      <c r="L452" s="1">
        <v>2.0</v>
      </c>
    </row>
    <row r="453">
      <c r="A453" s="1">
        <v>2020.0</v>
      </c>
      <c r="B453" s="1">
        <v>9.0</v>
      </c>
      <c r="C453" s="1" t="s">
        <v>68</v>
      </c>
      <c r="D453" s="1" t="s">
        <v>48</v>
      </c>
      <c r="E453" s="1" t="s">
        <v>21</v>
      </c>
      <c r="F453" s="1" t="s">
        <v>1641</v>
      </c>
      <c r="G453" s="1"/>
      <c r="H453" s="1" t="s">
        <v>1642</v>
      </c>
      <c r="I453" s="1">
        <f t="shared" si="1"/>
        <v>55.913785</v>
      </c>
      <c r="J453" s="1" t="s">
        <v>1643</v>
      </c>
      <c r="K453" s="1"/>
      <c r="L453" s="1">
        <v>334.0</v>
      </c>
    </row>
    <row r="454">
      <c r="A454" s="1">
        <v>2020.0</v>
      </c>
      <c r="B454" s="1">
        <v>9.0</v>
      </c>
      <c r="C454" s="1" t="s">
        <v>116</v>
      </c>
      <c r="D454" s="1" t="s">
        <v>13</v>
      </c>
      <c r="E454" s="1" t="s">
        <v>14</v>
      </c>
      <c r="F454" s="1" t="s">
        <v>1644</v>
      </c>
      <c r="G454" s="1"/>
      <c r="H454" s="1" t="s">
        <v>1645</v>
      </c>
      <c r="I454" s="1">
        <f t="shared" si="1"/>
        <v>7628.51873</v>
      </c>
      <c r="J454" s="1" t="s">
        <v>1647</v>
      </c>
      <c r="K454" s="1"/>
      <c r="L454" s="1">
        <v>11267.0</v>
      </c>
    </row>
    <row r="455">
      <c r="A455" s="1">
        <v>2020.0</v>
      </c>
      <c r="B455" s="1">
        <v>9.0</v>
      </c>
      <c r="C455" s="1" t="s">
        <v>116</v>
      </c>
      <c r="D455" s="1" t="s">
        <v>13</v>
      </c>
      <c r="E455" s="1" t="s">
        <v>17</v>
      </c>
      <c r="F455" s="1" t="s">
        <v>1648</v>
      </c>
      <c r="G455" s="1"/>
      <c r="H455" s="1" t="s">
        <v>1649</v>
      </c>
      <c r="I455" s="1">
        <f t="shared" si="1"/>
        <v>11344.35973</v>
      </c>
      <c r="J455" s="1" t="s">
        <v>1650</v>
      </c>
      <c r="K455" s="1"/>
      <c r="L455" s="1">
        <v>11891.0</v>
      </c>
    </row>
    <row r="456">
      <c r="A456" s="1">
        <v>2020.0</v>
      </c>
      <c r="B456" s="1">
        <v>9.0</v>
      </c>
      <c r="C456" s="1" t="s">
        <v>116</v>
      </c>
      <c r="D456" s="1" t="s">
        <v>13</v>
      </c>
      <c r="E456" s="1" t="s">
        <v>21</v>
      </c>
      <c r="F456" s="3">
        <v>4262.0</v>
      </c>
      <c r="G456" s="3"/>
      <c r="H456" s="1" t="s">
        <v>1651</v>
      </c>
      <c r="I456" s="1">
        <f t="shared" si="1"/>
        <v>1138.447524</v>
      </c>
      <c r="J456" s="3">
        <v>1481150.0</v>
      </c>
      <c r="K456" s="3"/>
      <c r="L456" s="1">
        <v>1076.0</v>
      </c>
    </row>
    <row r="457">
      <c r="A457" s="1">
        <v>2020.0</v>
      </c>
      <c r="B457" s="1">
        <v>9.0</v>
      </c>
      <c r="C457" s="1" t="s">
        <v>116</v>
      </c>
      <c r="D457" s="1" t="s">
        <v>13</v>
      </c>
      <c r="E457" s="1" t="s">
        <v>25</v>
      </c>
      <c r="F457" s="1" t="s">
        <v>1652</v>
      </c>
      <c r="G457" s="1"/>
      <c r="H457" s="1" t="s">
        <v>1653</v>
      </c>
      <c r="I457" s="1">
        <f t="shared" si="1"/>
        <v>33.195005</v>
      </c>
      <c r="J457" s="1" t="s">
        <v>1654</v>
      </c>
      <c r="K457" s="1"/>
      <c r="L457" s="1">
        <v>67.0</v>
      </c>
    </row>
    <row r="458">
      <c r="A458" s="1">
        <v>2020.0</v>
      </c>
      <c r="B458" s="1">
        <v>9.0</v>
      </c>
      <c r="C458" s="1" t="s">
        <v>116</v>
      </c>
      <c r="D458" s="1" t="s">
        <v>29</v>
      </c>
      <c r="E458" s="1" t="s">
        <v>21</v>
      </c>
      <c r="F458" s="1" t="s">
        <v>1655</v>
      </c>
      <c r="G458" s="1"/>
      <c r="H458" s="1" t="s">
        <v>1656</v>
      </c>
      <c r="I458" s="1">
        <f t="shared" si="1"/>
        <v>5429.497506</v>
      </c>
      <c r="J458" s="3">
        <v>2689922.0</v>
      </c>
      <c r="K458" s="3"/>
      <c r="L458" s="1">
        <v>2225.0</v>
      </c>
    </row>
    <row r="459">
      <c r="A459" s="1">
        <v>2020.0</v>
      </c>
      <c r="B459" s="1">
        <v>9.0</v>
      </c>
      <c r="C459" s="1" t="s">
        <v>116</v>
      </c>
      <c r="D459" s="1" t="s">
        <v>45</v>
      </c>
      <c r="E459" s="1" t="s">
        <v>17</v>
      </c>
      <c r="F459" s="1" t="s">
        <v>1657</v>
      </c>
      <c r="G459" s="1"/>
      <c r="H459" s="1" t="s">
        <v>1658</v>
      </c>
      <c r="I459" s="1">
        <f t="shared" si="1"/>
        <v>1826.391006</v>
      </c>
      <c r="J459" s="3">
        <v>1190205.0</v>
      </c>
      <c r="K459" s="3"/>
      <c r="L459" s="1">
        <v>2081.0</v>
      </c>
    </row>
    <row r="460">
      <c r="A460" s="1">
        <v>2020.0</v>
      </c>
      <c r="B460" s="1">
        <v>9.0</v>
      </c>
      <c r="C460" s="1" t="s">
        <v>116</v>
      </c>
      <c r="D460" s="1" t="s">
        <v>32</v>
      </c>
      <c r="E460" s="1" t="s">
        <v>14</v>
      </c>
      <c r="F460" s="3">
        <v>1817935.0</v>
      </c>
      <c r="G460" s="3"/>
      <c r="H460" s="1" t="s">
        <v>1660</v>
      </c>
      <c r="I460" s="1">
        <f t="shared" si="1"/>
        <v>372.513254</v>
      </c>
      <c r="J460" s="3">
        <v>431719.0</v>
      </c>
      <c r="K460" s="3"/>
      <c r="L460" s="1">
        <v>1505.0</v>
      </c>
    </row>
    <row r="461">
      <c r="A461" s="1">
        <v>2020.0</v>
      </c>
      <c r="B461" s="1">
        <v>9.0</v>
      </c>
      <c r="C461" s="1" t="s">
        <v>116</v>
      </c>
      <c r="D461" s="1" t="s">
        <v>32</v>
      </c>
      <c r="E461" s="1" t="s">
        <v>21</v>
      </c>
      <c r="F461" s="1" t="s">
        <v>1661</v>
      </c>
      <c r="G461" s="1"/>
      <c r="H461" s="1" t="s">
        <v>1662</v>
      </c>
      <c r="I461" s="1">
        <f t="shared" si="1"/>
        <v>283.975691</v>
      </c>
      <c r="J461" s="1" t="s">
        <v>1663</v>
      </c>
      <c r="K461" s="1"/>
      <c r="L461" s="1">
        <v>847.0</v>
      </c>
    </row>
    <row r="462">
      <c r="A462" s="1">
        <v>2020.0</v>
      </c>
      <c r="B462" s="1">
        <v>9.0</v>
      </c>
      <c r="C462" s="1" t="s">
        <v>116</v>
      </c>
      <c r="D462" s="1" t="s">
        <v>42</v>
      </c>
      <c r="E462" s="1" t="s">
        <v>17</v>
      </c>
      <c r="F462" s="3">
        <v>2932565.0</v>
      </c>
      <c r="G462" s="3"/>
      <c r="H462" s="1" t="s">
        <v>1664</v>
      </c>
      <c r="I462" s="1">
        <f t="shared" si="1"/>
        <v>496.055713</v>
      </c>
      <c r="J462" s="3" t="s">
        <v>1666</v>
      </c>
      <c r="K462" s="3"/>
      <c r="L462" s="1">
        <v>574.0</v>
      </c>
    </row>
    <row r="463">
      <c r="A463" s="1">
        <v>2020.0</v>
      </c>
      <c r="B463" s="1">
        <v>9.0</v>
      </c>
      <c r="C463" s="1" t="s">
        <v>116</v>
      </c>
      <c r="D463" s="1" t="s">
        <v>147</v>
      </c>
      <c r="E463" s="1" t="s">
        <v>39</v>
      </c>
      <c r="F463" s="3" t="s">
        <v>1667</v>
      </c>
      <c r="G463" s="3"/>
      <c r="H463" s="1" t="s">
        <v>1668</v>
      </c>
      <c r="I463" s="1">
        <f t="shared" si="1"/>
        <v>304.052439</v>
      </c>
      <c r="J463" s="1" t="s">
        <v>1669</v>
      </c>
      <c r="K463" s="1"/>
      <c r="L463" s="1">
        <v>86.0</v>
      </c>
    </row>
    <row r="464">
      <c r="A464" s="1">
        <v>2020.0</v>
      </c>
      <c r="B464" s="1">
        <v>9.0</v>
      </c>
      <c r="C464" s="1" t="s">
        <v>116</v>
      </c>
      <c r="D464" s="1" t="s">
        <v>147</v>
      </c>
      <c r="E464" s="1" t="s">
        <v>17</v>
      </c>
      <c r="F464" s="1" t="s">
        <v>645</v>
      </c>
      <c r="G464" s="1"/>
      <c r="H464" s="1" t="s">
        <v>1670</v>
      </c>
      <c r="I464" s="1">
        <f t="shared" si="1"/>
        <v>9.524402</v>
      </c>
      <c r="J464" s="1" t="s">
        <v>1671</v>
      </c>
      <c r="K464" s="1"/>
      <c r="L464" s="1">
        <v>8.0</v>
      </c>
    </row>
    <row r="465">
      <c r="A465" s="1">
        <v>2020.0</v>
      </c>
      <c r="B465" s="1">
        <v>9.0</v>
      </c>
      <c r="C465" s="1" t="s">
        <v>116</v>
      </c>
      <c r="D465" s="1" t="s">
        <v>147</v>
      </c>
      <c r="E465" s="1" t="s">
        <v>21</v>
      </c>
      <c r="F465" s="1" t="s">
        <v>1672</v>
      </c>
      <c r="G465" s="1"/>
      <c r="H465" s="1" t="s">
        <v>1674</v>
      </c>
      <c r="I465" s="1">
        <f t="shared" si="1"/>
        <v>32.461528</v>
      </c>
      <c r="J465" s="1" t="s">
        <v>1677</v>
      </c>
      <c r="K465" s="1"/>
      <c r="L465" s="1">
        <v>53.0</v>
      </c>
    </row>
    <row r="466">
      <c r="A466" s="1">
        <v>2020.0</v>
      </c>
      <c r="B466" s="1">
        <v>9.0</v>
      </c>
      <c r="C466" s="1" t="s">
        <v>116</v>
      </c>
      <c r="D466" s="1" t="s">
        <v>102</v>
      </c>
      <c r="E466" s="1" t="s">
        <v>39</v>
      </c>
      <c r="F466" s="1" t="s">
        <v>1679</v>
      </c>
      <c r="G466" s="1"/>
      <c r="H466" s="1" t="s">
        <v>1680</v>
      </c>
      <c r="I466" s="1">
        <f t="shared" si="1"/>
        <v>2.042558</v>
      </c>
      <c r="J466" s="1" t="s">
        <v>666</v>
      </c>
      <c r="K466" s="1"/>
      <c r="L466" s="1">
        <v>4.0</v>
      </c>
    </row>
    <row r="467">
      <c r="A467" s="1">
        <v>2020.0</v>
      </c>
      <c r="B467" s="1">
        <v>9.0</v>
      </c>
      <c r="C467" s="1" t="s">
        <v>116</v>
      </c>
      <c r="D467" s="1" t="s">
        <v>102</v>
      </c>
      <c r="E467" s="1" t="s">
        <v>17</v>
      </c>
      <c r="F467" s="1" t="s">
        <v>414</v>
      </c>
      <c r="G467" s="1"/>
      <c r="H467" s="1" t="s">
        <v>1682</v>
      </c>
      <c r="I467" s="1">
        <f t="shared" si="1"/>
        <v>0.255941</v>
      </c>
      <c r="J467" s="1" t="s">
        <v>376</v>
      </c>
      <c r="K467" s="1"/>
      <c r="L467" s="1">
        <v>1.0</v>
      </c>
    </row>
    <row r="468">
      <c r="A468" s="1">
        <v>2020.0</v>
      </c>
      <c r="B468" s="1">
        <v>9.0</v>
      </c>
      <c r="C468" s="1" t="s">
        <v>116</v>
      </c>
      <c r="D468" s="1" t="s">
        <v>102</v>
      </c>
      <c r="E468" s="1" t="s">
        <v>21</v>
      </c>
      <c r="F468" s="3" t="s">
        <v>1683</v>
      </c>
      <c r="G468" s="3"/>
      <c r="H468" s="1" t="s">
        <v>1684</v>
      </c>
      <c r="I468" s="1">
        <f t="shared" si="1"/>
        <v>309.440934</v>
      </c>
      <c r="J468" s="1" t="s">
        <v>1685</v>
      </c>
      <c r="K468" s="1"/>
      <c r="L468" s="1">
        <v>170.0</v>
      </c>
    </row>
    <row r="469">
      <c r="A469" s="1">
        <v>2020.0</v>
      </c>
      <c r="B469" s="1">
        <v>9.0</v>
      </c>
      <c r="C469" s="1" t="s">
        <v>116</v>
      </c>
      <c r="D469" s="1" t="s">
        <v>165</v>
      </c>
      <c r="E469" s="1" t="s">
        <v>39</v>
      </c>
      <c r="F469" s="1" t="s">
        <v>1687</v>
      </c>
      <c r="G469" s="1"/>
      <c r="H469" s="1" t="s">
        <v>1688</v>
      </c>
      <c r="I469" s="1">
        <f t="shared" si="1"/>
        <v>57.675272</v>
      </c>
      <c r="J469" s="1" t="s">
        <v>1689</v>
      </c>
      <c r="K469" s="1"/>
      <c r="L469" s="1">
        <v>0.0</v>
      </c>
    </row>
    <row r="470">
      <c r="A470" s="1">
        <v>2020.0</v>
      </c>
      <c r="B470" s="1">
        <v>9.0</v>
      </c>
      <c r="C470" s="1" t="s">
        <v>116</v>
      </c>
      <c r="D470" s="1" t="s">
        <v>165</v>
      </c>
      <c r="E470" s="1" t="s">
        <v>17</v>
      </c>
      <c r="F470" s="1" t="s">
        <v>1690</v>
      </c>
      <c r="G470" s="1"/>
      <c r="H470" s="1" t="s">
        <v>1691</v>
      </c>
      <c r="I470" s="1">
        <f t="shared" si="1"/>
        <v>159.264256</v>
      </c>
      <c r="J470" s="1" t="s">
        <v>1692</v>
      </c>
      <c r="K470" s="1"/>
      <c r="L470" s="1">
        <v>0.0</v>
      </c>
    </row>
    <row r="471">
      <c r="A471" s="1">
        <v>2020.0</v>
      </c>
      <c r="B471" s="1">
        <v>9.0</v>
      </c>
      <c r="C471" s="1" t="s">
        <v>116</v>
      </c>
      <c r="D471" s="1" t="s">
        <v>158</v>
      </c>
      <c r="E471" s="1" t="s">
        <v>39</v>
      </c>
      <c r="F471" s="1" t="s">
        <v>414</v>
      </c>
      <c r="G471" s="1"/>
      <c r="H471" s="1" t="s">
        <v>1693</v>
      </c>
      <c r="I471" s="1">
        <f t="shared" si="1"/>
        <v>0.330204</v>
      </c>
      <c r="J471" s="1" t="s">
        <v>596</v>
      </c>
      <c r="K471" s="1"/>
      <c r="L471" s="1">
        <v>0.0</v>
      </c>
    </row>
    <row r="472">
      <c r="A472" s="1">
        <v>2020.0</v>
      </c>
      <c r="B472" s="1">
        <v>9.0</v>
      </c>
      <c r="C472" s="1" t="s">
        <v>116</v>
      </c>
      <c r="D472" s="1" t="s">
        <v>158</v>
      </c>
      <c r="E472" s="1" t="s">
        <v>17</v>
      </c>
      <c r="F472" s="1" t="s">
        <v>1465</v>
      </c>
      <c r="G472" s="1"/>
      <c r="H472" s="1" t="s">
        <v>1695</v>
      </c>
      <c r="I472" s="1">
        <f t="shared" si="1"/>
        <v>28.234317</v>
      </c>
      <c r="J472" s="1" t="s">
        <v>1467</v>
      </c>
      <c r="K472" s="1"/>
      <c r="L472" s="1">
        <v>0.0</v>
      </c>
    </row>
    <row r="473">
      <c r="A473" s="1">
        <v>2020.0</v>
      </c>
      <c r="B473" s="1">
        <v>9.0</v>
      </c>
      <c r="C473" s="1" t="s">
        <v>116</v>
      </c>
      <c r="D473" s="1" t="s">
        <v>158</v>
      </c>
      <c r="E473" s="1" t="s">
        <v>21</v>
      </c>
      <c r="F473" s="1" t="s">
        <v>1696</v>
      </c>
      <c r="G473" s="1"/>
      <c r="H473" s="1" t="s">
        <v>1697</v>
      </c>
      <c r="I473" s="1">
        <f t="shared" si="1"/>
        <v>156.94971</v>
      </c>
      <c r="J473" s="1" t="s">
        <v>1698</v>
      </c>
      <c r="K473" s="1"/>
      <c r="L473" s="1">
        <v>0.0</v>
      </c>
    </row>
    <row r="474">
      <c r="A474" s="1">
        <v>2020.0</v>
      </c>
      <c r="B474" s="1">
        <v>9.0</v>
      </c>
      <c r="C474" s="1" t="s">
        <v>116</v>
      </c>
      <c r="D474" s="1" t="s">
        <v>330</v>
      </c>
      <c r="E474" s="1" t="s">
        <v>39</v>
      </c>
      <c r="F474" s="1" t="s">
        <v>376</v>
      </c>
      <c r="G474" s="1"/>
      <c r="H474" s="1" t="s">
        <v>1700</v>
      </c>
      <c r="I474" s="1">
        <f t="shared" si="1"/>
        <v>0.024798</v>
      </c>
      <c r="J474" s="1" t="s">
        <v>596</v>
      </c>
      <c r="K474" s="1"/>
      <c r="L474" s="1">
        <v>2.0</v>
      </c>
    </row>
    <row r="475">
      <c r="A475" s="1">
        <v>2020.0</v>
      </c>
      <c r="B475" s="1">
        <v>9.0</v>
      </c>
      <c r="C475" s="1" t="s">
        <v>116</v>
      </c>
      <c r="D475" s="1" t="s">
        <v>330</v>
      </c>
      <c r="E475" s="1" t="s">
        <v>17</v>
      </c>
      <c r="F475" s="1" t="s">
        <v>1701</v>
      </c>
      <c r="G475" s="1"/>
      <c r="H475" s="1" t="s">
        <v>1702</v>
      </c>
      <c r="I475" s="1">
        <f t="shared" si="1"/>
        <v>151.892613</v>
      </c>
      <c r="J475" s="1" t="s">
        <v>1703</v>
      </c>
      <c r="K475" s="1"/>
      <c r="L475" s="1">
        <v>114.0</v>
      </c>
    </row>
    <row r="476">
      <c r="A476" s="1">
        <v>2020.0</v>
      </c>
      <c r="B476" s="1">
        <v>10.0</v>
      </c>
      <c r="C476" s="1" t="s">
        <v>12</v>
      </c>
      <c r="D476" s="1" t="s">
        <v>13</v>
      </c>
      <c r="E476" s="1" t="s">
        <v>14</v>
      </c>
      <c r="F476" s="3">
        <v>2349546.0</v>
      </c>
      <c r="G476" s="3"/>
      <c r="H476" s="1" t="s">
        <v>1704</v>
      </c>
      <c r="I476" s="1">
        <f t="shared" si="1"/>
        <v>714.140479</v>
      </c>
      <c r="J476" s="1" t="s">
        <v>1706</v>
      </c>
      <c r="K476" s="1"/>
      <c r="L476" s="1">
        <v>536.0</v>
      </c>
    </row>
    <row r="477">
      <c r="A477" s="1">
        <v>2020.0</v>
      </c>
      <c r="B477" s="1">
        <v>10.0</v>
      </c>
      <c r="C477" s="1" t="s">
        <v>12</v>
      </c>
      <c r="D477" s="1" t="s">
        <v>13</v>
      </c>
      <c r="E477" s="1" t="s">
        <v>17</v>
      </c>
      <c r="F477" s="1" t="s">
        <v>1708</v>
      </c>
      <c r="G477" s="1"/>
      <c r="H477" s="1" t="s">
        <v>1709</v>
      </c>
      <c r="I477" s="1">
        <f t="shared" si="1"/>
        <v>5107.393573</v>
      </c>
      <c r="J477" s="1" t="s">
        <v>1711</v>
      </c>
      <c r="K477" s="1"/>
      <c r="L477" s="1">
        <v>776.0</v>
      </c>
    </row>
    <row r="478">
      <c r="A478" s="1">
        <v>2020.0</v>
      </c>
      <c r="B478" s="1">
        <v>10.0</v>
      </c>
      <c r="C478" s="1" t="s">
        <v>12</v>
      </c>
      <c r="D478" s="1" t="s">
        <v>13</v>
      </c>
      <c r="E478" s="1" t="s">
        <v>21</v>
      </c>
      <c r="F478" s="1" t="s">
        <v>1712</v>
      </c>
      <c r="G478" s="1"/>
      <c r="H478" s="1" t="s">
        <v>1713</v>
      </c>
      <c r="I478" s="1">
        <f t="shared" si="1"/>
        <v>4853.057025</v>
      </c>
      <c r="J478" s="1" t="s">
        <v>1715</v>
      </c>
      <c r="K478" s="1"/>
      <c r="L478" s="1">
        <v>513.0</v>
      </c>
    </row>
    <row r="479">
      <c r="A479" s="1">
        <v>2020.0</v>
      </c>
      <c r="B479" s="1">
        <v>10.0</v>
      </c>
      <c r="C479" s="1" t="s">
        <v>12</v>
      </c>
      <c r="D479" s="1" t="s">
        <v>13</v>
      </c>
      <c r="E479" s="1" t="s">
        <v>25</v>
      </c>
      <c r="F479" s="1" t="s">
        <v>1717</v>
      </c>
      <c r="G479" s="1"/>
      <c r="H479" s="1" t="s">
        <v>1718</v>
      </c>
      <c r="I479" s="1">
        <f t="shared" si="1"/>
        <v>1.010239</v>
      </c>
      <c r="J479" s="1" t="s">
        <v>1719</v>
      </c>
      <c r="K479" s="1"/>
      <c r="L479" s="1">
        <v>4.0</v>
      </c>
    </row>
    <row r="480">
      <c r="A480" s="1">
        <v>2020.0</v>
      </c>
      <c r="B480" s="1">
        <v>10.0</v>
      </c>
      <c r="C480" s="1" t="s">
        <v>12</v>
      </c>
      <c r="D480" s="1" t="s">
        <v>29</v>
      </c>
      <c r="E480" s="1" t="s">
        <v>14</v>
      </c>
      <c r="F480" s="1" t="s">
        <v>1056</v>
      </c>
      <c r="G480" s="1"/>
      <c r="H480" s="1" t="s">
        <v>1722</v>
      </c>
      <c r="I480" s="1">
        <f t="shared" si="1"/>
        <v>0.155886</v>
      </c>
      <c r="J480" s="1" t="s">
        <v>333</v>
      </c>
      <c r="K480" s="1"/>
      <c r="L480" s="1">
        <v>2.0</v>
      </c>
    </row>
    <row r="481">
      <c r="A481" s="1">
        <v>2020.0</v>
      </c>
      <c r="B481" s="1">
        <v>10.0</v>
      </c>
      <c r="C481" s="1" t="s">
        <v>12</v>
      </c>
      <c r="D481" s="1" t="s">
        <v>29</v>
      </c>
      <c r="E481" s="1" t="s">
        <v>21</v>
      </c>
      <c r="F481" s="1" t="s">
        <v>1724</v>
      </c>
      <c r="G481" s="1"/>
      <c r="H481" s="1" t="s">
        <v>1725</v>
      </c>
      <c r="I481" s="1">
        <f t="shared" si="1"/>
        <v>5290.425636</v>
      </c>
      <c r="J481" s="1" t="s">
        <v>1728</v>
      </c>
      <c r="K481" s="1"/>
      <c r="L481" s="1">
        <v>649.0</v>
      </c>
    </row>
    <row r="482">
      <c r="A482" s="1">
        <v>2020.0</v>
      </c>
      <c r="B482" s="1">
        <v>10.0</v>
      </c>
      <c r="C482" s="1" t="s">
        <v>12</v>
      </c>
      <c r="D482" s="1" t="s">
        <v>32</v>
      </c>
      <c r="E482" s="1" t="s">
        <v>14</v>
      </c>
      <c r="F482" s="3">
        <v>1048794.0</v>
      </c>
      <c r="G482" s="3"/>
      <c r="H482" s="1" t="s">
        <v>1730</v>
      </c>
      <c r="I482" s="1">
        <f t="shared" si="1"/>
        <v>414.764541</v>
      </c>
      <c r="J482" s="3">
        <v>1934692.0</v>
      </c>
      <c r="K482" s="3"/>
      <c r="L482" s="1">
        <v>469.0</v>
      </c>
    </row>
    <row r="483">
      <c r="A483" s="1">
        <v>2020.0</v>
      </c>
      <c r="B483" s="1">
        <v>10.0</v>
      </c>
      <c r="C483" s="1" t="s">
        <v>12</v>
      </c>
      <c r="D483" s="1" t="s">
        <v>32</v>
      </c>
      <c r="E483" s="1" t="s">
        <v>21</v>
      </c>
      <c r="F483" s="1" t="s">
        <v>1733</v>
      </c>
      <c r="G483" s="1"/>
      <c r="H483" s="1" t="s">
        <v>1734</v>
      </c>
      <c r="I483" s="1">
        <f t="shared" si="1"/>
        <v>126.79139</v>
      </c>
      <c r="J483" s="1" t="s">
        <v>1736</v>
      </c>
      <c r="K483" s="1"/>
      <c r="L483" s="1">
        <v>273.0</v>
      </c>
    </row>
    <row r="484">
      <c r="A484" s="1">
        <v>2020.0</v>
      </c>
      <c r="B484" s="1">
        <v>10.0</v>
      </c>
      <c r="C484" s="1" t="s">
        <v>12</v>
      </c>
      <c r="D484" s="1" t="s">
        <v>45</v>
      </c>
      <c r="E484" s="1" t="s">
        <v>17</v>
      </c>
      <c r="F484" s="3">
        <v>927231.0</v>
      </c>
      <c r="G484" s="3"/>
      <c r="H484" s="1" t="s">
        <v>1739</v>
      </c>
      <c r="I484" s="1">
        <f t="shared" si="1"/>
        <v>458.541928</v>
      </c>
      <c r="J484" s="3">
        <v>765975.0</v>
      </c>
      <c r="K484" s="3"/>
      <c r="L484" s="1">
        <v>171.0</v>
      </c>
    </row>
    <row r="485">
      <c r="A485" s="1">
        <v>2020.0</v>
      </c>
      <c r="B485" s="1">
        <v>10.0</v>
      </c>
      <c r="C485" s="1" t="s">
        <v>12</v>
      </c>
      <c r="D485" s="1" t="s">
        <v>42</v>
      </c>
      <c r="E485" s="1" t="s">
        <v>17</v>
      </c>
      <c r="F485" s="3">
        <v>1886511.0</v>
      </c>
      <c r="G485" s="3"/>
      <c r="H485" s="1" t="s">
        <v>1742</v>
      </c>
      <c r="I485" s="1">
        <f t="shared" si="1"/>
        <v>367.066608</v>
      </c>
      <c r="J485" s="3">
        <v>41640.0</v>
      </c>
      <c r="K485" s="3"/>
      <c r="L485" s="1">
        <v>167.0</v>
      </c>
    </row>
    <row r="486">
      <c r="A486" s="1">
        <v>2020.0</v>
      </c>
      <c r="B486" s="1">
        <v>10.0</v>
      </c>
      <c r="C486" s="1" t="s">
        <v>12</v>
      </c>
      <c r="D486" s="1" t="s">
        <v>38</v>
      </c>
      <c r="E486" s="1" t="s">
        <v>39</v>
      </c>
      <c r="F486" s="3">
        <v>1880667.0</v>
      </c>
      <c r="G486" s="3"/>
      <c r="H486" s="1" t="s">
        <v>1745</v>
      </c>
      <c r="I486" s="1">
        <f t="shared" si="1"/>
        <v>285.144203</v>
      </c>
      <c r="J486" s="1" t="s">
        <v>1748</v>
      </c>
      <c r="K486" s="1"/>
      <c r="L486" s="1">
        <v>101.0</v>
      </c>
    </row>
    <row r="487">
      <c r="A487" s="1">
        <v>2020.0</v>
      </c>
      <c r="B487" s="1">
        <v>10.0</v>
      </c>
      <c r="C487" s="1" t="s">
        <v>12</v>
      </c>
      <c r="D487" s="1" t="s">
        <v>56</v>
      </c>
      <c r="E487" s="1" t="s">
        <v>21</v>
      </c>
      <c r="F487" s="1" t="s">
        <v>1750</v>
      </c>
      <c r="G487" s="1"/>
      <c r="H487" s="1" t="s">
        <v>1751</v>
      </c>
      <c r="I487" s="1">
        <f t="shared" si="1"/>
        <v>116.502147</v>
      </c>
      <c r="J487" s="1" t="s">
        <v>1752</v>
      </c>
      <c r="K487" s="1"/>
      <c r="L487" s="1">
        <v>209.0</v>
      </c>
    </row>
    <row r="488">
      <c r="A488" s="1">
        <v>2020.0</v>
      </c>
      <c r="B488" s="1">
        <v>10.0</v>
      </c>
      <c r="C488" s="1" t="s">
        <v>12</v>
      </c>
      <c r="D488" s="1" t="s">
        <v>48</v>
      </c>
      <c r="E488" s="1" t="s">
        <v>49</v>
      </c>
      <c r="F488" s="1" t="s">
        <v>1755</v>
      </c>
      <c r="G488" s="1"/>
      <c r="H488" s="1" t="s">
        <v>1757</v>
      </c>
      <c r="I488" s="1">
        <f t="shared" si="1"/>
        <v>2.76735</v>
      </c>
      <c r="J488" s="1" t="s">
        <v>1758</v>
      </c>
      <c r="K488" s="1"/>
      <c r="L488" s="1">
        <v>2.0</v>
      </c>
    </row>
    <row r="489">
      <c r="A489" s="1">
        <v>2020.0</v>
      </c>
      <c r="B489" s="1">
        <v>10.0</v>
      </c>
      <c r="C489" s="1" t="s">
        <v>12</v>
      </c>
      <c r="D489" s="1" t="s">
        <v>48</v>
      </c>
      <c r="E489" s="1" t="s">
        <v>21</v>
      </c>
      <c r="F489" s="1" t="s">
        <v>1761</v>
      </c>
      <c r="G489" s="1"/>
      <c r="H489" s="1" t="s">
        <v>1763</v>
      </c>
      <c r="I489" s="1">
        <f t="shared" si="1"/>
        <v>105.254914</v>
      </c>
      <c r="J489" s="1" t="s">
        <v>1764</v>
      </c>
      <c r="K489" s="1"/>
      <c r="L489" s="1">
        <v>118.0</v>
      </c>
    </row>
    <row r="490">
      <c r="A490" s="1">
        <v>2020.0</v>
      </c>
      <c r="B490" s="1">
        <v>10.0</v>
      </c>
      <c r="C490" s="1" t="s">
        <v>12</v>
      </c>
      <c r="D490" s="1" t="s">
        <v>848</v>
      </c>
      <c r="E490" s="1" t="s">
        <v>21</v>
      </c>
      <c r="F490" s="1" t="s">
        <v>1767</v>
      </c>
      <c r="G490" s="1"/>
      <c r="H490" s="1" t="s">
        <v>1769</v>
      </c>
      <c r="I490" s="1">
        <f t="shared" si="1"/>
        <v>52.337633</v>
      </c>
      <c r="J490" s="1" t="s">
        <v>1770</v>
      </c>
      <c r="K490" s="1"/>
      <c r="L490" s="1">
        <v>57.0</v>
      </c>
    </row>
    <row r="491">
      <c r="A491" s="1">
        <v>2020.0</v>
      </c>
      <c r="B491" s="1">
        <v>10.0</v>
      </c>
      <c r="C491" s="1" t="s">
        <v>12</v>
      </c>
      <c r="D491" s="1" t="s">
        <v>60</v>
      </c>
      <c r="E491" s="1" t="s">
        <v>39</v>
      </c>
      <c r="F491" s="1" t="s">
        <v>1773</v>
      </c>
      <c r="G491" s="1"/>
      <c r="H491" s="1" t="s">
        <v>1774</v>
      </c>
      <c r="I491" s="1">
        <f t="shared" si="1"/>
        <v>36.775135</v>
      </c>
      <c r="J491" s="1" t="s">
        <v>1775</v>
      </c>
      <c r="K491" s="1"/>
      <c r="L491" s="1">
        <v>0.0</v>
      </c>
    </row>
    <row r="492">
      <c r="A492" s="1">
        <v>2020.0</v>
      </c>
      <c r="B492" s="1">
        <v>10.0</v>
      </c>
      <c r="C492" s="1" t="s">
        <v>12</v>
      </c>
      <c r="D492" s="1" t="s">
        <v>60</v>
      </c>
      <c r="E492" s="1" t="s">
        <v>17</v>
      </c>
      <c r="F492" s="1" t="s">
        <v>73</v>
      </c>
      <c r="G492" s="1"/>
      <c r="H492" s="1" t="s">
        <v>1776</v>
      </c>
      <c r="I492" s="1">
        <f t="shared" si="1"/>
        <v>0.185591</v>
      </c>
      <c r="J492" s="1" t="s">
        <v>674</v>
      </c>
      <c r="K492" s="1"/>
      <c r="L492" s="1">
        <v>0.0</v>
      </c>
    </row>
    <row r="493">
      <c r="A493" s="1">
        <v>2020.0</v>
      </c>
      <c r="B493" s="1">
        <v>10.0</v>
      </c>
      <c r="C493" s="1" t="s">
        <v>68</v>
      </c>
      <c r="D493" s="1" t="s">
        <v>13</v>
      </c>
      <c r="E493" s="1" t="s">
        <v>14</v>
      </c>
      <c r="F493" s="1" t="s">
        <v>1778</v>
      </c>
      <c r="G493" s="1"/>
      <c r="H493" s="1" t="s">
        <v>1779</v>
      </c>
      <c r="I493" s="1">
        <f t="shared" si="1"/>
        <v>3988.521059</v>
      </c>
      <c r="J493" s="1" t="s">
        <v>1782</v>
      </c>
      <c r="K493" s="1"/>
      <c r="L493" s="1">
        <v>9001.0</v>
      </c>
    </row>
    <row r="494">
      <c r="A494" s="1">
        <v>2020.0</v>
      </c>
      <c r="B494" s="1">
        <v>10.0</v>
      </c>
      <c r="C494" s="1" t="s">
        <v>68</v>
      </c>
      <c r="D494" s="1" t="s">
        <v>13</v>
      </c>
      <c r="E494" s="1" t="s">
        <v>17</v>
      </c>
      <c r="F494" s="1" t="s">
        <v>1784</v>
      </c>
      <c r="G494" s="1"/>
      <c r="H494" s="1" t="s">
        <v>1785</v>
      </c>
      <c r="I494" s="1">
        <f t="shared" si="1"/>
        <v>6497.563792</v>
      </c>
      <c r="J494" s="1" t="s">
        <v>1786</v>
      </c>
      <c r="K494" s="1"/>
      <c r="L494" s="1">
        <v>9709.0</v>
      </c>
    </row>
    <row r="495">
      <c r="A495" s="1">
        <v>2020.0</v>
      </c>
      <c r="B495" s="1">
        <v>10.0</v>
      </c>
      <c r="C495" s="1" t="s">
        <v>68</v>
      </c>
      <c r="D495" s="1" t="s">
        <v>13</v>
      </c>
      <c r="E495" s="1" t="s">
        <v>21</v>
      </c>
      <c r="F495" s="3">
        <v>15888.0</v>
      </c>
      <c r="G495" s="3"/>
      <c r="H495" s="1" t="s">
        <v>1789</v>
      </c>
      <c r="I495" s="1">
        <f t="shared" si="1"/>
        <v>1051.550903</v>
      </c>
      <c r="J495" s="3">
        <v>1486963.0</v>
      </c>
      <c r="K495" s="3"/>
      <c r="L495" s="1">
        <v>1303.0</v>
      </c>
    </row>
    <row r="496">
      <c r="A496" s="1">
        <v>2020.0</v>
      </c>
      <c r="B496" s="1">
        <v>10.0</v>
      </c>
      <c r="C496" s="1" t="s">
        <v>68</v>
      </c>
      <c r="D496" s="1" t="s">
        <v>13</v>
      </c>
      <c r="E496" s="1" t="s">
        <v>25</v>
      </c>
      <c r="F496" s="1" t="s">
        <v>1792</v>
      </c>
      <c r="G496" s="1"/>
      <c r="H496" s="1" t="s">
        <v>1793</v>
      </c>
      <c r="I496" s="1">
        <f t="shared" si="1"/>
        <v>60.48214</v>
      </c>
      <c r="J496" s="1" t="s">
        <v>1794</v>
      </c>
      <c r="K496" s="1"/>
      <c r="L496" s="1">
        <v>252.0</v>
      </c>
    </row>
    <row r="497">
      <c r="A497" s="1">
        <v>2020.0</v>
      </c>
      <c r="B497" s="1">
        <v>10.0</v>
      </c>
      <c r="C497" s="1" t="s">
        <v>68</v>
      </c>
      <c r="D497" s="1" t="s">
        <v>29</v>
      </c>
      <c r="E497" s="1" t="s">
        <v>21</v>
      </c>
      <c r="F497" s="3">
        <v>2758922.0</v>
      </c>
      <c r="G497" s="3"/>
      <c r="H497" s="1" t="s">
        <v>1797</v>
      </c>
      <c r="I497" s="1">
        <f t="shared" si="1"/>
        <v>2087.819981</v>
      </c>
      <c r="J497" s="1" t="s">
        <v>1799</v>
      </c>
      <c r="K497" s="1"/>
      <c r="L497" s="1">
        <v>1419.0</v>
      </c>
    </row>
    <row r="498">
      <c r="A498" s="1">
        <v>2020.0</v>
      </c>
      <c r="B498" s="1">
        <v>10.0</v>
      </c>
      <c r="C498" s="1" t="s">
        <v>68</v>
      </c>
      <c r="D498" s="1" t="s">
        <v>45</v>
      </c>
      <c r="E498" s="1" t="s">
        <v>17</v>
      </c>
      <c r="F498" s="1" t="s">
        <v>1802</v>
      </c>
      <c r="G498" s="1"/>
      <c r="H498" s="1" t="s">
        <v>1803</v>
      </c>
      <c r="I498" s="1">
        <f t="shared" si="1"/>
        <v>987.116457</v>
      </c>
      <c r="J498" s="3">
        <v>1580923.0</v>
      </c>
      <c r="K498" s="3"/>
      <c r="L498" s="1">
        <v>1872.0</v>
      </c>
    </row>
    <row r="499">
      <c r="A499" s="1">
        <v>2020.0</v>
      </c>
      <c r="B499" s="1">
        <v>10.0</v>
      </c>
      <c r="C499" s="1" t="s">
        <v>68</v>
      </c>
      <c r="D499" s="1" t="s">
        <v>32</v>
      </c>
      <c r="E499" s="1" t="s">
        <v>14</v>
      </c>
      <c r="F499" s="3">
        <v>1081517.0</v>
      </c>
      <c r="G499" s="3"/>
      <c r="H499" s="1" t="s">
        <v>1806</v>
      </c>
      <c r="I499" s="1">
        <f t="shared" si="1"/>
        <v>194.282214</v>
      </c>
      <c r="J499" s="1" t="s">
        <v>1808</v>
      </c>
      <c r="K499" s="1"/>
      <c r="L499" s="1">
        <v>1454.0</v>
      </c>
    </row>
    <row r="500">
      <c r="A500" s="1">
        <v>2020.0</v>
      </c>
      <c r="B500" s="1">
        <v>10.0</v>
      </c>
      <c r="C500" s="1" t="s">
        <v>68</v>
      </c>
      <c r="D500" s="1" t="s">
        <v>32</v>
      </c>
      <c r="E500" s="1" t="s">
        <v>21</v>
      </c>
      <c r="F500" s="1" t="s">
        <v>1811</v>
      </c>
      <c r="G500" s="1"/>
      <c r="H500" s="1" t="s">
        <v>1812</v>
      </c>
      <c r="I500" s="1">
        <f t="shared" si="1"/>
        <v>109.808417</v>
      </c>
      <c r="J500" s="1" t="s">
        <v>1814</v>
      </c>
      <c r="K500" s="1"/>
      <c r="L500" s="1">
        <v>275.0</v>
      </c>
    </row>
    <row r="501">
      <c r="A501" s="1">
        <v>2020.0</v>
      </c>
      <c r="B501" s="1">
        <v>10.0</v>
      </c>
      <c r="C501" s="1" t="s">
        <v>68</v>
      </c>
      <c r="D501" s="1" t="s">
        <v>544</v>
      </c>
      <c r="E501" s="1" t="s">
        <v>17</v>
      </c>
      <c r="F501" s="3">
        <v>2832124.0</v>
      </c>
      <c r="G501" s="3"/>
      <c r="H501" s="1" t="s">
        <v>1816</v>
      </c>
      <c r="I501" s="1">
        <f t="shared" si="1"/>
        <v>165.082083</v>
      </c>
      <c r="J501" s="3" t="s">
        <v>1817</v>
      </c>
      <c r="K501" s="3"/>
      <c r="L501" s="1">
        <v>249.0</v>
      </c>
    </row>
    <row r="502">
      <c r="A502" s="1">
        <v>2020.0</v>
      </c>
      <c r="B502" s="1">
        <v>10.0</v>
      </c>
      <c r="C502" s="1" t="s">
        <v>68</v>
      </c>
      <c r="D502" s="1" t="s">
        <v>42</v>
      </c>
      <c r="E502" s="1" t="s">
        <v>17</v>
      </c>
      <c r="F502" s="1" t="s">
        <v>1821</v>
      </c>
      <c r="G502" s="1"/>
      <c r="H502" s="1" t="s">
        <v>1822</v>
      </c>
      <c r="I502" s="1">
        <f t="shared" si="1"/>
        <v>129.934828</v>
      </c>
      <c r="J502" s="1" t="s">
        <v>1823</v>
      </c>
      <c r="K502" s="1"/>
      <c r="L502" s="1">
        <v>201.0</v>
      </c>
    </row>
    <row r="503">
      <c r="A503" s="1">
        <v>2020.0</v>
      </c>
      <c r="B503" s="1">
        <v>10.0</v>
      </c>
      <c r="C503" s="1" t="s">
        <v>68</v>
      </c>
      <c r="D503" s="1" t="s">
        <v>38</v>
      </c>
      <c r="E503" s="1" t="s">
        <v>39</v>
      </c>
      <c r="F503" s="3" t="s">
        <v>1060</v>
      </c>
      <c r="G503" s="3"/>
      <c r="H503" s="1" t="s">
        <v>1827</v>
      </c>
      <c r="I503" s="1">
        <f t="shared" si="1"/>
        <v>100.544796</v>
      </c>
      <c r="J503" s="1" t="s">
        <v>1829</v>
      </c>
      <c r="K503" s="1"/>
      <c r="L503" s="1">
        <v>177.0</v>
      </c>
    </row>
    <row r="504">
      <c r="A504" s="1">
        <v>2020.0</v>
      </c>
      <c r="B504" s="1">
        <v>10.0</v>
      </c>
      <c r="C504" s="1" t="s">
        <v>68</v>
      </c>
      <c r="D504" s="1" t="s">
        <v>102</v>
      </c>
      <c r="E504" s="1" t="s">
        <v>39</v>
      </c>
      <c r="F504" s="1" t="s">
        <v>1832</v>
      </c>
      <c r="G504" s="1"/>
      <c r="H504" s="1" t="s">
        <v>1833</v>
      </c>
      <c r="I504" s="1">
        <f t="shared" si="1"/>
        <v>21.322639</v>
      </c>
      <c r="J504" s="1" t="s">
        <v>639</v>
      </c>
      <c r="K504" s="1"/>
      <c r="L504" s="1">
        <v>0.0</v>
      </c>
    </row>
    <row r="505">
      <c r="A505" s="1">
        <v>2020.0</v>
      </c>
      <c r="B505" s="1">
        <v>10.0</v>
      </c>
      <c r="C505" s="1" t="s">
        <v>68</v>
      </c>
      <c r="D505" s="1" t="s">
        <v>102</v>
      </c>
      <c r="E505" s="1" t="s">
        <v>21</v>
      </c>
      <c r="F505" s="1" t="s">
        <v>1836</v>
      </c>
      <c r="G505" s="1"/>
      <c r="H505" s="1" t="s">
        <v>1837</v>
      </c>
      <c r="I505" s="1">
        <f t="shared" si="1"/>
        <v>65.471207</v>
      </c>
      <c r="J505" s="1" t="s">
        <v>1839</v>
      </c>
      <c r="K505" s="1"/>
      <c r="L505" s="1">
        <v>0.0</v>
      </c>
    </row>
    <row r="506">
      <c r="A506" s="1">
        <v>2020.0</v>
      </c>
      <c r="B506" s="1">
        <v>10.0</v>
      </c>
      <c r="C506" s="1" t="s">
        <v>68</v>
      </c>
      <c r="D506" s="1" t="s">
        <v>98</v>
      </c>
      <c r="E506" s="1" t="s">
        <v>17</v>
      </c>
      <c r="F506" s="1" t="s">
        <v>1842</v>
      </c>
      <c r="G506" s="1"/>
      <c r="H506" s="1" t="s">
        <v>1843</v>
      </c>
      <c r="I506" s="1">
        <f t="shared" si="1"/>
        <v>70.952597</v>
      </c>
      <c r="J506" s="1" t="s">
        <v>553</v>
      </c>
      <c r="K506" s="1"/>
      <c r="L506" s="1">
        <v>0.0</v>
      </c>
    </row>
    <row r="507">
      <c r="A507" s="1">
        <v>2020.0</v>
      </c>
      <c r="B507" s="1">
        <v>10.0</v>
      </c>
      <c r="C507" s="1" t="s">
        <v>68</v>
      </c>
      <c r="D507" s="1" t="s">
        <v>48</v>
      </c>
      <c r="E507" s="1" t="s">
        <v>49</v>
      </c>
      <c r="F507" s="1" t="s">
        <v>331</v>
      </c>
      <c r="G507" s="1"/>
      <c r="H507" s="1" t="s">
        <v>1845</v>
      </c>
      <c r="I507" s="1">
        <f t="shared" si="1"/>
        <v>0.643301</v>
      </c>
      <c r="J507" s="1" t="s">
        <v>674</v>
      </c>
      <c r="K507" s="1"/>
      <c r="L507" s="1">
        <v>2.0</v>
      </c>
    </row>
    <row r="508">
      <c r="A508" s="1">
        <v>2020.0</v>
      </c>
      <c r="B508" s="1">
        <v>10.0</v>
      </c>
      <c r="C508" s="1" t="s">
        <v>68</v>
      </c>
      <c r="D508" s="1" t="s">
        <v>48</v>
      </c>
      <c r="E508" s="1" t="s">
        <v>21</v>
      </c>
      <c r="F508" s="1" t="s">
        <v>1849</v>
      </c>
      <c r="G508" s="1"/>
      <c r="H508" s="1" t="s">
        <v>1850</v>
      </c>
      <c r="I508" s="1">
        <f t="shared" si="1"/>
        <v>68.15899</v>
      </c>
      <c r="J508" s="1" t="s">
        <v>1854</v>
      </c>
      <c r="K508" s="1"/>
      <c r="L508" s="1">
        <v>270.0</v>
      </c>
    </row>
    <row r="509">
      <c r="A509" s="1">
        <v>2020.0</v>
      </c>
      <c r="B509" s="1">
        <v>10.0</v>
      </c>
      <c r="C509" s="1" t="s">
        <v>116</v>
      </c>
      <c r="D509" s="1" t="s">
        <v>13</v>
      </c>
      <c r="E509" s="1" t="s">
        <v>14</v>
      </c>
      <c r="F509" s="1" t="s">
        <v>1856</v>
      </c>
      <c r="G509" s="1"/>
      <c r="H509" s="1" t="s">
        <v>1857</v>
      </c>
      <c r="I509" s="1">
        <f t="shared" si="1"/>
        <v>7190.91765</v>
      </c>
      <c r="J509" s="1" t="s">
        <v>1858</v>
      </c>
      <c r="K509" s="1"/>
      <c r="L509" s="1">
        <v>11485.0</v>
      </c>
    </row>
    <row r="510">
      <c r="A510" s="1">
        <v>2020.0</v>
      </c>
      <c r="B510" s="1">
        <v>10.0</v>
      </c>
      <c r="C510" s="1" t="s">
        <v>116</v>
      </c>
      <c r="D510" s="1" t="s">
        <v>13</v>
      </c>
      <c r="E510" s="1" t="s">
        <v>17</v>
      </c>
      <c r="F510" s="1" t="s">
        <v>1861</v>
      </c>
      <c r="G510" s="1"/>
      <c r="H510" s="1" t="s">
        <v>1862</v>
      </c>
      <c r="I510" s="1">
        <f t="shared" si="1"/>
        <v>10831.85388</v>
      </c>
      <c r="J510" s="1" t="s">
        <v>1864</v>
      </c>
      <c r="K510" s="1"/>
      <c r="L510" s="1">
        <v>14382.0</v>
      </c>
    </row>
    <row r="511">
      <c r="A511" s="1">
        <v>2020.0</v>
      </c>
      <c r="B511" s="1">
        <v>10.0</v>
      </c>
      <c r="C511" s="1" t="s">
        <v>116</v>
      </c>
      <c r="D511" s="1" t="s">
        <v>13</v>
      </c>
      <c r="E511" s="1" t="s">
        <v>21</v>
      </c>
      <c r="F511" s="1" t="s">
        <v>1867</v>
      </c>
      <c r="G511" s="1"/>
      <c r="H511" s="1" t="s">
        <v>1868</v>
      </c>
      <c r="I511" s="1">
        <f t="shared" si="1"/>
        <v>1659.957871</v>
      </c>
      <c r="J511" s="3">
        <v>794952.0</v>
      </c>
      <c r="K511" s="3"/>
      <c r="L511" s="1">
        <v>1165.0</v>
      </c>
    </row>
    <row r="512">
      <c r="A512" s="1">
        <v>2020.0</v>
      </c>
      <c r="B512" s="1">
        <v>10.0</v>
      </c>
      <c r="C512" s="1" t="s">
        <v>116</v>
      </c>
      <c r="D512" s="1" t="s">
        <v>13</v>
      </c>
      <c r="E512" s="1" t="s">
        <v>25</v>
      </c>
      <c r="F512" s="1" t="s">
        <v>1870</v>
      </c>
      <c r="G512" s="1"/>
      <c r="H512" s="1" t="s">
        <v>1872</v>
      </c>
      <c r="I512" s="1">
        <f t="shared" si="1"/>
        <v>24.417541</v>
      </c>
      <c r="J512" s="1" t="s">
        <v>1874</v>
      </c>
      <c r="K512" s="1"/>
      <c r="L512" s="1">
        <v>52.0</v>
      </c>
    </row>
    <row r="513">
      <c r="A513" s="1">
        <v>2020.0</v>
      </c>
      <c r="B513" s="1">
        <v>10.0</v>
      </c>
      <c r="C513" s="1" t="s">
        <v>116</v>
      </c>
      <c r="D513" s="1" t="s">
        <v>29</v>
      </c>
      <c r="E513" s="1" t="s">
        <v>21</v>
      </c>
      <c r="F513" s="1" t="s">
        <v>1876</v>
      </c>
      <c r="G513" s="1"/>
      <c r="H513" s="1" t="s">
        <v>1877</v>
      </c>
      <c r="I513" s="1">
        <f t="shared" si="1"/>
        <v>6614.209094</v>
      </c>
      <c r="J513" s="1" t="s">
        <v>1880</v>
      </c>
      <c r="K513" s="1"/>
      <c r="L513" s="1">
        <v>1918.0</v>
      </c>
    </row>
    <row r="514">
      <c r="A514" s="1">
        <v>2020.0</v>
      </c>
      <c r="B514" s="1">
        <v>10.0</v>
      </c>
      <c r="C514" s="1" t="s">
        <v>116</v>
      </c>
      <c r="D514" s="1" t="s">
        <v>45</v>
      </c>
      <c r="E514" s="1" t="s">
        <v>17</v>
      </c>
      <c r="F514" s="1" t="s">
        <v>1882</v>
      </c>
      <c r="G514" s="1"/>
      <c r="H514" s="1" t="s">
        <v>1883</v>
      </c>
      <c r="I514" s="1">
        <f t="shared" si="1"/>
        <v>1773.875739</v>
      </c>
      <c r="J514" s="3">
        <v>19268.0</v>
      </c>
      <c r="K514" s="3"/>
      <c r="L514" s="1">
        <v>2129.0</v>
      </c>
    </row>
    <row r="515">
      <c r="A515" s="1">
        <v>2020.0</v>
      </c>
      <c r="B515" s="1">
        <v>10.0</v>
      </c>
      <c r="C515" s="1" t="s">
        <v>116</v>
      </c>
      <c r="D515" s="1" t="s">
        <v>32</v>
      </c>
      <c r="E515" s="1" t="s">
        <v>14</v>
      </c>
      <c r="F515" s="3" t="s">
        <v>1887</v>
      </c>
      <c r="G515" s="3"/>
      <c r="H515" s="1" t="s">
        <v>1888</v>
      </c>
      <c r="I515" s="1">
        <f t="shared" si="1"/>
        <v>465.369331</v>
      </c>
      <c r="J515" s="3">
        <v>1687057.0</v>
      </c>
      <c r="K515" s="3"/>
      <c r="L515" s="1">
        <v>1585.0</v>
      </c>
    </row>
    <row r="516">
      <c r="A516" s="1">
        <v>2020.0</v>
      </c>
      <c r="B516" s="1">
        <v>10.0</v>
      </c>
      <c r="C516" s="1" t="s">
        <v>116</v>
      </c>
      <c r="D516" s="1" t="s">
        <v>32</v>
      </c>
      <c r="E516" s="1" t="s">
        <v>21</v>
      </c>
      <c r="F516" s="3">
        <v>1413157.0</v>
      </c>
      <c r="G516" s="3"/>
      <c r="H516" s="1" t="s">
        <v>1891</v>
      </c>
      <c r="I516" s="1">
        <f t="shared" si="1"/>
        <v>433.62192</v>
      </c>
      <c r="J516" s="3" t="s">
        <v>1894</v>
      </c>
      <c r="K516" s="3"/>
      <c r="L516" s="1">
        <v>1206.0</v>
      </c>
    </row>
    <row r="517">
      <c r="A517" s="1">
        <v>2020.0</v>
      </c>
      <c r="B517" s="1">
        <v>10.0</v>
      </c>
      <c r="C517" s="1" t="s">
        <v>116</v>
      </c>
      <c r="D517" s="1" t="s">
        <v>147</v>
      </c>
      <c r="E517" s="1" t="s">
        <v>39</v>
      </c>
      <c r="F517" s="3">
        <v>1705320.0</v>
      </c>
      <c r="G517" s="3"/>
      <c r="H517" s="1" t="s">
        <v>1896</v>
      </c>
      <c r="I517" s="1">
        <f t="shared" si="1"/>
        <v>472.904088</v>
      </c>
      <c r="J517" s="1" t="s">
        <v>1899</v>
      </c>
      <c r="K517" s="1"/>
      <c r="L517" s="1">
        <v>94.0</v>
      </c>
    </row>
    <row r="518">
      <c r="A518" s="1">
        <v>2020.0</v>
      </c>
      <c r="B518" s="1">
        <v>10.0</v>
      </c>
      <c r="C518" s="1" t="s">
        <v>116</v>
      </c>
      <c r="D518" s="1" t="s">
        <v>147</v>
      </c>
      <c r="E518" s="1" t="s">
        <v>17</v>
      </c>
      <c r="F518" s="1" t="s">
        <v>1193</v>
      </c>
      <c r="G518" s="1"/>
      <c r="H518" s="1" t="s">
        <v>1900</v>
      </c>
      <c r="I518" s="1">
        <f t="shared" si="1"/>
        <v>5.671158</v>
      </c>
      <c r="J518" s="1" t="s">
        <v>1437</v>
      </c>
      <c r="K518" s="1"/>
      <c r="L518" s="1">
        <v>7.0</v>
      </c>
    </row>
    <row r="519">
      <c r="A519" s="1">
        <v>2020.0</v>
      </c>
      <c r="B519" s="1">
        <v>10.0</v>
      </c>
      <c r="C519" s="1" t="s">
        <v>116</v>
      </c>
      <c r="D519" s="1" t="s">
        <v>147</v>
      </c>
      <c r="E519" s="1" t="s">
        <v>21</v>
      </c>
      <c r="F519" s="1" t="s">
        <v>1903</v>
      </c>
      <c r="G519" s="1"/>
      <c r="H519" s="1" t="s">
        <v>1904</v>
      </c>
      <c r="I519" s="1">
        <f t="shared" si="1"/>
        <v>27.713615</v>
      </c>
      <c r="J519" s="1" t="s">
        <v>1907</v>
      </c>
      <c r="K519" s="1"/>
      <c r="L519" s="1">
        <v>47.0</v>
      </c>
    </row>
    <row r="520">
      <c r="A520" s="1">
        <v>2020.0</v>
      </c>
      <c r="B520" s="1">
        <v>10.0</v>
      </c>
      <c r="C520" s="1" t="s">
        <v>116</v>
      </c>
      <c r="D520" s="1" t="s">
        <v>42</v>
      </c>
      <c r="E520" s="1" t="s">
        <v>17</v>
      </c>
      <c r="F520" s="3">
        <v>981075.0</v>
      </c>
      <c r="G520" s="3"/>
      <c r="H520" s="1" t="s">
        <v>1908</v>
      </c>
      <c r="I520" s="1">
        <f t="shared" si="1"/>
        <v>381.161355</v>
      </c>
      <c r="J520" s="1" t="s">
        <v>1911</v>
      </c>
      <c r="K520" s="1"/>
      <c r="L520" s="1">
        <v>584.0</v>
      </c>
    </row>
    <row r="521">
      <c r="A521" s="1">
        <v>2020.0</v>
      </c>
      <c r="B521" s="1">
        <v>10.0</v>
      </c>
      <c r="C521" s="1" t="s">
        <v>116</v>
      </c>
      <c r="D521" s="1" t="s">
        <v>102</v>
      </c>
      <c r="E521" s="1" t="s">
        <v>39</v>
      </c>
      <c r="F521" s="1" t="s">
        <v>396</v>
      </c>
      <c r="G521" s="1"/>
      <c r="H521" s="1" t="s">
        <v>1913</v>
      </c>
      <c r="I521" s="1">
        <f t="shared" si="1"/>
        <v>0.563204</v>
      </c>
      <c r="J521" s="1" t="s">
        <v>674</v>
      </c>
      <c r="K521" s="1"/>
      <c r="L521" s="1">
        <v>4.0</v>
      </c>
    </row>
    <row r="522">
      <c r="A522" s="1">
        <v>2020.0</v>
      </c>
      <c r="B522" s="1">
        <v>10.0</v>
      </c>
      <c r="C522" s="1" t="s">
        <v>116</v>
      </c>
      <c r="D522" s="1" t="s">
        <v>102</v>
      </c>
      <c r="E522" s="1" t="s">
        <v>17</v>
      </c>
      <c r="F522" s="1" t="s">
        <v>315</v>
      </c>
      <c r="G522" s="1"/>
      <c r="H522" s="1" t="s">
        <v>1917</v>
      </c>
      <c r="I522" s="1">
        <f t="shared" si="1"/>
        <v>1.279707</v>
      </c>
      <c r="J522" s="1" t="s">
        <v>1813</v>
      </c>
      <c r="K522" s="1"/>
      <c r="L522" s="1">
        <v>2.0</v>
      </c>
    </row>
    <row r="523">
      <c r="A523" s="1">
        <v>2020.0</v>
      </c>
      <c r="B523" s="1">
        <v>10.0</v>
      </c>
      <c r="C523" s="1" t="s">
        <v>116</v>
      </c>
      <c r="D523" s="1" t="s">
        <v>102</v>
      </c>
      <c r="E523" s="1" t="s">
        <v>21</v>
      </c>
      <c r="F523" s="3">
        <v>47119.0</v>
      </c>
      <c r="G523" s="3"/>
      <c r="H523" s="1" t="s">
        <v>1919</v>
      </c>
      <c r="I523" s="1">
        <f t="shared" si="1"/>
        <v>318.321438</v>
      </c>
      <c r="J523" s="1" t="s">
        <v>1922</v>
      </c>
      <c r="K523" s="1"/>
      <c r="L523" s="1">
        <v>151.0</v>
      </c>
    </row>
    <row r="524">
      <c r="A524" s="1">
        <v>2020.0</v>
      </c>
      <c r="B524" s="1">
        <v>10.0</v>
      </c>
      <c r="C524" s="1" t="s">
        <v>116</v>
      </c>
      <c r="D524" s="1" t="s">
        <v>165</v>
      </c>
      <c r="E524" s="1" t="s">
        <v>39</v>
      </c>
      <c r="F524" s="1" t="s">
        <v>1923</v>
      </c>
      <c r="G524" s="1"/>
      <c r="H524" s="1" t="s">
        <v>1924</v>
      </c>
      <c r="I524" s="1">
        <f t="shared" si="1"/>
        <v>62.499038</v>
      </c>
      <c r="J524" s="1" t="s">
        <v>1926</v>
      </c>
      <c r="K524" s="1"/>
      <c r="L524" s="1">
        <v>0.0</v>
      </c>
    </row>
    <row r="525">
      <c r="A525" s="1">
        <v>2020.0</v>
      </c>
      <c r="B525" s="1">
        <v>10.0</v>
      </c>
      <c r="C525" s="1" t="s">
        <v>116</v>
      </c>
      <c r="D525" s="1" t="s">
        <v>165</v>
      </c>
      <c r="E525" s="1" t="s">
        <v>17</v>
      </c>
      <c r="F525" s="1" t="s">
        <v>1928</v>
      </c>
      <c r="G525" s="1"/>
      <c r="H525" s="1" t="s">
        <v>1929</v>
      </c>
      <c r="I525" s="1">
        <f t="shared" si="1"/>
        <v>160.841014</v>
      </c>
      <c r="J525" s="1" t="s">
        <v>1930</v>
      </c>
      <c r="K525" s="1"/>
      <c r="L525" s="1">
        <v>0.0</v>
      </c>
    </row>
    <row r="526">
      <c r="A526" s="1">
        <v>2020.0</v>
      </c>
      <c r="B526" s="1">
        <v>10.0</v>
      </c>
      <c r="C526" s="1" t="s">
        <v>116</v>
      </c>
      <c r="D526" s="1" t="s">
        <v>158</v>
      </c>
      <c r="E526" s="1" t="s">
        <v>17</v>
      </c>
      <c r="F526" s="1" t="s">
        <v>1931</v>
      </c>
      <c r="G526" s="1"/>
      <c r="H526" s="1" t="s">
        <v>1932</v>
      </c>
      <c r="I526" s="1">
        <f t="shared" si="1"/>
        <v>31.004518</v>
      </c>
      <c r="J526" s="1" t="s">
        <v>916</v>
      </c>
      <c r="K526" s="1"/>
      <c r="L526" s="1">
        <v>0.0</v>
      </c>
    </row>
    <row r="527">
      <c r="A527" s="1">
        <v>2020.0</v>
      </c>
      <c r="B527" s="1">
        <v>10.0</v>
      </c>
      <c r="C527" s="1" t="s">
        <v>116</v>
      </c>
      <c r="D527" s="1" t="s">
        <v>158</v>
      </c>
      <c r="E527" s="1" t="s">
        <v>21</v>
      </c>
      <c r="F527" s="1" t="s">
        <v>1936</v>
      </c>
      <c r="G527" s="1"/>
      <c r="H527" s="1" t="s">
        <v>1938</v>
      </c>
      <c r="I527" s="1">
        <f t="shared" si="1"/>
        <v>184.796269</v>
      </c>
      <c r="J527" s="1" t="s">
        <v>1941</v>
      </c>
      <c r="K527" s="1"/>
      <c r="L527" s="1">
        <v>0.0</v>
      </c>
    </row>
    <row r="528">
      <c r="A528" s="1">
        <v>2020.0</v>
      </c>
      <c r="B528" s="1">
        <v>10.0</v>
      </c>
      <c r="C528" s="1" t="s">
        <v>116</v>
      </c>
      <c r="D528" s="1" t="s">
        <v>330</v>
      </c>
      <c r="E528" s="1" t="s">
        <v>17</v>
      </c>
      <c r="F528" s="1" t="s">
        <v>1942</v>
      </c>
      <c r="G528" s="1"/>
      <c r="H528" s="1" t="s">
        <v>1943</v>
      </c>
      <c r="I528" s="1">
        <f t="shared" si="1"/>
        <v>172.280999</v>
      </c>
      <c r="J528" s="1" t="s">
        <v>1945</v>
      </c>
      <c r="K528" s="1"/>
      <c r="L528" s="1">
        <v>121.0</v>
      </c>
    </row>
    <row r="529">
      <c r="A529" s="1">
        <v>2020.0</v>
      </c>
      <c r="B529" s="1">
        <v>11.0</v>
      </c>
      <c r="C529" s="1" t="s">
        <v>12</v>
      </c>
      <c r="D529" s="1" t="s">
        <v>13</v>
      </c>
      <c r="E529" s="1" t="s">
        <v>14</v>
      </c>
      <c r="F529" s="1" t="s">
        <v>1947</v>
      </c>
      <c r="G529" s="1"/>
      <c r="H529" s="1" t="s">
        <v>1948</v>
      </c>
      <c r="I529" s="1">
        <f t="shared" si="1"/>
        <v>693.523204</v>
      </c>
      <c r="J529" s="3">
        <v>562872.0</v>
      </c>
      <c r="K529" s="3"/>
      <c r="L529" s="1">
        <v>539.0</v>
      </c>
    </row>
    <row r="530">
      <c r="A530" s="1">
        <v>2020.0</v>
      </c>
      <c r="B530" s="1">
        <v>11.0</v>
      </c>
      <c r="C530" s="1" t="s">
        <v>12</v>
      </c>
      <c r="D530" s="1" t="s">
        <v>13</v>
      </c>
      <c r="E530" s="1" t="s">
        <v>17</v>
      </c>
      <c r="F530" s="1" t="s">
        <v>1952</v>
      </c>
      <c r="G530" s="1"/>
      <c r="H530" s="1" t="s">
        <v>1953</v>
      </c>
      <c r="I530" s="1">
        <f t="shared" si="1"/>
        <v>8077.51338</v>
      </c>
      <c r="J530" s="1" t="s">
        <v>1954</v>
      </c>
      <c r="K530" s="1"/>
      <c r="L530" s="1">
        <v>794.0</v>
      </c>
    </row>
    <row r="531">
      <c r="A531" s="1">
        <v>2020.0</v>
      </c>
      <c r="B531" s="1">
        <v>11.0</v>
      </c>
      <c r="C531" s="1" t="s">
        <v>12</v>
      </c>
      <c r="D531" s="1" t="s">
        <v>13</v>
      </c>
      <c r="E531" s="1" t="s">
        <v>21</v>
      </c>
      <c r="F531" s="1" t="s">
        <v>1955</v>
      </c>
      <c r="G531" s="1"/>
      <c r="H531" s="1" t="s">
        <v>1956</v>
      </c>
      <c r="I531" s="1">
        <f t="shared" si="1"/>
        <v>3444.500996</v>
      </c>
      <c r="J531" s="1" t="s">
        <v>1958</v>
      </c>
      <c r="K531" s="1"/>
      <c r="L531" s="1">
        <v>551.0</v>
      </c>
    </row>
    <row r="532">
      <c r="A532" s="1">
        <v>2020.0</v>
      </c>
      <c r="B532" s="1">
        <v>11.0</v>
      </c>
      <c r="C532" s="1" t="s">
        <v>12</v>
      </c>
      <c r="D532" s="1" t="s">
        <v>13</v>
      </c>
      <c r="E532" s="1" t="s">
        <v>25</v>
      </c>
      <c r="F532" s="1" t="s">
        <v>73</v>
      </c>
      <c r="G532" s="1"/>
      <c r="H532" s="1" t="s">
        <v>1961</v>
      </c>
      <c r="I532" s="1">
        <f t="shared" si="1"/>
        <v>0.284586</v>
      </c>
      <c r="J532" s="1" t="s">
        <v>1962</v>
      </c>
      <c r="K532" s="1"/>
      <c r="L532" s="1">
        <v>1.0</v>
      </c>
    </row>
    <row r="533">
      <c r="A533" s="1">
        <v>2020.0</v>
      </c>
      <c r="B533" s="1">
        <v>11.0</v>
      </c>
      <c r="C533" s="1" t="s">
        <v>12</v>
      </c>
      <c r="D533" s="1" t="s">
        <v>29</v>
      </c>
      <c r="E533" s="1" t="s">
        <v>14</v>
      </c>
      <c r="F533" s="1" t="s">
        <v>1964</v>
      </c>
      <c r="G533" s="1"/>
      <c r="H533" s="1" t="s">
        <v>1965</v>
      </c>
      <c r="I533" s="1">
        <f t="shared" si="1"/>
        <v>3.023822</v>
      </c>
      <c r="J533" s="1" t="s">
        <v>1968</v>
      </c>
      <c r="K533" s="1"/>
      <c r="L533" s="1">
        <v>4.0</v>
      </c>
    </row>
    <row r="534">
      <c r="A534" s="1">
        <v>2020.0</v>
      </c>
      <c r="B534" s="1">
        <v>11.0</v>
      </c>
      <c r="C534" s="1" t="s">
        <v>12</v>
      </c>
      <c r="D534" s="1" t="s">
        <v>29</v>
      </c>
      <c r="E534" s="1" t="s">
        <v>21</v>
      </c>
      <c r="F534" s="1" t="s">
        <v>1969</v>
      </c>
      <c r="G534" s="1"/>
      <c r="H534" s="1" t="s">
        <v>1971</v>
      </c>
      <c r="I534" s="1">
        <f t="shared" si="1"/>
        <v>4384.797147</v>
      </c>
      <c r="J534" s="1" t="s">
        <v>1973</v>
      </c>
      <c r="K534" s="1"/>
      <c r="L534" s="1">
        <v>645.0</v>
      </c>
    </row>
    <row r="535">
      <c r="A535" s="1">
        <v>2020.0</v>
      </c>
      <c r="B535" s="1">
        <v>11.0</v>
      </c>
      <c r="C535" s="1" t="s">
        <v>12</v>
      </c>
      <c r="D535" s="1" t="s">
        <v>32</v>
      </c>
      <c r="E535" s="1" t="s">
        <v>14</v>
      </c>
      <c r="F535" s="3">
        <v>2276284.0</v>
      </c>
      <c r="G535" s="3"/>
      <c r="H535" s="1" t="s">
        <v>1975</v>
      </c>
      <c r="I535" s="1">
        <f t="shared" si="1"/>
        <v>319.938974</v>
      </c>
      <c r="J535" s="1" t="s">
        <v>1978</v>
      </c>
      <c r="K535" s="1"/>
      <c r="L535" s="1">
        <v>476.0</v>
      </c>
    </row>
    <row r="536">
      <c r="A536" s="1">
        <v>2020.0</v>
      </c>
      <c r="B536" s="1">
        <v>11.0</v>
      </c>
      <c r="C536" s="1" t="s">
        <v>12</v>
      </c>
      <c r="D536" s="1" t="s">
        <v>32</v>
      </c>
      <c r="E536" s="1" t="s">
        <v>21</v>
      </c>
      <c r="F536" s="1" t="s">
        <v>1980</v>
      </c>
      <c r="G536" s="1"/>
      <c r="H536" s="1" t="s">
        <v>1981</v>
      </c>
      <c r="I536" s="1">
        <f t="shared" si="1"/>
        <v>174.651043</v>
      </c>
      <c r="J536" s="1" t="s">
        <v>1984</v>
      </c>
      <c r="K536" s="1"/>
      <c r="L536" s="1">
        <v>314.0</v>
      </c>
    </row>
    <row r="537">
      <c r="A537" s="1">
        <v>2020.0</v>
      </c>
      <c r="B537" s="1">
        <v>11.0</v>
      </c>
      <c r="C537" s="1" t="s">
        <v>12</v>
      </c>
      <c r="D537" s="1" t="s">
        <v>45</v>
      </c>
      <c r="E537" s="1" t="s">
        <v>17</v>
      </c>
      <c r="F537" s="3">
        <v>2806981.0</v>
      </c>
      <c r="G537" s="3"/>
      <c r="H537" s="1" t="s">
        <v>1985</v>
      </c>
      <c r="I537" s="1">
        <f t="shared" si="1"/>
        <v>300.082495</v>
      </c>
      <c r="J537" s="3">
        <v>2173560.0</v>
      </c>
      <c r="K537" s="3"/>
      <c r="L537" s="1">
        <v>175.0</v>
      </c>
    </row>
    <row r="538">
      <c r="A538" s="1">
        <v>2020.0</v>
      </c>
      <c r="B538" s="1">
        <v>11.0</v>
      </c>
      <c r="C538" s="1" t="s">
        <v>12</v>
      </c>
      <c r="D538" s="1" t="s">
        <v>38</v>
      </c>
      <c r="E538" s="1" t="s">
        <v>39</v>
      </c>
      <c r="F538" s="3">
        <v>1906233.0</v>
      </c>
      <c r="G538" s="3"/>
      <c r="H538" s="1" t="s">
        <v>1988</v>
      </c>
      <c r="I538" s="1">
        <f t="shared" si="1"/>
        <v>283.880144</v>
      </c>
      <c r="J538" s="1" t="s">
        <v>1989</v>
      </c>
      <c r="K538" s="1"/>
      <c r="L538" s="1">
        <v>103.0</v>
      </c>
    </row>
    <row r="539">
      <c r="A539" s="1">
        <v>2020.0</v>
      </c>
      <c r="B539" s="1">
        <v>11.0</v>
      </c>
      <c r="C539" s="1" t="s">
        <v>12</v>
      </c>
      <c r="D539" s="1" t="s">
        <v>42</v>
      </c>
      <c r="E539" s="1" t="s">
        <v>17</v>
      </c>
      <c r="F539" s="3">
        <v>2260123.0</v>
      </c>
      <c r="G539" s="3"/>
      <c r="H539" s="1" t="s">
        <v>1992</v>
      </c>
      <c r="I539" s="1">
        <f t="shared" si="1"/>
        <v>249.376456</v>
      </c>
      <c r="J539" s="1" t="s">
        <v>1993</v>
      </c>
      <c r="K539" s="1"/>
      <c r="L539" s="1">
        <v>160.0</v>
      </c>
    </row>
    <row r="540">
      <c r="A540" s="1">
        <v>2020.0</v>
      </c>
      <c r="B540" s="1">
        <v>11.0</v>
      </c>
      <c r="C540" s="1" t="s">
        <v>12</v>
      </c>
      <c r="D540" s="1" t="s">
        <v>48</v>
      </c>
      <c r="E540" s="1" t="s">
        <v>49</v>
      </c>
      <c r="F540" s="1" t="s">
        <v>1007</v>
      </c>
      <c r="G540" s="1"/>
      <c r="H540" s="1" t="s">
        <v>1995</v>
      </c>
      <c r="I540" s="1">
        <f t="shared" si="1"/>
        <v>2.947238</v>
      </c>
      <c r="J540" s="1" t="s">
        <v>1134</v>
      </c>
      <c r="K540" s="1"/>
      <c r="L540" s="1">
        <v>3.0</v>
      </c>
    </row>
    <row r="541">
      <c r="A541" s="1">
        <v>2020.0</v>
      </c>
      <c r="B541" s="1">
        <v>11.0</v>
      </c>
      <c r="C541" s="1" t="s">
        <v>12</v>
      </c>
      <c r="D541" s="1" t="s">
        <v>48</v>
      </c>
      <c r="E541" s="1" t="s">
        <v>21</v>
      </c>
      <c r="F541" s="1" t="s">
        <v>1996</v>
      </c>
      <c r="G541" s="1"/>
      <c r="H541" s="1" t="s">
        <v>1997</v>
      </c>
      <c r="I541" s="1">
        <f t="shared" si="1"/>
        <v>111.772602</v>
      </c>
      <c r="J541" s="1" t="s">
        <v>1998</v>
      </c>
      <c r="K541" s="1"/>
      <c r="L541" s="1">
        <v>123.0</v>
      </c>
    </row>
    <row r="542">
      <c r="A542" s="1">
        <v>2020.0</v>
      </c>
      <c r="B542" s="1">
        <v>11.0</v>
      </c>
      <c r="C542" s="1" t="s">
        <v>12</v>
      </c>
      <c r="D542" s="1" t="s">
        <v>56</v>
      </c>
      <c r="E542" s="1" t="s">
        <v>21</v>
      </c>
      <c r="F542" s="1" t="s">
        <v>1999</v>
      </c>
      <c r="G542" s="1"/>
      <c r="H542" s="1" t="s">
        <v>2000</v>
      </c>
      <c r="I542" s="1">
        <f t="shared" si="1"/>
        <v>98.216326</v>
      </c>
      <c r="J542" s="1" t="s">
        <v>2001</v>
      </c>
      <c r="K542" s="1"/>
      <c r="L542" s="1">
        <v>194.0</v>
      </c>
    </row>
    <row r="543">
      <c r="A543" s="1">
        <v>2020.0</v>
      </c>
      <c r="B543" s="1">
        <v>11.0</v>
      </c>
      <c r="C543" s="1" t="s">
        <v>12</v>
      </c>
      <c r="D543" s="1" t="s">
        <v>848</v>
      </c>
      <c r="E543" s="1" t="s">
        <v>21</v>
      </c>
      <c r="F543" s="1" t="s">
        <v>1593</v>
      </c>
      <c r="G543" s="1"/>
      <c r="H543" s="1" t="s">
        <v>2002</v>
      </c>
      <c r="I543" s="1">
        <f t="shared" si="1"/>
        <v>50.607907</v>
      </c>
      <c r="J543" s="1" t="s">
        <v>2003</v>
      </c>
      <c r="K543" s="1"/>
      <c r="L543" s="1">
        <v>61.0</v>
      </c>
    </row>
    <row r="544">
      <c r="A544" s="1">
        <v>2020.0</v>
      </c>
      <c r="B544" s="1">
        <v>11.0</v>
      </c>
      <c r="C544" s="1" t="s">
        <v>12</v>
      </c>
      <c r="D544" s="1" t="s">
        <v>60</v>
      </c>
      <c r="E544" s="1" t="s">
        <v>39</v>
      </c>
      <c r="F544" s="1" t="s">
        <v>2004</v>
      </c>
      <c r="G544" s="1"/>
      <c r="H544" s="1" t="s">
        <v>2005</v>
      </c>
      <c r="I544" s="1">
        <f t="shared" si="1"/>
        <v>39.360475</v>
      </c>
      <c r="J544" s="1" t="s">
        <v>2006</v>
      </c>
      <c r="K544" s="1"/>
      <c r="L544" s="1">
        <v>0.0</v>
      </c>
    </row>
    <row r="545">
      <c r="A545" s="1">
        <v>2020.0</v>
      </c>
      <c r="B545" s="1">
        <v>11.0</v>
      </c>
      <c r="C545" s="1" t="s">
        <v>12</v>
      </c>
      <c r="D545" s="1" t="s">
        <v>60</v>
      </c>
      <c r="E545" s="1" t="s">
        <v>17</v>
      </c>
      <c r="F545" s="1" t="s">
        <v>880</v>
      </c>
      <c r="G545" s="1"/>
      <c r="H545" s="1" t="s">
        <v>2007</v>
      </c>
      <c r="I545" s="1">
        <f t="shared" si="1"/>
        <v>0.327685</v>
      </c>
      <c r="J545" s="1" t="s">
        <v>574</v>
      </c>
      <c r="K545" s="1"/>
      <c r="L545" s="1">
        <v>0.0</v>
      </c>
    </row>
    <row r="546">
      <c r="A546" s="1">
        <v>2020.0</v>
      </c>
      <c r="B546" s="1">
        <v>11.0</v>
      </c>
      <c r="C546" s="1" t="s">
        <v>68</v>
      </c>
      <c r="D546" s="1" t="s">
        <v>13</v>
      </c>
      <c r="E546" s="1" t="s">
        <v>14</v>
      </c>
      <c r="F546" s="1" t="s">
        <v>2008</v>
      </c>
      <c r="G546" s="1"/>
      <c r="H546" s="1" t="s">
        <v>2009</v>
      </c>
      <c r="I546" s="1">
        <f t="shared" si="1"/>
        <v>3619.51712</v>
      </c>
      <c r="J546" s="3" t="s">
        <v>2010</v>
      </c>
      <c r="K546" s="3"/>
      <c r="L546" s="1">
        <v>8353.0</v>
      </c>
    </row>
    <row r="547">
      <c r="A547" s="1">
        <v>2020.0</v>
      </c>
      <c r="B547" s="1">
        <v>11.0</v>
      </c>
      <c r="C547" s="1" t="s">
        <v>68</v>
      </c>
      <c r="D547" s="1" t="s">
        <v>13</v>
      </c>
      <c r="E547" s="1" t="s">
        <v>17</v>
      </c>
      <c r="F547" s="1" t="s">
        <v>2011</v>
      </c>
      <c r="G547" s="1"/>
      <c r="H547" s="1" t="s">
        <v>2012</v>
      </c>
      <c r="I547" s="1">
        <f t="shared" si="1"/>
        <v>6207.010473</v>
      </c>
      <c r="J547" s="1" t="s">
        <v>2013</v>
      </c>
      <c r="K547" s="1"/>
      <c r="L547" s="1">
        <v>9988.0</v>
      </c>
    </row>
    <row r="548">
      <c r="A548" s="1">
        <v>2020.0</v>
      </c>
      <c r="B548" s="1">
        <v>11.0</v>
      </c>
      <c r="C548" s="1" t="s">
        <v>68</v>
      </c>
      <c r="D548" s="1" t="s">
        <v>13</v>
      </c>
      <c r="E548" s="1" t="s">
        <v>21</v>
      </c>
      <c r="F548" s="3">
        <v>2762056.0</v>
      </c>
      <c r="G548" s="3"/>
      <c r="H548" s="1" t="s">
        <v>2014</v>
      </c>
      <c r="I548" s="1">
        <f t="shared" si="1"/>
        <v>718.497848</v>
      </c>
      <c r="J548" s="3">
        <v>1034765.0</v>
      </c>
      <c r="K548" s="3"/>
      <c r="L548" s="1">
        <v>1295.0</v>
      </c>
    </row>
    <row r="549">
      <c r="A549" s="1">
        <v>2020.0</v>
      </c>
      <c r="B549" s="1">
        <v>11.0</v>
      </c>
      <c r="C549" s="1" t="s">
        <v>68</v>
      </c>
      <c r="D549" s="1" t="s">
        <v>13</v>
      </c>
      <c r="E549" s="1" t="s">
        <v>25</v>
      </c>
      <c r="F549" s="1" t="s">
        <v>2015</v>
      </c>
      <c r="G549" s="1"/>
      <c r="H549" s="1" t="s">
        <v>2016</v>
      </c>
      <c r="I549" s="1">
        <f t="shared" si="1"/>
        <v>63.470422</v>
      </c>
      <c r="J549" s="1" t="s">
        <v>2017</v>
      </c>
      <c r="K549" s="1"/>
      <c r="L549" s="1">
        <v>292.0</v>
      </c>
    </row>
    <row r="550">
      <c r="A550" s="1">
        <v>2020.0</v>
      </c>
      <c r="B550" s="1">
        <v>11.0</v>
      </c>
      <c r="C550" s="1" t="s">
        <v>68</v>
      </c>
      <c r="D550" s="1" t="s">
        <v>29</v>
      </c>
      <c r="E550" s="1" t="s">
        <v>14</v>
      </c>
      <c r="F550" s="1" t="s">
        <v>1341</v>
      </c>
      <c r="G550" s="1"/>
      <c r="H550" s="1" t="s">
        <v>2018</v>
      </c>
      <c r="I550" s="1">
        <f t="shared" si="1"/>
        <v>0.441797</v>
      </c>
      <c r="J550" s="1" t="s">
        <v>414</v>
      </c>
      <c r="K550" s="1"/>
      <c r="L550" s="1">
        <v>1.0</v>
      </c>
    </row>
    <row r="551">
      <c r="A551" s="1">
        <v>2020.0</v>
      </c>
      <c r="B551" s="1">
        <v>11.0</v>
      </c>
      <c r="C551" s="1" t="s">
        <v>68</v>
      </c>
      <c r="D551" s="1" t="s">
        <v>29</v>
      </c>
      <c r="E551" s="1" t="s">
        <v>21</v>
      </c>
      <c r="F551" s="3">
        <v>582442.0</v>
      </c>
      <c r="G551" s="3"/>
      <c r="H551" s="1" t="s">
        <v>2019</v>
      </c>
      <c r="I551" s="1">
        <f t="shared" si="1"/>
        <v>1891.763815</v>
      </c>
      <c r="J551" s="3">
        <v>2008530.0</v>
      </c>
      <c r="K551" s="3"/>
      <c r="L551" s="1">
        <v>1070.0</v>
      </c>
    </row>
    <row r="552">
      <c r="A552" s="1">
        <v>2020.0</v>
      </c>
      <c r="B552" s="1">
        <v>11.0</v>
      </c>
      <c r="C552" s="1" t="s">
        <v>68</v>
      </c>
      <c r="D552" s="1" t="s">
        <v>45</v>
      </c>
      <c r="E552" s="1" t="s">
        <v>17</v>
      </c>
      <c r="F552" s="3">
        <v>2520753.0</v>
      </c>
      <c r="G552" s="3"/>
      <c r="H552" s="1" t="s">
        <v>2020</v>
      </c>
      <c r="I552" s="1">
        <f t="shared" si="1"/>
        <v>646.056945</v>
      </c>
      <c r="J552" s="3">
        <v>24898.0</v>
      </c>
      <c r="K552" s="3"/>
      <c r="L552" s="1">
        <v>1860.0</v>
      </c>
    </row>
    <row r="553">
      <c r="A553" s="1">
        <v>2020.0</v>
      </c>
      <c r="B553" s="1">
        <v>11.0</v>
      </c>
      <c r="C553" s="1" t="s">
        <v>68</v>
      </c>
      <c r="D553" s="1" t="s">
        <v>32</v>
      </c>
      <c r="E553" s="1" t="s">
        <v>14</v>
      </c>
      <c r="F553" s="3">
        <v>825847.0</v>
      </c>
      <c r="G553" s="3"/>
      <c r="H553" s="1" t="s">
        <v>2021</v>
      </c>
      <c r="I553" s="1">
        <f t="shared" si="1"/>
        <v>198.720344</v>
      </c>
      <c r="J553" s="1" t="s">
        <v>2022</v>
      </c>
      <c r="K553" s="1"/>
      <c r="L553" s="1">
        <v>1520.0</v>
      </c>
    </row>
    <row r="554">
      <c r="A554" s="1">
        <v>2020.0</v>
      </c>
      <c r="B554" s="1">
        <v>11.0</v>
      </c>
      <c r="C554" s="1" t="s">
        <v>68</v>
      </c>
      <c r="D554" s="1" t="s">
        <v>32</v>
      </c>
      <c r="E554" s="1" t="s">
        <v>21</v>
      </c>
      <c r="F554" s="1" t="s">
        <v>2023</v>
      </c>
      <c r="G554" s="1"/>
      <c r="H554" s="1" t="s">
        <v>2024</v>
      </c>
      <c r="I554" s="1">
        <f t="shared" si="1"/>
        <v>111.463019</v>
      </c>
      <c r="J554" s="1" t="s">
        <v>2025</v>
      </c>
      <c r="K554" s="1"/>
      <c r="L554" s="1">
        <v>362.0</v>
      </c>
    </row>
    <row r="555">
      <c r="A555" s="1">
        <v>2020.0</v>
      </c>
      <c r="B555" s="1">
        <v>11.0</v>
      </c>
      <c r="C555" s="1" t="s">
        <v>68</v>
      </c>
      <c r="D555" s="1" t="s">
        <v>38</v>
      </c>
      <c r="E555" s="1" t="s">
        <v>39</v>
      </c>
      <c r="F555" s="3">
        <v>2229473.0</v>
      </c>
      <c r="G555" s="3"/>
      <c r="H555" s="1" t="s">
        <v>2026</v>
      </c>
      <c r="I555" s="1">
        <f t="shared" si="1"/>
        <v>304.455579</v>
      </c>
      <c r="J555" s="1" t="s">
        <v>2027</v>
      </c>
      <c r="K555" s="1"/>
      <c r="L555" s="1">
        <v>257.0</v>
      </c>
    </row>
    <row r="556">
      <c r="A556" s="1">
        <v>2020.0</v>
      </c>
      <c r="B556" s="1">
        <v>11.0</v>
      </c>
      <c r="C556" s="1" t="s">
        <v>68</v>
      </c>
      <c r="D556" s="1" t="s">
        <v>102</v>
      </c>
      <c r="E556" s="1" t="s">
        <v>39</v>
      </c>
      <c r="F556" s="1" t="s">
        <v>2028</v>
      </c>
      <c r="G556" s="1"/>
      <c r="H556" s="1" t="s">
        <v>2029</v>
      </c>
      <c r="I556" s="1">
        <f t="shared" si="1"/>
        <v>30.896572</v>
      </c>
      <c r="J556" s="1" t="s">
        <v>2030</v>
      </c>
      <c r="K556" s="1"/>
      <c r="L556" s="1">
        <v>0.0</v>
      </c>
    </row>
    <row r="557">
      <c r="A557" s="1">
        <v>2020.0</v>
      </c>
      <c r="B557" s="1">
        <v>11.0</v>
      </c>
      <c r="C557" s="1" t="s">
        <v>68</v>
      </c>
      <c r="D557" s="1" t="s">
        <v>102</v>
      </c>
      <c r="E557" s="1" t="s">
        <v>21</v>
      </c>
      <c r="F557" s="1" t="s">
        <v>2031</v>
      </c>
      <c r="G557" s="1"/>
      <c r="H557" s="1" t="s">
        <v>2032</v>
      </c>
      <c r="I557" s="1">
        <f t="shared" si="1"/>
        <v>103.77125</v>
      </c>
      <c r="J557" s="1" t="s">
        <v>2033</v>
      </c>
      <c r="K557" s="1"/>
      <c r="L557" s="1">
        <v>0.0</v>
      </c>
    </row>
    <row r="558">
      <c r="A558" s="1">
        <v>2020.0</v>
      </c>
      <c r="B558" s="1">
        <v>11.0</v>
      </c>
      <c r="C558" s="1" t="s">
        <v>68</v>
      </c>
      <c r="D558" s="1" t="s">
        <v>42</v>
      </c>
      <c r="E558" s="1" t="s">
        <v>17</v>
      </c>
      <c r="F558" s="1" t="s">
        <v>2034</v>
      </c>
      <c r="G558" s="1"/>
      <c r="H558" s="1" t="s">
        <v>2035</v>
      </c>
      <c r="I558" s="1">
        <f t="shared" si="1"/>
        <v>122.897301</v>
      </c>
      <c r="J558" s="1" t="s">
        <v>2036</v>
      </c>
      <c r="K558" s="1"/>
      <c r="L558" s="1">
        <v>195.0</v>
      </c>
    </row>
    <row r="559">
      <c r="A559" s="1">
        <v>2020.0</v>
      </c>
      <c r="B559" s="1">
        <v>11.0</v>
      </c>
      <c r="C559" s="1" t="s">
        <v>68</v>
      </c>
      <c r="D559" s="1" t="s">
        <v>544</v>
      </c>
      <c r="E559" s="1" t="s">
        <v>17</v>
      </c>
      <c r="F559" s="3">
        <v>1172065.0</v>
      </c>
      <c r="G559" s="3"/>
      <c r="H559" s="1" t="s">
        <v>2037</v>
      </c>
      <c r="I559" s="1">
        <f t="shared" si="1"/>
        <v>96.602635</v>
      </c>
      <c r="J559" s="1" t="s">
        <v>2038</v>
      </c>
      <c r="K559" s="1"/>
      <c r="L559" s="1">
        <v>245.0</v>
      </c>
    </row>
    <row r="560">
      <c r="A560" s="1">
        <v>2020.0</v>
      </c>
      <c r="B560" s="1">
        <v>11.0</v>
      </c>
      <c r="C560" s="1" t="s">
        <v>68</v>
      </c>
      <c r="D560" s="1" t="s">
        <v>48</v>
      </c>
      <c r="E560" s="1" t="s">
        <v>49</v>
      </c>
      <c r="F560" s="1" t="s">
        <v>847</v>
      </c>
      <c r="G560" s="1"/>
      <c r="H560" s="1" t="s">
        <v>2039</v>
      </c>
      <c r="I560" s="1">
        <f t="shared" si="1"/>
        <v>1.544666</v>
      </c>
      <c r="J560" s="1" t="s">
        <v>1813</v>
      </c>
      <c r="K560" s="1"/>
      <c r="L560" s="1">
        <v>4.0</v>
      </c>
    </row>
    <row r="561">
      <c r="A561" s="1">
        <v>2020.0</v>
      </c>
      <c r="B561" s="1">
        <v>11.0</v>
      </c>
      <c r="C561" s="1" t="s">
        <v>68</v>
      </c>
      <c r="D561" s="1" t="s">
        <v>48</v>
      </c>
      <c r="E561" s="1" t="s">
        <v>21</v>
      </c>
      <c r="F561" s="1" t="s">
        <v>2040</v>
      </c>
      <c r="G561" s="1"/>
      <c r="H561" s="1" t="s">
        <v>2041</v>
      </c>
      <c r="I561" s="1">
        <f t="shared" si="1"/>
        <v>65.708517</v>
      </c>
      <c r="J561" s="1" t="s">
        <v>727</v>
      </c>
      <c r="K561" s="1"/>
      <c r="L561" s="1">
        <v>272.0</v>
      </c>
    </row>
    <row r="562">
      <c r="A562" s="1">
        <v>2020.0</v>
      </c>
      <c r="B562" s="1">
        <v>11.0</v>
      </c>
      <c r="C562" s="1" t="s">
        <v>68</v>
      </c>
      <c r="D562" s="1" t="s">
        <v>165</v>
      </c>
      <c r="E562" s="1" t="s">
        <v>39</v>
      </c>
      <c r="F562" s="1" t="s">
        <v>2042</v>
      </c>
      <c r="G562" s="1"/>
      <c r="H562" s="1" t="s">
        <v>2043</v>
      </c>
      <c r="I562" s="1">
        <f t="shared" si="1"/>
        <v>5.813849</v>
      </c>
      <c r="J562" s="1" t="s">
        <v>487</v>
      </c>
      <c r="K562" s="1"/>
      <c r="L562" s="1">
        <v>0.0</v>
      </c>
    </row>
    <row r="563">
      <c r="A563" s="1">
        <v>2020.0</v>
      </c>
      <c r="B563" s="1">
        <v>11.0</v>
      </c>
      <c r="C563" s="1" t="s">
        <v>68</v>
      </c>
      <c r="D563" s="1" t="s">
        <v>165</v>
      </c>
      <c r="E563" s="1" t="s">
        <v>17</v>
      </c>
      <c r="F563" s="1" t="s">
        <v>2044</v>
      </c>
      <c r="G563" s="1"/>
      <c r="H563" s="1" t="s">
        <v>2045</v>
      </c>
      <c r="I563" s="1">
        <f t="shared" si="1"/>
        <v>51.098505</v>
      </c>
      <c r="J563" s="1" t="s">
        <v>2046</v>
      </c>
      <c r="K563" s="1"/>
      <c r="L563" s="1">
        <v>0.0</v>
      </c>
    </row>
    <row r="564">
      <c r="A564" s="1">
        <v>2020.0</v>
      </c>
      <c r="B564" s="1">
        <v>11.0</v>
      </c>
      <c r="C564" s="1" t="s">
        <v>116</v>
      </c>
      <c r="D564" s="1" t="s">
        <v>13</v>
      </c>
      <c r="E564" s="1" t="s">
        <v>14</v>
      </c>
      <c r="F564" s="1" t="s">
        <v>2047</v>
      </c>
      <c r="G564" s="1"/>
      <c r="H564" s="1" t="s">
        <v>2048</v>
      </c>
      <c r="I564" s="1">
        <f t="shared" si="1"/>
        <v>5005.155319</v>
      </c>
      <c r="J564" s="1" t="s">
        <v>2049</v>
      </c>
      <c r="K564" s="1"/>
      <c r="L564" s="1">
        <v>10435.0</v>
      </c>
    </row>
    <row r="565">
      <c r="A565" s="1">
        <v>2020.0</v>
      </c>
      <c r="B565" s="1">
        <v>11.0</v>
      </c>
      <c r="C565" s="1" t="s">
        <v>116</v>
      </c>
      <c r="D565" s="1" t="s">
        <v>13</v>
      </c>
      <c r="E565" s="1" t="s">
        <v>17</v>
      </c>
      <c r="F565" s="1" t="s">
        <v>2050</v>
      </c>
      <c r="G565" s="1"/>
      <c r="H565" s="1" t="s">
        <v>2051</v>
      </c>
      <c r="I565" s="1">
        <f t="shared" si="1"/>
        <v>13396.30807</v>
      </c>
      <c r="J565" s="1" t="s">
        <v>2052</v>
      </c>
      <c r="K565" s="1"/>
      <c r="L565" s="1">
        <v>15696.0</v>
      </c>
    </row>
    <row r="566">
      <c r="A566" s="1">
        <v>2020.0</v>
      </c>
      <c r="B566" s="1">
        <v>11.0</v>
      </c>
      <c r="C566" s="1" t="s">
        <v>116</v>
      </c>
      <c r="D566" s="1" t="s">
        <v>13</v>
      </c>
      <c r="E566" s="1" t="s">
        <v>21</v>
      </c>
      <c r="F566" s="1" t="s">
        <v>2053</v>
      </c>
      <c r="G566" s="1"/>
      <c r="H566" s="1" t="s">
        <v>2054</v>
      </c>
      <c r="I566" s="1">
        <f t="shared" si="1"/>
        <v>1290.956385</v>
      </c>
      <c r="J566" s="1" t="s">
        <v>2055</v>
      </c>
      <c r="K566" s="1"/>
      <c r="L566" s="1">
        <v>1071.0</v>
      </c>
    </row>
    <row r="567">
      <c r="A567" s="1">
        <v>2020.0</v>
      </c>
      <c r="B567" s="1">
        <v>11.0</v>
      </c>
      <c r="C567" s="1" t="s">
        <v>116</v>
      </c>
      <c r="D567" s="1" t="s">
        <v>13</v>
      </c>
      <c r="E567" s="1" t="s">
        <v>25</v>
      </c>
      <c r="F567" s="1" t="s">
        <v>2056</v>
      </c>
      <c r="G567" s="1"/>
      <c r="H567" s="1" t="s">
        <v>2057</v>
      </c>
      <c r="I567" s="1">
        <f t="shared" si="1"/>
        <v>15.436583</v>
      </c>
      <c r="J567" s="1" t="s">
        <v>1926</v>
      </c>
      <c r="K567" s="1"/>
      <c r="L567" s="1">
        <v>51.0</v>
      </c>
    </row>
    <row r="568">
      <c r="A568" s="1">
        <v>2020.0</v>
      </c>
      <c r="B568" s="1">
        <v>11.0</v>
      </c>
      <c r="C568" s="1" t="s">
        <v>116</v>
      </c>
      <c r="D568" s="1" t="s">
        <v>29</v>
      </c>
      <c r="E568" s="1" t="s">
        <v>14</v>
      </c>
      <c r="F568" s="1" t="s">
        <v>396</v>
      </c>
      <c r="G568" s="1"/>
      <c r="H568" s="1" t="s">
        <v>2007</v>
      </c>
      <c r="I568" s="1">
        <f t="shared" si="1"/>
        <v>0.327685</v>
      </c>
      <c r="J568" s="1" t="s">
        <v>674</v>
      </c>
      <c r="K568" s="1"/>
      <c r="L568" s="1">
        <v>2.0</v>
      </c>
    </row>
    <row r="569">
      <c r="A569" s="1">
        <v>2020.0</v>
      </c>
      <c r="B569" s="1">
        <v>11.0</v>
      </c>
      <c r="C569" s="1" t="s">
        <v>116</v>
      </c>
      <c r="D569" s="1" t="s">
        <v>29</v>
      </c>
      <c r="E569" s="1" t="s">
        <v>21</v>
      </c>
      <c r="F569" s="1" t="s">
        <v>2058</v>
      </c>
      <c r="G569" s="1"/>
      <c r="H569" s="1" t="s">
        <v>2059</v>
      </c>
      <c r="I569" s="1">
        <f t="shared" si="1"/>
        <v>7167.156142</v>
      </c>
      <c r="J569" s="1" t="s">
        <v>2060</v>
      </c>
      <c r="K569" s="1"/>
      <c r="L569" s="1">
        <v>1973.0</v>
      </c>
    </row>
    <row r="570">
      <c r="A570" s="1">
        <v>2020.0</v>
      </c>
      <c r="B570" s="1">
        <v>11.0</v>
      </c>
      <c r="C570" s="1" t="s">
        <v>116</v>
      </c>
      <c r="D570" s="1" t="s">
        <v>45</v>
      </c>
      <c r="E570" s="1" t="s">
        <v>17</v>
      </c>
      <c r="F570" s="1" t="s">
        <v>2061</v>
      </c>
      <c r="G570" s="1"/>
      <c r="H570" s="1" t="s">
        <v>2062</v>
      </c>
      <c r="I570" s="1">
        <f t="shared" si="1"/>
        <v>1373.506643</v>
      </c>
      <c r="J570" s="3">
        <v>1986342.0</v>
      </c>
      <c r="K570" s="3"/>
      <c r="L570" s="1">
        <v>2071.0</v>
      </c>
    </row>
    <row r="571">
      <c r="A571" s="1">
        <v>2020.0</v>
      </c>
      <c r="B571" s="1">
        <v>11.0</v>
      </c>
      <c r="C571" s="1" t="s">
        <v>116</v>
      </c>
      <c r="D571" s="1" t="s">
        <v>32</v>
      </c>
      <c r="E571" s="1" t="s">
        <v>14</v>
      </c>
      <c r="F571" s="3">
        <v>1376722.0</v>
      </c>
      <c r="G571" s="3"/>
      <c r="H571" s="1" t="s">
        <v>2063</v>
      </c>
      <c r="I571" s="1">
        <f t="shared" si="1"/>
        <v>347.846203</v>
      </c>
      <c r="J571" s="3">
        <v>330181.0</v>
      </c>
      <c r="K571" s="3"/>
      <c r="L571" s="1">
        <v>1415.0</v>
      </c>
    </row>
    <row r="572">
      <c r="A572" s="1">
        <v>2020.0</v>
      </c>
      <c r="B572" s="1">
        <v>11.0</v>
      </c>
      <c r="C572" s="1" t="s">
        <v>116</v>
      </c>
      <c r="D572" s="1" t="s">
        <v>32</v>
      </c>
      <c r="E572" s="1" t="s">
        <v>21</v>
      </c>
      <c r="F572" s="3">
        <v>268880.0</v>
      </c>
      <c r="G572" s="3"/>
      <c r="H572" s="1" t="s">
        <v>2064</v>
      </c>
      <c r="I572" s="1">
        <f t="shared" si="1"/>
        <v>537.942316</v>
      </c>
      <c r="J572" s="3">
        <v>1017568.0</v>
      </c>
      <c r="K572" s="3"/>
      <c r="L572" s="1">
        <v>1914.0</v>
      </c>
    </row>
    <row r="573">
      <c r="A573" s="1">
        <v>2020.0</v>
      </c>
      <c r="B573" s="1">
        <v>11.0</v>
      </c>
      <c r="C573" s="1" t="s">
        <v>116</v>
      </c>
      <c r="D573" s="1" t="s">
        <v>147</v>
      </c>
      <c r="E573" s="1" t="s">
        <v>39</v>
      </c>
      <c r="F573" s="3">
        <v>2031481.0</v>
      </c>
      <c r="G573" s="3"/>
      <c r="H573" s="1" t="s">
        <v>2065</v>
      </c>
      <c r="I573" s="1">
        <f t="shared" si="1"/>
        <v>471.874421</v>
      </c>
      <c r="J573" s="1" t="s">
        <v>2066</v>
      </c>
      <c r="K573" s="1"/>
      <c r="L573" s="1">
        <v>99.0</v>
      </c>
    </row>
    <row r="574">
      <c r="A574" s="1">
        <v>2020.0</v>
      </c>
      <c r="B574" s="1">
        <v>11.0</v>
      </c>
      <c r="C574" s="1" t="s">
        <v>116</v>
      </c>
      <c r="D574" s="1" t="s">
        <v>147</v>
      </c>
      <c r="E574" s="1" t="s">
        <v>17</v>
      </c>
      <c r="F574" s="1" t="s">
        <v>2067</v>
      </c>
      <c r="G574" s="1"/>
      <c r="H574" s="1" t="s">
        <v>2068</v>
      </c>
      <c r="I574" s="1">
        <f t="shared" si="1"/>
        <v>7.738316</v>
      </c>
      <c r="J574" s="1" t="s">
        <v>2069</v>
      </c>
      <c r="K574" s="1"/>
      <c r="L574" s="1">
        <v>8.0</v>
      </c>
    </row>
    <row r="575">
      <c r="A575" s="1">
        <v>2020.0</v>
      </c>
      <c r="B575" s="1">
        <v>11.0</v>
      </c>
      <c r="C575" s="1" t="s">
        <v>116</v>
      </c>
      <c r="D575" s="1" t="s">
        <v>147</v>
      </c>
      <c r="E575" s="1" t="s">
        <v>21</v>
      </c>
      <c r="F575" s="1" t="s">
        <v>641</v>
      </c>
      <c r="G575" s="1"/>
      <c r="H575" s="1" t="s">
        <v>2070</v>
      </c>
      <c r="I575" s="1">
        <f t="shared" si="1"/>
        <v>35.070207</v>
      </c>
      <c r="J575" s="1" t="s">
        <v>645</v>
      </c>
      <c r="K575" s="1"/>
      <c r="L575" s="1">
        <v>50.0</v>
      </c>
    </row>
    <row r="576">
      <c r="A576" s="1">
        <v>2020.0</v>
      </c>
      <c r="B576" s="1">
        <v>11.0</v>
      </c>
      <c r="C576" s="1" t="s">
        <v>116</v>
      </c>
      <c r="D576" s="1" t="s">
        <v>42</v>
      </c>
      <c r="E576" s="1" t="s">
        <v>17</v>
      </c>
      <c r="F576" s="3" t="s">
        <v>2071</v>
      </c>
      <c r="G576" s="3"/>
      <c r="H576" s="1" t="s">
        <v>2072</v>
      </c>
      <c r="I576" s="1">
        <f t="shared" si="1"/>
        <v>405.385216</v>
      </c>
      <c r="J576" s="3" t="s">
        <v>2073</v>
      </c>
      <c r="K576" s="3"/>
      <c r="L576" s="1">
        <v>432.0</v>
      </c>
    </row>
    <row r="577">
      <c r="A577" s="1">
        <v>2020.0</v>
      </c>
      <c r="B577" s="1">
        <v>11.0</v>
      </c>
      <c r="C577" s="1" t="s">
        <v>116</v>
      </c>
      <c r="D577" s="1" t="s">
        <v>102</v>
      </c>
      <c r="E577" s="1" t="s">
        <v>39</v>
      </c>
      <c r="F577" s="1" t="s">
        <v>414</v>
      </c>
      <c r="G577" s="1"/>
      <c r="H577" s="1" t="s">
        <v>1343</v>
      </c>
      <c r="I577" s="1">
        <f t="shared" si="1"/>
        <v>0.242017</v>
      </c>
      <c r="J577" s="1" t="s">
        <v>596</v>
      </c>
      <c r="K577" s="1"/>
      <c r="L577" s="1">
        <v>2.0</v>
      </c>
    </row>
    <row r="578">
      <c r="A578" s="1">
        <v>2020.0</v>
      </c>
      <c r="B578" s="1">
        <v>11.0</v>
      </c>
      <c r="C578" s="1" t="s">
        <v>116</v>
      </c>
      <c r="D578" s="1" t="s">
        <v>102</v>
      </c>
      <c r="E578" s="1" t="s">
        <v>17</v>
      </c>
      <c r="F578" s="1" t="s">
        <v>448</v>
      </c>
      <c r="G578" s="1"/>
      <c r="H578" s="1" t="s">
        <v>2075</v>
      </c>
      <c r="I578" s="1">
        <f t="shared" si="1"/>
        <v>0.694689</v>
      </c>
      <c r="J578" s="1" t="s">
        <v>373</v>
      </c>
      <c r="K578" s="1"/>
      <c r="L578" s="1">
        <v>1.0</v>
      </c>
    </row>
    <row r="579">
      <c r="A579" s="1">
        <v>2020.0</v>
      </c>
      <c r="B579" s="1">
        <v>11.0</v>
      </c>
      <c r="C579" s="1" t="s">
        <v>116</v>
      </c>
      <c r="D579" s="1" t="s">
        <v>102</v>
      </c>
      <c r="E579" s="1" t="s">
        <v>21</v>
      </c>
      <c r="F579" s="1" t="s">
        <v>2076</v>
      </c>
      <c r="G579" s="1"/>
      <c r="H579" s="1" t="s">
        <v>2077</v>
      </c>
      <c r="I579" s="1">
        <f t="shared" si="1"/>
        <v>287.265068</v>
      </c>
      <c r="J579" s="1" t="s">
        <v>2078</v>
      </c>
      <c r="K579" s="1"/>
      <c r="L579" s="1">
        <v>150.0</v>
      </c>
    </row>
    <row r="580">
      <c r="A580" s="1">
        <v>2020.0</v>
      </c>
      <c r="B580" s="1">
        <v>11.0</v>
      </c>
      <c r="C580" s="1" t="s">
        <v>116</v>
      </c>
      <c r="D580" s="1" t="s">
        <v>165</v>
      </c>
      <c r="E580" s="1" t="s">
        <v>39</v>
      </c>
      <c r="F580" s="1" t="s">
        <v>2079</v>
      </c>
      <c r="G580" s="1"/>
      <c r="H580" s="1" t="s">
        <v>2080</v>
      </c>
      <c r="I580" s="1">
        <f t="shared" si="1"/>
        <v>68.448018</v>
      </c>
      <c r="J580" s="1" t="s">
        <v>2081</v>
      </c>
      <c r="K580" s="1"/>
      <c r="L580" s="1">
        <v>80.0</v>
      </c>
    </row>
    <row r="581">
      <c r="A581" s="1">
        <v>2020.0</v>
      </c>
      <c r="B581" s="1">
        <v>11.0</v>
      </c>
      <c r="C581" s="1" t="s">
        <v>116</v>
      </c>
      <c r="D581" s="1" t="s">
        <v>165</v>
      </c>
      <c r="E581" s="1" t="s">
        <v>17</v>
      </c>
      <c r="F581" s="3" t="s">
        <v>2084</v>
      </c>
      <c r="G581" s="3"/>
      <c r="H581" s="1" t="s">
        <v>2085</v>
      </c>
      <c r="I581" s="1">
        <f t="shared" si="1"/>
        <v>215.005711</v>
      </c>
      <c r="J581" s="1" t="s">
        <v>2086</v>
      </c>
      <c r="K581" s="1"/>
      <c r="L581" s="1">
        <v>86.0</v>
      </c>
    </row>
    <row r="582">
      <c r="A582" s="1">
        <v>2020.0</v>
      </c>
      <c r="B582" s="1">
        <v>11.0</v>
      </c>
      <c r="C582" s="1" t="s">
        <v>116</v>
      </c>
      <c r="D582" s="1" t="s">
        <v>158</v>
      </c>
      <c r="E582" s="1" t="s">
        <v>39</v>
      </c>
      <c r="F582" s="1" t="s">
        <v>426</v>
      </c>
      <c r="G582" s="1"/>
      <c r="H582" s="1" t="s">
        <v>2087</v>
      </c>
      <c r="I582" s="1">
        <f t="shared" si="1"/>
        <v>1.226463</v>
      </c>
      <c r="J582" s="1" t="s">
        <v>674</v>
      </c>
      <c r="K582" s="1"/>
      <c r="L582" s="1">
        <v>0.0</v>
      </c>
    </row>
    <row r="583">
      <c r="A583" s="1">
        <v>2020.0</v>
      </c>
      <c r="B583" s="1">
        <v>11.0</v>
      </c>
      <c r="C583" s="1" t="s">
        <v>116</v>
      </c>
      <c r="D583" s="1" t="s">
        <v>158</v>
      </c>
      <c r="E583" s="1" t="s">
        <v>17</v>
      </c>
      <c r="F583" s="1" t="s">
        <v>2089</v>
      </c>
      <c r="G583" s="1"/>
      <c r="H583" s="1" t="s">
        <v>2090</v>
      </c>
      <c r="I583" s="1">
        <f t="shared" si="1"/>
        <v>30.765021</v>
      </c>
      <c r="J583" s="1" t="s">
        <v>2091</v>
      </c>
      <c r="K583" s="1"/>
      <c r="L583" s="1">
        <v>0.0</v>
      </c>
    </row>
    <row r="584">
      <c r="A584" s="1">
        <v>2020.0</v>
      </c>
      <c r="B584" s="1">
        <v>11.0</v>
      </c>
      <c r="C584" s="1" t="s">
        <v>116</v>
      </c>
      <c r="D584" s="1" t="s">
        <v>158</v>
      </c>
      <c r="E584" s="1" t="s">
        <v>21</v>
      </c>
      <c r="F584" s="1" t="s">
        <v>2092</v>
      </c>
      <c r="G584" s="1"/>
      <c r="H584" s="1" t="s">
        <v>2093</v>
      </c>
      <c r="I584" s="1">
        <f t="shared" si="1"/>
        <v>194.894285</v>
      </c>
      <c r="J584" s="1" t="s">
        <v>2094</v>
      </c>
      <c r="K584" s="1"/>
      <c r="L584" s="1">
        <v>0.0</v>
      </c>
    </row>
    <row r="585">
      <c r="A585" s="1">
        <v>2020.0</v>
      </c>
      <c r="B585" s="1">
        <v>11.0</v>
      </c>
      <c r="C585" s="1" t="s">
        <v>116</v>
      </c>
      <c r="D585" s="1" t="s">
        <v>1949</v>
      </c>
      <c r="E585" s="1" t="s">
        <v>14</v>
      </c>
      <c r="F585" s="1" t="s">
        <v>2095</v>
      </c>
      <c r="G585" s="1"/>
      <c r="H585" s="1" t="s">
        <v>2096</v>
      </c>
      <c r="I585" s="1">
        <f t="shared" si="1"/>
        <v>65.889532</v>
      </c>
      <c r="J585" s="1" t="s">
        <v>1907</v>
      </c>
      <c r="K585" s="1"/>
      <c r="L585" s="1">
        <v>0.0</v>
      </c>
    </row>
    <row r="586">
      <c r="A586" s="1">
        <v>2020.0</v>
      </c>
      <c r="B586" s="1">
        <v>11.0</v>
      </c>
      <c r="C586" s="1" t="s">
        <v>116</v>
      </c>
      <c r="D586" s="1" t="s">
        <v>1949</v>
      </c>
      <c r="E586" s="1" t="s">
        <v>17</v>
      </c>
      <c r="F586" s="1" t="s">
        <v>2097</v>
      </c>
      <c r="G586" s="1"/>
      <c r="H586" s="1" t="s">
        <v>2098</v>
      </c>
      <c r="I586" s="1">
        <f t="shared" si="1"/>
        <v>155.941725</v>
      </c>
      <c r="J586" s="1" t="s">
        <v>2099</v>
      </c>
      <c r="K586" s="1"/>
      <c r="L586" s="1">
        <v>0.0</v>
      </c>
    </row>
    <row r="587">
      <c r="A587" s="1">
        <v>2020.0</v>
      </c>
      <c r="B587" s="1">
        <v>12.0</v>
      </c>
      <c r="C587" s="1" t="s">
        <v>12</v>
      </c>
      <c r="D587" s="1" t="s">
        <v>13</v>
      </c>
      <c r="E587" s="1" t="s">
        <v>14</v>
      </c>
      <c r="F587" s="3">
        <v>1863803.0</v>
      </c>
      <c r="G587" s="3"/>
      <c r="H587" s="1" t="s">
        <v>2100</v>
      </c>
      <c r="I587" s="1">
        <f t="shared" si="1"/>
        <v>789.227923</v>
      </c>
      <c r="J587" s="1" t="s">
        <v>2101</v>
      </c>
      <c r="K587" s="1"/>
      <c r="L587" s="1">
        <v>543.0</v>
      </c>
    </row>
    <row r="588">
      <c r="A588" s="1">
        <v>2020.0</v>
      </c>
      <c r="B588" s="1">
        <v>12.0</v>
      </c>
      <c r="C588" s="1" t="s">
        <v>12</v>
      </c>
      <c r="D588" s="1" t="s">
        <v>13</v>
      </c>
      <c r="E588" s="1" t="s">
        <v>17</v>
      </c>
      <c r="F588" s="1" t="s">
        <v>2102</v>
      </c>
      <c r="G588" s="1"/>
      <c r="H588" s="1" t="s">
        <v>2103</v>
      </c>
      <c r="I588" s="1">
        <f t="shared" si="1"/>
        <v>5995.252831</v>
      </c>
      <c r="J588" s="1" t="s">
        <v>2105</v>
      </c>
      <c r="K588" s="1"/>
      <c r="L588" s="1">
        <v>795.0</v>
      </c>
    </row>
    <row r="589">
      <c r="A589" s="1">
        <v>2020.0</v>
      </c>
      <c r="B589" s="1">
        <v>12.0</v>
      </c>
      <c r="C589" s="1" t="s">
        <v>12</v>
      </c>
      <c r="D589" s="1" t="s">
        <v>13</v>
      </c>
      <c r="E589" s="1" t="s">
        <v>21</v>
      </c>
      <c r="F589" s="1" t="s">
        <v>2106</v>
      </c>
      <c r="G589" s="1"/>
      <c r="H589" s="1" t="s">
        <v>2107</v>
      </c>
      <c r="I589" s="1">
        <f t="shared" si="1"/>
        <v>3857.811179</v>
      </c>
      <c r="J589" s="1" t="s">
        <v>2108</v>
      </c>
      <c r="K589" s="1"/>
      <c r="L589" s="1">
        <v>568.0</v>
      </c>
    </row>
    <row r="590">
      <c r="A590" s="1">
        <v>2020.0</v>
      </c>
      <c r="B590" s="1">
        <v>12.0</v>
      </c>
      <c r="C590" s="1" t="s">
        <v>12</v>
      </c>
      <c r="D590" s="1" t="s">
        <v>13</v>
      </c>
      <c r="E590" s="1" t="s">
        <v>25</v>
      </c>
      <c r="F590" s="1" t="s">
        <v>2109</v>
      </c>
      <c r="G590" s="1"/>
      <c r="H590" s="1" t="s">
        <v>2110</v>
      </c>
      <c r="I590" s="1">
        <f t="shared" si="1"/>
        <v>0.233663</v>
      </c>
      <c r="J590" s="1" t="s">
        <v>103</v>
      </c>
      <c r="K590" s="1"/>
      <c r="L590" s="1">
        <v>2.0</v>
      </c>
    </row>
    <row r="591">
      <c r="A591" s="1">
        <v>2020.0</v>
      </c>
      <c r="B591" s="1">
        <v>12.0</v>
      </c>
      <c r="C591" s="1" t="s">
        <v>12</v>
      </c>
      <c r="D591" s="1" t="s">
        <v>29</v>
      </c>
      <c r="E591" s="1" t="s">
        <v>14</v>
      </c>
      <c r="F591" s="1" t="s">
        <v>2111</v>
      </c>
      <c r="G591" s="1"/>
      <c r="H591" s="1" t="s">
        <v>2112</v>
      </c>
      <c r="I591" s="1">
        <f t="shared" si="1"/>
        <v>4.374675</v>
      </c>
      <c r="J591" s="1" t="s">
        <v>1411</v>
      </c>
      <c r="K591" s="1"/>
      <c r="L591" s="1">
        <v>5.0</v>
      </c>
    </row>
    <row r="592">
      <c r="A592" s="1">
        <v>2020.0</v>
      </c>
      <c r="B592" s="1">
        <v>12.0</v>
      </c>
      <c r="C592" s="1" t="s">
        <v>12</v>
      </c>
      <c r="D592" s="1" t="s">
        <v>29</v>
      </c>
      <c r="E592" s="1" t="s">
        <v>21</v>
      </c>
      <c r="F592" s="1" t="s">
        <v>2113</v>
      </c>
      <c r="G592" s="1"/>
      <c r="H592" s="1" t="s">
        <v>2114</v>
      </c>
      <c r="I592" s="1">
        <f t="shared" si="1"/>
        <v>5995.073407</v>
      </c>
      <c r="J592" s="1" t="s">
        <v>2115</v>
      </c>
      <c r="K592" s="1"/>
      <c r="L592" s="1">
        <v>658.0</v>
      </c>
    </row>
    <row r="593">
      <c r="A593" s="1">
        <v>2020.0</v>
      </c>
      <c r="B593" s="1">
        <v>12.0</v>
      </c>
      <c r="C593" s="1" t="s">
        <v>12</v>
      </c>
      <c r="D593" s="1" t="s">
        <v>32</v>
      </c>
      <c r="E593" s="1" t="s">
        <v>14</v>
      </c>
      <c r="F593" s="3">
        <v>2207405.0</v>
      </c>
      <c r="G593" s="3"/>
      <c r="H593" s="1" t="s">
        <v>2116</v>
      </c>
      <c r="I593" s="1">
        <f t="shared" si="1"/>
        <v>542.253537</v>
      </c>
      <c r="J593" s="3">
        <v>229040.0</v>
      </c>
      <c r="K593" s="3"/>
      <c r="L593" s="1">
        <v>466.0</v>
      </c>
    </row>
    <row r="594">
      <c r="A594" s="1">
        <v>2020.0</v>
      </c>
      <c r="B594" s="1">
        <v>12.0</v>
      </c>
      <c r="C594" s="1" t="s">
        <v>12</v>
      </c>
      <c r="D594" s="1" t="s">
        <v>32</v>
      </c>
      <c r="E594" s="1" t="s">
        <v>21</v>
      </c>
      <c r="F594" s="3">
        <v>1113627.0</v>
      </c>
      <c r="G594" s="3"/>
      <c r="H594" s="1" t="s">
        <v>2117</v>
      </c>
      <c r="I594" s="1">
        <f t="shared" si="1"/>
        <v>208.699739</v>
      </c>
      <c r="J594" s="1" t="s">
        <v>2118</v>
      </c>
      <c r="K594" s="1"/>
      <c r="L594" s="1">
        <v>341.0</v>
      </c>
    </row>
    <row r="595">
      <c r="A595" s="1">
        <v>2020.0</v>
      </c>
      <c r="B595" s="1">
        <v>12.0</v>
      </c>
      <c r="C595" s="1" t="s">
        <v>12</v>
      </c>
      <c r="D595" s="1" t="s">
        <v>32</v>
      </c>
      <c r="E595" s="1" t="s">
        <v>25</v>
      </c>
      <c r="F595" s="1" t="s">
        <v>414</v>
      </c>
      <c r="G595" s="1"/>
      <c r="H595" s="1" t="s">
        <v>2119</v>
      </c>
      <c r="I595" s="1">
        <f t="shared" si="1"/>
        <v>0.125915</v>
      </c>
      <c r="J595" s="1" t="s">
        <v>75</v>
      </c>
      <c r="K595" s="1"/>
      <c r="L595" s="1">
        <v>1.0</v>
      </c>
    </row>
    <row r="596">
      <c r="A596" s="1">
        <v>2020.0</v>
      </c>
      <c r="B596" s="1">
        <v>12.0</v>
      </c>
      <c r="C596" s="1" t="s">
        <v>12</v>
      </c>
      <c r="D596" s="1" t="s">
        <v>38</v>
      </c>
      <c r="E596" s="1" t="s">
        <v>39</v>
      </c>
      <c r="F596" s="3">
        <v>2334298.0</v>
      </c>
      <c r="G596" s="3"/>
      <c r="H596" s="1" t="s">
        <v>2120</v>
      </c>
      <c r="I596" s="1">
        <f t="shared" si="1"/>
        <v>306.535534</v>
      </c>
      <c r="J596" s="1" t="s">
        <v>2121</v>
      </c>
      <c r="K596" s="1"/>
      <c r="L596" s="1">
        <v>103.0</v>
      </c>
    </row>
    <row r="597">
      <c r="A597" s="1">
        <v>2020.0</v>
      </c>
      <c r="B597" s="1">
        <v>12.0</v>
      </c>
      <c r="C597" s="1" t="s">
        <v>12</v>
      </c>
      <c r="D597" s="1" t="s">
        <v>45</v>
      </c>
      <c r="E597" s="1" t="s">
        <v>17</v>
      </c>
      <c r="F597" s="3">
        <v>779885.0</v>
      </c>
      <c r="G597" s="3"/>
      <c r="H597" s="1" t="s">
        <v>2122</v>
      </c>
      <c r="I597" s="1">
        <f t="shared" si="1"/>
        <v>282.294567</v>
      </c>
      <c r="J597" s="3">
        <v>1443806.0</v>
      </c>
      <c r="K597" s="3"/>
      <c r="L597" s="1">
        <v>225.0</v>
      </c>
    </row>
    <row r="598">
      <c r="A598" s="1">
        <v>2020.0</v>
      </c>
      <c r="B598" s="1">
        <v>12.0</v>
      </c>
      <c r="C598" s="1" t="s">
        <v>12</v>
      </c>
      <c r="D598" s="1" t="s">
        <v>42</v>
      </c>
      <c r="E598" s="1" t="s">
        <v>17</v>
      </c>
      <c r="F598" s="3">
        <v>15342.0</v>
      </c>
      <c r="G598" s="3"/>
      <c r="H598" s="1" t="s">
        <v>2123</v>
      </c>
      <c r="I598" s="1">
        <f t="shared" si="1"/>
        <v>162.468894</v>
      </c>
      <c r="J598" s="1" t="s">
        <v>2124</v>
      </c>
      <c r="K598" s="1"/>
      <c r="L598" s="1">
        <v>133.0</v>
      </c>
    </row>
    <row r="599">
      <c r="A599" s="1">
        <v>2020.0</v>
      </c>
      <c r="B599" s="1">
        <v>12.0</v>
      </c>
      <c r="C599" s="1" t="s">
        <v>12</v>
      </c>
      <c r="D599" s="1" t="s">
        <v>48</v>
      </c>
      <c r="E599" s="1" t="s">
        <v>49</v>
      </c>
      <c r="F599" s="1" t="s">
        <v>931</v>
      </c>
      <c r="G599" s="1"/>
      <c r="H599" s="1" t="s">
        <v>2125</v>
      </c>
      <c r="I599" s="1">
        <f t="shared" si="1"/>
        <v>1.588229</v>
      </c>
      <c r="J599" s="1" t="s">
        <v>1056</v>
      </c>
      <c r="K599" s="1"/>
      <c r="L599" s="1">
        <v>3.0</v>
      </c>
    </row>
    <row r="600">
      <c r="A600" s="1">
        <v>2020.0</v>
      </c>
      <c r="B600" s="1">
        <v>12.0</v>
      </c>
      <c r="C600" s="1" t="s">
        <v>12</v>
      </c>
      <c r="D600" s="1" t="s">
        <v>48</v>
      </c>
      <c r="E600" s="1" t="s">
        <v>21</v>
      </c>
      <c r="F600" s="1" t="s">
        <v>2126</v>
      </c>
      <c r="G600" s="1"/>
      <c r="H600" s="1" t="s">
        <v>2127</v>
      </c>
      <c r="I600" s="1">
        <f t="shared" si="1"/>
        <v>117.209566</v>
      </c>
      <c r="J600" s="1" t="s">
        <v>707</v>
      </c>
      <c r="K600" s="1"/>
      <c r="L600" s="1">
        <v>119.0</v>
      </c>
    </row>
    <row r="601">
      <c r="A601" s="1">
        <v>2020.0</v>
      </c>
      <c r="B601" s="1">
        <v>12.0</v>
      </c>
      <c r="C601" s="1" t="s">
        <v>12</v>
      </c>
      <c r="D601" s="1" t="s">
        <v>56</v>
      </c>
      <c r="E601" s="1" t="s">
        <v>21</v>
      </c>
      <c r="F601" s="1" t="s">
        <v>2128</v>
      </c>
      <c r="G601" s="1"/>
      <c r="H601" s="1" t="s">
        <v>2129</v>
      </c>
      <c r="I601" s="1">
        <f t="shared" si="1"/>
        <v>87.407708</v>
      </c>
      <c r="J601" s="1" t="s">
        <v>2130</v>
      </c>
      <c r="K601" s="1"/>
      <c r="L601" s="1">
        <v>202.0</v>
      </c>
    </row>
    <row r="602">
      <c r="A602" s="1">
        <v>2020.0</v>
      </c>
      <c r="B602" s="1">
        <v>12.0</v>
      </c>
      <c r="C602" s="1" t="s">
        <v>12</v>
      </c>
      <c r="D602" s="1" t="s">
        <v>60</v>
      </c>
      <c r="E602" s="1" t="s">
        <v>39</v>
      </c>
      <c r="F602" s="1" t="s">
        <v>2131</v>
      </c>
      <c r="G602" s="1"/>
      <c r="H602" s="1" t="s">
        <v>2132</v>
      </c>
      <c r="I602" s="1">
        <f t="shared" si="1"/>
        <v>50.525289</v>
      </c>
      <c r="J602" s="1" t="s">
        <v>2133</v>
      </c>
      <c r="K602" s="1"/>
      <c r="L602" s="1">
        <v>0.0</v>
      </c>
    </row>
    <row r="603">
      <c r="A603" s="1">
        <v>2020.0</v>
      </c>
      <c r="B603" s="1">
        <v>12.0</v>
      </c>
      <c r="C603" s="1" t="s">
        <v>12</v>
      </c>
      <c r="D603" s="1" t="s">
        <v>60</v>
      </c>
      <c r="E603" s="1" t="s">
        <v>17</v>
      </c>
      <c r="F603" s="1" t="s">
        <v>2134</v>
      </c>
      <c r="G603" s="1"/>
      <c r="H603" s="1" t="s">
        <v>2135</v>
      </c>
      <c r="I603" s="1">
        <f t="shared" si="1"/>
        <v>0.61837</v>
      </c>
      <c r="J603" s="1" t="s">
        <v>1460</v>
      </c>
      <c r="K603" s="1"/>
      <c r="L603" s="1">
        <v>0.0</v>
      </c>
    </row>
    <row r="604">
      <c r="A604" s="1">
        <v>2020.0</v>
      </c>
      <c r="B604" s="1">
        <v>12.0</v>
      </c>
      <c r="C604" s="1" t="s">
        <v>12</v>
      </c>
      <c r="D604" s="1" t="s">
        <v>848</v>
      </c>
      <c r="E604" s="1" t="s">
        <v>21</v>
      </c>
      <c r="F604" s="1" t="s">
        <v>2136</v>
      </c>
      <c r="G604" s="1"/>
      <c r="H604" s="1" t="s">
        <v>2137</v>
      </c>
      <c r="I604" s="1">
        <f t="shared" si="1"/>
        <v>41.788139</v>
      </c>
      <c r="J604" s="1" t="s">
        <v>2138</v>
      </c>
      <c r="K604" s="1"/>
      <c r="L604" s="1">
        <v>60.0</v>
      </c>
    </row>
    <row r="605">
      <c r="A605" s="1">
        <v>2020.0</v>
      </c>
      <c r="B605" s="1">
        <v>12.0</v>
      </c>
      <c r="C605" s="1" t="s">
        <v>68</v>
      </c>
      <c r="D605" s="1" t="s">
        <v>13</v>
      </c>
      <c r="E605" s="1" t="s">
        <v>14</v>
      </c>
      <c r="F605" s="1" t="s">
        <v>2139</v>
      </c>
      <c r="G605" s="1"/>
      <c r="H605" s="1" t="s">
        <v>2140</v>
      </c>
      <c r="I605" s="1">
        <f t="shared" si="1"/>
        <v>4235.577133</v>
      </c>
      <c r="J605" s="1" t="s">
        <v>2141</v>
      </c>
      <c r="K605" s="1"/>
      <c r="L605" s="1">
        <v>8742.0</v>
      </c>
    </row>
    <row r="606">
      <c r="A606" s="1">
        <v>2020.0</v>
      </c>
      <c r="B606" s="1">
        <v>12.0</v>
      </c>
      <c r="C606" s="1" t="s">
        <v>68</v>
      </c>
      <c r="D606" s="1" t="s">
        <v>13</v>
      </c>
      <c r="E606" s="1" t="s">
        <v>17</v>
      </c>
      <c r="F606" s="1" t="s">
        <v>2142</v>
      </c>
      <c r="G606" s="1"/>
      <c r="H606" s="1" t="s">
        <v>2143</v>
      </c>
      <c r="I606" s="1">
        <f t="shared" si="1"/>
        <v>4566.001749</v>
      </c>
      <c r="J606" s="1" t="s">
        <v>2144</v>
      </c>
      <c r="K606" s="1"/>
      <c r="L606" s="1">
        <v>8900.0</v>
      </c>
    </row>
    <row r="607">
      <c r="A607" s="1">
        <v>2020.0</v>
      </c>
      <c r="B607" s="1">
        <v>12.0</v>
      </c>
      <c r="C607" s="1" t="s">
        <v>68</v>
      </c>
      <c r="D607" s="1" t="s">
        <v>13</v>
      </c>
      <c r="E607" s="1" t="s">
        <v>21</v>
      </c>
      <c r="F607" s="3" t="s">
        <v>2145</v>
      </c>
      <c r="G607" s="3"/>
      <c r="H607" s="1" t="s">
        <v>2146</v>
      </c>
      <c r="I607" s="1">
        <f t="shared" si="1"/>
        <v>764.229077</v>
      </c>
      <c r="J607" s="1" t="s">
        <v>2147</v>
      </c>
      <c r="K607" s="1"/>
      <c r="L607" s="1">
        <v>869.0</v>
      </c>
    </row>
    <row r="608">
      <c r="A608" s="1">
        <v>2020.0</v>
      </c>
      <c r="B608" s="1">
        <v>12.0</v>
      </c>
      <c r="C608" s="1" t="s">
        <v>68</v>
      </c>
      <c r="D608" s="1" t="s">
        <v>13</v>
      </c>
      <c r="E608" s="1" t="s">
        <v>25</v>
      </c>
      <c r="F608" s="1" t="s">
        <v>2148</v>
      </c>
      <c r="G608" s="1"/>
      <c r="H608" s="1" t="s">
        <v>2149</v>
      </c>
      <c r="I608" s="1">
        <f t="shared" si="1"/>
        <v>45.269075</v>
      </c>
      <c r="J608" s="1" t="s">
        <v>1489</v>
      </c>
      <c r="K608" s="1"/>
      <c r="L608" s="1">
        <v>178.0</v>
      </c>
    </row>
    <row r="609">
      <c r="A609" s="1">
        <v>2020.0</v>
      </c>
      <c r="B609" s="1">
        <v>12.0</v>
      </c>
      <c r="C609" s="1" t="s">
        <v>68</v>
      </c>
      <c r="D609" s="1" t="s">
        <v>29</v>
      </c>
      <c r="E609" s="1" t="s">
        <v>14</v>
      </c>
      <c r="F609" s="1" t="s">
        <v>639</v>
      </c>
      <c r="G609" s="1"/>
      <c r="H609" s="1" t="s">
        <v>2150</v>
      </c>
      <c r="I609" s="1">
        <f t="shared" si="1"/>
        <v>1.127402</v>
      </c>
      <c r="J609" s="1" t="s">
        <v>426</v>
      </c>
      <c r="K609" s="1"/>
      <c r="L609" s="1">
        <v>2.0</v>
      </c>
    </row>
    <row r="610">
      <c r="A610" s="1">
        <v>2020.0</v>
      </c>
      <c r="B610" s="1">
        <v>12.0</v>
      </c>
      <c r="C610" s="1" t="s">
        <v>68</v>
      </c>
      <c r="D610" s="1" t="s">
        <v>29</v>
      </c>
      <c r="E610" s="1" t="s">
        <v>21</v>
      </c>
      <c r="F610" s="3">
        <v>1409259.0</v>
      </c>
      <c r="G610" s="3"/>
      <c r="H610" s="1" t="s">
        <v>2151</v>
      </c>
      <c r="I610" s="1">
        <f t="shared" si="1"/>
        <v>1391.71104</v>
      </c>
      <c r="J610" s="3">
        <v>1608195.0</v>
      </c>
      <c r="K610" s="3"/>
      <c r="L610" s="1">
        <v>939.0</v>
      </c>
    </row>
    <row r="611">
      <c r="A611" s="1">
        <v>2020.0</v>
      </c>
      <c r="B611" s="1">
        <v>12.0</v>
      </c>
      <c r="C611" s="1" t="s">
        <v>68</v>
      </c>
      <c r="D611" s="1" t="s">
        <v>45</v>
      </c>
      <c r="E611" s="1" t="s">
        <v>17</v>
      </c>
      <c r="F611" s="1" t="s">
        <v>2152</v>
      </c>
      <c r="G611" s="1"/>
      <c r="H611" s="1" t="s">
        <v>2153</v>
      </c>
      <c r="I611" s="1">
        <f t="shared" si="1"/>
        <v>574.505007</v>
      </c>
      <c r="J611" s="3">
        <v>1938010.0</v>
      </c>
      <c r="K611" s="3"/>
      <c r="L611" s="1">
        <v>1595.0</v>
      </c>
    </row>
    <row r="612">
      <c r="A612" s="1">
        <v>2020.0</v>
      </c>
      <c r="B612" s="1">
        <v>12.0</v>
      </c>
      <c r="C612" s="1" t="s">
        <v>68</v>
      </c>
      <c r="D612" s="1" t="s">
        <v>32</v>
      </c>
      <c r="E612" s="1" t="s">
        <v>14</v>
      </c>
      <c r="F612" s="3" t="s">
        <v>2154</v>
      </c>
      <c r="G612" s="3"/>
      <c r="H612" s="1" t="s">
        <v>2155</v>
      </c>
      <c r="I612" s="1">
        <f t="shared" si="1"/>
        <v>238.161845</v>
      </c>
      <c r="J612" s="1" t="s">
        <v>2156</v>
      </c>
      <c r="K612" s="1"/>
      <c r="L612" s="1">
        <v>1181.0</v>
      </c>
    </row>
    <row r="613">
      <c r="A613" s="1">
        <v>2020.0</v>
      </c>
      <c r="B613" s="1">
        <v>12.0</v>
      </c>
      <c r="C613" s="1" t="s">
        <v>68</v>
      </c>
      <c r="D613" s="1" t="s">
        <v>32</v>
      </c>
      <c r="E613" s="1" t="s">
        <v>21</v>
      </c>
      <c r="F613" s="1" t="s">
        <v>2157</v>
      </c>
      <c r="G613" s="1"/>
      <c r="H613" s="1" t="s">
        <v>2158</v>
      </c>
      <c r="I613" s="1">
        <f t="shared" si="1"/>
        <v>117.184238</v>
      </c>
      <c r="J613" s="1" t="s">
        <v>2159</v>
      </c>
      <c r="K613" s="1"/>
      <c r="L613" s="1">
        <v>439.0</v>
      </c>
    </row>
    <row r="614">
      <c r="A614" s="1">
        <v>2020.0</v>
      </c>
      <c r="B614" s="1">
        <v>12.0</v>
      </c>
      <c r="C614" s="1" t="s">
        <v>68</v>
      </c>
      <c r="D614" s="1" t="s">
        <v>42</v>
      </c>
      <c r="E614" s="1" t="s">
        <v>17</v>
      </c>
      <c r="F614" s="3">
        <v>14246.0</v>
      </c>
      <c r="G614" s="3"/>
      <c r="H614" s="1" t="s">
        <v>2160</v>
      </c>
      <c r="I614" s="1">
        <f t="shared" si="1"/>
        <v>159.756048</v>
      </c>
      <c r="J614" s="1" t="s">
        <v>2161</v>
      </c>
      <c r="K614" s="1"/>
      <c r="L614" s="1">
        <v>460.0</v>
      </c>
    </row>
    <row r="615">
      <c r="A615" s="1">
        <v>2020.0</v>
      </c>
      <c r="B615" s="1">
        <v>12.0</v>
      </c>
      <c r="C615" s="1" t="s">
        <v>68</v>
      </c>
      <c r="D615" s="1" t="s">
        <v>38</v>
      </c>
      <c r="E615" s="1" t="s">
        <v>39</v>
      </c>
      <c r="F615" s="3">
        <v>1469372.0</v>
      </c>
      <c r="G615" s="3"/>
      <c r="H615" s="1" t="s">
        <v>2162</v>
      </c>
      <c r="I615" s="1">
        <f t="shared" si="1"/>
        <v>134.403459</v>
      </c>
      <c r="J615" s="1" t="s">
        <v>2163</v>
      </c>
      <c r="K615" s="1"/>
      <c r="L615" s="1">
        <v>220.0</v>
      </c>
    </row>
    <row r="616">
      <c r="A616" s="1">
        <v>2020.0</v>
      </c>
      <c r="B616" s="1">
        <v>12.0</v>
      </c>
      <c r="C616" s="1" t="s">
        <v>68</v>
      </c>
      <c r="D616" s="1" t="s">
        <v>544</v>
      </c>
      <c r="E616" s="1" t="s">
        <v>17</v>
      </c>
      <c r="F616" s="1" t="s">
        <v>2164</v>
      </c>
      <c r="G616" s="1"/>
      <c r="H616" s="1" t="s">
        <v>2165</v>
      </c>
      <c r="I616" s="1">
        <f t="shared" si="1"/>
        <v>60.933021</v>
      </c>
      <c r="J616" s="1" t="s">
        <v>2166</v>
      </c>
      <c r="K616" s="1"/>
      <c r="L616" s="1">
        <v>223.0</v>
      </c>
    </row>
    <row r="617">
      <c r="A617" s="1">
        <v>2020.0</v>
      </c>
      <c r="B617" s="1">
        <v>12.0</v>
      </c>
      <c r="C617" s="1" t="s">
        <v>68</v>
      </c>
      <c r="D617" s="1" t="s">
        <v>165</v>
      </c>
      <c r="E617" s="1" t="s">
        <v>39</v>
      </c>
      <c r="F617" s="1" t="s">
        <v>2167</v>
      </c>
      <c r="G617" s="1"/>
      <c r="H617" s="1" t="s">
        <v>2168</v>
      </c>
      <c r="I617" s="1">
        <f t="shared" si="1"/>
        <v>6.713224</v>
      </c>
      <c r="J617" s="1" t="s">
        <v>1437</v>
      </c>
      <c r="K617" s="1"/>
      <c r="L617" s="1">
        <v>0.0</v>
      </c>
    </row>
    <row r="618">
      <c r="A618" s="1">
        <v>2020.0</v>
      </c>
      <c r="B618" s="1">
        <v>12.0</v>
      </c>
      <c r="C618" s="1" t="s">
        <v>68</v>
      </c>
      <c r="D618" s="1" t="s">
        <v>165</v>
      </c>
      <c r="E618" s="1" t="s">
        <v>17</v>
      </c>
      <c r="F618" s="1" t="s">
        <v>2169</v>
      </c>
      <c r="G618" s="1"/>
      <c r="H618" s="1" t="s">
        <v>2170</v>
      </c>
      <c r="I618" s="1">
        <f t="shared" si="1"/>
        <v>45.258333</v>
      </c>
      <c r="J618" s="1" t="s">
        <v>2171</v>
      </c>
      <c r="K618" s="1"/>
      <c r="L618" s="1">
        <v>0.0</v>
      </c>
    </row>
    <row r="619">
      <c r="A619" s="1">
        <v>2020.0</v>
      </c>
      <c r="B619" s="1">
        <v>12.0</v>
      </c>
      <c r="C619" s="1" t="s">
        <v>68</v>
      </c>
      <c r="D619" s="1" t="s">
        <v>48</v>
      </c>
      <c r="E619" s="1" t="s">
        <v>49</v>
      </c>
      <c r="F619" s="1" t="s">
        <v>2109</v>
      </c>
      <c r="G619" s="1"/>
      <c r="H619" s="1" t="s">
        <v>2172</v>
      </c>
      <c r="I619" s="1">
        <f t="shared" si="1"/>
        <v>1.11613</v>
      </c>
      <c r="J619" s="1" t="s">
        <v>429</v>
      </c>
      <c r="K619" s="1"/>
      <c r="L619" s="1">
        <v>2.0</v>
      </c>
    </row>
    <row r="620">
      <c r="A620" s="1">
        <v>2020.0</v>
      </c>
      <c r="B620" s="1">
        <v>12.0</v>
      </c>
      <c r="C620" s="1" t="s">
        <v>68</v>
      </c>
      <c r="D620" s="1" t="s">
        <v>48</v>
      </c>
      <c r="E620" s="1" t="s">
        <v>21</v>
      </c>
      <c r="F620" s="1" t="s">
        <v>2173</v>
      </c>
      <c r="G620" s="1"/>
      <c r="H620" s="1" t="s">
        <v>2174</v>
      </c>
      <c r="I620" s="1">
        <f t="shared" si="1"/>
        <v>35.861902</v>
      </c>
      <c r="J620" s="1" t="s">
        <v>2175</v>
      </c>
      <c r="K620" s="1"/>
      <c r="L620" s="1">
        <v>212.0</v>
      </c>
    </row>
    <row r="621">
      <c r="A621" s="1">
        <v>2020.0</v>
      </c>
      <c r="B621" s="1">
        <v>12.0</v>
      </c>
      <c r="C621" s="1" t="s">
        <v>68</v>
      </c>
      <c r="D621" s="1" t="s">
        <v>2176</v>
      </c>
      <c r="E621" s="1" t="s">
        <v>17</v>
      </c>
      <c r="F621" s="1" t="s">
        <v>2177</v>
      </c>
      <c r="G621" s="1"/>
      <c r="H621" s="1" t="s">
        <v>2178</v>
      </c>
      <c r="I621" s="1">
        <f t="shared" si="1"/>
        <v>35.519099</v>
      </c>
      <c r="J621" s="1" t="s">
        <v>2179</v>
      </c>
      <c r="K621" s="1"/>
      <c r="L621" s="1">
        <v>0.0</v>
      </c>
    </row>
    <row r="622">
      <c r="A622" s="1">
        <v>2020.0</v>
      </c>
      <c r="B622" s="1">
        <v>12.0</v>
      </c>
      <c r="C622" s="1" t="s">
        <v>116</v>
      </c>
      <c r="D622" s="1" t="s">
        <v>13</v>
      </c>
      <c r="E622" s="1" t="s">
        <v>14</v>
      </c>
      <c r="F622" s="1" t="s">
        <v>2180</v>
      </c>
      <c r="G622" s="1"/>
      <c r="H622" s="1" t="s">
        <v>2181</v>
      </c>
      <c r="I622" s="1">
        <f t="shared" si="1"/>
        <v>7039.56404</v>
      </c>
      <c r="J622" s="1" t="s">
        <v>2182</v>
      </c>
      <c r="K622" s="1"/>
      <c r="L622" s="1">
        <v>11727.0</v>
      </c>
    </row>
    <row r="623">
      <c r="A623" s="1">
        <v>2020.0</v>
      </c>
      <c r="B623" s="1">
        <v>12.0</v>
      </c>
      <c r="C623" s="1" t="s">
        <v>116</v>
      </c>
      <c r="D623" s="1" t="s">
        <v>13</v>
      </c>
      <c r="E623" s="1" t="s">
        <v>17</v>
      </c>
      <c r="F623" s="1" t="s">
        <v>2183</v>
      </c>
      <c r="G623" s="1"/>
      <c r="H623" s="1" t="s">
        <v>2184</v>
      </c>
      <c r="I623" s="1">
        <f t="shared" si="1"/>
        <v>10476.18569</v>
      </c>
      <c r="J623" s="1" t="s">
        <v>2185</v>
      </c>
      <c r="K623" s="1"/>
      <c r="L623" s="1">
        <v>15236.0</v>
      </c>
    </row>
    <row r="624">
      <c r="A624" s="1">
        <v>2020.0</v>
      </c>
      <c r="B624" s="1">
        <v>12.0</v>
      </c>
      <c r="C624" s="1" t="s">
        <v>116</v>
      </c>
      <c r="D624" s="1" t="s">
        <v>13</v>
      </c>
      <c r="E624" s="1" t="s">
        <v>21</v>
      </c>
      <c r="F624" s="3">
        <v>1991913.0</v>
      </c>
      <c r="G624" s="3"/>
      <c r="H624" s="1" t="s">
        <v>2186</v>
      </c>
      <c r="I624" s="1">
        <f t="shared" si="1"/>
        <v>1248.6311</v>
      </c>
      <c r="J624" s="3">
        <v>2474610.0</v>
      </c>
      <c r="K624" s="3"/>
      <c r="L624" s="1">
        <v>1006.0</v>
      </c>
    </row>
    <row r="625">
      <c r="A625" s="1">
        <v>2020.0</v>
      </c>
      <c r="B625" s="1">
        <v>12.0</v>
      </c>
      <c r="C625" s="1" t="s">
        <v>116</v>
      </c>
      <c r="D625" s="1" t="s">
        <v>13</v>
      </c>
      <c r="E625" s="1" t="s">
        <v>25</v>
      </c>
      <c r="F625" s="1" t="s">
        <v>2187</v>
      </c>
      <c r="G625" s="1"/>
      <c r="H625" s="1" t="s">
        <v>2188</v>
      </c>
      <c r="I625" s="1">
        <f t="shared" si="1"/>
        <v>12.065848</v>
      </c>
      <c r="J625" s="1" t="s">
        <v>992</v>
      </c>
      <c r="K625" s="1"/>
      <c r="L625" s="1">
        <v>45.0</v>
      </c>
    </row>
    <row r="626">
      <c r="A626" s="1">
        <v>2020.0</v>
      </c>
      <c r="B626" s="1">
        <v>12.0</v>
      </c>
      <c r="C626" s="1" t="s">
        <v>116</v>
      </c>
      <c r="D626" s="1" t="s">
        <v>29</v>
      </c>
      <c r="E626" s="1" t="s">
        <v>14</v>
      </c>
      <c r="F626" s="1" t="s">
        <v>1331</v>
      </c>
      <c r="G626" s="1"/>
      <c r="H626" s="1" t="s">
        <v>2189</v>
      </c>
      <c r="I626" s="1">
        <f t="shared" si="1"/>
        <v>0.49345</v>
      </c>
      <c r="J626" s="1" t="s">
        <v>429</v>
      </c>
      <c r="K626" s="1"/>
      <c r="L626" s="1">
        <v>2.0</v>
      </c>
    </row>
    <row r="627">
      <c r="A627" s="1">
        <v>2020.0</v>
      </c>
      <c r="B627" s="1">
        <v>12.0</v>
      </c>
      <c r="C627" s="1" t="s">
        <v>116</v>
      </c>
      <c r="D627" s="1" t="s">
        <v>29</v>
      </c>
      <c r="E627" s="1" t="s">
        <v>21</v>
      </c>
      <c r="F627" s="1" t="s">
        <v>2190</v>
      </c>
      <c r="G627" s="1"/>
      <c r="H627" s="1" t="s">
        <v>2191</v>
      </c>
      <c r="I627" s="1">
        <f t="shared" si="1"/>
        <v>4973.572214</v>
      </c>
      <c r="J627" s="3">
        <v>2927298.0</v>
      </c>
      <c r="K627" s="3"/>
      <c r="L627" s="1">
        <v>1907.0</v>
      </c>
    </row>
    <row r="628">
      <c r="A628" s="1">
        <v>2020.0</v>
      </c>
      <c r="B628" s="1">
        <v>12.0</v>
      </c>
      <c r="C628" s="1" t="s">
        <v>116</v>
      </c>
      <c r="D628" s="1" t="s">
        <v>45</v>
      </c>
      <c r="E628" s="1" t="s">
        <v>17</v>
      </c>
      <c r="F628" s="1" t="s">
        <v>2192</v>
      </c>
      <c r="G628" s="1"/>
      <c r="H628" s="1" t="s">
        <v>2193</v>
      </c>
      <c r="I628" s="1">
        <f t="shared" si="1"/>
        <v>1362.937588</v>
      </c>
      <c r="J628" s="3">
        <v>1206549.0</v>
      </c>
      <c r="K628" s="3"/>
      <c r="L628" s="1">
        <v>2078.0</v>
      </c>
    </row>
    <row r="629">
      <c r="A629" s="1">
        <v>2020.0</v>
      </c>
      <c r="B629" s="1">
        <v>12.0</v>
      </c>
      <c r="C629" s="1" t="s">
        <v>116</v>
      </c>
      <c r="D629" s="1" t="s">
        <v>32</v>
      </c>
      <c r="E629" s="1" t="s">
        <v>14</v>
      </c>
      <c r="F629" s="3" t="s">
        <v>2194</v>
      </c>
      <c r="G629" s="3"/>
      <c r="H629" s="1" t="s">
        <v>2195</v>
      </c>
      <c r="I629" s="1">
        <f t="shared" si="1"/>
        <v>297.628508</v>
      </c>
      <c r="J629" s="3" t="s">
        <v>2196</v>
      </c>
      <c r="K629" s="3"/>
      <c r="L629" s="1">
        <v>1031.0</v>
      </c>
    </row>
    <row r="630">
      <c r="A630" s="1">
        <v>2020.0</v>
      </c>
      <c r="B630" s="1">
        <v>12.0</v>
      </c>
      <c r="C630" s="1" t="s">
        <v>116</v>
      </c>
      <c r="D630" s="1" t="s">
        <v>32</v>
      </c>
      <c r="E630" s="1" t="s">
        <v>72</v>
      </c>
      <c r="F630" s="1" t="s">
        <v>2197</v>
      </c>
      <c r="G630" s="1"/>
      <c r="H630" s="1" t="s">
        <v>2198</v>
      </c>
      <c r="I630" s="1">
        <f t="shared" si="1"/>
        <v>0.852696</v>
      </c>
      <c r="J630" s="1" t="s">
        <v>880</v>
      </c>
      <c r="K630" s="1"/>
      <c r="L630" s="1">
        <v>9.0</v>
      </c>
    </row>
    <row r="631">
      <c r="A631" s="1">
        <v>2020.0</v>
      </c>
      <c r="B631" s="1">
        <v>12.0</v>
      </c>
      <c r="C631" s="1" t="s">
        <v>116</v>
      </c>
      <c r="D631" s="1" t="s">
        <v>32</v>
      </c>
      <c r="E631" s="1" t="s">
        <v>21</v>
      </c>
      <c r="F631" s="3">
        <v>62610.0</v>
      </c>
      <c r="G631" s="3"/>
      <c r="H631" s="1" t="s">
        <v>2199</v>
      </c>
      <c r="I631" s="1">
        <f t="shared" si="1"/>
        <v>923.409919</v>
      </c>
      <c r="J631" s="3">
        <v>2202810.0</v>
      </c>
      <c r="K631" s="3"/>
      <c r="L631" s="1">
        <v>2067.0</v>
      </c>
    </row>
    <row r="632">
      <c r="A632" s="1">
        <v>2020.0</v>
      </c>
      <c r="B632" s="1">
        <v>12.0</v>
      </c>
      <c r="C632" s="1" t="s">
        <v>116</v>
      </c>
      <c r="D632" s="1" t="s">
        <v>147</v>
      </c>
      <c r="E632" s="1" t="s">
        <v>39</v>
      </c>
      <c r="F632" s="3">
        <v>357210.0</v>
      </c>
      <c r="G632" s="3"/>
      <c r="H632" s="1" t="s">
        <v>2200</v>
      </c>
      <c r="I632" s="1">
        <f t="shared" si="1"/>
        <v>365.322427</v>
      </c>
      <c r="J632" s="1" t="s">
        <v>2201</v>
      </c>
      <c r="K632" s="1"/>
      <c r="L632" s="1">
        <v>107.0</v>
      </c>
    </row>
    <row r="633">
      <c r="A633" s="1">
        <v>2020.0</v>
      </c>
      <c r="B633" s="1">
        <v>12.0</v>
      </c>
      <c r="C633" s="1" t="s">
        <v>116</v>
      </c>
      <c r="D633" s="1" t="s">
        <v>147</v>
      </c>
      <c r="E633" s="1" t="s">
        <v>17</v>
      </c>
      <c r="F633" s="1" t="s">
        <v>2202</v>
      </c>
      <c r="G633" s="1"/>
      <c r="H633" s="1" t="s">
        <v>2203</v>
      </c>
      <c r="I633" s="1">
        <f t="shared" si="1"/>
        <v>5.839443</v>
      </c>
      <c r="J633" s="1" t="s">
        <v>2204</v>
      </c>
      <c r="K633" s="1"/>
      <c r="L633" s="1">
        <v>8.0</v>
      </c>
    </row>
    <row r="634">
      <c r="A634" s="1">
        <v>2020.0</v>
      </c>
      <c r="B634" s="1">
        <v>12.0</v>
      </c>
      <c r="C634" s="1" t="s">
        <v>116</v>
      </c>
      <c r="D634" s="1" t="s">
        <v>147</v>
      </c>
      <c r="E634" s="1" t="s">
        <v>21</v>
      </c>
      <c r="F634" s="1" t="s">
        <v>2205</v>
      </c>
      <c r="G634" s="1"/>
      <c r="H634" s="1" t="s">
        <v>2206</v>
      </c>
      <c r="I634" s="1">
        <f t="shared" si="1"/>
        <v>42.079687</v>
      </c>
      <c r="J634" s="1" t="s">
        <v>2207</v>
      </c>
      <c r="K634" s="1"/>
      <c r="L634" s="1">
        <v>56.0</v>
      </c>
    </row>
    <row r="635">
      <c r="A635" s="1">
        <v>2020.0</v>
      </c>
      <c r="B635" s="1">
        <v>12.0</v>
      </c>
      <c r="C635" s="1" t="s">
        <v>116</v>
      </c>
      <c r="D635" s="1" t="s">
        <v>42</v>
      </c>
      <c r="E635" s="1" t="s">
        <v>17</v>
      </c>
      <c r="F635" s="3">
        <v>31079.0</v>
      </c>
      <c r="G635" s="3"/>
      <c r="H635" s="1" t="s">
        <v>2208</v>
      </c>
      <c r="I635" s="1">
        <f t="shared" si="1"/>
        <v>309.219405</v>
      </c>
      <c r="J635" s="1" t="s">
        <v>2209</v>
      </c>
      <c r="K635" s="1"/>
      <c r="L635" s="1">
        <v>511.0</v>
      </c>
    </row>
    <row r="636">
      <c r="A636" s="1">
        <v>2020.0</v>
      </c>
      <c r="B636" s="1">
        <v>12.0</v>
      </c>
      <c r="C636" s="1" t="s">
        <v>116</v>
      </c>
      <c r="D636" s="1" t="s">
        <v>158</v>
      </c>
      <c r="E636" s="1" t="s">
        <v>39</v>
      </c>
      <c r="F636" s="1" t="s">
        <v>376</v>
      </c>
      <c r="G636" s="1"/>
      <c r="H636" s="1" t="s">
        <v>2210</v>
      </c>
      <c r="I636" s="1">
        <f t="shared" si="1"/>
        <v>0.094354</v>
      </c>
      <c r="J636" s="1" t="s">
        <v>596</v>
      </c>
      <c r="K636" s="1"/>
      <c r="L636" s="1">
        <v>0.0</v>
      </c>
    </row>
    <row r="637">
      <c r="A637" s="1">
        <v>2020.0</v>
      </c>
      <c r="B637" s="1">
        <v>12.0</v>
      </c>
      <c r="C637" s="1" t="s">
        <v>116</v>
      </c>
      <c r="D637" s="1" t="s">
        <v>158</v>
      </c>
      <c r="E637" s="1" t="s">
        <v>17</v>
      </c>
      <c r="F637" s="1" t="s">
        <v>2211</v>
      </c>
      <c r="G637" s="1"/>
      <c r="H637" s="1" t="s">
        <v>2212</v>
      </c>
      <c r="I637" s="1">
        <f t="shared" si="1"/>
        <v>33.376419</v>
      </c>
      <c r="J637" s="1" t="s">
        <v>2213</v>
      </c>
      <c r="K637" s="1"/>
      <c r="L637" s="1">
        <v>0.0</v>
      </c>
    </row>
    <row r="638">
      <c r="A638" s="1">
        <v>2020.0</v>
      </c>
      <c r="B638" s="1">
        <v>12.0</v>
      </c>
      <c r="C638" s="1" t="s">
        <v>116</v>
      </c>
      <c r="D638" s="1" t="s">
        <v>158</v>
      </c>
      <c r="E638" s="1" t="s">
        <v>21</v>
      </c>
      <c r="F638" s="1" t="s">
        <v>2214</v>
      </c>
      <c r="G638" s="1"/>
      <c r="H638" s="1" t="s">
        <v>2215</v>
      </c>
      <c r="I638" s="1">
        <f t="shared" si="1"/>
        <v>232.877716</v>
      </c>
      <c r="J638" s="1" t="s">
        <v>2216</v>
      </c>
      <c r="K638" s="1"/>
      <c r="L638" s="1">
        <v>0.0</v>
      </c>
    </row>
    <row r="639">
      <c r="A639" s="1">
        <v>2020.0</v>
      </c>
      <c r="B639" s="1">
        <v>12.0</v>
      </c>
      <c r="C639" s="1" t="s">
        <v>116</v>
      </c>
      <c r="D639" s="1" t="s">
        <v>165</v>
      </c>
      <c r="E639" s="1" t="s">
        <v>39</v>
      </c>
      <c r="F639" s="1" t="s">
        <v>1476</v>
      </c>
      <c r="G639" s="1"/>
      <c r="H639" s="1" t="s">
        <v>2218</v>
      </c>
      <c r="I639" s="1">
        <f t="shared" si="1"/>
        <v>63.560267</v>
      </c>
      <c r="J639" s="1" t="s">
        <v>1478</v>
      </c>
      <c r="K639" s="1"/>
      <c r="L639" s="1">
        <v>81.0</v>
      </c>
    </row>
    <row r="640">
      <c r="A640" s="1">
        <v>2020.0</v>
      </c>
      <c r="B640" s="1">
        <v>12.0</v>
      </c>
      <c r="C640" s="1" t="s">
        <v>116</v>
      </c>
      <c r="D640" s="1" t="s">
        <v>165</v>
      </c>
      <c r="E640" s="1" t="s">
        <v>17</v>
      </c>
      <c r="F640" s="1" t="s">
        <v>2219</v>
      </c>
      <c r="G640" s="1"/>
      <c r="H640" s="1" t="s">
        <v>2220</v>
      </c>
      <c r="I640" s="1">
        <f t="shared" si="1"/>
        <v>174.461142</v>
      </c>
      <c r="J640" s="1" t="s">
        <v>1102</v>
      </c>
      <c r="K640" s="1"/>
      <c r="L640" s="1">
        <v>87.0</v>
      </c>
    </row>
    <row r="641">
      <c r="A641" s="1">
        <v>2020.0</v>
      </c>
      <c r="B641" s="1">
        <v>12.0</v>
      </c>
      <c r="C641" s="1" t="s">
        <v>116</v>
      </c>
      <c r="D641" s="1" t="s">
        <v>102</v>
      </c>
      <c r="E641" s="1" t="s">
        <v>17</v>
      </c>
      <c r="F641" s="1" t="s">
        <v>376</v>
      </c>
      <c r="G641" s="1"/>
      <c r="H641" s="1" t="s">
        <v>2221</v>
      </c>
      <c r="I641" s="1">
        <f t="shared" si="1"/>
        <v>0.073136</v>
      </c>
      <c r="J641" s="1" t="s">
        <v>596</v>
      </c>
      <c r="K641" s="1"/>
      <c r="L641" s="1">
        <v>1.0</v>
      </c>
    </row>
    <row r="642">
      <c r="A642" s="1">
        <v>2020.0</v>
      </c>
      <c r="B642" s="1">
        <v>12.0</v>
      </c>
      <c r="C642" s="1" t="s">
        <v>116</v>
      </c>
      <c r="D642" s="1" t="s">
        <v>102</v>
      </c>
      <c r="E642" s="1" t="s">
        <v>21</v>
      </c>
      <c r="F642" s="1" t="s">
        <v>250</v>
      </c>
      <c r="G642" s="1"/>
      <c r="H642" s="1" t="s">
        <v>2222</v>
      </c>
      <c r="I642" s="1">
        <f t="shared" si="1"/>
        <v>191.647874</v>
      </c>
      <c r="J642" s="1" t="s">
        <v>965</v>
      </c>
      <c r="K642" s="1"/>
      <c r="L642" s="1">
        <v>124.0</v>
      </c>
    </row>
    <row r="643">
      <c r="A643" s="1">
        <v>2020.0</v>
      </c>
      <c r="B643" s="1">
        <v>12.0</v>
      </c>
      <c r="C643" s="1" t="s">
        <v>116</v>
      </c>
      <c r="D643" s="1" t="s">
        <v>1949</v>
      </c>
      <c r="E643" s="1" t="s">
        <v>14</v>
      </c>
      <c r="F643" s="1" t="s">
        <v>2223</v>
      </c>
      <c r="G643" s="1"/>
      <c r="H643" s="1" t="s">
        <v>2224</v>
      </c>
      <c r="I643" s="1">
        <f t="shared" si="1"/>
        <v>35.958112</v>
      </c>
      <c r="J643" s="1" t="s">
        <v>2225</v>
      </c>
      <c r="K643" s="1"/>
      <c r="L643" s="1">
        <v>0.0</v>
      </c>
    </row>
    <row r="644">
      <c r="A644" s="1">
        <v>2020.0</v>
      </c>
      <c r="B644" s="1">
        <v>12.0</v>
      </c>
      <c r="C644" s="1" t="s">
        <v>116</v>
      </c>
      <c r="D644" s="1" t="s">
        <v>1949</v>
      </c>
      <c r="E644" s="1" t="s">
        <v>17</v>
      </c>
      <c r="F644" s="1" t="s">
        <v>2226</v>
      </c>
      <c r="G644" s="1"/>
      <c r="H644" s="1" t="s">
        <v>2227</v>
      </c>
      <c r="I644" s="1">
        <f t="shared" si="1"/>
        <v>140.160417</v>
      </c>
      <c r="J644" s="1" t="s">
        <v>2228</v>
      </c>
      <c r="K644" s="1"/>
      <c r="L644" s="1">
        <v>0.0</v>
      </c>
    </row>
    <row r="645">
      <c r="A645" s="1">
        <v>2020.0</v>
      </c>
      <c r="B645" s="1">
        <v>10.0</v>
      </c>
      <c r="C645" s="1" t="s">
        <v>12</v>
      </c>
      <c r="D645" s="1" t="s">
        <v>13</v>
      </c>
      <c r="E645" s="1" t="s">
        <v>2230</v>
      </c>
      <c r="F645" s="1" t="s">
        <v>2231</v>
      </c>
      <c r="G645" s="1"/>
      <c r="H645" s="1" t="s">
        <v>2232</v>
      </c>
      <c r="I645" s="1">
        <f t="shared" si="1"/>
        <v>41.856</v>
      </c>
      <c r="J645" s="1" t="s">
        <v>2233</v>
      </c>
      <c r="K645" s="1"/>
      <c r="L645" s="1">
        <v>13.0</v>
      </c>
    </row>
    <row r="646">
      <c r="A646" s="1">
        <v>2020.0</v>
      </c>
      <c r="B646" s="1">
        <v>10.0</v>
      </c>
      <c r="C646" s="1" t="s">
        <v>68</v>
      </c>
      <c r="D646" s="1" t="s">
        <v>13</v>
      </c>
      <c r="E646" s="1" t="s">
        <v>2230</v>
      </c>
      <c r="F646" s="3">
        <v>59172.0</v>
      </c>
      <c r="G646" s="3"/>
      <c r="H646" s="1" t="s">
        <v>2234</v>
      </c>
      <c r="I646" s="1">
        <f t="shared" si="1"/>
        <v>76.9093</v>
      </c>
      <c r="J646" s="1" t="s">
        <v>1089</v>
      </c>
      <c r="K646" s="1"/>
      <c r="L646" s="1">
        <v>367.0</v>
      </c>
    </row>
    <row r="647">
      <c r="A647" s="1">
        <v>2020.0</v>
      </c>
      <c r="B647" s="1">
        <v>10.0</v>
      </c>
      <c r="C647" s="1" t="s">
        <v>116</v>
      </c>
      <c r="D647" s="1" t="s">
        <v>13</v>
      </c>
      <c r="E647" s="1" t="s">
        <v>2230</v>
      </c>
      <c r="F647" s="3">
        <v>987648.0</v>
      </c>
      <c r="G647" s="3"/>
      <c r="H647" s="1" t="s">
        <v>2235</v>
      </c>
      <c r="I647" s="1">
        <f t="shared" si="1"/>
        <v>151.083</v>
      </c>
      <c r="J647" s="1" t="s">
        <v>2237</v>
      </c>
      <c r="K647" s="1"/>
      <c r="L647" s="1">
        <v>271.0</v>
      </c>
    </row>
    <row r="648">
      <c r="A648" s="1">
        <v>2020.0</v>
      </c>
      <c r="B648" s="1">
        <v>11.0</v>
      </c>
      <c r="C648" s="1" t="s">
        <v>12</v>
      </c>
      <c r="D648" s="1" t="s">
        <v>13</v>
      </c>
      <c r="E648" s="1" t="s">
        <v>2230</v>
      </c>
      <c r="F648" s="3">
        <v>1028190.0</v>
      </c>
      <c r="G648" s="3"/>
      <c r="H648" s="1" t="s">
        <v>2238</v>
      </c>
      <c r="I648" s="1">
        <f t="shared" si="1"/>
        <v>173.9148</v>
      </c>
      <c r="J648" s="1" t="s">
        <v>2239</v>
      </c>
      <c r="K648" s="1"/>
      <c r="L648" s="1">
        <v>170.0</v>
      </c>
    </row>
    <row r="649">
      <c r="A649" s="1">
        <v>2020.0</v>
      </c>
      <c r="B649" s="1">
        <v>11.0</v>
      </c>
      <c r="C649" s="1" t="s">
        <v>68</v>
      </c>
      <c r="D649" s="1" t="s">
        <v>13</v>
      </c>
      <c r="E649" s="1" t="s">
        <v>2230</v>
      </c>
      <c r="F649" s="1" t="s">
        <v>2240</v>
      </c>
      <c r="G649" s="1"/>
      <c r="H649" s="1" t="s">
        <v>2241</v>
      </c>
      <c r="I649" s="1">
        <f t="shared" si="1"/>
        <v>1109.3931</v>
      </c>
      <c r="J649" s="3">
        <v>1328448.0</v>
      </c>
      <c r="K649" s="3"/>
      <c r="L649" s="1">
        <v>1713.0</v>
      </c>
    </row>
    <row r="650">
      <c r="A650" s="1">
        <v>2020.0</v>
      </c>
      <c r="B650" s="1">
        <v>11.0</v>
      </c>
      <c r="C650" s="1" t="s">
        <v>116</v>
      </c>
      <c r="D650" s="1" t="s">
        <v>13</v>
      </c>
      <c r="E650" s="1" t="s">
        <v>2230</v>
      </c>
      <c r="F650" s="1" t="s">
        <v>2242</v>
      </c>
      <c r="G650" s="1"/>
      <c r="H650" s="1" t="s">
        <v>2243</v>
      </c>
      <c r="I650" s="1">
        <f t="shared" si="1"/>
        <v>1317.4916</v>
      </c>
      <c r="J650" s="3">
        <v>2135634.0</v>
      </c>
      <c r="K650" s="3"/>
      <c r="L650" s="1">
        <v>1607.0</v>
      </c>
    </row>
    <row r="651">
      <c r="A651" s="1">
        <v>2020.0</v>
      </c>
      <c r="B651" s="1">
        <v>12.0</v>
      </c>
      <c r="C651" s="1" t="s">
        <v>12</v>
      </c>
      <c r="D651" s="1" t="s">
        <v>13</v>
      </c>
      <c r="E651" s="1" t="s">
        <v>2230</v>
      </c>
      <c r="F651" s="1" t="s">
        <v>2244</v>
      </c>
      <c r="G651" s="1"/>
      <c r="H651" s="1" t="s">
        <v>2245</v>
      </c>
      <c r="I651" s="1">
        <f t="shared" si="1"/>
        <v>2267.3183</v>
      </c>
      <c r="J651" s="3">
        <v>699988.0</v>
      </c>
      <c r="K651" s="3"/>
      <c r="L651" s="1">
        <v>468.0</v>
      </c>
    </row>
    <row r="652">
      <c r="A652" s="1">
        <v>2020.0</v>
      </c>
      <c r="B652" s="1">
        <v>12.0</v>
      </c>
      <c r="C652" s="1" t="s">
        <v>68</v>
      </c>
      <c r="D652" s="1" t="s">
        <v>13</v>
      </c>
      <c r="E652" s="1" t="s">
        <v>2230</v>
      </c>
      <c r="F652" s="1" t="s">
        <v>2246</v>
      </c>
      <c r="G652" s="1"/>
      <c r="H652" s="1" t="s">
        <v>2247</v>
      </c>
      <c r="I652" s="1">
        <f t="shared" si="1"/>
        <v>1371.255</v>
      </c>
      <c r="J652" s="3" t="s">
        <v>2248</v>
      </c>
      <c r="K652" s="3"/>
      <c r="L652" s="1">
        <v>1889.0</v>
      </c>
    </row>
    <row r="653">
      <c r="A653" s="1">
        <v>2020.0</v>
      </c>
      <c r="B653" s="1">
        <v>12.0</v>
      </c>
      <c r="C653" s="1" t="s">
        <v>116</v>
      </c>
      <c r="D653" s="1" t="s">
        <v>13</v>
      </c>
      <c r="E653" s="1" t="s">
        <v>2230</v>
      </c>
      <c r="F653" s="1" t="s">
        <v>2249</v>
      </c>
      <c r="G653" s="1"/>
      <c r="H653" s="1" t="s">
        <v>2250</v>
      </c>
      <c r="I653" s="1">
        <f t="shared" si="1"/>
        <v>2642.1648</v>
      </c>
      <c r="J653" s="3" t="s">
        <v>2251</v>
      </c>
      <c r="K653" s="3"/>
      <c r="L653" s="1">
        <v>2079.0</v>
      </c>
    </row>
    <row r="654">
      <c r="A654" s="1">
        <v>2019.0</v>
      </c>
      <c r="B654" s="1">
        <v>1.0</v>
      </c>
      <c r="C654" s="1" t="s">
        <v>12</v>
      </c>
      <c r="D654" s="1" t="s">
        <v>13</v>
      </c>
      <c r="E654" s="1" t="s">
        <v>17</v>
      </c>
      <c r="F654" s="1">
        <v>100.0</v>
      </c>
      <c r="G654" s="1"/>
      <c r="H654" s="1">
        <v>10000.0</v>
      </c>
      <c r="I654" s="1">
        <f t="shared" si="1"/>
        <v>10000</v>
      </c>
      <c r="J654" s="1">
        <v>1000.0</v>
      </c>
      <c r="K654" s="1"/>
      <c r="L654" s="1" t="s">
        <v>2252</v>
      </c>
    </row>
    <row r="655">
      <c r="A655" s="1">
        <v>2019.0</v>
      </c>
      <c r="B655" s="1">
        <v>1.0</v>
      </c>
      <c r="C655" s="1" t="s">
        <v>12</v>
      </c>
      <c r="D655" s="1" t="s">
        <v>13</v>
      </c>
      <c r="E655" s="1" t="s">
        <v>21</v>
      </c>
      <c r="F655" s="1">
        <v>100.0</v>
      </c>
      <c r="G655" s="1"/>
      <c r="H655" s="1">
        <v>10000.0</v>
      </c>
      <c r="I655" s="1">
        <f t="shared" si="1"/>
        <v>10000</v>
      </c>
      <c r="J655" s="1">
        <v>1000.0</v>
      </c>
      <c r="K655" s="1"/>
      <c r="L655" s="1" t="s">
        <v>2252</v>
      </c>
    </row>
    <row r="656">
      <c r="A656" s="1">
        <v>2019.0</v>
      </c>
      <c r="B656" s="1">
        <v>1.0</v>
      </c>
      <c r="C656" s="1" t="s">
        <v>12</v>
      </c>
      <c r="D656" s="1" t="s">
        <v>13</v>
      </c>
      <c r="E656" s="1" t="s">
        <v>25</v>
      </c>
      <c r="F656" s="1">
        <v>100.0</v>
      </c>
      <c r="G656" s="1"/>
      <c r="H656" s="1">
        <v>10000.0</v>
      </c>
      <c r="I656" s="1">
        <f t="shared" si="1"/>
        <v>10000</v>
      </c>
      <c r="J656" s="1">
        <v>1000.0</v>
      </c>
      <c r="K656" s="1"/>
      <c r="L656" s="1" t="s">
        <v>2252</v>
      </c>
    </row>
    <row r="657">
      <c r="A657" s="1">
        <v>2019.0</v>
      </c>
      <c r="B657" s="1">
        <v>1.0</v>
      </c>
      <c r="C657" s="1" t="s">
        <v>12</v>
      </c>
      <c r="D657" s="1" t="s">
        <v>29</v>
      </c>
      <c r="E657" s="1" t="s">
        <v>21</v>
      </c>
      <c r="F657" s="1">
        <v>100.0</v>
      </c>
      <c r="G657" s="1"/>
      <c r="H657" s="1">
        <v>10000.0</v>
      </c>
      <c r="I657" s="1">
        <f t="shared" si="1"/>
        <v>10000</v>
      </c>
      <c r="J657" s="1">
        <v>1000.0</v>
      </c>
      <c r="K657" s="1"/>
      <c r="L657" s="1" t="s">
        <v>2252</v>
      </c>
    </row>
    <row r="658">
      <c r="A658" s="1">
        <v>2019.0</v>
      </c>
      <c r="B658" s="1">
        <v>1.0</v>
      </c>
      <c r="C658" s="1" t="s">
        <v>12</v>
      </c>
      <c r="D658" s="1" t="s">
        <v>32</v>
      </c>
      <c r="E658" s="1" t="s">
        <v>14</v>
      </c>
      <c r="F658" s="1">
        <v>100.0</v>
      </c>
      <c r="G658" s="1"/>
      <c r="H658" s="1">
        <v>10000.0</v>
      </c>
      <c r="I658" s="1">
        <f t="shared" si="1"/>
        <v>10000</v>
      </c>
      <c r="J658" s="1">
        <v>1000.0</v>
      </c>
      <c r="K658" s="1"/>
      <c r="L658" s="1" t="s">
        <v>2252</v>
      </c>
    </row>
    <row r="659">
      <c r="A659" s="1">
        <v>2019.0</v>
      </c>
      <c r="B659" s="1">
        <v>1.0</v>
      </c>
      <c r="C659" s="1" t="s">
        <v>12</v>
      </c>
      <c r="D659" s="1" t="s">
        <v>32</v>
      </c>
      <c r="E659" s="1" t="s">
        <v>21</v>
      </c>
      <c r="F659" s="1">
        <v>100.0</v>
      </c>
      <c r="G659" s="1"/>
      <c r="H659" s="1">
        <v>10000.0</v>
      </c>
      <c r="I659" s="1">
        <f t="shared" si="1"/>
        <v>10000</v>
      </c>
      <c r="J659" s="1">
        <v>1000.0</v>
      </c>
      <c r="K659" s="1"/>
      <c r="L659" s="1" t="s">
        <v>2252</v>
      </c>
    </row>
    <row r="660">
      <c r="A660" s="1">
        <v>2019.0</v>
      </c>
      <c r="B660" s="1">
        <v>1.0</v>
      </c>
      <c r="C660" s="1" t="s">
        <v>12</v>
      </c>
      <c r="D660" s="1" t="s">
        <v>38</v>
      </c>
      <c r="E660" s="1" t="s">
        <v>39</v>
      </c>
      <c r="F660" s="1">
        <v>100.0</v>
      </c>
      <c r="G660" s="1"/>
      <c r="H660" s="1">
        <v>10000.0</v>
      </c>
      <c r="I660" s="1">
        <f t="shared" si="1"/>
        <v>10000</v>
      </c>
      <c r="J660" s="1">
        <v>1000.0</v>
      </c>
      <c r="K660" s="1"/>
      <c r="L660" s="1" t="s">
        <v>2252</v>
      </c>
    </row>
    <row r="661">
      <c r="A661" s="1">
        <v>2019.0</v>
      </c>
      <c r="B661" s="1">
        <v>1.0</v>
      </c>
      <c r="C661" s="1" t="s">
        <v>12</v>
      </c>
      <c r="D661" s="1" t="s">
        <v>56</v>
      </c>
      <c r="E661" s="1" t="s">
        <v>21</v>
      </c>
      <c r="F661" s="1">
        <v>100.0</v>
      </c>
      <c r="G661" s="1"/>
      <c r="H661" s="1">
        <v>10000.0</v>
      </c>
      <c r="I661" s="1">
        <f t="shared" si="1"/>
        <v>10000</v>
      </c>
      <c r="J661" s="1">
        <v>1000.0</v>
      </c>
      <c r="K661" s="1"/>
      <c r="L661" s="1" t="s">
        <v>2252</v>
      </c>
    </row>
    <row r="662">
      <c r="A662" s="1">
        <v>2019.0</v>
      </c>
      <c r="B662" s="1">
        <v>1.0</v>
      </c>
      <c r="C662" s="1" t="s">
        <v>12</v>
      </c>
      <c r="D662" s="1" t="s">
        <v>64</v>
      </c>
      <c r="E662" s="1" t="s">
        <v>14</v>
      </c>
      <c r="F662" s="1">
        <v>100.0</v>
      </c>
      <c r="G662" s="1"/>
      <c r="H662" s="1">
        <v>10000.0</v>
      </c>
      <c r="I662" s="1">
        <f t="shared" si="1"/>
        <v>10000</v>
      </c>
      <c r="J662" s="1">
        <v>1000.0</v>
      </c>
      <c r="K662" s="1"/>
      <c r="L662" s="1" t="s">
        <v>2252</v>
      </c>
    </row>
    <row r="663">
      <c r="A663" s="1">
        <v>2019.0</v>
      </c>
      <c r="B663" s="1">
        <v>1.0</v>
      </c>
      <c r="C663" s="1" t="s">
        <v>12</v>
      </c>
      <c r="D663" s="1" t="s">
        <v>64</v>
      </c>
      <c r="E663" s="1" t="s">
        <v>21</v>
      </c>
      <c r="F663" s="1">
        <v>100.0</v>
      </c>
      <c r="G663" s="1"/>
      <c r="H663" s="1">
        <v>10000.0</v>
      </c>
      <c r="I663" s="1">
        <f t="shared" si="1"/>
        <v>10000</v>
      </c>
      <c r="J663" s="1">
        <v>1000.0</v>
      </c>
      <c r="K663" s="1"/>
      <c r="L663" s="1" t="s">
        <v>2252</v>
      </c>
    </row>
    <row r="664">
      <c r="A664" s="1">
        <v>2019.0</v>
      </c>
      <c r="B664" s="1">
        <v>1.0</v>
      </c>
      <c r="C664" s="1" t="s">
        <v>12</v>
      </c>
      <c r="D664" s="1" t="s">
        <v>729</v>
      </c>
      <c r="E664" s="1" t="s">
        <v>21</v>
      </c>
      <c r="F664" s="1">
        <v>100.0</v>
      </c>
      <c r="G664" s="1"/>
      <c r="H664" s="1">
        <v>10000.0</v>
      </c>
      <c r="I664" s="1">
        <f t="shared" si="1"/>
        <v>10000</v>
      </c>
      <c r="J664" s="1">
        <v>1000.0</v>
      </c>
      <c r="K664" s="1"/>
      <c r="L664" s="1" t="s">
        <v>2252</v>
      </c>
    </row>
    <row r="665">
      <c r="A665" s="1">
        <v>2019.0</v>
      </c>
      <c r="B665" s="1">
        <v>1.0</v>
      </c>
      <c r="C665" s="1" t="s">
        <v>12</v>
      </c>
      <c r="D665" s="1" t="s">
        <v>48</v>
      </c>
      <c r="E665" s="1" t="s">
        <v>49</v>
      </c>
      <c r="F665" s="1">
        <v>100.0</v>
      </c>
      <c r="G665" s="1"/>
      <c r="H665" s="1">
        <v>10000.0</v>
      </c>
      <c r="I665" s="1">
        <f t="shared" si="1"/>
        <v>10000</v>
      </c>
      <c r="J665" s="1">
        <v>1000.0</v>
      </c>
      <c r="K665" s="1"/>
      <c r="L665" s="1" t="s">
        <v>2252</v>
      </c>
    </row>
    <row r="666">
      <c r="A666" s="1">
        <v>2019.0</v>
      </c>
      <c r="B666" s="1">
        <v>1.0</v>
      </c>
      <c r="C666" s="1" t="s">
        <v>12</v>
      </c>
      <c r="D666" s="1" t="s">
        <v>48</v>
      </c>
      <c r="E666" s="1" t="s">
        <v>21</v>
      </c>
      <c r="F666" s="1">
        <v>100.0</v>
      </c>
      <c r="G666" s="1"/>
      <c r="H666" s="1">
        <v>10000.0</v>
      </c>
      <c r="I666" s="1">
        <f t="shared" si="1"/>
        <v>10000</v>
      </c>
      <c r="J666" s="1">
        <v>1000.0</v>
      </c>
      <c r="K666" s="1"/>
      <c r="L666" s="1" t="s">
        <v>2252</v>
      </c>
    </row>
    <row r="667">
      <c r="A667" s="1">
        <v>2019.0</v>
      </c>
      <c r="B667" s="1">
        <v>1.0</v>
      </c>
      <c r="C667" s="1" t="s">
        <v>12</v>
      </c>
      <c r="D667" s="1" t="s">
        <v>60</v>
      </c>
      <c r="E667" s="1" t="s">
        <v>39</v>
      </c>
      <c r="F667" s="1">
        <v>100.0</v>
      </c>
      <c r="G667" s="1"/>
      <c r="H667" s="1">
        <v>10000.0</v>
      </c>
      <c r="I667" s="1">
        <f t="shared" si="1"/>
        <v>10000</v>
      </c>
      <c r="J667" s="1">
        <v>1000.0</v>
      </c>
      <c r="K667" s="1"/>
      <c r="L667" s="1" t="s">
        <v>2252</v>
      </c>
    </row>
    <row r="668">
      <c r="A668" s="1">
        <v>2019.0</v>
      </c>
      <c r="B668" s="1">
        <v>1.0</v>
      </c>
      <c r="C668" s="1" t="s">
        <v>68</v>
      </c>
      <c r="D668" s="1" t="s">
        <v>13</v>
      </c>
      <c r="E668" s="1" t="s">
        <v>72</v>
      </c>
      <c r="F668" s="1">
        <v>100.0</v>
      </c>
      <c r="G668" s="1"/>
      <c r="H668" s="1">
        <v>10000.0</v>
      </c>
      <c r="I668" s="1">
        <f t="shared" si="1"/>
        <v>10000</v>
      </c>
      <c r="J668" s="1">
        <v>1000.0</v>
      </c>
      <c r="K668" s="1"/>
      <c r="L668" s="1" t="s">
        <v>2252</v>
      </c>
    </row>
    <row r="669">
      <c r="A669" s="1">
        <v>2019.0</v>
      </c>
      <c r="B669" s="1">
        <v>1.0</v>
      </c>
      <c r="C669" s="1" t="s">
        <v>68</v>
      </c>
      <c r="D669" s="1" t="s">
        <v>13</v>
      </c>
      <c r="E669" s="1" t="s">
        <v>17</v>
      </c>
      <c r="F669" s="1">
        <v>100.0</v>
      </c>
      <c r="G669" s="1"/>
      <c r="H669" s="1">
        <v>10000.0</v>
      </c>
      <c r="I669" s="1">
        <f t="shared" si="1"/>
        <v>10000</v>
      </c>
      <c r="J669" s="1">
        <v>1000.0</v>
      </c>
      <c r="K669" s="1"/>
      <c r="L669" s="1" t="s">
        <v>2252</v>
      </c>
    </row>
    <row r="670">
      <c r="A670" s="1">
        <v>2019.0</v>
      </c>
      <c r="B670" s="1">
        <v>1.0</v>
      </c>
      <c r="C670" s="1" t="s">
        <v>68</v>
      </c>
      <c r="D670" s="1" t="s">
        <v>13</v>
      </c>
      <c r="E670" s="1" t="s">
        <v>21</v>
      </c>
      <c r="F670" s="1">
        <v>100.0</v>
      </c>
      <c r="G670" s="1"/>
      <c r="H670" s="1">
        <v>10000.0</v>
      </c>
      <c r="I670" s="1">
        <f t="shared" si="1"/>
        <v>10000</v>
      </c>
      <c r="J670" s="1">
        <v>1000.0</v>
      </c>
      <c r="K670" s="1"/>
      <c r="L670" s="1" t="s">
        <v>2252</v>
      </c>
    </row>
    <row r="671">
      <c r="A671" s="1">
        <v>2019.0</v>
      </c>
      <c r="B671" s="1">
        <v>1.0</v>
      </c>
      <c r="C671" s="1" t="s">
        <v>68</v>
      </c>
      <c r="D671" s="1" t="s">
        <v>13</v>
      </c>
      <c r="E671" s="1" t="s">
        <v>25</v>
      </c>
      <c r="F671" s="1">
        <v>100.0</v>
      </c>
      <c r="G671" s="1"/>
      <c r="H671" s="1">
        <v>10000.0</v>
      </c>
      <c r="I671" s="1">
        <f t="shared" si="1"/>
        <v>10000</v>
      </c>
      <c r="J671" s="1">
        <v>1000.0</v>
      </c>
      <c r="K671" s="1"/>
      <c r="L671" s="1" t="s">
        <v>2252</v>
      </c>
    </row>
    <row r="672">
      <c r="A672" s="1">
        <v>2019.0</v>
      </c>
      <c r="B672" s="1">
        <v>1.0</v>
      </c>
      <c r="C672" s="1" t="s">
        <v>68</v>
      </c>
      <c r="D672" s="1" t="s">
        <v>29</v>
      </c>
      <c r="E672" s="1" t="s">
        <v>21</v>
      </c>
      <c r="F672" s="1">
        <v>100.0</v>
      </c>
      <c r="G672" s="1"/>
      <c r="H672" s="1">
        <v>10000.0</v>
      </c>
      <c r="I672" s="1">
        <f t="shared" si="1"/>
        <v>10000</v>
      </c>
      <c r="J672" s="1">
        <v>1000.0</v>
      </c>
      <c r="K672" s="1"/>
      <c r="L672" s="1" t="s">
        <v>2252</v>
      </c>
    </row>
    <row r="673">
      <c r="A673" s="1">
        <v>2019.0</v>
      </c>
      <c r="B673" s="1">
        <v>1.0</v>
      </c>
      <c r="C673" s="1" t="s">
        <v>68</v>
      </c>
      <c r="D673" s="1" t="s">
        <v>32</v>
      </c>
      <c r="E673" s="1" t="s">
        <v>14</v>
      </c>
      <c r="F673" s="1">
        <v>100.0</v>
      </c>
      <c r="G673" s="1"/>
      <c r="H673" s="1">
        <v>10000.0</v>
      </c>
      <c r="I673" s="1">
        <f t="shared" si="1"/>
        <v>10000</v>
      </c>
      <c r="J673" s="1">
        <v>1000.0</v>
      </c>
      <c r="K673" s="1"/>
      <c r="L673" s="1" t="s">
        <v>2252</v>
      </c>
    </row>
    <row r="674">
      <c r="A674" s="1">
        <v>2019.0</v>
      </c>
      <c r="B674" s="1">
        <v>1.0</v>
      </c>
      <c r="C674" s="1" t="s">
        <v>68</v>
      </c>
      <c r="D674" s="1" t="s">
        <v>32</v>
      </c>
      <c r="E674" s="1" t="s">
        <v>21</v>
      </c>
      <c r="F674" s="1">
        <v>100.0</v>
      </c>
      <c r="G674" s="1"/>
      <c r="H674" s="1">
        <v>10000.0</v>
      </c>
      <c r="I674" s="1">
        <f t="shared" si="1"/>
        <v>10000</v>
      </c>
      <c r="J674" s="1">
        <v>1000.0</v>
      </c>
      <c r="K674" s="1"/>
      <c r="L674" s="1" t="s">
        <v>2252</v>
      </c>
    </row>
    <row r="675">
      <c r="A675" s="1">
        <v>2019.0</v>
      </c>
      <c r="B675" s="1">
        <v>1.0</v>
      </c>
      <c r="C675" s="1" t="s">
        <v>68</v>
      </c>
      <c r="D675" s="1" t="s">
        <v>45</v>
      </c>
      <c r="E675" s="1" t="s">
        <v>17</v>
      </c>
      <c r="F675" s="1">
        <v>100.0</v>
      </c>
      <c r="G675" s="1"/>
      <c r="H675" s="1">
        <v>10000.0</v>
      </c>
      <c r="I675" s="1">
        <f t="shared" si="1"/>
        <v>10000</v>
      </c>
      <c r="J675" s="1">
        <v>1000.0</v>
      </c>
      <c r="K675" s="1"/>
      <c r="L675" s="1" t="s">
        <v>2252</v>
      </c>
    </row>
    <row r="676">
      <c r="A676" s="1">
        <v>2019.0</v>
      </c>
      <c r="B676" s="1">
        <v>1.0</v>
      </c>
      <c r="C676" s="1" t="s">
        <v>68</v>
      </c>
      <c r="D676" s="1" t="s">
        <v>38</v>
      </c>
      <c r="E676" s="1" t="s">
        <v>39</v>
      </c>
      <c r="F676" s="1">
        <v>100.0</v>
      </c>
      <c r="G676" s="1"/>
      <c r="H676" s="1">
        <v>10000.0</v>
      </c>
      <c r="I676" s="1">
        <f t="shared" si="1"/>
        <v>10000</v>
      </c>
      <c r="J676" s="1">
        <v>1000.0</v>
      </c>
      <c r="K676" s="1"/>
      <c r="L676" s="1" t="s">
        <v>2252</v>
      </c>
    </row>
    <row r="677">
      <c r="A677" s="1">
        <v>2019.0</v>
      </c>
      <c r="B677" s="1">
        <v>1.0</v>
      </c>
      <c r="C677" s="1" t="s">
        <v>68</v>
      </c>
      <c r="D677" s="1" t="s">
        <v>112</v>
      </c>
      <c r="E677" s="1" t="s">
        <v>21</v>
      </c>
      <c r="F677" s="1">
        <v>100.0</v>
      </c>
      <c r="G677" s="1"/>
      <c r="H677" s="1">
        <v>10000.0</v>
      </c>
      <c r="I677" s="1">
        <f t="shared" si="1"/>
        <v>10000</v>
      </c>
      <c r="J677" s="1">
        <v>1000.0</v>
      </c>
      <c r="K677" s="1"/>
      <c r="L677" s="1" t="s">
        <v>2252</v>
      </c>
    </row>
    <row r="678">
      <c r="A678" s="1">
        <v>2019.0</v>
      </c>
      <c r="B678" s="1">
        <v>1.0</v>
      </c>
      <c r="C678" s="1" t="s">
        <v>68</v>
      </c>
      <c r="D678" s="1" t="s">
        <v>108</v>
      </c>
      <c r="E678" s="1" t="s">
        <v>49</v>
      </c>
      <c r="F678" s="1">
        <v>100.0</v>
      </c>
      <c r="G678" s="1"/>
      <c r="H678" s="1">
        <v>10000.0</v>
      </c>
      <c r="I678" s="1">
        <f t="shared" si="1"/>
        <v>10000</v>
      </c>
      <c r="J678" s="1">
        <v>1000.0</v>
      </c>
      <c r="K678" s="1"/>
      <c r="L678" s="1" t="s">
        <v>2252</v>
      </c>
    </row>
    <row r="679">
      <c r="A679" s="1">
        <v>2019.0</v>
      </c>
      <c r="B679" s="1">
        <v>1.0</v>
      </c>
      <c r="C679" s="1" t="s">
        <v>68</v>
      </c>
      <c r="D679" s="1" t="s">
        <v>48</v>
      </c>
      <c r="E679" s="1" t="s">
        <v>21</v>
      </c>
      <c r="F679" s="1">
        <v>100.0</v>
      </c>
      <c r="G679" s="1"/>
      <c r="H679" s="1">
        <v>10000.0</v>
      </c>
      <c r="I679" s="1">
        <f t="shared" si="1"/>
        <v>10000</v>
      </c>
      <c r="J679" s="1">
        <v>1000.0</v>
      </c>
      <c r="K679" s="1"/>
      <c r="L679" s="1" t="s">
        <v>2252</v>
      </c>
    </row>
    <row r="680">
      <c r="A680" s="1">
        <v>2019.0</v>
      </c>
      <c r="B680" s="1">
        <v>1.0</v>
      </c>
      <c r="C680" s="1" t="s">
        <v>116</v>
      </c>
      <c r="D680" s="1" t="s">
        <v>13</v>
      </c>
      <c r="E680" s="1" t="s">
        <v>72</v>
      </c>
      <c r="F680" s="1">
        <v>100.0</v>
      </c>
      <c r="G680" s="1"/>
      <c r="H680" s="1">
        <v>10000.0</v>
      </c>
      <c r="I680" s="1">
        <f t="shared" si="1"/>
        <v>10000</v>
      </c>
      <c r="J680" s="1">
        <v>1000.0</v>
      </c>
      <c r="K680" s="1"/>
      <c r="L680" s="1" t="s">
        <v>2252</v>
      </c>
    </row>
    <row r="681">
      <c r="A681" s="1">
        <v>2019.0</v>
      </c>
      <c r="B681" s="1">
        <v>1.0</v>
      </c>
      <c r="C681" s="1" t="s">
        <v>116</v>
      </c>
      <c r="D681" s="1" t="s">
        <v>13</v>
      </c>
      <c r="E681" s="1" t="s">
        <v>17</v>
      </c>
      <c r="F681" s="1">
        <v>100.0</v>
      </c>
      <c r="G681" s="1"/>
      <c r="H681" s="1">
        <v>10000.0</v>
      </c>
      <c r="I681" s="1">
        <f t="shared" si="1"/>
        <v>10000</v>
      </c>
      <c r="J681" s="1">
        <v>1000.0</v>
      </c>
      <c r="K681" s="1"/>
      <c r="L681" s="1" t="s">
        <v>2252</v>
      </c>
    </row>
    <row r="682">
      <c r="A682" s="1">
        <v>2019.0</v>
      </c>
      <c r="B682" s="1">
        <v>1.0</v>
      </c>
      <c r="C682" s="1" t="s">
        <v>116</v>
      </c>
      <c r="D682" s="1" t="s">
        <v>13</v>
      </c>
      <c r="E682" s="1" t="s">
        <v>21</v>
      </c>
      <c r="F682" s="1">
        <v>100.0</v>
      </c>
      <c r="G682" s="1"/>
      <c r="H682" s="1">
        <v>10000.0</v>
      </c>
      <c r="I682" s="1">
        <f t="shared" si="1"/>
        <v>10000</v>
      </c>
      <c r="J682" s="1">
        <v>1000.0</v>
      </c>
      <c r="K682" s="1"/>
      <c r="L682" s="1" t="s">
        <v>2252</v>
      </c>
    </row>
    <row r="683">
      <c r="A683" s="1">
        <v>2019.0</v>
      </c>
      <c r="B683" s="1">
        <v>1.0</v>
      </c>
      <c r="C683" s="1" t="s">
        <v>116</v>
      </c>
      <c r="D683" s="1" t="s">
        <v>13</v>
      </c>
      <c r="E683" s="1" t="s">
        <v>25</v>
      </c>
      <c r="F683" s="1">
        <v>100.0</v>
      </c>
      <c r="G683" s="1"/>
      <c r="H683" s="1">
        <v>10000.0</v>
      </c>
      <c r="I683" s="1">
        <f t="shared" si="1"/>
        <v>10000</v>
      </c>
      <c r="J683" s="1">
        <v>1000.0</v>
      </c>
      <c r="K683" s="1"/>
      <c r="L683" s="1" t="s">
        <v>2252</v>
      </c>
    </row>
    <row r="684">
      <c r="A684" s="1">
        <v>2019.0</v>
      </c>
      <c r="B684" s="1">
        <v>1.0</v>
      </c>
      <c r="C684" s="1" t="s">
        <v>116</v>
      </c>
      <c r="D684" s="1" t="s">
        <v>29</v>
      </c>
      <c r="E684" s="1" t="s">
        <v>21</v>
      </c>
      <c r="F684" s="1">
        <v>100.0</v>
      </c>
      <c r="G684" s="1"/>
      <c r="H684" s="1">
        <v>10000.0</v>
      </c>
      <c r="I684" s="1">
        <f t="shared" si="1"/>
        <v>10000</v>
      </c>
      <c r="J684" s="1">
        <v>1000.0</v>
      </c>
      <c r="K684" s="1"/>
      <c r="L684" s="1" t="s">
        <v>2252</v>
      </c>
    </row>
    <row r="685">
      <c r="A685" s="1">
        <v>2019.0</v>
      </c>
      <c r="B685" s="1">
        <v>1.0</v>
      </c>
      <c r="C685" s="1" t="s">
        <v>116</v>
      </c>
      <c r="D685" s="1" t="s">
        <v>32</v>
      </c>
      <c r="E685" s="1" t="s">
        <v>14</v>
      </c>
      <c r="F685" s="1">
        <v>100.0</v>
      </c>
      <c r="G685" s="1"/>
      <c r="H685" s="1">
        <v>10000.0</v>
      </c>
      <c r="I685" s="1">
        <f t="shared" si="1"/>
        <v>10000</v>
      </c>
      <c r="J685" s="1">
        <v>1000.0</v>
      </c>
      <c r="K685" s="1"/>
      <c r="L685" s="1" t="s">
        <v>2252</v>
      </c>
    </row>
    <row r="686">
      <c r="A686" s="1">
        <v>2019.0</v>
      </c>
      <c r="B686" s="1">
        <v>1.0</v>
      </c>
      <c r="C686" s="1" t="s">
        <v>116</v>
      </c>
      <c r="D686" s="1" t="s">
        <v>32</v>
      </c>
      <c r="E686" s="1" t="s">
        <v>72</v>
      </c>
      <c r="F686" s="1">
        <v>100.0</v>
      </c>
      <c r="G686" s="1"/>
      <c r="H686" s="1">
        <v>10000.0</v>
      </c>
      <c r="I686" s="1">
        <f t="shared" si="1"/>
        <v>10000</v>
      </c>
      <c r="J686" s="1">
        <v>1000.0</v>
      </c>
      <c r="K686" s="1"/>
      <c r="L686" s="1" t="s">
        <v>2252</v>
      </c>
    </row>
    <row r="687">
      <c r="A687" s="1">
        <v>2019.0</v>
      </c>
      <c r="B687" s="1">
        <v>1.0</v>
      </c>
      <c r="C687" s="1" t="s">
        <v>116</v>
      </c>
      <c r="D687" s="1" t="s">
        <v>32</v>
      </c>
      <c r="E687" s="1" t="s">
        <v>21</v>
      </c>
      <c r="F687" s="1">
        <v>100.0</v>
      </c>
      <c r="G687" s="1"/>
      <c r="H687" s="1">
        <v>10000.0</v>
      </c>
      <c r="I687" s="1">
        <f t="shared" si="1"/>
        <v>10000</v>
      </c>
      <c r="J687" s="1">
        <v>1000.0</v>
      </c>
      <c r="K687" s="1"/>
      <c r="L687" s="1" t="s">
        <v>2252</v>
      </c>
    </row>
    <row r="688">
      <c r="A688" s="1">
        <v>2019.0</v>
      </c>
      <c r="B688" s="1">
        <v>1.0</v>
      </c>
      <c r="C688" s="1" t="s">
        <v>116</v>
      </c>
      <c r="D688" s="1" t="s">
        <v>45</v>
      </c>
      <c r="E688" s="1" t="s">
        <v>17</v>
      </c>
      <c r="F688" s="1">
        <v>100.0</v>
      </c>
      <c r="G688" s="1"/>
      <c r="H688" s="1">
        <v>10000.0</v>
      </c>
      <c r="I688" s="1">
        <f t="shared" si="1"/>
        <v>10000</v>
      </c>
      <c r="J688" s="1">
        <v>1000.0</v>
      </c>
      <c r="K688" s="1"/>
      <c r="L688" s="1" t="s">
        <v>2252</v>
      </c>
    </row>
    <row r="689">
      <c r="A689" s="1">
        <v>2019.0</v>
      </c>
      <c r="B689" s="1">
        <v>1.0</v>
      </c>
      <c r="C689" s="1" t="s">
        <v>116</v>
      </c>
      <c r="D689" s="1" t="s">
        <v>102</v>
      </c>
      <c r="E689" s="1" t="s">
        <v>39</v>
      </c>
      <c r="F689" s="1">
        <v>100.0</v>
      </c>
      <c r="G689" s="1"/>
      <c r="H689" s="1">
        <v>10000.0</v>
      </c>
      <c r="I689" s="1">
        <f t="shared" si="1"/>
        <v>10000</v>
      </c>
      <c r="J689" s="1">
        <v>1000.0</v>
      </c>
      <c r="K689" s="1"/>
      <c r="L689" s="1" t="s">
        <v>2252</v>
      </c>
    </row>
    <row r="690">
      <c r="A690" s="1">
        <v>2019.0</v>
      </c>
      <c r="B690" s="1">
        <v>1.0</v>
      </c>
      <c r="C690" s="1" t="s">
        <v>116</v>
      </c>
      <c r="D690" s="1" t="s">
        <v>102</v>
      </c>
      <c r="E690" s="1" t="s">
        <v>21</v>
      </c>
      <c r="F690" s="1">
        <v>100.0</v>
      </c>
      <c r="G690" s="1"/>
      <c r="H690" s="1">
        <v>10000.0</v>
      </c>
      <c r="I690" s="1">
        <f t="shared" si="1"/>
        <v>10000</v>
      </c>
      <c r="J690" s="1">
        <v>1000.0</v>
      </c>
      <c r="K690" s="1"/>
      <c r="L690" s="1" t="s">
        <v>2252</v>
      </c>
    </row>
    <row r="691">
      <c r="A691" s="1">
        <v>2019.0</v>
      </c>
      <c r="B691" s="1">
        <v>1.0</v>
      </c>
      <c r="C691" s="1" t="s">
        <v>116</v>
      </c>
      <c r="D691" s="1" t="s">
        <v>158</v>
      </c>
      <c r="E691" s="1" t="s">
        <v>39</v>
      </c>
      <c r="F691" s="1">
        <v>100.0</v>
      </c>
      <c r="G691" s="1"/>
      <c r="H691" s="1">
        <v>10000.0</v>
      </c>
      <c r="I691" s="1">
        <f t="shared" si="1"/>
        <v>10000</v>
      </c>
      <c r="J691" s="1">
        <v>1000.0</v>
      </c>
      <c r="K691" s="1"/>
      <c r="L691" s="1" t="s">
        <v>2252</v>
      </c>
    </row>
    <row r="692">
      <c r="A692" s="1">
        <v>2019.0</v>
      </c>
      <c r="B692" s="1">
        <v>1.0</v>
      </c>
      <c r="C692" s="1" t="s">
        <v>116</v>
      </c>
      <c r="D692" s="1" t="s">
        <v>158</v>
      </c>
      <c r="E692" s="1" t="s">
        <v>17</v>
      </c>
      <c r="F692" s="1">
        <v>100.0</v>
      </c>
      <c r="G692" s="1"/>
      <c r="H692" s="1">
        <v>10000.0</v>
      </c>
      <c r="I692" s="1">
        <f t="shared" si="1"/>
        <v>10000</v>
      </c>
      <c r="J692" s="1">
        <v>1000.0</v>
      </c>
      <c r="K692" s="1"/>
      <c r="L692" s="1" t="s">
        <v>2252</v>
      </c>
    </row>
    <row r="693">
      <c r="A693" s="1">
        <v>2019.0</v>
      </c>
      <c r="B693" s="1">
        <v>1.0</v>
      </c>
      <c r="C693" s="1" t="s">
        <v>116</v>
      </c>
      <c r="D693" s="1" t="s">
        <v>158</v>
      </c>
      <c r="E693" s="1" t="s">
        <v>21</v>
      </c>
      <c r="F693" s="1">
        <v>100.0</v>
      </c>
      <c r="G693" s="1"/>
      <c r="H693" s="1">
        <v>10000.0</v>
      </c>
      <c r="I693" s="1">
        <f t="shared" si="1"/>
        <v>10000</v>
      </c>
      <c r="J693" s="1">
        <v>1000.0</v>
      </c>
      <c r="K693" s="1"/>
      <c r="L693" s="1" t="s">
        <v>2252</v>
      </c>
    </row>
    <row r="694">
      <c r="A694" s="1">
        <v>2019.0</v>
      </c>
      <c r="B694" s="1">
        <v>1.0</v>
      </c>
      <c r="C694" s="1" t="s">
        <v>116</v>
      </c>
      <c r="D694" s="1" t="s">
        <v>2083</v>
      </c>
      <c r="E694" s="1" t="s">
        <v>39</v>
      </c>
      <c r="F694" s="1">
        <v>100.0</v>
      </c>
      <c r="G694" s="1"/>
      <c r="H694" s="1">
        <v>10000.0</v>
      </c>
      <c r="I694" s="1">
        <f t="shared" si="1"/>
        <v>10000</v>
      </c>
      <c r="J694" s="1">
        <v>1000.0</v>
      </c>
      <c r="K694" s="1"/>
      <c r="L694" s="1" t="s">
        <v>2252</v>
      </c>
    </row>
    <row r="695">
      <c r="A695" s="1">
        <v>2019.0</v>
      </c>
      <c r="B695" s="1">
        <v>1.0</v>
      </c>
      <c r="C695" s="1" t="s">
        <v>116</v>
      </c>
      <c r="D695" s="1" t="s">
        <v>2083</v>
      </c>
      <c r="E695" s="1" t="s">
        <v>49</v>
      </c>
      <c r="F695" s="1">
        <v>100.0</v>
      </c>
      <c r="G695" s="1"/>
      <c r="H695" s="1">
        <v>10000.0</v>
      </c>
      <c r="I695" s="1">
        <f t="shared" si="1"/>
        <v>10000</v>
      </c>
      <c r="J695" s="1">
        <v>1000.0</v>
      </c>
      <c r="K695" s="1"/>
      <c r="L695" s="1" t="s">
        <v>2252</v>
      </c>
    </row>
    <row r="696">
      <c r="A696" s="1">
        <v>2019.0</v>
      </c>
      <c r="B696" s="1">
        <v>1.0</v>
      </c>
      <c r="C696" s="1" t="s">
        <v>116</v>
      </c>
      <c r="D696" s="1" t="s">
        <v>2083</v>
      </c>
      <c r="E696" s="1" t="s">
        <v>21</v>
      </c>
      <c r="F696" s="1">
        <v>100.0</v>
      </c>
      <c r="G696" s="1"/>
      <c r="H696" s="1">
        <v>10000.0</v>
      </c>
      <c r="I696" s="1">
        <f t="shared" si="1"/>
        <v>10000</v>
      </c>
      <c r="J696" s="1">
        <v>1000.0</v>
      </c>
      <c r="K696" s="1"/>
      <c r="L696" s="1" t="s">
        <v>2252</v>
      </c>
    </row>
    <row r="697">
      <c r="A697" s="1">
        <v>2019.0</v>
      </c>
      <c r="B697" s="1">
        <v>1.0</v>
      </c>
      <c r="C697" s="1" t="s">
        <v>116</v>
      </c>
      <c r="D697" s="1" t="s">
        <v>147</v>
      </c>
      <c r="E697" s="1" t="s">
        <v>39</v>
      </c>
      <c r="F697" s="1">
        <v>100.0</v>
      </c>
      <c r="G697" s="1"/>
      <c r="H697" s="1">
        <v>10000.0</v>
      </c>
      <c r="I697" s="1">
        <f t="shared" si="1"/>
        <v>10000</v>
      </c>
      <c r="J697" s="1">
        <v>1000.0</v>
      </c>
      <c r="K697" s="1"/>
      <c r="L697" s="1" t="s">
        <v>2252</v>
      </c>
    </row>
    <row r="698">
      <c r="A698" s="1">
        <v>2019.0</v>
      </c>
      <c r="B698" s="1">
        <v>1.0</v>
      </c>
      <c r="C698" s="1" t="s">
        <v>116</v>
      </c>
      <c r="D698" s="1" t="s">
        <v>147</v>
      </c>
      <c r="E698" s="1" t="s">
        <v>17</v>
      </c>
      <c r="F698" s="1">
        <v>100.0</v>
      </c>
      <c r="G698" s="1"/>
      <c r="H698" s="1">
        <v>10000.0</v>
      </c>
      <c r="I698" s="1">
        <f t="shared" si="1"/>
        <v>10000</v>
      </c>
      <c r="J698" s="1">
        <v>1000.0</v>
      </c>
      <c r="K698" s="1"/>
      <c r="L698" s="1" t="s">
        <v>2252</v>
      </c>
    </row>
    <row r="699">
      <c r="A699" s="1">
        <v>2019.0</v>
      </c>
      <c r="B699" s="1">
        <v>1.0</v>
      </c>
      <c r="C699" s="1" t="s">
        <v>116</v>
      </c>
      <c r="D699" s="1" t="s">
        <v>147</v>
      </c>
      <c r="E699" s="1" t="s">
        <v>21</v>
      </c>
      <c r="F699" s="1">
        <v>100.0</v>
      </c>
      <c r="G699" s="1"/>
      <c r="H699" s="1">
        <v>10000.0</v>
      </c>
      <c r="I699" s="1">
        <f t="shared" si="1"/>
        <v>10000</v>
      </c>
      <c r="J699" s="1">
        <v>1000.0</v>
      </c>
      <c r="K699" s="1"/>
      <c r="L699" s="1" t="s">
        <v>2252</v>
      </c>
    </row>
    <row r="700">
      <c r="A700" s="1">
        <v>2019.0</v>
      </c>
      <c r="B700" s="1">
        <v>1.0</v>
      </c>
      <c r="C700" s="1" t="s">
        <v>116</v>
      </c>
      <c r="D700" s="1" t="s">
        <v>38</v>
      </c>
      <c r="E700" s="1" t="s">
        <v>39</v>
      </c>
      <c r="F700" s="1">
        <v>100.0</v>
      </c>
      <c r="G700" s="1"/>
      <c r="H700" s="1">
        <v>10000.0</v>
      </c>
      <c r="I700" s="1">
        <f t="shared" si="1"/>
        <v>10000</v>
      </c>
      <c r="J700" s="1">
        <v>1000.0</v>
      </c>
      <c r="K700" s="1"/>
      <c r="L700" s="1" t="s">
        <v>2252</v>
      </c>
    </row>
    <row r="701">
      <c r="A701" s="1">
        <v>2019.0</v>
      </c>
      <c r="B701" s="1">
        <v>2.0</v>
      </c>
      <c r="C701" s="1" t="s">
        <v>12</v>
      </c>
      <c r="D701" s="1" t="s">
        <v>13</v>
      </c>
      <c r="E701" s="1" t="s">
        <v>17</v>
      </c>
      <c r="F701" s="1">
        <v>100.0</v>
      </c>
      <c r="G701" s="1"/>
      <c r="H701" s="1">
        <v>10000.0</v>
      </c>
      <c r="I701" s="1">
        <f t="shared" si="1"/>
        <v>10000</v>
      </c>
      <c r="J701" s="1">
        <v>1000.0</v>
      </c>
      <c r="K701" s="1"/>
      <c r="L701" s="1" t="s">
        <v>2252</v>
      </c>
    </row>
    <row r="702">
      <c r="A702" s="1">
        <v>2019.0</v>
      </c>
      <c r="B702" s="1">
        <v>2.0</v>
      </c>
      <c r="C702" s="1" t="s">
        <v>12</v>
      </c>
      <c r="D702" s="1" t="s">
        <v>13</v>
      </c>
      <c r="E702" s="1" t="s">
        <v>21</v>
      </c>
      <c r="F702" s="1">
        <v>100.0</v>
      </c>
      <c r="G702" s="1"/>
      <c r="H702" s="1">
        <v>10000.0</v>
      </c>
      <c r="I702" s="1">
        <f t="shared" si="1"/>
        <v>10000</v>
      </c>
      <c r="J702" s="1">
        <v>1000.0</v>
      </c>
      <c r="K702" s="1"/>
      <c r="L702" s="1" t="s">
        <v>2252</v>
      </c>
    </row>
    <row r="703">
      <c r="A703" s="1">
        <v>2019.0</v>
      </c>
      <c r="B703" s="1">
        <v>2.0</v>
      </c>
      <c r="C703" s="1" t="s">
        <v>12</v>
      </c>
      <c r="D703" s="1" t="s">
        <v>13</v>
      </c>
      <c r="E703" s="1" t="s">
        <v>25</v>
      </c>
      <c r="F703" s="1">
        <v>100.0</v>
      </c>
      <c r="G703" s="1"/>
      <c r="H703" s="1">
        <v>10000.0</v>
      </c>
      <c r="I703" s="1">
        <f t="shared" si="1"/>
        <v>10000</v>
      </c>
      <c r="J703" s="1">
        <v>1000.0</v>
      </c>
      <c r="K703" s="1"/>
      <c r="L703" s="1" t="s">
        <v>2252</v>
      </c>
    </row>
    <row r="704">
      <c r="A704" s="1">
        <v>2019.0</v>
      </c>
      <c r="B704" s="1">
        <v>2.0</v>
      </c>
      <c r="C704" s="1" t="s">
        <v>12</v>
      </c>
      <c r="D704" s="1" t="s">
        <v>29</v>
      </c>
      <c r="E704" s="1" t="s">
        <v>21</v>
      </c>
      <c r="F704" s="1">
        <v>100.0</v>
      </c>
      <c r="G704" s="1"/>
      <c r="H704" s="1">
        <v>10000.0</v>
      </c>
      <c r="I704" s="1">
        <f t="shared" si="1"/>
        <v>10000</v>
      </c>
      <c r="J704" s="1">
        <v>1000.0</v>
      </c>
      <c r="K704" s="1"/>
      <c r="L704" s="1" t="s">
        <v>2252</v>
      </c>
    </row>
    <row r="705">
      <c r="A705" s="1">
        <v>2019.0</v>
      </c>
      <c r="B705" s="1">
        <v>2.0</v>
      </c>
      <c r="C705" s="1" t="s">
        <v>12</v>
      </c>
      <c r="D705" s="1" t="s">
        <v>32</v>
      </c>
      <c r="E705" s="1" t="s">
        <v>14</v>
      </c>
      <c r="F705" s="1">
        <v>100.0</v>
      </c>
      <c r="G705" s="1"/>
      <c r="H705" s="1">
        <v>10000.0</v>
      </c>
      <c r="I705" s="1">
        <f t="shared" si="1"/>
        <v>10000</v>
      </c>
      <c r="J705" s="1">
        <v>1000.0</v>
      </c>
      <c r="K705" s="1"/>
      <c r="L705" s="1" t="s">
        <v>2252</v>
      </c>
    </row>
    <row r="706">
      <c r="A706" s="1">
        <v>2019.0</v>
      </c>
      <c r="B706" s="1">
        <v>2.0</v>
      </c>
      <c r="C706" s="1" t="s">
        <v>12</v>
      </c>
      <c r="D706" s="1" t="s">
        <v>32</v>
      </c>
      <c r="E706" s="1" t="s">
        <v>21</v>
      </c>
      <c r="F706" s="1">
        <v>100.0</v>
      </c>
      <c r="G706" s="1"/>
      <c r="H706" s="1">
        <v>10000.0</v>
      </c>
      <c r="I706" s="1">
        <f t="shared" si="1"/>
        <v>10000</v>
      </c>
      <c r="J706" s="1">
        <v>1000.0</v>
      </c>
      <c r="K706" s="1"/>
      <c r="L706" s="1" t="s">
        <v>2252</v>
      </c>
    </row>
    <row r="707">
      <c r="A707" s="1">
        <v>2019.0</v>
      </c>
      <c r="B707" s="1">
        <v>2.0</v>
      </c>
      <c r="C707" s="1" t="s">
        <v>12</v>
      </c>
      <c r="D707" s="1" t="s">
        <v>32</v>
      </c>
      <c r="E707" s="1" t="s">
        <v>25</v>
      </c>
      <c r="F707" s="1">
        <v>100.0</v>
      </c>
      <c r="G707" s="1"/>
      <c r="H707" s="1">
        <v>10000.0</v>
      </c>
      <c r="I707" s="1">
        <f t="shared" si="1"/>
        <v>10000</v>
      </c>
      <c r="J707" s="1">
        <v>1000.0</v>
      </c>
      <c r="K707" s="1"/>
      <c r="L707" s="1" t="s">
        <v>2252</v>
      </c>
    </row>
    <row r="708">
      <c r="A708" s="1">
        <v>2019.0</v>
      </c>
      <c r="B708" s="1">
        <v>2.0</v>
      </c>
      <c r="C708" s="1" t="s">
        <v>12</v>
      </c>
      <c r="D708" s="1" t="s">
        <v>38</v>
      </c>
      <c r="E708" s="1" t="s">
        <v>39</v>
      </c>
      <c r="F708" s="1">
        <v>100.0</v>
      </c>
      <c r="G708" s="1"/>
      <c r="H708" s="1">
        <v>10000.0</v>
      </c>
      <c r="I708" s="1">
        <f t="shared" si="1"/>
        <v>10000</v>
      </c>
      <c r="J708" s="1">
        <v>1000.0</v>
      </c>
      <c r="K708" s="1"/>
      <c r="L708" s="1" t="s">
        <v>2252</v>
      </c>
    </row>
    <row r="709">
      <c r="A709" s="1">
        <v>2019.0</v>
      </c>
      <c r="B709" s="1">
        <v>2.0</v>
      </c>
      <c r="C709" s="1" t="s">
        <v>12</v>
      </c>
      <c r="D709" s="1" t="s">
        <v>56</v>
      </c>
      <c r="E709" s="1" t="s">
        <v>21</v>
      </c>
      <c r="F709" s="1">
        <v>100.0</v>
      </c>
      <c r="G709" s="1"/>
      <c r="H709" s="1">
        <v>10000.0</v>
      </c>
      <c r="I709" s="1">
        <f t="shared" si="1"/>
        <v>10000</v>
      </c>
      <c r="J709" s="1">
        <v>1000.0</v>
      </c>
      <c r="K709" s="1"/>
      <c r="L709" s="1" t="s">
        <v>2252</v>
      </c>
    </row>
    <row r="710">
      <c r="A710" s="1">
        <v>2019.0</v>
      </c>
      <c r="B710" s="1">
        <v>2.0</v>
      </c>
      <c r="C710" s="1" t="s">
        <v>12</v>
      </c>
      <c r="D710" s="1" t="s">
        <v>729</v>
      </c>
      <c r="E710" s="1" t="s">
        <v>21</v>
      </c>
      <c r="F710" s="1">
        <v>100.0</v>
      </c>
      <c r="G710" s="1"/>
      <c r="H710" s="1">
        <v>10000.0</v>
      </c>
      <c r="I710" s="1">
        <f t="shared" si="1"/>
        <v>10000</v>
      </c>
      <c r="J710" s="1">
        <v>1000.0</v>
      </c>
      <c r="K710" s="1"/>
      <c r="L710" s="1" t="s">
        <v>2252</v>
      </c>
    </row>
    <row r="711">
      <c r="A711" s="1">
        <v>2019.0</v>
      </c>
      <c r="B711" s="1">
        <v>2.0</v>
      </c>
      <c r="C711" s="1" t="s">
        <v>12</v>
      </c>
      <c r="D711" s="1" t="s">
        <v>64</v>
      </c>
      <c r="E711" s="1" t="s">
        <v>14</v>
      </c>
      <c r="F711" s="1">
        <v>100.0</v>
      </c>
      <c r="G711" s="1"/>
      <c r="H711" s="1">
        <v>10000.0</v>
      </c>
      <c r="I711" s="1">
        <f t="shared" si="1"/>
        <v>10000</v>
      </c>
      <c r="J711" s="1">
        <v>1000.0</v>
      </c>
      <c r="K711" s="1"/>
      <c r="L711" s="1" t="s">
        <v>2252</v>
      </c>
    </row>
    <row r="712">
      <c r="A712" s="1">
        <v>2019.0</v>
      </c>
      <c r="B712" s="1">
        <v>2.0</v>
      </c>
      <c r="C712" s="1" t="s">
        <v>12</v>
      </c>
      <c r="D712" s="1" t="s">
        <v>64</v>
      </c>
      <c r="E712" s="1" t="s">
        <v>21</v>
      </c>
      <c r="F712" s="1">
        <v>100.0</v>
      </c>
      <c r="G712" s="1"/>
      <c r="H712" s="1">
        <v>10000.0</v>
      </c>
      <c r="I712" s="1">
        <f t="shared" si="1"/>
        <v>10000</v>
      </c>
      <c r="J712" s="1">
        <v>1000.0</v>
      </c>
      <c r="K712" s="1"/>
      <c r="L712" s="1" t="s">
        <v>2252</v>
      </c>
    </row>
    <row r="713">
      <c r="A713" s="1">
        <v>2019.0</v>
      </c>
      <c r="B713" s="1">
        <v>2.0</v>
      </c>
      <c r="C713" s="1" t="s">
        <v>12</v>
      </c>
      <c r="D713" s="1" t="s">
        <v>45</v>
      </c>
      <c r="E713" s="1" t="s">
        <v>17</v>
      </c>
      <c r="F713" s="1">
        <v>100.0</v>
      </c>
      <c r="G713" s="1"/>
      <c r="H713" s="1">
        <v>10000.0</v>
      </c>
      <c r="I713" s="1">
        <f t="shared" si="1"/>
        <v>10000</v>
      </c>
      <c r="J713" s="1">
        <v>1000.0</v>
      </c>
      <c r="K713" s="1"/>
      <c r="L713" s="1" t="s">
        <v>2252</v>
      </c>
    </row>
    <row r="714">
      <c r="A714" s="1">
        <v>2019.0</v>
      </c>
      <c r="B714" s="1">
        <v>2.0</v>
      </c>
      <c r="C714" s="1" t="s">
        <v>12</v>
      </c>
      <c r="D714" s="1" t="s">
        <v>60</v>
      </c>
      <c r="E714" s="1" t="s">
        <v>39</v>
      </c>
      <c r="F714" s="1">
        <v>100.0</v>
      </c>
      <c r="G714" s="1"/>
      <c r="H714" s="1">
        <v>10000.0</v>
      </c>
      <c r="I714" s="1">
        <f t="shared" si="1"/>
        <v>10000</v>
      </c>
      <c r="J714" s="1">
        <v>1000.0</v>
      </c>
      <c r="K714" s="1"/>
      <c r="L714" s="1" t="s">
        <v>2252</v>
      </c>
    </row>
    <row r="715">
      <c r="A715" s="1">
        <v>2019.0</v>
      </c>
      <c r="B715" s="1">
        <v>2.0</v>
      </c>
      <c r="C715" s="1" t="s">
        <v>68</v>
      </c>
      <c r="D715" s="1" t="s">
        <v>13</v>
      </c>
      <c r="E715" s="1" t="s">
        <v>72</v>
      </c>
      <c r="F715" s="1">
        <v>100.0</v>
      </c>
      <c r="G715" s="1"/>
      <c r="H715" s="1">
        <v>10000.0</v>
      </c>
      <c r="I715" s="1">
        <f t="shared" si="1"/>
        <v>10000</v>
      </c>
      <c r="J715" s="1">
        <v>1000.0</v>
      </c>
      <c r="K715" s="1"/>
      <c r="L715" s="1" t="s">
        <v>2252</v>
      </c>
    </row>
    <row r="716">
      <c r="A716" s="1">
        <v>2019.0</v>
      </c>
      <c r="B716" s="1">
        <v>2.0</v>
      </c>
      <c r="C716" s="1" t="s">
        <v>68</v>
      </c>
      <c r="D716" s="1" t="s">
        <v>13</v>
      </c>
      <c r="E716" s="1" t="s">
        <v>17</v>
      </c>
      <c r="F716" s="1">
        <v>100.0</v>
      </c>
      <c r="G716" s="1"/>
      <c r="H716" s="1">
        <v>10000.0</v>
      </c>
      <c r="I716" s="1">
        <f t="shared" si="1"/>
        <v>10000</v>
      </c>
      <c r="J716" s="1">
        <v>1000.0</v>
      </c>
      <c r="K716" s="1"/>
      <c r="L716" s="1" t="s">
        <v>2252</v>
      </c>
    </row>
    <row r="717">
      <c r="A717" s="1">
        <v>2019.0</v>
      </c>
      <c r="B717" s="1">
        <v>2.0</v>
      </c>
      <c r="C717" s="1" t="s">
        <v>68</v>
      </c>
      <c r="D717" s="1" t="s">
        <v>13</v>
      </c>
      <c r="E717" s="1" t="s">
        <v>21</v>
      </c>
      <c r="F717" s="1">
        <v>100.0</v>
      </c>
      <c r="G717" s="1"/>
      <c r="H717" s="1">
        <v>10000.0</v>
      </c>
      <c r="I717" s="1">
        <f t="shared" si="1"/>
        <v>10000</v>
      </c>
      <c r="J717" s="1">
        <v>1000.0</v>
      </c>
      <c r="K717" s="1"/>
      <c r="L717" s="1" t="s">
        <v>2252</v>
      </c>
    </row>
    <row r="718">
      <c r="A718" s="1">
        <v>2019.0</v>
      </c>
      <c r="B718" s="1">
        <v>2.0</v>
      </c>
      <c r="C718" s="1" t="s">
        <v>68</v>
      </c>
      <c r="D718" s="1" t="s">
        <v>13</v>
      </c>
      <c r="E718" s="1" t="s">
        <v>25</v>
      </c>
      <c r="F718" s="1">
        <v>100.0</v>
      </c>
      <c r="G718" s="1"/>
      <c r="H718" s="1">
        <v>10000.0</v>
      </c>
      <c r="I718" s="1">
        <f t="shared" si="1"/>
        <v>10000</v>
      </c>
      <c r="J718" s="1">
        <v>1000.0</v>
      </c>
      <c r="K718" s="1"/>
      <c r="L718" s="1" t="s">
        <v>2252</v>
      </c>
    </row>
    <row r="719">
      <c r="A719" s="1">
        <v>2019.0</v>
      </c>
      <c r="B719" s="1">
        <v>2.0</v>
      </c>
      <c r="C719" s="1" t="s">
        <v>68</v>
      </c>
      <c r="D719" s="1" t="s">
        <v>29</v>
      </c>
      <c r="E719" s="1" t="s">
        <v>21</v>
      </c>
      <c r="F719" s="1">
        <v>100.0</v>
      </c>
      <c r="G719" s="1"/>
      <c r="H719" s="1">
        <v>10000.0</v>
      </c>
      <c r="I719" s="1">
        <f t="shared" si="1"/>
        <v>10000</v>
      </c>
      <c r="J719" s="1">
        <v>1000.0</v>
      </c>
      <c r="K719" s="1"/>
      <c r="L719" s="1" t="s">
        <v>2252</v>
      </c>
    </row>
    <row r="720">
      <c r="A720" s="1">
        <v>2019.0</v>
      </c>
      <c r="B720" s="1">
        <v>2.0</v>
      </c>
      <c r="C720" s="1" t="s">
        <v>68</v>
      </c>
      <c r="D720" s="1" t="s">
        <v>45</v>
      </c>
      <c r="E720" s="1" t="s">
        <v>17</v>
      </c>
      <c r="F720" s="1">
        <v>100.0</v>
      </c>
      <c r="G720" s="1"/>
      <c r="H720" s="1">
        <v>10000.0</v>
      </c>
      <c r="I720" s="1">
        <f t="shared" si="1"/>
        <v>10000</v>
      </c>
      <c r="J720" s="1">
        <v>1000.0</v>
      </c>
      <c r="K720" s="1"/>
      <c r="L720" s="1" t="s">
        <v>2252</v>
      </c>
    </row>
    <row r="721">
      <c r="A721" s="1">
        <v>2019.0</v>
      </c>
      <c r="B721" s="1">
        <v>2.0</v>
      </c>
      <c r="C721" s="1" t="s">
        <v>68</v>
      </c>
      <c r="D721" s="1" t="s">
        <v>32</v>
      </c>
      <c r="E721" s="1" t="s">
        <v>14</v>
      </c>
      <c r="F721" s="1">
        <v>100.0</v>
      </c>
      <c r="G721" s="1"/>
      <c r="H721" s="1">
        <v>10000.0</v>
      </c>
      <c r="I721" s="1">
        <f t="shared" si="1"/>
        <v>10000</v>
      </c>
      <c r="J721" s="1">
        <v>1000.0</v>
      </c>
      <c r="K721" s="1"/>
      <c r="L721" s="1" t="s">
        <v>2252</v>
      </c>
    </row>
    <row r="722">
      <c r="A722" s="1">
        <v>2019.0</v>
      </c>
      <c r="B722" s="1">
        <v>2.0</v>
      </c>
      <c r="C722" s="1" t="s">
        <v>68</v>
      </c>
      <c r="D722" s="1" t="s">
        <v>32</v>
      </c>
      <c r="E722" s="1" t="s">
        <v>21</v>
      </c>
      <c r="F722" s="1">
        <v>100.0</v>
      </c>
      <c r="G722" s="1"/>
      <c r="H722" s="1">
        <v>10000.0</v>
      </c>
      <c r="I722" s="1">
        <f t="shared" si="1"/>
        <v>10000</v>
      </c>
      <c r="J722" s="1">
        <v>1000.0</v>
      </c>
      <c r="K722" s="1"/>
      <c r="L722" s="1" t="s">
        <v>2252</v>
      </c>
    </row>
    <row r="723">
      <c r="A723" s="1">
        <v>2019.0</v>
      </c>
      <c r="B723" s="1">
        <v>2.0</v>
      </c>
      <c r="C723" s="1" t="s">
        <v>68</v>
      </c>
      <c r="D723" s="1" t="s">
        <v>38</v>
      </c>
      <c r="E723" s="1" t="s">
        <v>39</v>
      </c>
      <c r="F723" s="1">
        <v>100.0</v>
      </c>
      <c r="G723" s="1"/>
      <c r="H723" s="1">
        <v>10000.0</v>
      </c>
      <c r="I723" s="1">
        <f t="shared" si="1"/>
        <v>10000</v>
      </c>
      <c r="J723" s="1">
        <v>1000.0</v>
      </c>
      <c r="K723" s="1"/>
      <c r="L723" s="1" t="s">
        <v>2252</v>
      </c>
    </row>
    <row r="724">
      <c r="A724" s="1">
        <v>2019.0</v>
      </c>
      <c r="B724" s="1">
        <v>2.0</v>
      </c>
      <c r="C724" s="1" t="s">
        <v>68</v>
      </c>
      <c r="D724" s="1" t="s">
        <v>108</v>
      </c>
      <c r="E724" s="1" t="s">
        <v>49</v>
      </c>
      <c r="F724" s="1">
        <v>100.0</v>
      </c>
      <c r="G724" s="1"/>
      <c r="H724" s="1">
        <v>10000.0</v>
      </c>
      <c r="I724" s="1">
        <f t="shared" si="1"/>
        <v>10000</v>
      </c>
      <c r="J724" s="1">
        <v>1000.0</v>
      </c>
      <c r="K724" s="1"/>
      <c r="L724" s="1" t="s">
        <v>2252</v>
      </c>
    </row>
    <row r="725">
      <c r="A725" s="1">
        <v>2019.0</v>
      </c>
      <c r="B725" s="1">
        <v>2.0</v>
      </c>
      <c r="C725" s="1" t="s">
        <v>68</v>
      </c>
      <c r="D725" s="1" t="s">
        <v>112</v>
      </c>
      <c r="E725" s="1" t="s">
        <v>21</v>
      </c>
      <c r="F725" s="1">
        <v>100.0</v>
      </c>
      <c r="G725" s="1"/>
      <c r="H725" s="1">
        <v>10000.0</v>
      </c>
      <c r="I725" s="1">
        <f t="shared" si="1"/>
        <v>10000</v>
      </c>
      <c r="J725" s="1">
        <v>1000.0</v>
      </c>
      <c r="K725" s="1"/>
      <c r="L725" s="1" t="s">
        <v>2252</v>
      </c>
    </row>
    <row r="726">
      <c r="A726" s="1">
        <v>2019.0</v>
      </c>
      <c r="B726" s="1">
        <v>2.0</v>
      </c>
      <c r="C726" s="1" t="s">
        <v>68</v>
      </c>
      <c r="D726" s="1" t="s">
        <v>48</v>
      </c>
      <c r="E726" s="1" t="s">
        <v>21</v>
      </c>
      <c r="F726" s="1">
        <v>100.0</v>
      </c>
      <c r="G726" s="1"/>
      <c r="H726" s="1">
        <v>10000.0</v>
      </c>
      <c r="I726" s="1">
        <f t="shared" si="1"/>
        <v>10000</v>
      </c>
      <c r="J726" s="1">
        <v>1000.0</v>
      </c>
      <c r="K726" s="1"/>
      <c r="L726" s="1" t="s">
        <v>2252</v>
      </c>
    </row>
    <row r="727">
      <c r="A727" s="1">
        <v>2019.0</v>
      </c>
      <c r="B727" s="1">
        <v>2.0</v>
      </c>
      <c r="C727" s="1" t="s">
        <v>116</v>
      </c>
      <c r="D727" s="1" t="s">
        <v>13</v>
      </c>
      <c r="E727" s="1" t="s">
        <v>72</v>
      </c>
      <c r="F727" s="1">
        <v>100.0</v>
      </c>
      <c r="G727" s="1"/>
      <c r="H727" s="1">
        <v>10000.0</v>
      </c>
      <c r="I727" s="1">
        <f t="shared" si="1"/>
        <v>10000</v>
      </c>
      <c r="J727" s="1">
        <v>1000.0</v>
      </c>
      <c r="K727" s="1"/>
      <c r="L727" s="1" t="s">
        <v>2252</v>
      </c>
    </row>
    <row r="728">
      <c r="A728" s="1">
        <v>2019.0</v>
      </c>
      <c r="B728" s="1">
        <v>2.0</v>
      </c>
      <c r="C728" s="1" t="s">
        <v>116</v>
      </c>
      <c r="D728" s="1" t="s">
        <v>13</v>
      </c>
      <c r="E728" s="1" t="s">
        <v>17</v>
      </c>
      <c r="F728" s="1">
        <v>100.0</v>
      </c>
      <c r="G728" s="1"/>
      <c r="H728" s="1">
        <v>10000.0</v>
      </c>
      <c r="I728" s="1">
        <f t="shared" si="1"/>
        <v>10000</v>
      </c>
      <c r="J728" s="1">
        <v>1000.0</v>
      </c>
      <c r="K728" s="1"/>
      <c r="L728" s="1" t="s">
        <v>2252</v>
      </c>
    </row>
    <row r="729">
      <c r="A729" s="1">
        <v>2019.0</v>
      </c>
      <c r="B729" s="1">
        <v>2.0</v>
      </c>
      <c r="C729" s="1" t="s">
        <v>116</v>
      </c>
      <c r="D729" s="1" t="s">
        <v>13</v>
      </c>
      <c r="E729" s="1" t="s">
        <v>21</v>
      </c>
      <c r="F729" s="1">
        <v>100.0</v>
      </c>
      <c r="G729" s="1"/>
      <c r="H729" s="1">
        <v>10000.0</v>
      </c>
      <c r="I729" s="1">
        <f t="shared" si="1"/>
        <v>10000</v>
      </c>
      <c r="J729" s="1">
        <v>1000.0</v>
      </c>
      <c r="K729" s="1"/>
      <c r="L729" s="1" t="s">
        <v>2252</v>
      </c>
    </row>
    <row r="730">
      <c r="A730" s="1">
        <v>2019.0</v>
      </c>
      <c r="B730" s="1">
        <v>2.0</v>
      </c>
      <c r="C730" s="1" t="s">
        <v>116</v>
      </c>
      <c r="D730" s="1" t="s">
        <v>13</v>
      </c>
      <c r="E730" s="1" t="s">
        <v>25</v>
      </c>
      <c r="F730" s="1">
        <v>100.0</v>
      </c>
      <c r="G730" s="1"/>
      <c r="H730" s="1">
        <v>10000.0</v>
      </c>
      <c r="I730" s="1">
        <f t="shared" si="1"/>
        <v>10000</v>
      </c>
      <c r="J730" s="1">
        <v>1000.0</v>
      </c>
      <c r="K730" s="1"/>
      <c r="L730" s="1" t="s">
        <v>2252</v>
      </c>
    </row>
    <row r="731">
      <c r="A731" s="1">
        <v>2019.0</v>
      </c>
      <c r="B731" s="1">
        <v>2.0</v>
      </c>
      <c r="C731" s="1" t="s">
        <v>116</v>
      </c>
      <c r="D731" s="1" t="s">
        <v>29</v>
      </c>
      <c r="E731" s="1" t="s">
        <v>21</v>
      </c>
      <c r="F731" s="1">
        <v>100.0</v>
      </c>
      <c r="G731" s="1"/>
      <c r="H731" s="1">
        <v>10000.0</v>
      </c>
      <c r="I731" s="1">
        <f t="shared" si="1"/>
        <v>10000</v>
      </c>
      <c r="J731" s="1">
        <v>1000.0</v>
      </c>
      <c r="K731" s="1"/>
      <c r="L731" s="1" t="s">
        <v>2252</v>
      </c>
    </row>
    <row r="732">
      <c r="A732" s="1">
        <v>2019.0</v>
      </c>
      <c r="B732" s="1">
        <v>2.0</v>
      </c>
      <c r="C732" s="1" t="s">
        <v>116</v>
      </c>
      <c r="D732" s="1" t="s">
        <v>32</v>
      </c>
      <c r="E732" s="1" t="s">
        <v>14</v>
      </c>
      <c r="F732" s="1">
        <v>100.0</v>
      </c>
      <c r="G732" s="1"/>
      <c r="H732" s="1">
        <v>10000.0</v>
      </c>
      <c r="I732" s="1">
        <f t="shared" si="1"/>
        <v>10000</v>
      </c>
      <c r="J732" s="1">
        <v>1000.0</v>
      </c>
      <c r="K732" s="1"/>
      <c r="L732" s="1" t="s">
        <v>2252</v>
      </c>
    </row>
    <row r="733">
      <c r="A733" s="1">
        <v>2019.0</v>
      </c>
      <c r="B733" s="1">
        <v>2.0</v>
      </c>
      <c r="C733" s="1" t="s">
        <v>116</v>
      </c>
      <c r="D733" s="1" t="s">
        <v>32</v>
      </c>
      <c r="E733" s="1" t="s">
        <v>21</v>
      </c>
      <c r="F733" s="1">
        <v>100.0</v>
      </c>
      <c r="G733" s="1"/>
      <c r="H733" s="1">
        <v>10000.0</v>
      </c>
      <c r="I733" s="1">
        <f t="shared" si="1"/>
        <v>10000</v>
      </c>
      <c r="J733" s="1">
        <v>1000.0</v>
      </c>
      <c r="K733" s="1"/>
      <c r="L733" s="1" t="s">
        <v>2252</v>
      </c>
    </row>
    <row r="734">
      <c r="A734" s="1">
        <v>2019.0</v>
      </c>
      <c r="B734" s="1">
        <v>2.0</v>
      </c>
      <c r="C734" s="1" t="s">
        <v>116</v>
      </c>
      <c r="D734" s="1" t="s">
        <v>45</v>
      </c>
      <c r="E734" s="1" t="s">
        <v>17</v>
      </c>
      <c r="F734" s="1">
        <v>100.0</v>
      </c>
      <c r="G734" s="1"/>
      <c r="H734" s="1">
        <v>10000.0</v>
      </c>
      <c r="I734" s="1">
        <f t="shared" si="1"/>
        <v>10000</v>
      </c>
      <c r="J734" s="1">
        <v>1000.0</v>
      </c>
      <c r="K734" s="1"/>
      <c r="L734" s="1" t="s">
        <v>2252</v>
      </c>
    </row>
    <row r="735">
      <c r="A735" s="1">
        <v>2019.0</v>
      </c>
      <c r="B735" s="1">
        <v>2.0</v>
      </c>
      <c r="C735" s="1" t="s">
        <v>116</v>
      </c>
      <c r="D735" s="1" t="s">
        <v>102</v>
      </c>
      <c r="E735" s="1" t="s">
        <v>39</v>
      </c>
      <c r="F735" s="1">
        <v>100.0</v>
      </c>
      <c r="G735" s="1"/>
      <c r="H735" s="1">
        <v>10000.0</v>
      </c>
      <c r="I735" s="1">
        <f t="shared" si="1"/>
        <v>10000</v>
      </c>
      <c r="J735" s="1">
        <v>1000.0</v>
      </c>
      <c r="K735" s="1"/>
      <c r="L735" s="1" t="s">
        <v>2252</v>
      </c>
    </row>
    <row r="736">
      <c r="A736" s="1">
        <v>2019.0</v>
      </c>
      <c r="B736" s="1">
        <v>2.0</v>
      </c>
      <c r="C736" s="1" t="s">
        <v>116</v>
      </c>
      <c r="D736" s="1" t="s">
        <v>102</v>
      </c>
      <c r="E736" s="1" t="s">
        <v>21</v>
      </c>
      <c r="F736" s="1">
        <v>100.0</v>
      </c>
      <c r="G736" s="1"/>
      <c r="H736" s="1">
        <v>10000.0</v>
      </c>
      <c r="I736" s="1">
        <f t="shared" si="1"/>
        <v>10000</v>
      </c>
      <c r="J736" s="1">
        <v>1000.0</v>
      </c>
      <c r="K736" s="1"/>
      <c r="L736" s="1" t="s">
        <v>2252</v>
      </c>
    </row>
    <row r="737">
      <c r="A737" s="1">
        <v>2019.0</v>
      </c>
      <c r="B737" s="1">
        <v>2.0</v>
      </c>
      <c r="C737" s="1" t="s">
        <v>116</v>
      </c>
      <c r="D737" s="1" t="s">
        <v>158</v>
      </c>
      <c r="E737" s="1" t="s">
        <v>39</v>
      </c>
      <c r="F737" s="1">
        <v>100.0</v>
      </c>
      <c r="G737" s="1"/>
      <c r="H737" s="1">
        <v>10000.0</v>
      </c>
      <c r="I737" s="1">
        <f t="shared" si="1"/>
        <v>10000</v>
      </c>
      <c r="J737" s="1">
        <v>1000.0</v>
      </c>
      <c r="K737" s="1"/>
      <c r="L737" s="1" t="s">
        <v>2252</v>
      </c>
    </row>
    <row r="738">
      <c r="A738" s="1">
        <v>2019.0</v>
      </c>
      <c r="B738" s="1">
        <v>2.0</v>
      </c>
      <c r="C738" s="1" t="s">
        <v>116</v>
      </c>
      <c r="D738" s="1" t="s">
        <v>158</v>
      </c>
      <c r="E738" s="1" t="s">
        <v>17</v>
      </c>
      <c r="F738" s="1">
        <v>100.0</v>
      </c>
      <c r="G738" s="1"/>
      <c r="H738" s="1">
        <v>10000.0</v>
      </c>
      <c r="I738" s="1">
        <f t="shared" si="1"/>
        <v>10000</v>
      </c>
      <c r="J738" s="1">
        <v>1000.0</v>
      </c>
      <c r="K738" s="1"/>
      <c r="L738" s="1" t="s">
        <v>2252</v>
      </c>
    </row>
    <row r="739">
      <c r="A739" s="1">
        <v>2019.0</v>
      </c>
      <c r="B739" s="1">
        <v>2.0</v>
      </c>
      <c r="C739" s="1" t="s">
        <v>116</v>
      </c>
      <c r="D739" s="1" t="s">
        <v>158</v>
      </c>
      <c r="E739" s="1" t="s">
        <v>21</v>
      </c>
      <c r="F739" s="1">
        <v>100.0</v>
      </c>
      <c r="G739" s="1"/>
      <c r="H739" s="1">
        <v>10000.0</v>
      </c>
      <c r="I739" s="1">
        <f t="shared" si="1"/>
        <v>10000</v>
      </c>
      <c r="J739" s="1">
        <v>1000.0</v>
      </c>
      <c r="K739" s="1"/>
      <c r="L739" s="1" t="s">
        <v>2252</v>
      </c>
    </row>
    <row r="740">
      <c r="A740" s="1">
        <v>2019.0</v>
      </c>
      <c r="B740" s="1">
        <v>2.0</v>
      </c>
      <c r="C740" s="1" t="s">
        <v>116</v>
      </c>
      <c r="D740" s="1" t="s">
        <v>2083</v>
      </c>
      <c r="E740" s="1" t="s">
        <v>39</v>
      </c>
      <c r="F740" s="1">
        <v>100.0</v>
      </c>
      <c r="G740" s="1"/>
      <c r="H740" s="1">
        <v>10000.0</v>
      </c>
      <c r="I740" s="1">
        <f t="shared" si="1"/>
        <v>10000</v>
      </c>
      <c r="J740" s="1">
        <v>1000.0</v>
      </c>
      <c r="K740" s="1"/>
      <c r="L740" s="1" t="s">
        <v>2252</v>
      </c>
    </row>
    <row r="741">
      <c r="A741" s="1">
        <v>2019.0</v>
      </c>
      <c r="B741" s="1">
        <v>2.0</v>
      </c>
      <c r="C741" s="1" t="s">
        <v>116</v>
      </c>
      <c r="D741" s="1" t="s">
        <v>2083</v>
      </c>
      <c r="E741" s="1" t="s">
        <v>49</v>
      </c>
      <c r="F741" s="1">
        <v>100.0</v>
      </c>
      <c r="G741" s="1"/>
      <c r="H741" s="1">
        <v>10000.0</v>
      </c>
      <c r="I741" s="1">
        <f t="shared" si="1"/>
        <v>10000</v>
      </c>
      <c r="J741" s="1">
        <v>1000.0</v>
      </c>
      <c r="K741" s="1"/>
      <c r="L741" s="1" t="s">
        <v>2252</v>
      </c>
    </row>
    <row r="742">
      <c r="A742" s="1">
        <v>2019.0</v>
      </c>
      <c r="B742" s="1">
        <v>2.0</v>
      </c>
      <c r="C742" s="1" t="s">
        <v>116</v>
      </c>
      <c r="D742" s="1" t="s">
        <v>2083</v>
      </c>
      <c r="E742" s="1" t="s">
        <v>21</v>
      </c>
      <c r="F742" s="1">
        <v>100.0</v>
      </c>
      <c r="G742" s="1"/>
      <c r="H742" s="1">
        <v>10000.0</v>
      </c>
      <c r="I742" s="1">
        <f t="shared" si="1"/>
        <v>10000</v>
      </c>
      <c r="J742" s="1">
        <v>1000.0</v>
      </c>
      <c r="K742" s="1"/>
      <c r="L742" s="1" t="s">
        <v>2252</v>
      </c>
    </row>
    <row r="743">
      <c r="A743" s="1">
        <v>2019.0</v>
      </c>
      <c r="B743" s="1">
        <v>2.0</v>
      </c>
      <c r="C743" s="1" t="s">
        <v>116</v>
      </c>
      <c r="D743" s="1" t="s">
        <v>147</v>
      </c>
      <c r="E743" s="1" t="s">
        <v>39</v>
      </c>
      <c r="F743" s="1">
        <v>100.0</v>
      </c>
      <c r="G743" s="1"/>
      <c r="H743" s="1">
        <v>10000.0</v>
      </c>
      <c r="I743" s="1">
        <f t="shared" si="1"/>
        <v>10000</v>
      </c>
      <c r="J743" s="1">
        <v>1000.0</v>
      </c>
      <c r="K743" s="1"/>
      <c r="L743" s="1" t="s">
        <v>2252</v>
      </c>
    </row>
    <row r="744">
      <c r="A744" s="1">
        <v>2019.0</v>
      </c>
      <c r="B744" s="1">
        <v>2.0</v>
      </c>
      <c r="C744" s="1" t="s">
        <v>116</v>
      </c>
      <c r="D744" s="1" t="s">
        <v>147</v>
      </c>
      <c r="E744" s="1" t="s">
        <v>17</v>
      </c>
      <c r="F744" s="1">
        <v>100.0</v>
      </c>
      <c r="G744" s="1"/>
      <c r="H744" s="1">
        <v>10000.0</v>
      </c>
      <c r="I744" s="1">
        <f t="shared" si="1"/>
        <v>10000</v>
      </c>
      <c r="J744" s="1">
        <v>1000.0</v>
      </c>
      <c r="K744" s="1"/>
      <c r="L744" s="1" t="s">
        <v>2252</v>
      </c>
    </row>
    <row r="745">
      <c r="A745" s="1">
        <v>2019.0</v>
      </c>
      <c r="B745" s="1">
        <v>2.0</v>
      </c>
      <c r="C745" s="1" t="s">
        <v>116</v>
      </c>
      <c r="D745" s="1" t="s">
        <v>147</v>
      </c>
      <c r="E745" s="1" t="s">
        <v>21</v>
      </c>
      <c r="F745" s="1">
        <v>100.0</v>
      </c>
      <c r="G745" s="1"/>
      <c r="H745" s="1">
        <v>10000.0</v>
      </c>
      <c r="I745" s="1">
        <f t="shared" si="1"/>
        <v>10000</v>
      </c>
      <c r="J745" s="1">
        <v>1000.0</v>
      </c>
      <c r="K745" s="1"/>
      <c r="L745" s="1" t="s">
        <v>2252</v>
      </c>
    </row>
    <row r="746">
      <c r="A746" s="1">
        <v>2019.0</v>
      </c>
      <c r="B746" s="1">
        <v>2.0</v>
      </c>
      <c r="C746" s="1" t="s">
        <v>116</v>
      </c>
      <c r="D746" s="1" t="s">
        <v>1949</v>
      </c>
      <c r="E746" s="1" t="s">
        <v>14</v>
      </c>
      <c r="F746" s="1">
        <v>100.0</v>
      </c>
      <c r="G746" s="1"/>
      <c r="H746" s="1">
        <v>10000.0</v>
      </c>
      <c r="I746" s="1">
        <f t="shared" si="1"/>
        <v>10000</v>
      </c>
      <c r="J746" s="1">
        <v>1000.0</v>
      </c>
      <c r="K746" s="1"/>
      <c r="L746" s="1" t="s">
        <v>2252</v>
      </c>
    </row>
    <row r="747">
      <c r="A747" s="1">
        <v>2019.0</v>
      </c>
      <c r="B747" s="1">
        <v>2.0</v>
      </c>
      <c r="C747" s="1" t="s">
        <v>116</v>
      </c>
      <c r="D747" s="1" t="s">
        <v>1949</v>
      </c>
      <c r="E747" s="1" t="s">
        <v>17</v>
      </c>
      <c r="F747" s="1">
        <v>100.0</v>
      </c>
      <c r="G747" s="1"/>
      <c r="H747" s="1">
        <v>10000.0</v>
      </c>
      <c r="I747" s="1">
        <f t="shared" si="1"/>
        <v>10000</v>
      </c>
      <c r="J747" s="1">
        <v>1000.0</v>
      </c>
      <c r="K747" s="1"/>
      <c r="L747" s="1" t="s">
        <v>2252</v>
      </c>
    </row>
    <row r="748">
      <c r="A748" s="1">
        <v>2019.0</v>
      </c>
      <c r="B748" s="1">
        <v>3.0</v>
      </c>
      <c r="C748" s="1" t="s">
        <v>12</v>
      </c>
      <c r="D748" s="1" t="s">
        <v>13</v>
      </c>
      <c r="E748" s="1" t="s">
        <v>14</v>
      </c>
      <c r="F748" s="1">
        <v>100.0</v>
      </c>
      <c r="G748" s="1"/>
      <c r="H748" s="1">
        <v>10000.0</v>
      </c>
      <c r="I748" s="1">
        <f t="shared" si="1"/>
        <v>10000</v>
      </c>
      <c r="J748" s="1">
        <v>1000.0</v>
      </c>
      <c r="K748" s="1"/>
      <c r="L748" s="1" t="s">
        <v>2252</v>
      </c>
    </row>
    <row r="749">
      <c r="A749" s="1">
        <v>2019.0</v>
      </c>
      <c r="B749" s="1">
        <v>3.0</v>
      </c>
      <c r="C749" s="1" t="s">
        <v>12</v>
      </c>
      <c r="D749" s="1" t="s">
        <v>13</v>
      </c>
      <c r="E749" s="1" t="s">
        <v>17</v>
      </c>
      <c r="F749" s="1">
        <v>100.0</v>
      </c>
      <c r="G749" s="1"/>
      <c r="H749" s="1">
        <v>10000.0</v>
      </c>
      <c r="I749" s="1">
        <f t="shared" si="1"/>
        <v>10000</v>
      </c>
      <c r="J749" s="1">
        <v>1000.0</v>
      </c>
      <c r="K749" s="1"/>
      <c r="L749" s="1" t="s">
        <v>2252</v>
      </c>
    </row>
    <row r="750">
      <c r="A750" s="1">
        <v>2019.0</v>
      </c>
      <c r="B750" s="1">
        <v>3.0</v>
      </c>
      <c r="C750" s="1" t="s">
        <v>12</v>
      </c>
      <c r="D750" s="1" t="s">
        <v>13</v>
      </c>
      <c r="E750" s="1" t="s">
        <v>21</v>
      </c>
      <c r="F750" s="1">
        <v>100.0</v>
      </c>
      <c r="G750" s="1"/>
      <c r="H750" s="1">
        <v>10000.0</v>
      </c>
      <c r="I750" s="1">
        <f t="shared" si="1"/>
        <v>10000</v>
      </c>
      <c r="J750" s="1">
        <v>1000.0</v>
      </c>
      <c r="K750" s="1"/>
      <c r="L750" s="1" t="s">
        <v>2252</v>
      </c>
    </row>
    <row r="751">
      <c r="A751" s="1">
        <v>2019.0</v>
      </c>
      <c r="B751" s="1">
        <v>3.0</v>
      </c>
      <c r="C751" s="1" t="s">
        <v>12</v>
      </c>
      <c r="D751" s="1" t="s">
        <v>13</v>
      </c>
      <c r="E751" s="1" t="s">
        <v>25</v>
      </c>
      <c r="F751" s="1">
        <v>100.0</v>
      </c>
      <c r="G751" s="1"/>
      <c r="H751" s="1">
        <v>10000.0</v>
      </c>
      <c r="I751" s="1">
        <f t="shared" si="1"/>
        <v>10000</v>
      </c>
      <c r="J751" s="1">
        <v>1000.0</v>
      </c>
      <c r="K751" s="1"/>
      <c r="L751" s="1" t="s">
        <v>2252</v>
      </c>
    </row>
    <row r="752">
      <c r="A752" s="1">
        <v>2019.0</v>
      </c>
      <c r="B752" s="1">
        <v>3.0</v>
      </c>
      <c r="C752" s="1" t="s">
        <v>12</v>
      </c>
      <c r="D752" s="1" t="s">
        <v>29</v>
      </c>
      <c r="E752" s="1" t="s">
        <v>21</v>
      </c>
      <c r="F752" s="1">
        <v>100.0</v>
      </c>
      <c r="G752" s="1"/>
      <c r="H752" s="1">
        <v>10000.0</v>
      </c>
      <c r="I752" s="1">
        <f t="shared" si="1"/>
        <v>10000</v>
      </c>
      <c r="J752" s="1">
        <v>1000.0</v>
      </c>
      <c r="K752" s="1"/>
      <c r="L752" s="1" t="s">
        <v>2252</v>
      </c>
    </row>
    <row r="753">
      <c r="A753" s="1">
        <v>2019.0</v>
      </c>
      <c r="B753" s="1">
        <v>3.0</v>
      </c>
      <c r="C753" s="1" t="s">
        <v>12</v>
      </c>
      <c r="D753" s="1" t="s">
        <v>32</v>
      </c>
      <c r="E753" s="1" t="s">
        <v>14</v>
      </c>
      <c r="F753" s="1">
        <v>100.0</v>
      </c>
      <c r="G753" s="1"/>
      <c r="H753" s="1">
        <v>10000.0</v>
      </c>
      <c r="I753" s="1">
        <f t="shared" si="1"/>
        <v>10000</v>
      </c>
      <c r="J753" s="1">
        <v>1000.0</v>
      </c>
      <c r="K753" s="1"/>
      <c r="L753" s="1" t="s">
        <v>2252</v>
      </c>
    </row>
    <row r="754">
      <c r="A754" s="1">
        <v>2019.0</v>
      </c>
      <c r="B754" s="1">
        <v>3.0</v>
      </c>
      <c r="C754" s="1" t="s">
        <v>12</v>
      </c>
      <c r="D754" s="1" t="s">
        <v>32</v>
      </c>
      <c r="E754" s="1" t="s">
        <v>21</v>
      </c>
      <c r="F754" s="1">
        <v>100.0</v>
      </c>
      <c r="G754" s="1"/>
      <c r="H754" s="1">
        <v>10000.0</v>
      </c>
      <c r="I754" s="1">
        <f t="shared" si="1"/>
        <v>10000</v>
      </c>
      <c r="J754" s="1">
        <v>1000.0</v>
      </c>
      <c r="K754" s="1"/>
      <c r="L754" s="1" t="s">
        <v>2252</v>
      </c>
    </row>
    <row r="755">
      <c r="A755" s="1">
        <v>2019.0</v>
      </c>
      <c r="B755" s="1">
        <v>3.0</v>
      </c>
      <c r="C755" s="1" t="s">
        <v>12</v>
      </c>
      <c r="D755" s="1" t="s">
        <v>32</v>
      </c>
      <c r="E755" s="1" t="s">
        <v>25</v>
      </c>
      <c r="F755" s="1">
        <v>100.0</v>
      </c>
      <c r="G755" s="1"/>
      <c r="H755" s="1">
        <v>10000.0</v>
      </c>
      <c r="I755" s="1">
        <f t="shared" si="1"/>
        <v>10000</v>
      </c>
      <c r="J755" s="1">
        <v>1000.0</v>
      </c>
      <c r="K755" s="1"/>
      <c r="L755" s="1" t="s">
        <v>2252</v>
      </c>
    </row>
    <row r="756">
      <c r="A756" s="1">
        <v>2019.0</v>
      </c>
      <c r="B756" s="1">
        <v>3.0</v>
      </c>
      <c r="C756" s="1" t="s">
        <v>12</v>
      </c>
      <c r="D756" s="1" t="s">
        <v>38</v>
      </c>
      <c r="E756" s="1" t="s">
        <v>39</v>
      </c>
      <c r="F756" s="1">
        <v>100.0</v>
      </c>
      <c r="G756" s="1"/>
      <c r="H756" s="1">
        <v>10000.0</v>
      </c>
      <c r="I756" s="1">
        <f t="shared" si="1"/>
        <v>10000</v>
      </c>
      <c r="J756" s="1">
        <v>1000.0</v>
      </c>
      <c r="K756" s="1"/>
      <c r="L756" s="1" t="s">
        <v>2252</v>
      </c>
    </row>
    <row r="757">
      <c r="A757" s="1">
        <v>2019.0</v>
      </c>
      <c r="B757" s="1">
        <v>3.0</v>
      </c>
      <c r="C757" s="1" t="s">
        <v>12</v>
      </c>
      <c r="D757" s="1" t="s">
        <v>45</v>
      </c>
      <c r="E757" s="1" t="s">
        <v>17</v>
      </c>
      <c r="F757" s="1">
        <v>100.0</v>
      </c>
      <c r="G757" s="1"/>
      <c r="H757" s="1">
        <v>10000.0</v>
      </c>
      <c r="I757" s="1">
        <f t="shared" si="1"/>
        <v>10000</v>
      </c>
      <c r="J757" s="1">
        <v>1000.0</v>
      </c>
      <c r="K757" s="1"/>
      <c r="L757" s="1" t="s">
        <v>2252</v>
      </c>
    </row>
    <row r="758">
      <c r="A758" s="1">
        <v>2019.0</v>
      </c>
      <c r="B758" s="1">
        <v>3.0</v>
      </c>
      <c r="C758" s="1" t="s">
        <v>12</v>
      </c>
      <c r="D758" s="1" t="s">
        <v>56</v>
      </c>
      <c r="E758" s="1" t="s">
        <v>21</v>
      </c>
      <c r="F758" s="1">
        <v>100.0</v>
      </c>
      <c r="G758" s="1"/>
      <c r="H758" s="1">
        <v>10000.0</v>
      </c>
      <c r="I758" s="1">
        <f t="shared" si="1"/>
        <v>10000</v>
      </c>
      <c r="J758" s="1">
        <v>1000.0</v>
      </c>
      <c r="K758" s="1"/>
      <c r="L758" s="1" t="s">
        <v>2252</v>
      </c>
    </row>
    <row r="759">
      <c r="A759" s="1">
        <v>2019.0</v>
      </c>
      <c r="B759" s="1">
        <v>3.0</v>
      </c>
      <c r="C759" s="1" t="s">
        <v>12</v>
      </c>
      <c r="D759" s="1" t="s">
        <v>729</v>
      </c>
      <c r="E759" s="1" t="s">
        <v>21</v>
      </c>
      <c r="F759" s="1">
        <v>100.0</v>
      </c>
      <c r="G759" s="1"/>
      <c r="H759" s="1">
        <v>10000.0</v>
      </c>
      <c r="I759" s="1">
        <f t="shared" si="1"/>
        <v>10000</v>
      </c>
      <c r="J759" s="1">
        <v>1000.0</v>
      </c>
      <c r="K759" s="1"/>
      <c r="L759" s="1" t="s">
        <v>2252</v>
      </c>
    </row>
    <row r="760">
      <c r="A760" s="1">
        <v>2019.0</v>
      </c>
      <c r="B760" s="1">
        <v>3.0</v>
      </c>
      <c r="C760" s="1" t="s">
        <v>12</v>
      </c>
      <c r="D760" s="1" t="s">
        <v>64</v>
      </c>
      <c r="E760" s="1" t="s">
        <v>14</v>
      </c>
      <c r="F760" s="1">
        <v>100.0</v>
      </c>
      <c r="G760" s="1"/>
      <c r="H760" s="1">
        <v>10000.0</v>
      </c>
      <c r="I760" s="1">
        <f t="shared" si="1"/>
        <v>10000</v>
      </c>
      <c r="J760" s="1">
        <v>1000.0</v>
      </c>
      <c r="K760" s="1"/>
      <c r="L760" s="1" t="s">
        <v>2252</v>
      </c>
    </row>
    <row r="761">
      <c r="A761" s="1">
        <v>2019.0</v>
      </c>
      <c r="B761" s="1">
        <v>3.0</v>
      </c>
      <c r="C761" s="1" t="s">
        <v>12</v>
      </c>
      <c r="D761" s="1" t="s">
        <v>64</v>
      </c>
      <c r="E761" s="1" t="s">
        <v>21</v>
      </c>
      <c r="F761" s="1">
        <v>100.0</v>
      </c>
      <c r="G761" s="1"/>
      <c r="H761" s="1">
        <v>10000.0</v>
      </c>
      <c r="I761" s="1">
        <f t="shared" si="1"/>
        <v>10000</v>
      </c>
      <c r="J761" s="1">
        <v>1000.0</v>
      </c>
      <c r="K761" s="1"/>
      <c r="L761" s="1" t="s">
        <v>2252</v>
      </c>
    </row>
    <row r="762">
      <c r="A762" s="1">
        <v>2019.0</v>
      </c>
      <c r="B762" s="1">
        <v>3.0</v>
      </c>
      <c r="C762" s="1" t="s">
        <v>12</v>
      </c>
      <c r="D762" s="1" t="s">
        <v>60</v>
      </c>
      <c r="E762" s="1" t="s">
        <v>39</v>
      </c>
      <c r="F762" s="1">
        <v>100.0</v>
      </c>
      <c r="G762" s="1"/>
      <c r="H762" s="1">
        <v>10000.0</v>
      </c>
      <c r="I762" s="1">
        <f t="shared" si="1"/>
        <v>10000</v>
      </c>
      <c r="J762" s="1">
        <v>1000.0</v>
      </c>
      <c r="K762" s="1"/>
      <c r="L762" s="1" t="s">
        <v>2252</v>
      </c>
    </row>
    <row r="763">
      <c r="A763" s="1">
        <v>2019.0</v>
      </c>
      <c r="B763" s="1">
        <v>3.0</v>
      </c>
      <c r="C763" s="1" t="s">
        <v>68</v>
      </c>
      <c r="D763" s="1" t="s">
        <v>13</v>
      </c>
      <c r="E763" s="1" t="s">
        <v>14</v>
      </c>
      <c r="F763" s="1">
        <v>100.0</v>
      </c>
      <c r="G763" s="1"/>
      <c r="H763" s="1">
        <v>10000.0</v>
      </c>
      <c r="I763" s="1">
        <f t="shared" si="1"/>
        <v>10000</v>
      </c>
      <c r="J763" s="1">
        <v>1000.0</v>
      </c>
      <c r="K763" s="1"/>
      <c r="L763" s="1" t="s">
        <v>2252</v>
      </c>
    </row>
    <row r="764">
      <c r="A764" s="1">
        <v>2019.0</v>
      </c>
      <c r="B764" s="1">
        <v>3.0</v>
      </c>
      <c r="C764" s="1" t="s">
        <v>68</v>
      </c>
      <c r="D764" s="1" t="s">
        <v>13</v>
      </c>
      <c r="E764" s="1" t="s">
        <v>17</v>
      </c>
      <c r="F764" s="1">
        <v>100.0</v>
      </c>
      <c r="G764" s="1"/>
      <c r="H764" s="1">
        <v>10000.0</v>
      </c>
      <c r="I764" s="1">
        <f t="shared" si="1"/>
        <v>10000</v>
      </c>
      <c r="J764" s="1">
        <v>1000.0</v>
      </c>
      <c r="K764" s="1"/>
      <c r="L764" s="1" t="s">
        <v>2252</v>
      </c>
    </row>
    <row r="765">
      <c r="A765" s="1">
        <v>2019.0</v>
      </c>
      <c r="B765" s="1">
        <v>3.0</v>
      </c>
      <c r="C765" s="1" t="s">
        <v>68</v>
      </c>
      <c r="D765" s="1" t="s">
        <v>13</v>
      </c>
      <c r="E765" s="1" t="s">
        <v>21</v>
      </c>
      <c r="F765" s="1">
        <v>100.0</v>
      </c>
      <c r="G765" s="1"/>
      <c r="H765" s="1">
        <v>10000.0</v>
      </c>
      <c r="I765" s="1">
        <f t="shared" si="1"/>
        <v>10000</v>
      </c>
      <c r="J765" s="1">
        <v>1000.0</v>
      </c>
      <c r="K765" s="1"/>
      <c r="L765" s="1" t="s">
        <v>2252</v>
      </c>
    </row>
    <row r="766">
      <c r="A766" s="1">
        <v>2019.0</v>
      </c>
      <c r="B766" s="1">
        <v>3.0</v>
      </c>
      <c r="C766" s="1" t="s">
        <v>68</v>
      </c>
      <c r="D766" s="1" t="s">
        <v>13</v>
      </c>
      <c r="E766" s="1" t="s">
        <v>25</v>
      </c>
      <c r="F766" s="1">
        <v>100.0</v>
      </c>
      <c r="G766" s="1"/>
      <c r="H766" s="1">
        <v>10000.0</v>
      </c>
      <c r="I766" s="1">
        <f t="shared" si="1"/>
        <v>10000</v>
      </c>
      <c r="J766" s="1">
        <v>1000.0</v>
      </c>
      <c r="K766" s="1"/>
      <c r="L766" s="1" t="s">
        <v>2252</v>
      </c>
    </row>
    <row r="767">
      <c r="A767" s="1">
        <v>2019.0</v>
      </c>
      <c r="B767" s="1">
        <v>3.0</v>
      </c>
      <c r="C767" s="1" t="s">
        <v>68</v>
      </c>
      <c r="D767" s="1" t="s">
        <v>29</v>
      </c>
      <c r="E767" s="1" t="s">
        <v>21</v>
      </c>
      <c r="F767" s="1">
        <v>100.0</v>
      </c>
      <c r="G767" s="1"/>
      <c r="H767" s="1">
        <v>10000.0</v>
      </c>
      <c r="I767" s="1">
        <f t="shared" si="1"/>
        <v>10000</v>
      </c>
      <c r="J767" s="1">
        <v>1000.0</v>
      </c>
      <c r="K767" s="1"/>
      <c r="L767" s="1" t="s">
        <v>2252</v>
      </c>
    </row>
    <row r="768">
      <c r="A768" s="1">
        <v>2019.0</v>
      </c>
      <c r="B768" s="1">
        <v>3.0</v>
      </c>
      <c r="C768" s="1" t="s">
        <v>68</v>
      </c>
      <c r="D768" s="1" t="s">
        <v>45</v>
      </c>
      <c r="E768" s="1" t="s">
        <v>17</v>
      </c>
      <c r="F768" s="1">
        <v>100.0</v>
      </c>
      <c r="G768" s="1"/>
      <c r="H768" s="1">
        <v>10000.0</v>
      </c>
      <c r="I768" s="1">
        <f t="shared" si="1"/>
        <v>10000</v>
      </c>
      <c r="J768" s="1">
        <v>1000.0</v>
      </c>
      <c r="K768" s="1"/>
      <c r="L768" s="1" t="s">
        <v>2252</v>
      </c>
    </row>
    <row r="769">
      <c r="A769" s="1">
        <v>2019.0</v>
      </c>
      <c r="B769" s="1">
        <v>3.0</v>
      </c>
      <c r="C769" s="1" t="s">
        <v>68</v>
      </c>
      <c r="D769" s="1" t="s">
        <v>32</v>
      </c>
      <c r="E769" s="1" t="s">
        <v>14</v>
      </c>
      <c r="F769" s="1">
        <v>100.0</v>
      </c>
      <c r="G769" s="1"/>
      <c r="H769" s="1">
        <v>10000.0</v>
      </c>
      <c r="I769" s="1">
        <f t="shared" si="1"/>
        <v>10000</v>
      </c>
      <c r="J769" s="1">
        <v>1000.0</v>
      </c>
      <c r="K769" s="1"/>
      <c r="L769" s="1" t="s">
        <v>2252</v>
      </c>
    </row>
    <row r="770">
      <c r="A770" s="1">
        <v>2019.0</v>
      </c>
      <c r="B770" s="1">
        <v>3.0</v>
      </c>
      <c r="C770" s="1" t="s">
        <v>68</v>
      </c>
      <c r="D770" s="1" t="s">
        <v>32</v>
      </c>
      <c r="E770" s="1" t="s">
        <v>21</v>
      </c>
      <c r="F770" s="1">
        <v>100.0</v>
      </c>
      <c r="G770" s="1"/>
      <c r="H770" s="1">
        <v>10000.0</v>
      </c>
      <c r="I770" s="1">
        <f t="shared" si="1"/>
        <v>10000</v>
      </c>
      <c r="J770" s="1">
        <v>1000.0</v>
      </c>
      <c r="K770" s="1"/>
      <c r="L770" s="1" t="s">
        <v>2252</v>
      </c>
    </row>
    <row r="771">
      <c r="A771" s="1">
        <v>2019.0</v>
      </c>
      <c r="B771" s="1">
        <v>3.0</v>
      </c>
      <c r="C771" s="1" t="s">
        <v>68</v>
      </c>
      <c r="D771" s="1" t="s">
        <v>38</v>
      </c>
      <c r="E771" s="1" t="s">
        <v>39</v>
      </c>
      <c r="F771" s="1">
        <v>100.0</v>
      </c>
      <c r="G771" s="1"/>
      <c r="H771" s="1">
        <v>10000.0</v>
      </c>
      <c r="I771" s="1">
        <f t="shared" si="1"/>
        <v>10000</v>
      </c>
      <c r="J771" s="1">
        <v>1000.0</v>
      </c>
      <c r="K771" s="1"/>
      <c r="L771" s="1" t="s">
        <v>2252</v>
      </c>
    </row>
    <row r="772">
      <c r="A772" s="1">
        <v>2019.0</v>
      </c>
      <c r="B772" s="1">
        <v>3.0</v>
      </c>
      <c r="C772" s="1" t="s">
        <v>68</v>
      </c>
      <c r="D772" s="1" t="s">
        <v>108</v>
      </c>
      <c r="E772" s="1" t="s">
        <v>49</v>
      </c>
      <c r="F772" s="1">
        <v>100.0</v>
      </c>
      <c r="G772" s="1"/>
      <c r="H772" s="1">
        <v>10000.0</v>
      </c>
      <c r="I772" s="1">
        <f t="shared" si="1"/>
        <v>10000</v>
      </c>
      <c r="J772" s="1">
        <v>1000.0</v>
      </c>
      <c r="K772" s="1"/>
      <c r="L772" s="1" t="s">
        <v>2252</v>
      </c>
    </row>
    <row r="773">
      <c r="A773" s="1">
        <v>2019.0</v>
      </c>
      <c r="B773" s="1">
        <v>3.0</v>
      </c>
      <c r="C773" s="1" t="s">
        <v>68</v>
      </c>
      <c r="D773" s="1" t="s">
        <v>48</v>
      </c>
      <c r="E773" s="1" t="s">
        <v>21</v>
      </c>
      <c r="F773" s="1">
        <v>100.0</v>
      </c>
      <c r="G773" s="1"/>
      <c r="H773" s="1">
        <v>10000.0</v>
      </c>
      <c r="I773" s="1">
        <f t="shared" si="1"/>
        <v>10000</v>
      </c>
      <c r="J773" s="1">
        <v>1000.0</v>
      </c>
      <c r="K773" s="1"/>
      <c r="L773" s="1" t="s">
        <v>2252</v>
      </c>
    </row>
    <row r="774">
      <c r="A774" s="1">
        <v>2019.0</v>
      </c>
      <c r="B774" s="1">
        <v>3.0</v>
      </c>
      <c r="C774" s="1" t="s">
        <v>68</v>
      </c>
      <c r="D774" s="1" t="s">
        <v>56</v>
      </c>
      <c r="E774" s="1" t="s">
        <v>21</v>
      </c>
      <c r="F774" s="1">
        <v>100.0</v>
      </c>
      <c r="G774" s="1"/>
      <c r="H774" s="1">
        <v>10000.0</v>
      </c>
      <c r="I774" s="1">
        <f t="shared" si="1"/>
        <v>10000</v>
      </c>
      <c r="J774" s="1">
        <v>1000.0</v>
      </c>
      <c r="K774" s="1"/>
      <c r="L774" s="1" t="s">
        <v>2252</v>
      </c>
    </row>
    <row r="775">
      <c r="A775" s="1">
        <v>2019.0</v>
      </c>
      <c r="B775" s="1">
        <v>3.0</v>
      </c>
      <c r="C775" s="1" t="s">
        <v>68</v>
      </c>
      <c r="D775" s="1" t="s">
        <v>729</v>
      </c>
      <c r="E775" s="1" t="s">
        <v>21</v>
      </c>
      <c r="F775" s="1">
        <v>100.0</v>
      </c>
      <c r="G775" s="1"/>
      <c r="H775" s="1">
        <v>10000.0</v>
      </c>
      <c r="I775" s="1">
        <f t="shared" si="1"/>
        <v>10000</v>
      </c>
      <c r="J775" s="1">
        <v>1000.0</v>
      </c>
      <c r="K775" s="1"/>
      <c r="L775" s="1" t="s">
        <v>2252</v>
      </c>
    </row>
    <row r="776">
      <c r="A776" s="1">
        <v>2019.0</v>
      </c>
      <c r="B776" s="1">
        <v>3.0</v>
      </c>
      <c r="C776" s="1" t="s">
        <v>116</v>
      </c>
      <c r="D776" s="1" t="s">
        <v>13</v>
      </c>
      <c r="E776" s="1" t="s">
        <v>14</v>
      </c>
      <c r="F776" s="1">
        <v>100.0</v>
      </c>
      <c r="G776" s="1"/>
      <c r="H776" s="1">
        <v>10000.0</v>
      </c>
      <c r="I776" s="1">
        <f t="shared" si="1"/>
        <v>10000</v>
      </c>
      <c r="J776" s="1">
        <v>1000.0</v>
      </c>
      <c r="K776" s="1"/>
      <c r="L776" s="1" t="s">
        <v>2252</v>
      </c>
    </row>
    <row r="777">
      <c r="A777" s="1">
        <v>2019.0</v>
      </c>
      <c r="B777" s="1">
        <v>3.0</v>
      </c>
      <c r="C777" s="1" t="s">
        <v>116</v>
      </c>
      <c r="D777" s="1" t="s">
        <v>13</v>
      </c>
      <c r="E777" s="1" t="s">
        <v>72</v>
      </c>
      <c r="F777" s="1">
        <v>100.0</v>
      </c>
      <c r="G777" s="1"/>
      <c r="H777" s="1">
        <v>10000.0</v>
      </c>
      <c r="I777" s="1">
        <f t="shared" si="1"/>
        <v>10000</v>
      </c>
      <c r="J777" s="1">
        <v>1000.0</v>
      </c>
      <c r="K777" s="1"/>
      <c r="L777" s="1" t="s">
        <v>2252</v>
      </c>
    </row>
    <row r="778">
      <c r="A778" s="1">
        <v>2019.0</v>
      </c>
      <c r="B778" s="1">
        <v>3.0</v>
      </c>
      <c r="C778" s="1" t="s">
        <v>116</v>
      </c>
      <c r="D778" s="1" t="s">
        <v>13</v>
      </c>
      <c r="E778" s="1" t="s">
        <v>17</v>
      </c>
      <c r="F778" s="1">
        <v>100.0</v>
      </c>
      <c r="G778" s="1"/>
      <c r="H778" s="1">
        <v>10000.0</v>
      </c>
      <c r="I778" s="1">
        <f t="shared" si="1"/>
        <v>10000</v>
      </c>
      <c r="J778" s="1">
        <v>1000.0</v>
      </c>
      <c r="K778" s="1"/>
      <c r="L778" s="1" t="s">
        <v>2252</v>
      </c>
    </row>
    <row r="779">
      <c r="A779" s="1">
        <v>2019.0</v>
      </c>
      <c r="B779" s="1">
        <v>3.0</v>
      </c>
      <c r="C779" s="1" t="s">
        <v>116</v>
      </c>
      <c r="D779" s="1" t="s">
        <v>13</v>
      </c>
      <c r="E779" s="1" t="s">
        <v>21</v>
      </c>
      <c r="F779" s="1">
        <v>100.0</v>
      </c>
      <c r="G779" s="1"/>
      <c r="H779" s="1">
        <v>10000.0</v>
      </c>
      <c r="I779" s="1">
        <f t="shared" si="1"/>
        <v>10000</v>
      </c>
      <c r="J779" s="1">
        <v>1000.0</v>
      </c>
      <c r="K779" s="1"/>
      <c r="L779" s="1" t="s">
        <v>2252</v>
      </c>
    </row>
    <row r="780">
      <c r="A780" s="1">
        <v>2019.0</v>
      </c>
      <c r="B780" s="1">
        <v>3.0</v>
      </c>
      <c r="C780" s="1" t="s">
        <v>116</v>
      </c>
      <c r="D780" s="1" t="s">
        <v>13</v>
      </c>
      <c r="E780" s="1" t="s">
        <v>25</v>
      </c>
      <c r="F780" s="1">
        <v>100.0</v>
      </c>
      <c r="G780" s="1"/>
      <c r="H780" s="1">
        <v>10000.0</v>
      </c>
      <c r="I780" s="1">
        <f t="shared" si="1"/>
        <v>10000</v>
      </c>
      <c r="J780" s="1">
        <v>1000.0</v>
      </c>
      <c r="K780" s="1"/>
      <c r="L780" s="1" t="s">
        <v>2252</v>
      </c>
    </row>
    <row r="781">
      <c r="A781" s="1">
        <v>2019.0</v>
      </c>
      <c r="B781" s="1">
        <v>3.0</v>
      </c>
      <c r="C781" s="1" t="s">
        <v>116</v>
      </c>
      <c r="D781" s="1" t="s">
        <v>29</v>
      </c>
      <c r="E781" s="1" t="s">
        <v>21</v>
      </c>
      <c r="F781" s="1">
        <v>100.0</v>
      </c>
      <c r="G781" s="1"/>
      <c r="H781" s="1">
        <v>10000.0</v>
      </c>
      <c r="I781" s="1">
        <f t="shared" si="1"/>
        <v>10000</v>
      </c>
      <c r="J781" s="1">
        <v>1000.0</v>
      </c>
      <c r="K781" s="1"/>
      <c r="L781" s="1" t="s">
        <v>2252</v>
      </c>
    </row>
    <row r="782">
      <c r="A782" s="1">
        <v>2019.0</v>
      </c>
      <c r="B782" s="1">
        <v>3.0</v>
      </c>
      <c r="C782" s="1" t="s">
        <v>116</v>
      </c>
      <c r="D782" s="1" t="s">
        <v>32</v>
      </c>
      <c r="E782" s="1" t="s">
        <v>14</v>
      </c>
      <c r="F782" s="1">
        <v>100.0</v>
      </c>
      <c r="G782" s="1"/>
      <c r="H782" s="1">
        <v>10000.0</v>
      </c>
      <c r="I782" s="1">
        <f t="shared" si="1"/>
        <v>10000</v>
      </c>
      <c r="J782" s="1">
        <v>1000.0</v>
      </c>
      <c r="K782" s="1"/>
      <c r="L782" s="1" t="s">
        <v>2252</v>
      </c>
    </row>
    <row r="783">
      <c r="A783" s="1">
        <v>2019.0</v>
      </c>
      <c r="B783" s="1">
        <v>3.0</v>
      </c>
      <c r="C783" s="1" t="s">
        <v>116</v>
      </c>
      <c r="D783" s="1" t="s">
        <v>32</v>
      </c>
      <c r="E783" s="1" t="s">
        <v>21</v>
      </c>
      <c r="F783" s="1">
        <v>100.0</v>
      </c>
      <c r="G783" s="1"/>
      <c r="H783" s="1">
        <v>10000.0</v>
      </c>
      <c r="I783" s="1">
        <f t="shared" si="1"/>
        <v>10000</v>
      </c>
      <c r="J783" s="1">
        <v>1000.0</v>
      </c>
      <c r="K783" s="1"/>
      <c r="L783" s="1" t="s">
        <v>2252</v>
      </c>
    </row>
    <row r="784">
      <c r="A784" s="1">
        <v>2019.0</v>
      </c>
      <c r="B784" s="1">
        <v>3.0</v>
      </c>
      <c r="C784" s="1" t="s">
        <v>116</v>
      </c>
      <c r="D784" s="1" t="s">
        <v>45</v>
      </c>
      <c r="E784" s="1" t="s">
        <v>17</v>
      </c>
      <c r="F784" s="1">
        <v>100.0</v>
      </c>
      <c r="G784" s="1"/>
      <c r="H784" s="1">
        <v>10000.0</v>
      </c>
      <c r="I784" s="1">
        <f t="shared" si="1"/>
        <v>10000</v>
      </c>
      <c r="J784" s="1">
        <v>1000.0</v>
      </c>
      <c r="K784" s="1"/>
      <c r="L784" s="1" t="s">
        <v>2252</v>
      </c>
    </row>
    <row r="785">
      <c r="A785" s="1">
        <v>2019.0</v>
      </c>
      <c r="B785" s="1">
        <v>3.0</v>
      </c>
      <c r="C785" s="1" t="s">
        <v>116</v>
      </c>
      <c r="D785" s="1" t="s">
        <v>2083</v>
      </c>
      <c r="E785" s="1" t="s">
        <v>39</v>
      </c>
      <c r="F785" s="1">
        <v>100.0</v>
      </c>
      <c r="G785" s="1"/>
      <c r="H785" s="1">
        <v>10000.0</v>
      </c>
      <c r="I785" s="1">
        <f t="shared" si="1"/>
        <v>10000</v>
      </c>
      <c r="J785" s="1">
        <v>1000.0</v>
      </c>
      <c r="K785" s="1"/>
      <c r="L785" s="1" t="s">
        <v>2252</v>
      </c>
    </row>
    <row r="786">
      <c r="A786" s="1">
        <v>2019.0</v>
      </c>
      <c r="B786" s="1">
        <v>3.0</v>
      </c>
      <c r="C786" s="1" t="s">
        <v>116</v>
      </c>
      <c r="D786" s="1" t="s">
        <v>2083</v>
      </c>
      <c r="E786" s="1" t="s">
        <v>49</v>
      </c>
      <c r="F786" s="1">
        <v>100.0</v>
      </c>
      <c r="G786" s="1"/>
      <c r="H786" s="1">
        <v>10000.0</v>
      </c>
      <c r="I786" s="1">
        <f t="shared" si="1"/>
        <v>10000</v>
      </c>
      <c r="J786" s="1">
        <v>1000.0</v>
      </c>
      <c r="K786" s="1"/>
      <c r="L786" s="1" t="s">
        <v>2252</v>
      </c>
    </row>
    <row r="787">
      <c r="A787" s="1">
        <v>2019.0</v>
      </c>
      <c r="B787" s="1">
        <v>3.0</v>
      </c>
      <c r="C787" s="1" t="s">
        <v>116</v>
      </c>
      <c r="D787" s="1" t="s">
        <v>2083</v>
      </c>
      <c r="E787" s="1" t="s">
        <v>21</v>
      </c>
      <c r="F787" s="1">
        <v>100.0</v>
      </c>
      <c r="G787" s="1"/>
      <c r="H787" s="1">
        <v>10000.0</v>
      </c>
      <c r="I787" s="1">
        <f t="shared" si="1"/>
        <v>10000</v>
      </c>
      <c r="J787" s="1">
        <v>1000.0</v>
      </c>
      <c r="K787" s="1"/>
      <c r="L787" s="1" t="s">
        <v>2252</v>
      </c>
    </row>
    <row r="788">
      <c r="A788" s="1">
        <v>2019.0</v>
      </c>
      <c r="B788" s="1">
        <v>3.0</v>
      </c>
      <c r="C788" s="1" t="s">
        <v>116</v>
      </c>
      <c r="D788" s="1" t="s">
        <v>102</v>
      </c>
      <c r="E788" s="1" t="s">
        <v>39</v>
      </c>
      <c r="F788" s="1">
        <v>100.0</v>
      </c>
      <c r="G788" s="1"/>
      <c r="H788" s="1">
        <v>10000.0</v>
      </c>
      <c r="I788" s="1">
        <f t="shared" si="1"/>
        <v>10000</v>
      </c>
      <c r="J788" s="1">
        <v>1000.0</v>
      </c>
      <c r="K788" s="1"/>
      <c r="L788" s="1" t="s">
        <v>2252</v>
      </c>
    </row>
    <row r="789">
      <c r="A789" s="1">
        <v>2019.0</v>
      </c>
      <c r="B789" s="1">
        <v>3.0</v>
      </c>
      <c r="C789" s="1" t="s">
        <v>116</v>
      </c>
      <c r="D789" s="1" t="s">
        <v>102</v>
      </c>
      <c r="E789" s="1" t="s">
        <v>21</v>
      </c>
      <c r="F789" s="1">
        <v>100.0</v>
      </c>
      <c r="G789" s="1"/>
      <c r="H789" s="1">
        <v>10000.0</v>
      </c>
      <c r="I789" s="1">
        <f t="shared" si="1"/>
        <v>10000</v>
      </c>
      <c r="J789" s="1">
        <v>1000.0</v>
      </c>
      <c r="K789" s="1"/>
      <c r="L789" s="1" t="s">
        <v>2252</v>
      </c>
    </row>
    <row r="790">
      <c r="A790" s="1">
        <v>2019.0</v>
      </c>
      <c r="B790" s="1">
        <v>3.0</v>
      </c>
      <c r="C790" s="1" t="s">
        <v>116</v>
      </c>
      <c r="D790" s="1" t="s">
        <v>147</v>
      </c>
      <c r="E790" s="1" t="s">
        <v>39</v>
      </c>
      <c r="F790" s="1">
        <v>100.0</v>
      </c>
      <c r="G790" s="1"/>
      <c r="H790" s="1">
        <v>10000.0</v>
      </c>
      <c r="I790" s="1">
        <f t="shared" si="1"/>
        <v>10000</v>
      </c>
      <c r="J790" s="1">
        <v>1000.0</v>
      </c>
      <c r="K790" s="1"/>
      <c r="L790" s="1" t="s">
        <v>2252</v>
      </c>
    </row>
    <row r="791">
      <c r="A791" s="1">
        <v>2019.0</v>
      </c>
      <c r="B791" s="1">
        <v>3.0</v>
      </c>
      <c r="C791" s="1" t="s">
        <v>116</v>
      </c>
      <c r="D791" s="1" t="s">
        <v>147</v>
      </c>
      <c r="E791" s="1" t="s">
        <v>17</v>
      </c>
      <c r="F791" s="1">
        <v>100.0</v>
      </c>
      <c r="G791" s="1"/>
      <c r="H791" s="1">
        <v>10000.0</v>
      </c>
      <c r="I791" s="1">
        <f t="shared" si="1"/>
        <v>10000</v>
      </c>
      <c r="J791" s="1">
        <v>1000.0</v>
      </c>
      <c r="K791" s="1"/>
      <c r="L791" s="1" t="s">
        <v>2252</v>
      </c>
    </row>
    <row r="792">
      <c r="A792" s="1">
        <v>2019.0</v>
      </c>
      <c r="B792" s="1">
        <v>3.0</v>
      </c>
      <c r="C792" s="1" t="s">
        <v>116</v>
      </c>
      <c r="D792" s="1" t="s">
        <v>147</v>
      </c>
      <c r="E792" s="1" t="s">
        <v>21</v>
      </c>
      <c r="F792" s="1">
        <v>100.0</v>
      </c>
      <c r="G792" s="1"/>
      <c r="H792" s="1">
        <v>10000.0</v>
      </c>
      <c r="I792" s="1">
        <f t="shared" si="1"/>
        <v>10000</v>
      </c>
      <c r="J792" s="1">
        <v>1000.0</v>
      </c>
      <c r="K792" s="1"/>
      <c r="L792" s="1" t="s">
        <v>2252</v>
      </c>
    </row>
    <row r="793">
      <c r="A793" s="1">
        <v>2019.0</v>
      </c>
      <c r="B793" s="1">
        <v>3.0</v>
      </c>
      <c r="C793" s="1" t="s">
        <v>116</v>
      </c>
      <c r="D793" s="1" t="s">
        <v>158</v>
      </c>
      <c r="E793" s="1" t="s">
        <v>39</v>
      </c>
      <c r="F793" s="1">
        <v>100.0</v>
      </c>
      <c r="G793" s="1"/>
      <c r="H793" s="1">
        <v>10000.0</v>
      </c>
      <c r="I793" s="1">
        <f t="shared" si="1"/>
        <v>10000</v>
      </c>
      <c r="J793" s="1">
        <v>1000.0</v>
      </c>
      <c r="K793" s="1"/>
      <c r="L793" s="1" t="s">
        <v>2252</v>
      </c>
    </row>
    <row r="794">
      <c r="A794" s="1">
        <v>2019.0</v>
      </c>
      <c r="B794" s="1">
        <v>3.0</v>
      </c>
      <c r="C794" s="1" t="s">
        <v>116</v>
      </c>
      <c r="D794" s="1" t="s">
        <v>158</v>
      </c>
      <c r="E794" s="1" t="s">
        <v>17</v>
      </c>
      <c r="F794" s="1">
        <v>100.0</v>
      </c>
      <c r="G794" s="1"/>
      <c r="H794" s="1">
        <v>10000.0</v>
      </c>
      <c r="I794" s="1">
        <f t="shared" si="1"/>
        <v>10000</v>
      </c>
      <c r="J794" s="1">
        <v>1000.0</v>
      </c>
      <c r="K794" s="1"/>
      <c r="L794" s="1" t="s">
        <v>2252</v>
      </c>
    </row>
    <row r="795">
      <c r="A795" s="1">
        <v>2019.0</v>
      </c>
      <c r="B795" s="1">
        <v>3.0</v>
      </c>
      <c r="C795" s="1" t="s">
        <v>116</v>
      </c>
      <c r="D795" s="1" t="s">
        <v>158</v>
      </c>
      <c r="E795" s="1" t="s">
        <v>21</v>
      </c>
      <c r="F795" s="1">
        <v>100.0</v>
      </c>
      <c r="G795" s="1"/>
      <c r="H795" s="1">
        <v>10000.0</v>
      </c>
      <c r="I795" s="1">
        <f t="shared" si="1"/>
        <v>10000</v>
      </c>
      <c r="J795" s="1">
        <v>1000.0</v>
      </c>
      <c r="K795" s="1"/>
      <c r="L795" s="1" t="s">
        <v>2252</v>
      </c>
    </row>
    <row r="796">
      <c r="A796" s="1">
        <v>2019.0</v>
      </c>
      <c r="B796" s="1">
        <v>3.0</v>
      </c>
      <c r="C796" s="1" t="s">
        <v>116</v>
      </c>
      <c r="D796" s="1" t="s">
        <v>48</v>
      </c>
      <c r="E796" s="1" t="s">
        <v>49</v>
      </c>
      <c r="F796" s="1">
        <v>100.0</v>
      </c>
      <c r="G796" s="1"/>
      <c r="H796" s="1">
        <v>10000.0</v>
      </c>
      <c r="I796" s="1">
        <f t="shared" si="1"/>
        <v>10000</v>
      </c>
      <c r="J796" s="1">
        <v>1000.0</v>
      </c>
      <c r="K796" s="1"/>
      <c r="L796" s="1" t="s">
        <v>2252</v>
      </c>
    </row>
    <row r="797">
      <c r="A797" s="1">
        <v>2019.0</v>
      </c>
      <c r="B797" s="1">
        <v>3.0</v>
      </c>
      <c r="C797" s="1" t="s">
        <v>116</v>
      </c>
      <c r="D797" s="1" t="s">
        <v>48</v>
      </c>
      <c r="E797" s="1" t="s">
        <v>72</v>
      </c>
      <c r="F797" s="1">
        <v>100.0</v>
      </c>
      <c r="G797" s="1"/>
      <c r="H797" s="1">
        <v>10000.0</v>
      </c>
      <c r="I797" s="1">
        <f t="shared" si="1"/>
        <v>10000</v>
      </c>
      <c r="J797" s="1">
        <v>1000.0</v>
      </c>
      <c r="K797" s="1"/>
      <c r="L797" s="1" t="s">
        <v>2252</v>
      </c>
    </row>
    <row r="798">
      <c r="A798" s="1">
        <v>2019.0</v>
      </c>
      <c r="B798" s="1">
        <v>3.0</v>
      </c>
      <c r="C798" s="1" t="s">
        <v>116</v>
      </c>
      <c r="D798" s="1" t="s">
        <v>48</v>
      </c>
      <c r="E798" s="1" t="s">
        <v>21</v>
      </c>
      <c r="F798" s="1">
        <v>100.0</v>
      </c>
      <c r="G798" s="1"/>
      <c r="H798" s="1">
        <v>10000.0</v>
      </c>
      <c r="I798" s="1">
        <f t="shared" si="1"/>
        <v>10000</v>
      </c>
      <c r="J798" s="1">
        <v>1000.0</v>
      </c>
      <c r="K798" s="1"/>
      <c r="L798" s="1" t="s">
        <v>2252</v>
      </c>
    </row>
    <row r="799">
      <c r="A799" s="1">
        <v>2019.0</v>
      </c>
      <c r="B799" s="1">
        <v>4.0</v>
      </c>
      <c r="C799" s="1" t="s">
        <v>12</v>
      </c>
      <c r="D799" s="1" t="s">
        <v>13</v>
      </c>
      <c r="E799" s="1" t="s">
        <v>14</v>
      </c>
      <c r="F799" s="1">
        <v>100.0</v>
      </c>
      <c r="G799" s="1"/>
      <c r="H799" s="1">
        <v>10000.0</v>
      </c>
      <c r="I799" s="1">
        <f t="shared" si="1"/>
        <v>10000</v>
      </c>
      <c r="J799" s="1">
        <v>1000.0</v>
      </c>
      <c r="K799" s="1"/>
      <c r="L799" s="1" t="s">
        <v>2252</v>
      </c>
    </row>
    <row r="800">
      <c r="A800" s="1">
        <v>2019.0</v>
      </c>
      <c r="B800" s="1">
        <v>4.0</v>
      </c>
      <c r="C800" s="1" t="s">
        <v>12</v>
      </c>
      <c r="D800" s="1" t="s">
        <v>13</v>
      </c>
      <c r="E800" s="1" t="s">
        <v>17</v>
      </c>
      <c r="F800" s="1">
        <v>100.0</v>
      </c>
      <c r="G800" s="1"/>
      <c r="H800" s="1">
        <v>10000.0</v>
      </c>
      <c r="I800" s="1">
        <f t="shared" si="1"/>
        <v>10000</v>
      </c>
      <c r="J800" s="1">
        <v>1000.0</v>
      </c>
      <c r="K800" s="1"/>
      <c r="L800" s="1" t="s">
        <v>2252</v>
      </c>
    </row>
    <row r="801">
      <c r="A801" s="1">
        <v>2019.0</v>
      </c>
      <c r="B801" s="1">
        <v>4.0</v>
      </c>
      <c r="C801" s="1" t="s">
        <v>12</v>
      </c>
      <c r="D801" s="1" t="s">
        <v>13</v>
      </c>
      <c r="E801" s="1" t="s">
        <v>21</v>
      </c>
      <c r="F801" s="1">
        <v>100.0</v>
      </c>
      <c r="G801" s="1"/>
      <c r="H801" s="1">
        <v>10000.0</v>
      </c>
      <c r="I801" s="1">
        <f t="shared" si="1"/>
        <v>10000</v>
      </c>
      <c r="J801" s="1">
        <v>1000.0</v>
      </c>
      <c r="K801" s="1"/>
      <c r="L801" s="1" t="s">
        <v>2252</v>
      </c>
    </row>
    <row r="802">
      <c r="A802" s="1">
        <v>2019.0</v>
      </c>
      <c r="B802" s="1">
        <v>4.0</v>
      </c>
      <c r="C802" s="1" t="s">
        <v>12</v>
      </c>
      <c r="D802" s="1" t="s">
        <v>13</v>
      </c>
      <c r="E802" s="1" t="s">
        <v>25</v>
      </c>
      <c r="F802" s="1">
        <v>100.0</v>
      </c>
      <c r="G802" s="1"/>
      <c r="H802" s="1">
        <v>10000.0</v>
      </c>
      <c r="I802" s="1">
        <f t="shared" si="1"/>
        <v>10000</v>
      </c>
      <c r="J802" s="1">
        <v>1000.0</v>
      </c>
      <c r="K802" s="1"/>
      <c r="L802" s="1" t="s">
        <v>2252</v>
      </c>
    </row>
    <row r="803">
      <c r="A803" s="1">
        <v>2019.0</v>
      </c>
      <c r="B803" s="1">
        <v>4.0</v>
      </c>
      <c r="C803" s="1" t="s">
        <v>12</v>
      </c>
      <c r="D803" s="1" t="s">
        <v>29</v>
      </c>
      <c r="E803" s="1" t="s">
        <v>21</v>
      </c>
      <c r="F803" s="1">
        <v>100.0</v>
      </c>
      <c r="G803" s="1"/>
      <c r="H803" s="1">
        <v>10000.0</v>
      </c>
      <c r="I803" s="1">
        <f t="shared" si="1"/>
        <v>10000</v>
      </c>
      <c r="J803" s="1">
        <v>1000.0</v>
      </c>
      <c r="K803" s="1"/>
      <c r="L803" s="1" t="s">
        <v>2252</v>
      </c>
    </row>
    <row r="804">
      <c r="A804" s="1">
        <v>2019.0</v>
      </c>
      <c r="B804" s="1">
        <v>4.0</v>
      </c>
      <c r="C804" s="1" t="s">
        <v>12</v>
      </c>
      <c r="D804" s="1" t="s">
        <v>32</v>
      </c>
      <c r="E804" s="1" t="s">
        <v>14</v>
      </c>
      <c r="F804" s="1">
        <v>100.0</v>
      </c>
      <c r="G804" s="1"/>
      <c r="H804" s="1">
        <v>10000.0</v>
      </c>
      <c r="I804" s="1">
        <f t="shared" si="1"/>
        <v>10000</v>
      </c>
      <c r="J804" s="1">
        <v>1000.0</v>
      </c>
      <c r="K804" s="1"/>
      <c r="L804" s="1" t="s">
        <v>2252</v>
      </c>
    </row>
    <row r="805">
      <c r="A805" s="1">
        <v>2019.0</v>
      </c>
      <c r="B805" s="1">
        <v>4.0</v>
      </c>
      <c r="C805" s="1" t="s">
        <v>12</v>
      </c>
      <c r="D805" s="1" t="s">
        <v>32</v>
      </c>
      <c r="E805" s="1" t="s">
        <v>21</v>
      </c>
      <c r="F805" s="1">
        <v>100.0</v>
      </c>
      <c r="G805" s="1"/>
      <c r="H805" s="1">
        <v>10000.0</v>
      </c>
      <c r="I805" s="1">
        <f t="shared" si="1"/>
        <v>10000</v>
      </c>
      <c r="J805" s="1">
        <v>1000.0</v>
      </c>
      <c r="K805" s="1"/>
      <c r="L805" s="1" t="s">
        <v>2252</v>
      </c>
    </row>
    <row r="806">
      <c r="A806" s="1">
        <v>2019.0</v>
      </c>
      <c r="B806" s="1">
        <v>4.0</v>
      </c>
      <c r="C806" s="1" t="s">
        <v>12</v>
      </c>
      <c r="D806" s="1" t="s">
        <v>32</v>
      </c>
      <c r="E806" s="1" t="s">
        <v>25</v>
      </c>
      <c r="F806" s="1">
        <v>100.0</v>
      </c>
      <c r="G806" s="1"/>
      <c r="H806" s="1">
        <v>10000.0</v>
      </c>
      <c r="I806" s="1">
        <f t="shared" si="1"/>
        <v>10000</v>
      </c>
      <c r="J806" s="1">
        <v>1000.0</v>
      </c>
      <c r="K806" s="1"/>
      <c r="L806" s="1" t="s">
        <v>2252</v>
      </c>
    </row>
    <row r="807">
      <c r="A807" s="1">
        <v>2019.0</v>
      </c>
      <c r="B807" s="1">
        <v>4.0</v>
      </c>
      <c r="C807" s="1" t="s">
        <v>12</v>
      </c>
      <c r="D807" s="1" t="s">
        <v>38</v>
      </c>
      <c r="E807" s="1" t="s">
        <v>39</v>
      </c>
      <c r="F807" s="1">
        <v>100.0</v>
      </c>
      <c r="G807" s="1"/>
      <c r="H807" s="1">
        <v>10000.0</v>
      </c>
      <c r="I807" s="1">
        <f t="shared" si="1"/>
        <v>10000</v>
      </c>
      <c r="J807" s="1">
        <v>1000.0</v>
      </c>
      <c r="K807" s="1"/>
      <c r="L807" s="1" t="s">
        <v>2252</v>
      </c>
    </row>
    <row r="808">
      <c r="A808" s="1">
        <v>2019.0</v>
      </c>
      <c r="B808" s="1">
        <v>4.0</v>
      </c>
      <c r="C808" s="1" t="s">
        <v>12</v>
      </c>
      <c r="D808" s="1" t="s">
        <v>56</v>
      </c>
      <c r="E808" s="1" t="s">
        <v>21</v>
      </c>
      <c r="F808" s="1">
        <v>100.0</v>
      </c>
      <c r="G808" s="1"/>
      <c r="H808" s="1">
        <v>10000.0</v>
      </c>
      <c r="I808" s="1">
        <f t="shared" si="1"/>
        <v>10000</v>
      </c>
      <c r="J808" s="1">
        <v>1000.0</v>
      </c>
      <c r="K808" s="1"/>
      <c r="L808" s="1" t="s">
        <v>2252</v>
      </c>
    </row>
    <row r="809">
      <c r="A809" s="1">
        <v>2019.0</v>
      </c>
      <c r="B809" s="1">
        <v>4.0</v>
      </c>
      <c r="C809" s="1" t="s">
        <v>12</v>
      </c>
      <c r="D809" s="1" t="s">
        <v>729</v>
      </c>
      <c r="E809" s="1" t="s">
        <v>21</v>
      </c>
      <c r="F809" s="1">
        <v>100.0</v>
      </c>
      <c r="G809" s="1"/>
      <c r="H809" s="1">
        <v>10000.0</v>
      </c>
      <c r="I809" s="1">
        <f t="shared" si="1"/>
        <v>10000</v>
      </c>
      <c r="J809" s="1">
        <v>1000.0</v>
      </c>
      <c r="K809" s="1"/>
      <c r="L809" s="1" t="s">
        <v>2252</v>
      </c>
    </row>
    <row r="810">
      <c r="A810" s="1">
        <v>2019.0</v>
      </c>
      <c r="B810" s="1">
        <v>4.0</v>
      </c>
      <c r="C810" s="1" t="s">
        <v>12</v>
      </c>
      <c r="D810" s="1" t="s">
        <v>60</v>
      </c>
      <c r="E810" s="1" t="s">
        <v>39</v>
      </c>
      <c r="F810" s="1">
        <v>100.0</v>
      </c>
      <c r="G810" s="1"/>
      <c r="H810" s="1">
        <v>10000.0</v>
      </c>
      <c r="I810" s="1">
        <f t="shared" si="1"/>
        <v>10000</v>
      </c>
      <c r="J810" s="1">
        <v>1000.0</v>
      </c>
      <c r="K810" s="1"/>
      <c r="L810" s="1" t="s">
        <v>2252</v>
      </c>
    </row>
    <row r="811">
      <c r="A811" s="1">
        <v>2019.0</v>
      </c>
      <c r="B811" s="1">
        <v>4.0</v>
      </c>
      <c r="C811" s="1" t="s">
        <v>12</v>
      </c>
      <c r="D811" s="1" t="s">
        <v>64</v>
      </c>
      <c r="E811" s="1" t="s">
        <v>14</v>
      </c>
      <c r="F811" s="1">
        <v>100.0</v>
      </c>
      <c r="G811" s="1"/>
      <c r="H811" s="1">
        <v>10000.0</v>
      </c>
      <c r="I811" s="1">
        <f t="shared" si="1"/>
        <v>10000</v>
      </c>
      <c r="J811" s="1">
        <v>1000.0</v>
      </c>
      <c r="K811" s="1"/>
      <c r="L811" s="1" t="s">
        <v>2252</v>
      </c>
    </row>
    <row r="812">
      <c r="A812" s="1">
        <v>2019.0</v>
      </c>
      <c r="B812" s="1">
        <v>4.0</v>
      </c>
      <c r="C812" s="1" t="s">
        <v>12</v>
      </c>
      <c r="D812" s="1" t="s">
        <v>64</v>
      </c>
      <c r="E812" s="1" t="s">
        <v>21</v>
      </c>
      <c r="F812" s="1">
        <v>100.0</v>
      </c>
      <c r="G812" s="1"/>
      <c r="H812" s="1">
        <v>10000.0</v>
      </c>
      <c r="I812" s="1">
        <f t="shared" si="1"/>
        <v>10000</v>
      </c>
      <c r="J812" s="1">
        <v>1000.0</v>
      </c>
      <c r="K812" s="1"/>
      <c r="L812" s="1" t="s">
        <v>2252</v>
      </c>
    </row>
    <row r="813">
      <c r="A813" s="1">
        <v>2019.0</v>
      </c>
      <c r="B813" s="1">
        <v>4.0</v>
      </c>
      <c r="C813" s="1" t="s">
        <v>12</v>
      </c>
      <c r="D813" s="1" t="s">
        <v>45</v>
      </c>
      <c r="E813" s="1" t="s">
        <v>17</v>
      </c>
      <c r="F813" s="1">
        <v>100.0</v>
      </c>
      <c r="G813" s="1"/>
      <c r="H813" s="1">
        <v>10000.0</v>
      </c>
      <c r="I813" s="1">
        <f t="shared" si="1"/>
        <v>10000</v>
      </c>
      <c r="J813" s="1">
        <v>1000.0</v>
      </c>
      <c r="K813" s="1"/>
      <c r="L813" s="1" t="s">
        <v>2252</v>
      </c>
    </row>
    <row r="814">
      <c r="A814" s="1">
        <v>2019.0</v>
      </c>
      <c r="B814" s="1">
        <v>4.0</v>
      </c>
      <c r="C814" s="1" t="s">
        <v>68</v>
      </c>
      <c r="D814" s="1" t="s">
        <v>13</v>
      </c>
      <c r="E814" s="1" t="s">
        <v>14</v>
      </c>
      <c r="F814" s="1">
        <v>100.0</v>
      </c>
      <c r="G814" s="1"/>
      <c r="H814" s="1">
        <v>10000.0</v>
      </c>
      <c r="I814" s="1">
        <f t="shared" si="1"/>
        <v>10000</v>
      </c>
      <c r="J814" s="1">
        <v>1000.0</v>
      </c>
      <c r="K814" s="1"/>
      <c r="L814" s="1" t="s">
        <v>2252</v>
      </c>
    </row>
    <row r="815">
      <c r="A815" s="1">
        <v>2019.0</v>
      </c>
      <c r="B815" s="1">
        <v>4.0</v>
      </c>
      <c r="C815" s="1" t="s">
        <v>68</v>
      </c>
      <c r="D815" s="1" t="s">
        <v>13</v>
      </c>
      <c r="E815" s="1" t="s">
        <v>72</v>
      </c>
      <c r="F815" s="1">
        <v>100.0</v>
      </c>
      <c r="G815" s="1"/>
      <c r="H815" s="1">
        <v>10000.0</v>
      </c>
      <c r="I815" s="1">
        <f t="shared" si="1"/>
        <v>10000</v>
      </c>
      <c r="J815" s="1">
        <v>1000.0</v>
      </c>
      <c r="K815" s="1"/>
      <c r="L815" s="1" t="s">
        <v>2252</v>
      </c>
    </row>
    <row r="816">
      <c r="A816" s="1">
        <v>2019.0</v>
      </c>
      <c r="B816" s="1">
        <v>4.0</v>
      </c>
      <c r="C816" s="1" t="s">
        <v>68</v>
      </c>
      <c r="D816" s="1" t="s">
        <v>13</v>
      </c>
      <c r="E816" s="1" t="s">
        <v>17</v>
      </c>
      <c r="F816" s="1">
        <v>100.0</v>
      </c>
      <c r="G816" s="1"/>
      <c r="H816" s="1">
        <v>10000.0</v>
      </c>
      <c r="I816" s="1">
        <f t="shared" si="1"/>
        <v>10000</v>
      </c>
      <c r="J816" s="1">
        <v>1000.0</v>
      </c>
      <c r="K816" s="1"/>
      <c r="L816" s="1" t="s">
        <v>2252</v>
      </c>
    </row>
    <row r="817">
      <c r="A817" s="1">
        <v>2019.0</v>
      </c>
      <c r="B817" s="1">
        <v>4.0</v>
      </c>
      <c r="C817" s="1" t="s">
        <v>68</v>
      </c>
      <c r="D817" s="1" t="s">
        <v>13</v>
      </c>
      <c r="E817" s="1" t="s">
        <v>21</v>
      </c>
      <c r="F817" s="1">
        <v>100.0</v>
      </c>
      <c r="G817" s="1"/>
      <c r="H817" s="1">
        <v>10000.0</v>
      </c>
      <c r="I817" s="1">
        <f t="shared" si="1"/>
        <v>10000</v>
      </c>
      <c r="J817" s="1">
        <v>1000.0</v>
      </c>
      <c r="K817" s="1"/>
      <c r="L817" s="1" t="s">
        <v>2252</v>
      </c>
    </row>
    <row r="818">
      <c r="A818" s="1">
        <v>2019.0</v>
      </c>
      <c r="B818" s="1">
        <v>4.0</v>
      </c>
      <c r="C818" s="1" t="s">
        <v>68</v>
      </c>
      <c r="D818" s="1" t="s">
        <v>13</v>
      </c>
      <c r="E818" s="1" t="s">
        <v>25</v>
      </c>
      <c r="F818" s="1">
        <v>100.0</v>
      </c>
      <c r="G818" s="1"/>
      <c r="H818" s="1">
        <v>10000.0</v>
      </c>
      <c r="I818" s="1">
        <f t="shared" si="1"/>
        <v>10000</v>
      </c>
      <c r="J818" s="1">
        <v>1000.0</v>
      </c>
      <c r="K818" s="1"/>
      <c r="L818" s="1" t="s">
        <v>2252</v>
      </c>
    </row>
    <row r="819">
      <c r="A819" s="1">
        <v>2019.0</v>
      </c>
      <c r="B819" s="1">
        <v>4.0</v>
      </c>
      <c r="C819" s="1" t="s">
        <v>68</v>
      </c>
      <c r="D819" s="1" t="s">
        <v>29</v>
      </c>
      <c r="E819" s="1" t="s">
        <v>21</v>
      </c>
      <c r="F819" s="1">
        <v>100.0</v>
      </c>
      <c r="G819" s="1"/>
      <c r="H819" s="1">
        <v>10000.0</v>
      </c>
      <c r="I819" s="1">
        <f t="shared" si="1"/>
        <v>10000</v>
      </c>
      <c r="J819" s="1">
        <v>1000.0</v>
      </c>
      <c r="K819" s="1"/>
      <c r="L819" s="1" t="s">
        <v>2252</v>
      </c>
    </row>
    <row r="820">
      <c r="A820" s="1">
        <v>2019.0</v>
      </c>
      <c r="B820" s="1">
        <v>4.0</v>
      </c>
      <c r="C820" s="1" t="s">
        <v>68</v>
      </c>
      <c r="D820" s="1" t="s">
        <v>45</v>
      </c>
      <c r="E820" s="1" t="s">
        <v>17</v>
      </c>
      <c r="F820" s="1">
        <v>100.0</v>
      </c>
      <c r="G820" s="1"/>
      <c r="H820" s="1">
        <v>10000.0</v>
      </c>
      <c r="I820" s="1">
        <f t="shared" si="1"/>
        <v>10000</v>
      </c>
      <c r="J820" s="1">
        <v>1000.0</v>
      </c>
      <c r="K820" s="1"/>
      <c r="L820" s="1" t="s">
        <v>2252</v>
      </c>
    </row>
    <row r="821">
      <c r="A821" s="1">
        <v>2019.0</v>
      </c>
      <c r="B821" s="1">
        <v>4.0</v>
      </c>
      <c r="C821" s="1" t="s">
        <v>68</v>
      </c>
      <c r="D821" s="1" t="s">
        <v>32</v>
      </c>
      <c r="E821" s="1" t="s">
        <v>14</v>
      </c>
      <c r="F821" s="1">
        <v>100.0</v>
      </c>
      <c r="G821" s="1"/>
      <c r="H821" s="1">
        <v>10000.0</v>
      </c>
      <c r="I821" s="1">
        <f t="shared" si="1"/>
        <v>10000</v>
      </c>
      <c r="J821" s="1">
        <v>1000.0</v>
      </c>
      <c r="K821" s="1"/>
      <c r="L821" s="1" t="s">
        <v>2252</v>
      </c>
    </row>
    <row r="822">
      <c r="A822" s="1">
        <v>2019.0</v>
      </c>
      <c r="B822" s="1">
        <v>4.0</v>
      </c>
      <c r="C822" s="1" t="s">
        <v>68</v>
      </c>
      <c r="D822" s="1" t="s">
        <v>32</v>
      </c>
      <c r="E822" s="1" t="s">
        <v>21</v>
      </c>
      <c r="F822" s="1">
        <v>100.0</v>
      </c>
      <c r="G822" s="1"/>
      <c r="H822" s="1">
        <v>10000.0</v>
      </c>
      <c r="I822" s="1">
        <f t="shared" si="1"/>
        <v>10000</v>
      </c>
      <c r="J822" s="1">
        <v>1000.0</v>
      </c>
      <c r="K822" s="1"/>
      <c r="L822" s="1" t="s">
        <v>2252</v>
      </c>
    </row>
    <row r="823">
      <c r="A823" s="1">
        <v>2019.0</v>
      </c>
      <c r="B823" s="1">
        <v>4.0</v>
      </c>
      <c r="C823" s="1" t="s">
        <v>68</v>
      </c>
      <c r="D823" s="1" t="s">
        <v>38</v>
      </c>
      <c r="E823" s="1" t="s">
        <v>39</v>
      </c>
      <c r="F823" s="1">
        <v>100.0</v>
      </c>
      <c r="G823" s="1"/>
      <c r="H823" s="1">
        <v>10000.0</v>
      </c>
      <c r="I823" s="1">
        <f t="shared" si="1"/>
        <v>10000</v>
      </c>
      <c r="J823" s="1">
        <v>1000.0</v>
      </c>
      <c r="K823" s="1"/>
      <c r="L823" s="1" t="s">
        <v>2252</v>
      </c>
    </row>
    <row r="824">
      <c r="A824" s="1">
        <v>2019.0</v>
      </c>
      <c r="B824" s="1">
        <v>4.0</v>
      </c>
      <c r="C824" s="1" t="s">
        <v>68</v>
      </c>
      <c r="D824" s="1" t="s">
        <v>108</v>
      </c>
      <c r="E824" s="1" t="s">
        <v>49</v>
      </c>
      <c r="F824" s="1">
        <v>100.0</v>
      </c>
      <c r="G824" s="1"/>
      <c r="H824" s="1">
        <v>10000.0</v>
      </c>
      <c r="I824" s="1">
        <f t="shared" si="1"/>
        <v>10000</v>
      </c>
      <c r="J824" s="1">
        <v>1000.0</v>
      </c>
      <c r="K824" s="1"/>
      <c r="L824" s="1" t="s">
        <v>2252</v>
      </c>
    </row>
    <row r="825">
      <c r="A825" s="1">
        <v>2019.0</v>
      </c>
      <c r="B825" s="1">
        <v>4.0</v>
      </c>
      <c r="C825" s="1" t="s">
        <v>68</v>
      </c>
      <c r="D825" s="1" t="s">
        <v>147</v>
      </c>
      <c r="E825" s="1" t="s">
        <v>39</v>
      </c>
      <c r="F825" s="1">
        <v>100.0</v>
      </c>
      <c r="G825" s="1"/>
      <c r="H825" s="1">
        <v>10000.0</v>
      </c>
      <c r="I825" s="1">
        <f t="shared" si="1"/>
        <v>10000</v>
      </c>
      <c r="J825" s="1">
        <v>1000.0</v>
      </c>
      <c r="K825" s="1"/>
      <c r="L825" s="1" t="s">
        <v>2252</v>
      </c>
    </row>
    <row r="826">
      <c r="A826" s="1">
        <v>2019.0</v>
      </c>
      <c r="B826" s="1">
        <v>4.0</v>
      </c>
      <c r="C826" s="1" t="s">
        <v>68</v>
      </c>
      <c r="D826" s="1" t="s">
        <v>147</v>
      </c>
      <c r="E826" s="1" t="s">
        <v>17</v>
      </c>
      <c r="F826" s="1">
        <v>100.0</v>
      </c>
      <c r="G826" s="1"/>
      <c r="H826" s="1">
        <v>10000.0</v>
      </c>
      <c r="I826" s="1">
        <f t="shared" si="1"/>
        <v>10000</v>
      </c>
      <c r="J826" s="1">
        <v>1000.0</v>
      </c>
      <c r="K826" s="1"/>
      <c r="L826" s="1" t="s">
        <v>2252</v>
      </c>
    </row>
    <row r="827">
      <c r="A827" s="1">
        <v>2019.0</v>
      </c>
      <c r="B827" s="1">
        <v>4.0</v>
      </c>
      <c r="C827" s="1" t="s">
        <v>68</v>
      </c>
      <c r="D827" s="1" t="s">
        <v>147</v>
      </c>
      <c r="E827" s="1" t="s">
        <v>21</v>
      </c>
      <c r="F827" s="1">
        <v>100.0</v>
      </c>
      <c r="G827" s="1"/>
      <c r="H827" s="1">
        <v>10000.0</v>
      </c>
      <c r="I827" s="1">
        <f t="shared" si="1"/>
        <v>10000</v>
      </c>
      <c r="J827" s="1">
        <v>1000.0</v>
      </c>
      <c r="K827" s="1"/>
      <c r="L827" s="1" t="s">
        <v>2252</v>
      </c>
    </row>
    <row r="828">
      <c r="A828" s="1">
        <v>2019.0</v>
      </c>
      <c r="B828" s="1">
        <v>4.0</v>
      </c>
      <c r="C828" s="1" t="s">
        <v>68</v>
      </c>
      <c r="D828" s="1" t="s">
        <v>112</v>
      </c>
      <c r="E828" s="1" t="s">
        <v>21</v>
      </c>
      <c r="F828" s="1">
        <v>100.0</v>
      </c>
      <c r="G828" s="1"/>
      <c r="H828" s="1">
        <v>10000.0</v>
      </c>
      <c r="I828" s="1">
        <f t="shared" si="1"/>
        <v>10000</v>
      </c>
      <c r="J828" s="1">
        <v>1000.0</v>
      </c>
      <c r="K828" s="1"/>
      <c r="L828" s="1" t="s">
        <v>2252</v>
      </c>
    </row>
    <row r="829">
      <c r="A829" s="1">
        <v>2019.0</v>
      </c>
      <c r="B829" s="1">
        <v>4.0</v>
      </c>
      <c r="C829" s="1" t="s">
        <v>116</v>
      </c>
      <c r="D829" s="1" t="s">
        <v>13</v>
      </c>
      <c r="E829" s="1" t="s">
        <v>14</v>
      </c>
      <c r="F829" s="1">
        <v>100.0</v>
      </c>
      <c r="G829" s="1"/>
      <c r="H829" s="1">
        <v>10000.0</v>
      </c>
      <c r="I829" s="1">
        <f t="shared" si="1"/>
        <v>10000</v>
      </c>
      <c r="J829" s="1">
        <v>1000.0</v>
      </c>
      <c r="K829" s="1"/>
      <c r="L829" s="1" t="s">
        <v>2252</v>
      </c>
    </row>
    <row r="830">
      <c r="A830" s="1">
        <v>2019.0</v>
      </c>
      <c r="B830" s="1">
        <v>4.0</v>
      </c>
      <c r="C830" s="1" t="s">
        <v>116</v>
      </c>
      <c r="D830" s="1" t="s">
        <v>13</v>
      </c>
      <c r="E830" s="1" t="s">
        <v>17</v>
      </c>
      <c r="F830" s="1">
        <v>100.0</v>
      </c>
      <c r="G830" s="1"/>
      <c r="H830" s="1">
        <v>10000.0</v>
      </c>
      <c r="I830" s="1">
        <f t="shared" si="1"/>
        <v>10000</v>
      </c>
      <c r="J830" s="1">
        <v>1000.0</v>
      </c>
      <c r="K830" s="1"/>
      <c r="L830" s="1" t="s">
        <v>2252</v>
      </c>
    </row>
    <row r="831">
      <c r="A831" s="1">
        <v>2019.0</v>
      </c>
      <c r="B831" s="1">
        <v>4.0</v>
      </c>
      <c r="C831" s="1" t="s">
        <v>116</v>
      </c>
      <c r="D831" s="1" t="s">
        <v>13</v>
      </c>
      <c r="E831" s="1" t="s">
        <v>21</v>
      </c>
      <c r="F831" s="1">
        <v>100.0</v>
      </c>
      <c r="G831" s="1"/>
      <c r="H831" s="1">
        <v>10000.0</v>
      </c>
      <c r="I831" s="1">
        <f t="shared" si="1"/>
        <v>10000</v>
      </c>
      <c r="J831" s="1">
        <v>1000.0</v>
      </c>
      <c r="K831" s="1"/>
      <c r="L831" s="1" t="s">
        <v>2252</v>
      </c>
    </row>
    <row r="832">
      <c r="A832" s="1">
        <v>2019.0</v>
      </c>
      <c r="B832" s="1">
        <v>4.0</v>
      </c>
      <c r="C832" s="1" t="s">
        <v>116</v>
      </c>
      <c r="D832" s="1" t="s">
        <v>13</v>
      </c>
      <c r="E832" s="1" t="s">
        <v>25</v>
      </c>
      <c r="F832" s="1">
        <v>100.0</v>
      </c>
      <c r="G832" s="1"/>
      <c r="H832" s="1">
        <v>10000.0</v>
      </c>
      <c r="I832" s="1">
        <f t="shared" si="1"/>
        <v>10000</v>
      </c>
      <c r="J832" s="1">
        <v>1000.0</v>
      </c>
      <c r="K832" s="1"/>
      <c r="L832" s="1" t="s">
        <v>2252</v>
      </c>
    </row>
    <row r="833">
      <c r="A833" s="1">
        <v>2019.0</v>
      </c>
      <c r="B833" s="1">
        <v>4.0</v>
      </c>
      <c r="C833" s="1" t="s">
        <v>116</v>
      </c>
      <c r="D833" s="1" t="s">
        <v>29</v>
      </c>
      <c r="E833" s="1" t="s">
        <v>21</v>
      </c>
      <c r="F833" s="1">
        <v>100.0</v>
      </c>
      <c r="G833" s="1"/>
      <c r="H833" s="1">
        <v>10000.0</v>
      </c>
      <c r="I833" s="1">
        <f t="shared" si="1"/>
        <v>10000</v>
      </c>
      <c r="J833" s="1">
        <v>1000.0</v>
      </c>
      <c r="K833" s="1"/>
      <c r="L833" s="1" t="s">
        <v>2252</v>
      </c>
    </row>
    <row r="834">
      <c r="A834" s="1">
        <v>2019.0</v>
      </c>
      <c r="B834" s="1">
        <v>4.0</v>
      </c>
      <c r="C834" s="1" t="s">
        <v>116</v>
      </c>
      <c r="D834" s="1" t="s">
        <v>32</v>
      </c>
      <c r="E834" s="1" t="s">
        <v>14</v>
      </c>
      <c r="F834" s="1">
        <v>100.0</v>
      </c>
      <c r="G834" s="1"/>
      <c r="H834" s="1">
        <v>10000.0</v>
      </c>
      <c r="I834" s="1">
        <f t="shared" si="1"/>
        <v>10000</v>
      </c>
      <c r="J834" s="1">
        <v>1000.0</v>
      </c>
      <c r="K834" s="1"/>
      <c r="L834" s="1" t="s">
        <v>2252</v>
      </c>
    </row>
    <row r="835">
      <c r="A835" s="1">
        <v>2019.0</v>
      </c>
      <c r="B835" s="1">
        <v>4.0</v>
      </c>
      <c r="C835" s="1" t="s">
        <v>116</v>
      </c>
      <c r="D835" s="1" t="s">
        <v>32</v>
      </c>
      <c r="E835" s="1" t="s">
        <v>21</v>
      </c>
      <c r="F835" s="1">
        <v>100.0</v>
      </c>
      <c r="G835" s="1"/>
      <c r="H835" s="1">
        <v>10000.0</v>
      </c>
      <c r="I835" s="1">
        <f t="shared" si="1"/>
        <v>10000</v>
      </c>
      <c r="J835" s="1">
        <v>1000.0</v>
      </c>
      <c r="K835" s="1"/>
      <c r="L835" s="1" t="s">
        <v>2252</v>
      </c>
    </row>
    <row r="836">
      <c r="A836" s="1">
        <v>2019.0</v>
      </c>
      <c r="B836" s="1">
        <v>4.0</v>
      </c>
      <c r="C836" s="1" t="s">
        <v>116</v>
      </c>
      <c r="D836" s="1" t="s">
        <v>102</v>
      </c>
      <c r="E836" s="1" t="s">
        <v>39</v>
      </c>
      <c r="F836" s="1">
        <v>100.0</v>
      </c>
      <c r="G836" s="1"/>
      <c r="H836" s="1">
        <v>10000.0</v>
      </c>
      <c r="I836" s="1">
        <f t="shared" si="1"/>
        <v>10000</v>
      </c>
      <c r="J836" s="1">
        <v>1000.0</v>
      </c>
      <c r="K836" s="1"/>
      <c r="L836" s="1" t="s">
        <v>2252</v>
      </c>
    </row>
    <row r="837">
      <c r="A837" s="1">
        <v>2019.0</v>
      </c>
      <c r="B837" s="1">
        <v>4.0</v>
      </c>
      <c r="C837" s="1" t="s">
        <v>116</v>
      </c>
      <c r="D837" s="1" t="s">
        <v>102</v>
      </c>
      <c r="E837" s="1" t="s">
        <v>21</v>
      </c>
      <c r="F837" s="1">
        <v>100.0</v>
      </c>
      <c r="G837" s="1"/>
      <c r="H837" s="1">
        <v>10000.0</v>
      </c>
      <c r="I837" s="1">
        <f t="shared" si="1"/>
        <v>10000</v>
      </c>
      <c r="J837" s="1">
        <v>1000.0</v>
      </c>
      <c r="K837" s="1"/>
      <c r="L837" s="1" t="s">
        <v>2252</v>
      </c>
    </row>
    <row r="838">
      <c r="A838" s="1">
        <v>2019.0</v>
      </c>
      <c r="B838" s="1">
        <v>4.0</v>
      </c>
      <c r="C838" s="1" t="s">
        <v>116</v>
      </c>
      <c r="D838" s="1" t="s">
        <v>45</v>
      </c>
      <c r="E838" s="1" t="s">
        <v>17</v>
      </c>
      <c r="F838" s="1">
        <v>100.0</v>
      </c>
      <c r="G838" s="1"/>
      <c r="H838" s="1">
        <v>10000.0</v>
      </c>
      <c r="I838" s="1">
        <f t="shared" si="1"/>
        <v>10000</v>
      </c>
      <c r="J838" s="1">
        <v>1000.0</v>
      </c>
      <c r="K838" s="1"/>
      <c r="L838" s="1" t="s">
        <v>2252</v>
      </c>
    </row>
    <row r="839">
      <c r="A839" s="1">
        <v>2019.0</v>
      </c>
      <c r="B839" s="1">
        <v>4.0</v>
      </c>
      <c r="C839" s="1" t="s">
        <v>116</v>
      </c>
      <c r="D839" s="1" t="s">
        <v>2083</v>
      </c>
      <c r="E839" s="1" t="s">
        <v>39</v>
      </c>
      <c r="F839" s="1">
        <v>100.0</v>
      </c>
      <c r="G839" s="1"/>
      <c r="H839" s="1">
        <v>10000.0</v>
      </c>
      <c r="I839" s="1">
        <f t="shared" si="1"/>
        <v>10000</v>
      </c>
      <c r="J839" s="1">
        <v>1000.0</v>
      </c>
      <c r="K839" s="1"/>
      <c r="L839" s="1" t="s">
        <v>2252</v>
      </c>
    </row>
    <row r="840">
      <c r="A840" s="1">
        <v>2019.0</v>
      </c>
      <c r="B840" s="1">
        <v>4.0</v>
      </c>
      <c r="C840" s="1" t="s">
        <v>116</v>
      </c>
      <c r="D840" s="1" t="s">
        <v>2083</v>
      </c>
      <c r="E840" s="1" t="s">
        <v>49</v>
      </c>
      <c r="F840" s="1">
        <v>100.0</v>
      </c>
      <c r="G840" s="1"/>
      <c r="H840" s="1">
        <v>10000.0</v>
      </c>
      <c r="I840" s="1">
        <f t="shared" si="1"/>
        <v>10000</v>
      </c>
      <c r="J840" s="1">
        <v>1000.0</v>
      </c>
      <c r="K840" s="1"/>
      <c r="L840" s="1" t="s">
        <v>2252</v>
      </c>
    </row>
    <row r="841">
      <c r="A841" s="1">
        <v>2019.0</v>
      </c>
      <c r="B841" s="1">
        <v>4.0</v>
      </c>
      <c r="C841" s="1" t="s">
        <v>116</v>
      </c>
      <c r="D841" s="1" t="s">
        <v>2083</v>
      </c>
      <c r="E841" s="1" t="s">
        <v>21</v>
      </c>
      <c r="F841" s="1">
        <v>100.0</v>
      </c>
      <c r="G841" s="1"/>
      <c r="H841" s="1">
        <v>10000.0</v>
      </c>
      <c r="I841" s="1">
        <f t="shared" si="1"/>
        <v>10000</v>
      </c>
      <c r="J841" s="1">
        <v>1000.0</v>
      </c>
      <c r="K841" s="1"/>
      <c r="L841" s="1" t="s">
        <v>2252</v>
      </c>
    </row>
    <row r="842">
      <c r="A842" s="1">
        <v>2019.0</v>
      </c>
      <c r="B842" s="1">
        <v>4.0</v>
      </c>
      <c r="C842" s="1" t="s">
        <v>116</v>
      </c>
      <c r="D842" s="1" t="s">
        <v>147</v>
      </c>
      <c r="E842" s="1" t="s">
        <v>39</v>
      </c>
      <c r="F842" s="1">
        <v>100.0</v>
      </c>
      <c r="G842" s="1"/>
      <c r="H842" s="1">
        <v>10000.0</v>
      </c>
      <c r="I842" s="1">
        <f t="shared" si="1"/>
        <v>10000</v>
      </c>
      <c r="J842" s="1">
        <v>1000.0</v>
      </c>
      <c r="K842" s="1"/>
      <c r="L842" s="1" t="s">
        <v>2252</v>
      </c>
    </row>
    <row r="843">
      <c r="A843" s="1">
        <v>2019.0</v>
      </c>
      <c r="B843" s="1">
        <v>4.0</v>
      </c>
      <c r="C843" s="1" t="s">
        <v>116</v>
      </c>
      <c r="D843" s="1" t="s">
        <v>147</v>
      </c>
      <c r="E843" s="1" t="s">
        <v>17</v>
      </c>
      <c r="F843" s="1">
        <v>100.0</v>
      </c>
      <c r="G843" s="1"/>
      <c r="H843" s="1">
        <v>10000.0</v>
      </c>
      <c r="I843" s="1">
        <f t="shared" si="1"/>
        <v>10000</v>
      </c>
      <c r="J843" s="1">
        <v>1000.0</v>
      </c>
      <c r="K843" s="1"/>
      <c r="L843" s="1" t="s">
        <v>2252</v>
      </c>
    </row>
    <row r="844">
      <c r="A844" s="1">
        <v>2019.0</v>
      </c>
      <c r="B844" s="1">
        <v>4.0</v>
      </c>
      <c r="C844" s="1" t="s">
        <v>116</v>
      </c>
      <c r="D844" s="1" t="s">
        <v>147</v>
      </c>
      <c r="E844" s="1" t="s">
        <v>21</v>
      </c>
      <c r="F844" s="1">
        <v>100.0</v>
      </c>
      <c r="G844" s="1"/>
      <c r="H844" s="1">
        <v>10000.0</v>
      </c>
      <c r="I844" s="1">
        <f t="shared" si="1"/>
        <v>10000</v>
      </c>
      <c r="J844" s="1">
        <v>1000.0</v>
      </c>
      <c r="K844" s="1"/>
      <c r="L844" s="1" t="s">
        <v>2252</v>
      </c>
    </row>
    <row r="845">
      <c r="A845" s="1">
        <v>2019.0</v>
      </c>
      <c r="B845" s="1">
        <v>4.0</v>
      </c>
      <c r="C845" s="1" t="s">
        <v>116</v>
      </c>
      <c r="D845" s="1" t="s">
        <v>38</v>
      </c>
      <c r="E845" s="1" t="s">
        <v>39</v>
      </c>
      <c r="F845" s="1">
        <v>100.0</v>
      </c>
      <c r="G845" s="1"/>
      <c r="H845" s="1">
        <v>10000.0</v>
      </c>
      <c r="I845" s="1">
        <f t="shared" si="1"/>
        <v>10000</v>
      </c>
      <c r="J845" s="1">
        <v>1000.0</v>
      </c>
      <c r="K845" s="1"/>
      <c r="L845" s="1" t="s">
        <v>2252</v>
      </c>
    </row>
    <row r="846">
      <c r="A846" s="1">
        <v>2019.0</v>
      </c>
      <c r="B846" s="1">
        <v>4.0</v>
      </c>
      <c r="C846" s="1" t="s">
        <v>116</v>
      </c>
      <c r="D846" s="1" t="s">
        <v>48</v>
      </c>
      <c r="E846" s="1" t="s">
        <v>49</v>
      </c>
      <c r="F846" s="1">
        <v>100.0</v>
      </c>
      <c r="G846" s="1"/>
      <c r="H846" s="1">
        <v>10000.0</v>
      </c>
      <c r="I846" s="1">
        <f t="shared" si="1"/>
        <v>10000</v>
      </c>
      <c r="J846" s="1">
        <v>1000.0</v>
      </c>
      <c r="K846" s="1"/>
      <c r="L846" s="1" t="s">
        <v>2252</v>
      </c>
    </row>
    <row r="847">
      <c r="A847" s="1">
        <v>2019.0</v>
      </c>
      <c r="B847" s="1">
        <v>4.0</v>
      </c>
      <c r="C847" s="1" t="s">
        <v>116</v>
      </c>
      <c r="D847" s="1" t="s">
        <v>48</v>
      </c>
      <c r="E847" s="1" t="s">
        <v>21</v>
      </c>
      <c r="F847" s="1">
        <v>100.0</v>
      </c>
      <c r="G847" s="1"/>
      <c r="H847" s="1">
        <v>10000.0</v>
      </c>
      <c r="I847" s="1">
        <f t="shared" si="1"/>
        <v>10000</v>
      </c>
      <c r="J847" s="1">
        <v>1000.0</v>
      </c>
      <c r="K847" s="1"/>
      <c r="L847" s="1" t="s">
        <v>2252</v>
      </c>
    </row>
    <row r="848">
      <c r="A848" s="1">
        <v>2019.0</v>
      </c>
      <c r="B848" s="1">
        <v>5.0</v>
      </c>
      <c r="C848" s="1" t="s">
        <v>12</v>
      </c>
      <c r="D848" s="1" t="s">
        <v>13</v>
      </c>
      <c r="E848" s="1" t="s">
        <v>14</v>
      </c>
      <c r="F848" s="1">
        <v>100.0</v>
      </c>
      <c r="G848" s="1"/>
      <c r="H848" s="1">
        <v>10000.0</v>
      </c>
      <c r="I848" s="1">
        <f t="shared" si="1"/>
        <v>10000</v>
      </c>
      <c r="J848" s="1">
        <v>1000.0</v>
      </c>
      <c r="K848" s="1"/>
      <c r="L848" s="1" t="s">
        <v>2252</v>
      </c>
    </row>
    <row r="849">
      <c r="A849" s="1">
        <v>2019.0</v>
      </c>
      <c r="B849" s="1">
        <v>5.0</v>
      </c>
      <c r="C849" s="1" t="s">
        <v>12</v>
      </c>
      <c r="D849" s="1" t="s">
        <v>13</v>
      </c>
      <c r="E849" s="1" t="s">
        <v>17</v>
      </c>
      <c r="F849" s="1">
        <v>100.0</v>
      </c>
      <c r="G849" s="1"/>
      <c r="H849" s="1">
        <v>10000.0</v>
      </c>
      <c r="I849" s="1">
        <f t="shared" si="1"/>
        <v>10000</v>
      </c>
      <c r="J849" s="1">
        <v>1000.0</v>
      </c>
      <c r="K849" s="1"/>
      <c r="L849" s="1" t="s">
        <v>2252</v>
      </c>
    </row>
    <row r="850">
      <c r="A850" s="1">
        <v>2019.0</v>
      </c>
      <c r="B850" s="1">
        <v>5.0</v>
      </c>
      <c r="C850" s="1" t="s">
        <v>12</v>
      </c>
      <c r="D850" s="1" t="s">
        <v>13</v>
      </c>
      <c r="E850" s="1" t="s">
        <v>21</v>
      </c>
      <c r="F850" s="1">
        <v>100.0</v>
      </c>
      <c r="G850" s="1"/>
      <c r="H850" s="1">
        <v>10000.0</v>
      </c>
      <c r="I850" s="1">
        <f t="shared" si="1"/>
        <v>10000</v>
      </c>
      <c r="J850" s="1">
        <v>1000.0</v>
      </c>
      <c r="K850" s="1"/>
      <c r="L850" s="1" t="s">
        <v>2252</v>
      </c>
    </row>
    <row r="851">
      <c r="A851" s="1">
        <v>2019.0</v>
      </c>
      <c r="B851" s="1">
        <v>5.0</v>
      </c>
      <c r="C851" s="1" t="s">
        <v>12</v>
      </c>
      <c r="D851" s="1" t="s">
        <v>13</v>
      </c>
      <c r="E851" s="1" t="s">
        <v>25</v>
      </c>
      <c r="F851" s="1">
        <v>100.0</v>
      </c>
      <c r="G851" s="1"/>
      <c r="H851" s="1">
        <v>10000.0</v>
      </c>
      <c r="I851" s="1">
        <f t="shared" si="1"/>
        <v>10000</v>
      </c>
      <c r="J851" s="1">
        <v>1000.0</v>
      </c>
      <c r="K851" s="1"/>
      <c r="L851" s="1" t="s">
        <v>2252</v>
      </c>
    </row>
    <row r="852">
      <c r="A852" s="1">
        <v>2019.0</v>
      </c>
      <c r="B852" s="1">
        <v>5.0</v>
      </c>
      <c r="C852" s="1" t="s">
        <v>12</v>
      </c>
      <c r="D852" s="1" t="s">
        <v>29</v>
      </c>
      <c r="E852" s="1" t="s">
        <v>21</v>
      </c>
      <c r="F852" s="1">
        <v>100.0</v>
      </c>
      <c r="G852" s="1"/>
      <c r="H852" s="1">
        <v>10000.0</v>
      </c>
      <c r="I852" s="1">
        <f t="shared" si="1"/>
        <v>10000</v>
      </c>
      <c r="J852" s="1">
        <v>1000.0</v>
      </c>
      <c r="K852" s="1"/>
      <c r="L852" s="1" t="s">
        <v>2252</v>
      </c>
    </row>
    <row r="853">
      <c r="A853" s="1">
        <v>2019.0</v>
      </c>
      <c r="B853" s="1">
        <v>5.0</v>
      </c>
      <c r="C853" s="1" t="s">
        <v>12</v>
      </c>
      <c r="D853" s="1" t="s">
        <v>32</v>
      </c>
      <c r="E853" s="1" t="s">
        <v>14</v>
      </c>
      <c r="F853" s="1">
        <v>100.0</v>
      </c>
      <c r="G853" s="1"/>
      <c r="H853" s="1">
        <v>10000.0</v>
      </c>
      <c r="I853" s="1">
        <f t="shared" si="1"/>
        <v>10000</v>
      </c>
      <c r="J853" s="1">
        <v>1000.0</v>
      </c>
      <c r="K853" s="1"/>
      <c r="L853" s="1" t="s">
        <v>2252</v>
      </c>
    </row>
    <row r="854">
      <c r="A854" s="1">
        <v>2019.0</v>
      </c>
      <c r="B854" s="1">
        <v>5.0</v>
      </c>
      <c r="C854" s="1" t="s">
        <v>12</v>
      </c>
      <c r="D854" s="1" t="s">
        <v>32</v>
      </c>
      <c r="E854" s="1" t="s">
        <v>21</v>
      </c>
      <c r="F854" s="1">
        <v>100.0</v>
      </c>
      <c r="G854" s="1"/>
      <c r="H854" s="1">
        <v>10000.0</v>
      </c>
      <c r="I854" s="1">
        <f t="shared" si="1"/>
        <v>10000</v>
      </c>
      <c r="J854" s="1">
        <v>1000.0</v>
      </c>
      <c r="K854" s="1"/>
      <c r="L854" s="1" t="s">
        <v>2252</v>
      </c>
    </row>
    <row r="855">
      <c r="A855" s="1">
        <v>2019.0</v>
      </c>
      <c r="B855" s="1">
        <v>5.0</v>
      </c>
      <c r="C855" s="1" t="s">
        <v>12</v>
      </c>
      <c r="D855" s="1" t="s">
        <v>38</v>
      </c>
      <c r="E855" s="1" t="s">
        <v>39</v>
      </c>
      <c r="F855" s="1">
        <v>100.0</v>
      </c>
      <c r="G855" s="1"/>
      <c r="H855" s="1">
        <v>10000.0</v>
      </c>
      <c r="I855" s="1">
        <f t="shared" si="1"/>
        <v>10000</v>
      </c>
      <c r="J855" s="1">
        <v>1000.0</v>
      </c>
      <c r="K855" s="1"/>
      <c r="L855" s="1" t="s">
        <v>2252</v>
      </c>
    </row>
    <row r="856">
      <c r="A856" s="1">
        <v>2019.0</v>
      </c>
      <c r="B856" s="1">
        <v>5.0</v>
      </c>
      <c r="C856" s="1" t="s">
        <v>12</v>
      </c>
      <c r="D856" s="1" t="s">
        <v>56</v>
      </c>
      <c r="E856" s="1" t="s">
        <v>21</v>
      </c>
      <c r="F856" s="1">
        <v>100.0</v>
      </c>
      <c r="G856" s="1"/>
      <c r="H856" s="1">
        <v>10000.0</v>
      </c>
      <c r="I856" s="1">
        <f t="shared" si="1"/>
        <v>10000</v>
      </c>
      <c r="J856" s="1">
        <v>1000.0</v>
      </c>
      <c r="K856" s="1"/>
      <c r="L856" s="1" t="s">
        <v>2252</v>
      </c>
    </row>
    <row r="857">
      <c r="A857" s="1">
        <v>2019.0</v>
      </c>
      <c r="B857" s="1">
        <v>5.0</v>
      </c>
      <c r="C857" s="1" t="s">
        <v>12</v>
      </c>
      <c r="D857" s="1" t="s">
        <v>45</v>
      </c>
      <c r="E857" s="1" t="s">
        <v>17</v>
      </c>
      <c r="F857" s="1">
        <v>100.0</v>
      </c>
      <c r="G857" s="1"/>
      <c r="H857" s="1">
        <v>10000.0</v>
      </c>
      <c r="I857" s="1">
        <f t="shared" si="1"/>
        <v>10000</v>
      </c>
      <c r="J857" s="1">
        <v>1000.0</v>
      </c>
      <c r="K857" s="1"/>
      <c r="L857" s="1" t="s">
        <v>2252</v>
      </c>
    </row>
    <row r="858">
      <c r="A858" s="1">
        <v>2019.0</v>
      </c>
      <c r="B858" s="1">
        <v>5.0</v>
      </c>
      <c r="C858" s="1" t="s">
        <v>12</v>
      </c>
      <c r="D858" s="1" t="s">
        <v>147</v>
      </c>
      <c r="E858" s="1" t="s">
        <v>39</v>
      </c>
      <c r="F858" s="1">
        <v>100.0</v>
      </c>
      <c r="G858" s="1"/>
      <c r="H858" s="1">
        <v>10000.0</v>
      </c>
      <c r="I858" s="1">
        <f t="shared" si="1"/>
        <v>10000</v>
      </c>
      <c r="J858" s="1">
        <v>1000.0</v>
      </c>
      <c r="K858" s="1"/>
      <c r="L858" s="1" t="s">
        <v>2252</v>
      </c>
    </row>
    <row r="859">
      <c r="A859" s="1">
        <v>2019.0</v>
      </c>
      <c r="B859" s="1">
        <v>5.0</v>
      </c>
      <c r="C859" s="1" t="s">
        <v>12</v>
      </c>
      <c r="D859" s="1" t="s">
        <v>147</v>
      </c>
      <c r="E859" s="1" t="s">
        <v>17</v>
      </c>
      <c r="F859" s="1">
        <v>100.0</v>
      </c>
      <c r="G859" s="1"/>
      <c r="H859" s="1">
        <v>10000.0</v>
      </c>
      <c r="I859" s="1">
        <f t="shared" si="1"/>
        <v>10000</v>
      </c>
      <c r="J859" s="1">
        <v>1000.0</v>
      </c>
      <c r="K859" s="1"/>
      <c r="L859" s="1" t="s">
        <v>2252</v>
      </c>
    </row>
    <row r="860">
      <c r="A860" s="1">
        <v>2019.0</v>
      </c>
      <c r="B860" s="1">
        <v>5.0</v>
      </c>
      <c r="C860" s="1" t="s">
        <v>12</v>
      </c>
      <c r="D860" s="1" t="s">
        <v>147</v>
      </c>
      <c r="E860" s="1" t="s">
        <v>21</v>
      </c>
      <c r="F860" s="1">
        <v>100.0</v>
      </c>
      <c r="G860" s="1"/>
      <c r="H860" s="1">
        <v>10000.0</v>
      </c>
      <c r="I860" s="1">
        <f t="shared" si="1"/>
        <v>10000</v>
      </c>
      <c r="J860" s="1">
        <v>1000.0</v>
      </c>
      <c r="K860" s="1"/>
      <c r="L860" s="1" t="s">
        <v>2252</v>
      </c>
    </row>
    <row r="861">
      <c r="A861" s="1">
        <v>2019.0</v>
      </c>
      <c r="B861" s="1">
        <v>5.0</v>
      </c>
      <c r="C861" s="1" t="s">
        <v>12</v>
      </c>
      <c r="D861" s="1" t="s">
        <v>64</v>
      </c>
      <c r="E861" s="1" t="s">
        <v>14</v>
      </c>
      <c r="F861" s="1">
        <v>100.0</v>
      </c>
      <c r="G861" s="1"/>
      <c r="H861" s="1">
        <v>10000.0</v>
      </c>
      <c r="I861" s="1">
        <f t="shared" si="1"/>
        <v>10000</v>
      </c>
      <c r="J861" s="1">
        <v>1000.0</v>
      </c>
      <c r="K861" s="1"/>
      <c r="L861" s="1" t="s">
        <v>2252</v>
      </c>
    </row>
    <row r="862">
      <c r="A862" s="1">
        <v>2019.0</v>
      </c>
      <c r="B862" s="1">
        <v>5.0</v>
      </c>
      <c r="C862" s="1" t="s">
        <v>12</v>
      </c>
      <c r="D862" s="1" t="s">
        <v>64</v>
      </c>
      <c r="E862" s="1" t="s">
        <v>21</v>
      </c>
      <c r="F862" s="1">
        <v>100.0</v>
      </c>
      <c r="G862" s="1"/>
      <c r="H862" s="1">
        <v>10000.0</v>
      </c>
      <c r="I862" s="1">
        <f t="shared" si="1"/>
        <v>10000</v>
      </c>
      <c r="J862" s="1">
        <v>1000.0</v>
      </c>
      <c r="K862" s="1"/>
      <c r="L862" s="1" t="s">
        <v>2252</v>
      </c>
    </row>
    <row r="863">
      <c r="A863" s="1">
        <v>2019.0</v>
      </c>
      <c r="B863" s="1">
        <v>5.0</v>
      </c>
      <c r="C863" s="1" t="s">
        <v>12</v>
      </c>
      <c r="D863" s="1" t="s">
        <v>60</v>
      </c>
      <c r="E863" s="1" t="s">
        <v>39</v>
      </c>
      <c r="F863" s="1">
        <v>100.0</v>
      </c>
      <c r="G863" s="1"/>
      <c r="H863" s="1">
        <v>10000.0</v>
      </c>
      <c r="I863" s="1">
        <f t="shared" si="1"/>
        <v>10000</v>
      </c>
      <c r="J863" s="1">
        <v>1000.0</v>
      </c>
      <c r="K863" s="1"/>
      <c r="L863" s="1" t="s">
        <v>2252</v>
      </c>
    </row>
    <row r="864">
      <c r="A864" s="1">
        <v>2019.0</v>
      </c>
      <c r="B864" s="1">
        <v>5.0</v>
      </c>
      <c r="C864" s="1" t="s">
        <v>68</v>
      </c>
      <c r="D864" s="1" t="s">
        <v>13</v>
      </c>
      <c r="E864" s="1" t="s">
        <v>14</v>
      </c>
      <c r="F864" s="1">
        <v>100.0</v>
      </c>
      <c r="G864" s="1"/>
      <c r="H864" s="1">
        <v>10000.0</v>
      </c>
      <c r="I864" s="1">
        <f t="shared" si="1"/>
        <v>10000</v>
      </c>
      <c r="J864" s="1">
        <v>1000.0</v>
      </c>
      <c r="K864" s="1"/>
      <c r="L864" s="1" t="s">
        <v>2252</v>
      </c>
    </row>
    <row r="865">
      <c r="A865" s="1">
        <v>2019.0</v>
      </c>
      <c r="B865" s="1">
        <v>5.0</v>
      </c>
      <c r="C865" s="1" t="s">
        <v>68</v>
      </c>
      <c r="D865" s="1" t="s">
        <v>13</v>
      </c>
      <c r="E865" s="1" t="s">
        <v>17</v>
      </c>
      <c r="F865" s="1">
        <v>100.0</v>
      </c>
      <c r="G865" s="1"/>
      <c r="H865" s="1">
        <v>10000.0</v>
      </c>
      <c r="I865" s="1">
        <f t="shared" si="1"/>
        <v>10000</v>
      </c>
      <c r="J865" s="1">
        <v>1000.0</v>
      </c>
      <c r="K865" s="1"/>
      <c r="L865" s="1" t="s">
        <v>2252</v>
      </c>
    </row>
    <row r="866">
      <c r="A866" s="1">
        <v>2019.0</v>
      </c>
      <c r="B866" s="1">
        <v>5.0</v>
      </c>
      <c r="C866" s="1" t="s">
        <v>68</v>
      </c>
      <c r="D866" s="1" t="s">
        <v>13</v>
      </c>
      <c r="E866" s="1" t="s">
        <v>21</v>
      </c>
      <c r="F866" s="1">
        <v>100.0</v>
      </c>
      <c r="G866" s="1"/>
      <c r="H866" s="1">
        <v>10000.0</v>
      </c>
      <c r="I866" s="1">
        <f t="shared" si="1"/>
        <v>10000</v>
      </c>
      <c r="J866" s="1">
        <v>1000.0</v>
      </c>
      <c r="K866" s="1"/>
      <c r="L866" s="1" t="s">
        <v>2252</v>
      </c>
    </row>
    <row r="867">
      <c r="A867" s="1">
        <v>2019.0</v>
      </c>
      <c r="B867" s="1">
        <v>5.0</v>
      </c>
      <c r="C867" s="1" t="s">
        <v>68</v>
      </c>
      <c r="D867" s="1" t="s">
        <v>13</v>
      </c>
      <c r="E867" s="1" t="s">
        <v>25</v>
      </c>
      <c r="F867" s="1">
        <v>100.0</v>
      </c>
      <c r="G867" s="1"/>
      <c r="H867" s="1">
        <v>10000.0</v>
      </c>
      <c r="I867" s="1">
        <f t="shared" si="1"/>
        <v>10000</v>
      </c>
      <c r="J867" s="1">
        <v>1000.0</v>
      </c>
      <c r="K867" s="1"/>
      <c r="L867" s="1" t="s">
        <v>2252</v>
      </c>
    </row>
    <row r="868">
      <c r="A868" s="1">
        <v>2019.0</v>
      </c>
      <c r="B868" s="1">
        <v>5.0</v>
      </c>
      <c r="C868" s="1" t="s">
        <v>68</v>
      </c>
      <c r="D868" s="1" t="s">
        <v>29</v>
      </c>
      <c r="E868" s="1" t="s">
        <v>21</v>
      </c>
      <c r="F868" s="1">
        <v>100.0</v>
      </c>
      <c r="G868" s="1"/>
      <c r="H868" s="1">
        <v>10000.0</v>
      </c>
      <c r="I868" s="1">
        <f t="shared" si="1"/>
        <v>10000</v>
      </c>
      <c r="J868" s="1">
        <v>1000.0</v>
      </c>
      <c r="K868" s="1"/>
      <c r="L868" s="1" t="s">
        <v>2252</v>
      </c>
    </row>
    <row r="869">
      <c r="A869" s="1">
        <v>2019.0</v>
      </c>
      <c r="B869" s="1">
        <v>5.0</v>
      </c>
      <c r="C869" s="1" t="s">
        <v>68</v>
      </c>
      <c r="D869" s="1" t="s">
        <v>45</v>
      </c>
      <c r="E869" s="1" t="s">
        <v>17</v>
      </c>
      <c r="F869" s="1">
        <v>100.0</v>
      </c>
      <c r="G869" s="1"/>
      <c r="H869" s="1">
        <v>10000.0</v>
      </c>
      <c r="I869" s="1">
        <f t="shared" si="1"/>
        <v>10000</v>
      </c>
      <c r="J869" s="1">
        <v>1000.0</v>
      </c>
      <c r="K869" s="1"/>
      <c r="L869" s="1" t="s">
        <v>2252</v>
      </c>
    </row>
    <row r="870">
      <c r="A870" s="1">
        <v>2019.0</v>
      </c>
      <c r="B870" s="1">
        <v>5.0</v>
      </c>
      <c r="C870" s="1" t="s">
        <v>68</v>
      </c>
      <c r="D870" s="1" t="s">
        <v>32</v>
      </c>
      <c r="E870" s="1" t="s">
        <v>14</v>
      </c>
      <c r="F870" s="1">
        <v>100.0</v>
      </c>
      <c r="G870" s="1"/>
      <c r="H870" s="1">
        <v>10000.0</v>
      </c>
      <c r="I870" s="1">
        <f t="shared" si="1"/>
        <v>10000</v>
      </c>
      <c r="J870" s="1">
        <v>1000.0</v>
      </c>
      <c r="K870" s="1"/>
      <c r="L870" s="1" t="s">
        <v>2252</v>
      </c>
    </row>
    <row r="871">
      <c r="A871" s="1">
        <v>2019.0</v>
      </c>
      <c r="B871" s="1">
        <v>5.0</v>
      </c>
      <c r="C871" s="1" t="s">
        <v>68</v>
      </c>
      <c r="D871" s="1" t="s">
        <v>32</v>
      </c>
      <c r="E871" s="1" t="s">
        <v>21</v>
      </c>
      <c r="F871" s="1">
        <v>100.0</v>
      </c>
      <c r="G871" s="1"/>
      <c r="H871" s="1">
        <v>10000.0</v>
      </c>
      <c r="I871" s="1">
        <f t="shared" si="1"/>
        <v>10000</v>
      </c>
      <c r="J871" s="1">
        <v>1000.0</v>
      </c>
      <c r="K871" s="1"/>
      <c r="L871" s="1" t="s">
        <v>2252</v>
      </c>
    </row>
    <row r="872">
      <c r="A872" s="1">
        <v>2019.0</v>
      </c>
      <c r="B872" s="1">
        <v>5.0</v>
      </c>
      <c r="C872" s="1" t="s">
        <v>68</v>
      </c>
      <c r="D872" s="1" t="s">
        <v>38</v>
      </c>
      <c r="E872" s="1" t="s">
        <v>39</v>
      </c>
      <c r="F872" s="1">
        <v>100.0</v>
      </c>
      <c r="G872" s="1"/>
      <c r="H872" s="1">
        <v>10000.0</v>
      </c>
      <c r="I872" s="1">
        <f t="shared" si="1"/>
        <v>10000</v>
      </c>
      <c r="J872" s="1">
        <v>1000.0</v>
      </c>
      <c r="K872" s="1"/>
      <c r="L872" s="1" t="s">
        <v>2252</v>
      </c>
    </row>
    <row r="873">
      <c r="A873" s="1">
        <v>2019.0</v>
      </c>
      <c r="B873" s="1">
        <v>5.0</v>
      </c>
      <c r="C873" s="1" t="s">
        <v>68</v>
      </c>
      <c r="D873" s="1" t="s">
        <v>112</v>
      </c>
      <c r="E873" s="1" t="s">
        <v>21</v>
      </c>
      <c r="F873" s="1">
        <v>100.0</v>
      </c>
      <c r="G873" s="1"/>
      <c r="H873" s="1">
        <v>10000.0</v>
      </c>
      <c r="I873" s="1">
        <f t="shared" si="1"/>
        <v>10000</v>
      </c>
      <c r="J873" s="1">
        <v>1000.0</v>
      </c>
      <c r="K873" s="1"/>
      <c r="L873" s="1" t="s">
        <v>2252</v>
      </c>
    </row>
    <row r="874">
      <c r="A874" s="1">
        <v>2019.0</v>
      </c>
      <c r="B874" s="1">
        <v>5.0</v>
      </c>
      <c r="C874" s="1" t="s">
        <v>68</v>
      </c>
      <c r="D874" s="1" t="s">
        <v>147</v>
      </c>
      <c r="E874" s="1" t="s">
        <v>39</v>
      </c>
      <c r="F874" s="1">
        <v>100.0</v>
      </c>
      <c r="G874" s="1"/>
      <c r="H874" s="1">
        <v>10000.0</v>
      </c>
      <c r="I874" s="1">
        <f t="shared" si="1"/>
        <v>10000</v>
      </c>
      <c r="J874" s="1">
        <v>1000.0</v>
      </c>
      <c r="K874" s="1"/>
      <c r="L874" s="1" t="s">
        <v>2252</v>
      </c>
    </row>
    <row r="875">
      <c r="A875" s="1">
        <v>2019.0</v>
      </c>
      <c r="B875" s="1">
        <v>5.0</v>
      </c>
      <c r="C875" s="1" t="s">
        <v>68</v>
      </c>
      <c r="D875" s="1" t="s">
        <v>147</v>
      </c>
      <c r="E875" s="1" t="s">
        <v>17</v>
      </c>
      <c r="F875" s="1">
        <v>100.0</v>
      </c>
      <c r="G875" s="1"/>
      <c r="H875" s="1">
        <v>10000.0</v>
      </c>
      <c r="I875" s="1">
        <f t="shared" si="1"/>
        <v>10000</v>
      </c>
      <c r="J875" s="1">
        <v>1000.0</v>
      </c>
      <c r="K875" s="1"/>
      <c r="L875" s="1" t="s">
        <v>2252</v>
      </c>
    </row>
    <row r="876">
      <c r="A876" s="1">
        <v>2019.0</v>
      </c>
      <c r="B876" s="1">
        <v>5.0</v>
      </c>
      <c r="C876" s="1" t="s">
        <v>68</v>
      </c>
      <c r="D876" s="1" t="s">
        <v>147</v>
      </c>
      <c r="E876" s="1" t="s">
        <v>21</v>
      </c>
      <c r="F876" s="1">
        <v>100.0</v>
      </c>
      <c r="G876" s="1"/>
      <c r="H876" s="1">
        <v>10000.0</v>
      </c>
      <c r="I876" s="1">
        <f t="shared" si="1"/>
        <v>10000</v>
      </c>
      <c r="J876" s="1">
        <v>1000.0</v>
      </c>
      <c r="K876" s="1"/>
      <c r="L876" s="1" t="s">
        <v>2252</v>
      </c>
    </row>
    <row r="877">
      <c r="A877" s="1">
        <v>2019.0</v>
      </c>
      <c r="B877" s="1">
        <v>5.0</v>
      </c>
      <c r="C877" s="1" t="s">
        <v>68</v>
      </c>
      <c r="D877" s="1" t="s">
        <v>108</v>
      </c>
      <c r="E877" s="1" t="s">
        <v>49</v>
      </c>
      <c r="F877" s="1">
        <v>100.0</v>
      </c>
      <c r="G877" s="1"/>
      <c r="H877" s="1">
        <v>10000.0</v>
      </c>
      <c r="I877" s="1">
        <f t="shared" si="1"/>
        <v>10000</v>
      </c>
      <c r="J877" s="1">
        <v>1000.0</v>
      </c>
      <c r="K877" s="1"/>
      <c r="L877" s="1" t="s">
        <v>2252</v>
      </c>
    </row>
    <row r="878">
      <c r="A878" s="1">
        <v>2019.0</v>
      </c>
      <c r="B878" s="1">
        <v>5.0</v>
      </c>
      <c r="C878" s="1" t="s">
        <v>68</v>
      </c>
      <c r="D878" s="1" t="s">
        <v>102</v>
      </c>
      <c r="E878" s="1" t="s">
        <v>39</v>
      </c>
      <c r="F878" s="1">
        <v>100.0</v>
      </c>
      <c r="G878" s="1"/>
      <c r="H878" s="1">
        <v>10000.0</v>
      </c>
      <c r="I878" s="1">
        <f t="shared" si="1"/>
        <v>10000</v>
      </c>
      <c r="J878" s="1">
        <v>1000.0</v>
      </c>
      <c r="K878" s="1"/>
      <c r="L878" s="1" t="s">
        <v>2252</v>
      </c>
    </row>
    <row r="879">
      <c r="A879" s="1">
        <v>2019.0</v>
      </c>
      <c r="B879" s="1">
        <v>5.0</v>
      </c>
      <c r="C879" s="1" t="s">
        <v>68</v>
      </c>
      <c r="D879" s="1" t="s">
        <v>102</v>
      </c>
      <c r="E879" s="1" t="s">
        <v>21</v>
      </c>
      <c r="F879" s="1">
        <v>100.0</v>
      </c>
      <c r="G879" s="1"/>
      <c r="H879" s="1">
        <v>10000.0</v>
      </c>
      <c r="I879" s="1">
        <f t="shared" si="1"/>
        <v>10000</v>
      </c>
      <c r="J879" s="1">
        <v>1000.0</v>
      </c>
      <c r="K879" s="1"/>
      <c r="L879" s="1" t="s">
        <v>2252</v>
      </c>
    </row>
    <row r="880">
      <c r="A880" s="1">
        <v>2019.0</v>
      </c>
      <c r="B880" s="1">
        <v>5.0</v>
      </c>
      <c r="C880" s="1" t="s">
        <v>116</v>
      </c>
      <c r="D880" s="1" t="s">
        <v>13</v>
      </c>
      <c r="E880" s="1" t="s">
        <v>14</v>
      </c>
      <c r="F880" s="1">
        <v>100.0</v>
      </c>
      <c r="G880" s="1"/>
      <c r="H880" s="1">
        <v>10000.0</v>
      </c>
      <c r="I880" s="1">
        <f t="shared" si="1"/>
        <v>10000</v>
      </c>
      <c r="J880" s="1">
        <v>1000.0</v>
      </c>
      <c r="K880" s="1"/>
      <c r="L880" s="1" t="s">
        <v>2252</v>
      </c>
    </row>
    <row r="881">
      <c r="A881" s="1">
        <v>2019.0</v>
      </c>
      <c r="B881" s="1">
        <v>5.0</v>
      </c>
      <c r="C881" s="1" t="s">
        <v>116</v>
      </c>
      <c r="D881" s="1" t="s">
        <v>13</v>
      </c>
      <c r="E881" s="1" t="s">
        <v>17</v>
      </c>
      <c r="F881" s="1">
        <v>100.0</v>
      </c>
      <c r="G881" s="1"/>
      <c r="H881" s="1">
        <v>10000.0</v>
      </c>
      <c r="I881" s="1">
        <f t="shared" si="1"/>
        <v>10000</v>
      </c>
      <c r="J881" s="1">
        <v>1000.0</v>
      </c>
      <c r="K881" s="1"/>
      <c r="L881" s="1" t="s">
        <v>2252</v>
      </c>
    </row>
    <row r="882">
      <c r="A882" s="1">
        <v>2019.0</v>
      </c>
      <c r="B882" s="1">
        <v>5.0</v>
      </c>
      <c r="C882" s="1" t="s">
        <v>116</v>
      </c>
      <c r="D882" s="1" t="s">
        <v>13</v>
      </c>
      <c r="E882" s="1" t="s">
        <v>21</v>
      </c>
      <c r="F882" s="1">
        <v>100.0</v>
      </c>
      <c r="G882" s="1"/>
      <c r="H882" s="1">
        <v>10000.0</v>
      </c>
      <c r="I882" s="1">
        <f t="shared" si="1"/>
        <v>10000</v>
      </c>
      <c r="J882" s="1">
        <v>1000.0</v>
      </c>
      <c r="K882" s="1"/>
      <c r="L882" s="1" t="s">
        <v>2252</v>
      </c>
    </row>
    <row r="883">
      <c r="A883" s="1">
        <v>2019.0</v>
      </c>
      <c r="B883" s="1">
        <v>5.0</v>
      </c>
      <c r="C883" s="1" t="s">
        <v>116</v>
      </c>
      <c r="D883" s="1" t="s">
        <v>13</v>
      </c>
      <c r="E883" s="1" t="s">
        <v>25</v>
      </c>
      <c r="F883" s="1">
        <v>100.0</v>
      </c>
      <c r="G883" s="1"/>
      <c r="H883" s="1">
        <v>10000.0</v>
      </c>
      <c r="I883" s="1">
        <f t="shared" si="1"/>
        <v>10000</v>
      </c>
      <c r="J883" s="1">
        <v>1000.0</v>
      </c>
      <c r="K883" s="1"/>
      <c r="L883" s="1" t="s">
        <v>2252</v>
      </c>
    </row>
    <row r="884">
      <c r="A884" s="1">
        <v>2019.0</v>
      </c>
      <c r="B884" s="1">
        <v>5.0</v>
      </c>
      <c r="C884" s="1" t="s">
        <v>116</v>
      </c>
      <c r="D884" s="1" t="s">
        <v>29</v>
      </c>
      <c r="E884" s="1" t="s">
        <v>21</v>
      </c>
      <c r="F884" s="1">
        <v>100.0</v>
      </c>
      <c r="G884" s="1"/>
      <c r="H884" s="1">
        <v>10000.0</v>
      </c>
      <c r="I884" s="1">
        <f t="shared" si="1"/>
        <v>10000</v>
      </c>
      <c r="J884" s="1">
        <v>1000.0</v>
      </c>
      <c r="K884" s="1"/>
      <c r="L884" s="1" t="s">
        <v>2252</v>
      </c>
    </row>
    <row r="885">
      <c r="A885" s="1">
        <v>2019.0</v>
      </c>
      <c r="B885" s="1">
        <v>5.0</v>
      </c>
      <c r="C885" s="1" t="s">
        <v>116</v>
      </c>
      <c r="D885" s="1" t="s">
        <v>45</v>
      </c>
      <c r="E885" s="1" t="s">
        <v>17</v>
      </c>
      <c r="F885" s="1">
        <v>100.0</v>
      </c>
      <c r="G885" s="1"/>
      <c r="H885" s="1">
        <v>10000.0</v>
      </c>
      <c r="I885" s="1">
        <f t="shared" si="1"/>
        <v>10000</v>
      </c>
      <c r="J885" s="1">
        <v>1000.0</v>
      </c>
      <c r="K885" s="1"/>
      <c r="L885" s="1" t="s">
        <v>2252</v>
      </c>
    </row>
    <row r="886">
      <c r="A886" s="1">
        <v>2019.0</v>
      </c>
      <c r="B886" s="1">
        <v>5.0</v>
      </c>
      <c r="C886" s="1" t="s">
        <v>116</v>
      </c>
      <c r="D886" s="1" t="s">
        <v>32</v>
      </c>
      <c r="E886" s="1" t="s">
        <v>14</v>
      </c>
      <c r="F886" s="1">
        <v>100.0</v>
      </c>
      <c r="G886" s="1"/>
      <c r="H886" s="1">
        <v>10000.0</v>
      </c>
      <c r="I886" s="1">
        <f t="shared" si="1"/>
        <v>10000</v>
      </c>
      <c r="J886" s="1">
        <v>1000.0</v>
      </c>
      <c r="K886" s="1"/>
      <c r="L886" s="1" t="s">
        <v>2252</v>
      </c>
    </row>
    <row r="887">
      <c r="A887" s="1">
        <v>2019.0</v>
      </c>
      <c r="B887" s="1">
        <v>5.0</v>
      </c>
      <c r="C887" s="1" t="s">
        <v>116</v>
      </c>
      <c r="D887" s="1" t="s">
        <v>32</v>
      </c>
      <c r="E887" s="1" t="s">
        <v>21</v>
      </c>
      <c r="F887" s="1">
        <v>100.0</v>
      </c>
      <c r="G887" s="1"/>
      <c r="H887" s="1">
        <v>10000.0</v>
      </c>
      <c r="I887" s="1">
        <f t="shared" si="1"/>
        <v>10000</v>
      </c>
      <c r="J887" s="1">
        <v>1000.0</v>
      </c>
      <c r="K887" s="1"/>
      <c r="L887" s="1" t="s">
        <v>2252</v>
      </c>
    </row>
    <row r="888">
      <c r="A888" s="1">
        <v>2019.0</v>
      </c>
      <c r="B888" s="1">
        <v>5.0</v>
      </c>
      <c r="C888" s="1" t="s">
        <v>116</v>
      </c>
      <c r="D888" s="1" t="s">
        <v>102</v>
      </c>
      <c r="E888" s="1" t="s">
        <v>39</v>
      </c>
      <c r="F888" s="1">
        <v>100.0</v>
      </c>
      <c r="G888" s="1"/>
      <c r="H888" s="1">
        <v>10000.0</v>
      </c>
      <c r="I888" s="1">
        <f t="shared" si="1"/>
        <v>10000</v>
      </c>
      <c r="J888" s="1">
        <v>1000.0</v>
      </c>
      <c r="K888" s="1"/>
      <c r="L888" s="1" t="s">
        <v>2252</v>
      </c>
    </row>
    <row r="889">
      <c r="A889" s="1">
        <v>2019.0</v>
      </c>
      <c r="B889" s="1">
        <v>5.0</v>
      </c>
      <c r="C889" s="1" t="s">
        <v>116</v>
      </c>
      <c r="D889" s="1" t="s">
        <v>102</v>
      </c>
      <c r="E889" s="1" t="s">
        <v>21</v>
      </c>
      <c r="F889" s="1">
        <v>100.0</v>
      </c>
      <c r="G889" s="1"/>
      <c r="H889" s="1">
        <v>10000.0</v>
      </c>
      <c r="I889" s="1">
        <f t="shared" si="1"/>
        <v>10000</v>
      </c>
      <c r="J889" s="1">
        <v>1000.0</v>
      </c>
      <c r="K889" s="1"/>
      <c r="L889" s="1" t="s">
        <v>2252</v>
      </c>
    </row>
    <row r="890">
      <c r="A890" s="1">
        <v>2019.0</v>
      </c>
      <c r="B890" s="1">
        <v>5.0</v>
      </c>
      <c r="C890" s="1" t="s">
        <v>116</v>
      </c>
      <c r="D890" s="1" t="s">
        <v>2083</v>
      </c>
      <c r="E890" s="1" t="s">
        <v>39</v>
      </c>
      <c r="F890" s="1">
        <v>100.0</v>
      </c>
      <c r="G890" s="1"/>
      <c r="H890" s="1">
        <v>10000.0</v>
      </c>
      <c r="I890" s="1">
        <f t="shared" si="1"/>
        <v>10000</v>
      </c>
      <c r="J890" s="1">
        <v>1000.0</v>
      </c>
      <c r="K890" s="1"/>
      <c r="L890" s="1" t="s">
        <v>2252</v>
      </c>
    </row>
    <row r="891">
      <c r="A891" s="1">
        <v>2019.0</v>
      </c>
      <c r="B891" s="1">
        <v>5.0</v>
      </c>
      <c r="C891" s="1" t="s">
        <v>116</v>
      </c>
      <c r="D891" s="1" t="s">
        <v>2083</v>
      </c>
      <c r="E891" s="1" t="s">
        <v>49</v>
      </c>
      <c r="F891" s="1">
        <v>100.0</v>
      </c>
      <c r="G891" s="1"/>
      <c r="H891" s="1">
        <v>10000.0</v>
      </c>
      <c r="I891" s="1">
        <f t="shared" si="1"/>
        <v>10000</v>
      </c>
      <c r="J891" s="1">
        <v>1000.0</v>
      </c>
      <c r="K891" s="1"/>
      <c r="L891" s="1" t="s">
        <v>2252</v>
      </c>
    </row>
    <row r="892">
      <c r="A892" s="1">
        <v>2019.0</v>
      </c>
      <c r="B892" s="1">
        <v>5.0</v>
      </c>
      <c r="C892" s="1" t="s">
        <v>116</v>
      </c>
      <c r="D892" s="1" t="s">
        <v>2083</v>
      </c>
      <c r="E892" s="1" t="s">
        <v>21</v>
      </c>
      <c r="F892" s="1">
        <v>100.0</v>
      </c>
      <c r="G892" s="1"/>
      <c r="H892" s="1">
        <v>10000.0</v>
      </c>
      <c r="I892" s="1">
        <f t="shared" si="1"/>
        <v>10000</v>
      </c>
      <c r="J892" s="1">
        <v>1000.0</v>
      </c>
      <c r="K892" s="1"/>
      <c r="L892" s="1" t="s">
        <v>2252</v>
      </c>
    </row>
    <row r="893">
      <c r="A893" s="1">
        <v>2019.0</v>
      </c>
      <c r="B893" s="1">
        <v>5.0</v>
      </c>
      <c r="C893" s="1" t="s">
        <v>116</v>
      </c>
      <c r="D893" s="1" t="s">
        <v>147</v>
      </c>
      <c r="E893" s="1" t="s">
        <v>39</v>
      </c>
      <c r="F893" s="1">
        <v>100.0</v>
      </c>
      <c r="G893" s="1"/>
      <c r="H893" s="1">
        <v>10000.0</v>
      </c>
      <c r="I893" s="1">
        <f t="shared" si="1"/>
        <v>10000</v>
      </c>
      <c r="J893" s="1">
        <v>1000.0</v>
      </c>
      <c r="K893" s="1"/>
      <c r="L893" s="1" t="s">
        <v>2252</v>
      </c>
    </row>
    <row r="894">
      <c r="A894" s="1">
        <v>2019.0</v>
      </c>
      <c r="B894" s="1">
        <v>5.0</v>
      </c>
      <c r="C894" s="1" t="s">
        <v>116</v>
      </c>
      <c r="D894" s="1" t="s">
        <v>147</v>
      </c>
      <c r="E894" s="1" t="s">
        <v>17</v>
      </c>
      <c r="F894" s="1">
        <v>100.0</v>
      </c>
      <c r="G894" s="1"/>
      <c r="H894" s="1">
        <v>10000.0</v>
      </c>
      <c r="I894" s="1">
        <f t="shared" si="1"/>
        <v>10000</v>
      </c>
      <c r="J894" s="1">
        <v>1000.0</v>
      </c>
      <c r="K894" s="1"/>
      <c r="L894" s="1" t="s">
        <v>2252</v>
      </c>
    </row>
    <row r="895">
      <c r="A895" s="1">
        <v>2019.0</v>
      </c>
      <c r="B895" s="1">
        <v>5.0</v>
      </c>
      <c r="C895" s="1" t="s">
        <v>116</v>
      </c>
      <c r="D895" s="1" t="s">
        <v>147</v>
      </c>
      <c r="E895" s="1" t="s">
        <v>21</v>
      </c>
      <c r="F895" s="1">
        <v>100.0</v>
      </c>
      <c r="G895" s="1"/>
      <c r="H895" s="1">
        <v>10000.0</v>
      </c>
      <c r="I895" s="1">
        <f t="shared" si="1"/>
        <v>10000</v>
      </c>
      <c r="J895" s="1">
        <v>1000.0</v>
      </c>
      <c r="K895" s="1"/>
      <c r="L895" s="1" t="s">
        <v>2252</v>
      </c>
    </row>
    <row r="896">
      <c r="A896" s="1">
        <v>2019.0</v>
      </c>
      <c r="B896" s="1">
        <v>5.0</v>
      </c>
      <c r="C896" s="1" t="s">
        <v>116</v>
      </c>
      <c r="D896" s="1" t="s">
        <v>38</v>
      </c>
      <c r="E896" s="1" t="s">
        <v>39</v>
      </c>
      <c r="F896" s="1">
        <v>100.0</v>
      </c>
      <c r="G896" s="1"/>
      <c r="H896" s="1">
        <v>10000.0</v>
      </c>
      <c r="I896" s="1">
        <f t="shared" si="1"/>
        <v>10000</v>
      </c>
      <c r="J896" s="1">
        <v>1000.0</v>
      </c>
      <c r="K896" s="1"/>
      <c r="L896" s="1" t="s">
        <v>2252</v>
      </c>
    </row>
    <row r="897">
      <c r="A897" s="1">
        <v>2019.0</v>
      </c>
      <c r="B897" s="1">
        <v>5.0</v>
      </c>
      <c r="C897" s="1" t="s">
        <v>116</v>
      </c>
      <c r="D897" s="1" t="s">
        <v>158</v>
      </c>
      <c r="E897" s="1" t="s">
        <v>39</v>
      </c>
      <c r="F897" s="1">
        <v>100.0</v>
      </c>
      <c r="G897" s="1"/>
      <c r="H897" s="1">
        <v>10000.0</v>
      </c>
      <c r="I897" s="1">
        <f t="shared" si="1"/>
        <v>10000</v>
      </c>
      <c r="J897" s="1">
        <v>1000.0</v>
      </c>
      <c r="K897" s="1"/>
      <c r="L897" s="1" t="s">
        <v>2252</v>
      </c>
    </row>
    <row r="898">
      <c r="A898" s="1">
        <v>2019.0</v>
      </c>
      <c r="B898" s="1">
        <v>5.0</v>
      </c>
      <c r="C898" s="1" t="s">
        <v>116</v>
      </c>
      <c r="D898" s="1" t="s">
        <v>158</v>
      </c>
      <c r="E898" s="1" t="s">
        <v>17</v>
      </c>
      <c r="F898" s="1">
        <v>100.0</v>
      </c>
      <c r="G898" s="1"/>
      <c r="H898" s="1">
        <v>10000.0</v>
      </c>
      <c r="I898" s="1">
        <f t="shared" si="1"/>
        <v>10000</v>
      </c>
      <c r="J898" s="1">
        <v>1000.0</v>
      </c>
      <c r="K898" s="1"/>
      <c r="L898" s="1" t="s">
        <v>2252</v>
      </c>
    </row>
    <row r="899">
      <c r="A899" s="1">
        <v>2019.0</v>
      </c>
      <c r="B899" s="1">
        <v>5.0</v>
      </c>
      <c r="C899" s="1" t="s">
        <v>116</v>
      </c>
      <c r="D899" s="1" t="s">
        <v>158</v>
      </c>
      <c r="E899" s="1" t="s">
        <v>21</v>
      </c>
      <c r="F899" s="1">
        <v>100.0</v>
      </c>
      <c r="G899" s="1"/>
      <c r="H899" s="1">
        <v>10000.0</v>
      </c>
      <c r="I899" s="1">
        <f t="shared" si="1"/>
        <v>10000</v>
      </c>
      <c r="J899" s="1">
        <v>1000.0</v>
      </c>
      <c r="K899" s="1"/>
      <c r="L899" s="1" t="s">
        <v>2252</v>
      </c>
    </row>
    <row r="900">
      <c r="A900" s="1">
        <v>2019.0</v>
      </c>
      <c r="B900" s="1">
        <v>6.0</v>
      </c>
      <c r="C900" s="1" t="s">
        <v>12</v>
      </c>
      <c r="D900" s="1" t="s">
        <v>13</v>
      </c>
      <c r="E900" s="1" t="s">
        <v>14</v>
      </c>
      <c r="F900" s="1">
        <v>100.0</v>
      </c>
      <c r="G900" s="1"/>
      <c r="H900" s="1">
        <v>10000.0</v>
      </c>
      <c r="I900" s="1">
        <f t="shared" si="1"/>
        <v>10000</v>
      </c>
      <c r="J900" s="1">
        <v>1000.0</v>
      </c>
      <c r="K900" s="1"/>
      <c r="L900" s="1" t="s">
        <v>2252</v>
      </c>
    </row>
    <row r="901">
      <c r="A901" s="1">
        <v>2019.0</v>
      </c>
      <c r="B901" s="1">
        <v>6.0</v>
      </c>
      <c r="C901" s="1" t="s">
        <v>12</v>
      </c>
      <c r="D901" s="1" t="s">
        <v>13</v>
      </c>
      <c r="E901" s="1" t="s">
        <v>17</v>
      </c>
      <c r="F901" s="1">
        <v>100.0</v>
      </c>
      <c r="G901" s="1"/>
      <c r="H901" s="1">
        <v>10000.0</v>
      </c>
      <c r="I901" s="1">
        <f t="shared" si="1"/>
        <v>10000</v>
      </c>
      <c r="J901" s="1">
        <v>1000.0</v>
      </c>
      <c r="K901" s="1"/>
      <c r="L901" s="1" t="s">
        <v>2252</v>
      </c>
    </row>
    <row r="902">
      <c r="A902" s="1">
        <v>2019.0</v>
      </c>
      <c r="B902" s="1">
        <v>6.0</v>
      </c>
      <c r="C902" s="1" t="s">
        <v>12</v>
      </c>
      <c r="D902" s="1" t="s">
        <v>13</v>
      </c>
      <c r="E902" s="1" t="s">
        <v>21</v>
      </c>
      <c r="F902" s="1">
        <v>100.0</v>
      </c>
      <c r="G902" s="1"/>
      <c r="H902" s="1">
        <v>10000.0</v>
      </c>
      <c r="I902" s="1">
        <f t="shared" si="1"/>
        <v>10000</v>
      </c>
      <c r="J902" s="1">
        <v>1000.0</v>
      </c>
      <c r="K902" s="1"/>
      <c r="L902" s="1" t="s">
        <v>2252</v>
      </c>
    </row>
    <row r="903">
      <c r="A903" s="1">
        <v>2019.0</v>
      </c>
      <c r="B903" s="1">
        <v>6.0</v>
      </c>
      <c r="C903" s="1" t="s">
        <v>12</v>
      </c>
      <c r="D903" s="1" t="s">
        <v>13</v>
      </c>
      <c r="E903" s="1" t="s">
        <v>25</v>
      </c>
      <c r="F903" s="1">
        <v>100.0</v>
      </c>
      <c r="G903" s="1"/>
      <c r="H903" s="1">
        <v>10000.0</v>
      </c>
      <c r="I903" s="1">
        <f t="shared" si="1"/>
        <v>10000</v>
      </c>
      <c r="J903" s="1">
        <v>1000.0</v>
      </c>
      <c r="K903" s="1"/>
      <c r="L903" s="1" t="s">
        <v>2252</v>
      </c>
    </row>
    <row r="904">
      <c r="A904" s="1">
        <v>2019.0</v>
      </c>
      <c r="B904" s="1">
        <v>6.0</v>
      </c>
      <c r="C904" s="1" t="s">
        <v>12</v>
      </c>
      <c r="D904" s="1" t="s">
        <v>29</v>
      </c>
      <c r="E904" s="1" t="s">
        <v>21</v>
      </c>
      <c r="F904" s="1">
        <v>100.0</v>
      </c>
      <c r="G904" s="1"/>
      <c r="H904" s="1">
        <v>10000.0</v>
      </c>
      <c r="I904" s="1">
        <f t="shared" si="1"/>
        <v>10000</v>
      </c>
      <c r="J904" s="1">
        <v>1000.0</v>
      </c>
      <c r="K904" s="1"/>
      <c r="L904" s="1" t="s">
        <v>2252</v>
      </c>
    </row>
    <row r="905">
      <c r="A905" s="1">
        <v>2019.0</v>
      </c>
      <c r="B905" s="1">
        <v>6.0</v>
      </c>
      <c r="C905" s="1" t="s">
        <v>12</v>
      </c>
      <c r="D905" s="1" t="s">
        <v>32</v>
      </c>
      <c r="E905" s="1" t="s">
        <v>14</v>
      </c>
      <c r="F905" s="1">
        <v>100.0</v>
      </c>
      <c r="G905" s="1"/>
      <c r="H905" s="1">
        <v>10000.0</v>
      </c>
      <c r="I905" s="1">
        <f t="shared" si="1"/>
        <v>10000</v>
      </c>
      <c r="J905" s="1">
        <v>1000.0</v>
      </c>
      <c r="K905" s="1"/>
      <c r="L905" s="1" t="s">
        <v>2252</v>
      </c>
    </row>
    <row r="906">
      <c r="A906" s="1">
        <v>2019.0</v>
      </c>
      <c r="B906" s="1">
        <v>6.0</v>
      </c>
      <c r="C906" s="1" t="s">
        <v>12</v>
      </c>
      <c r="D906" s="1" t="s">
        <v>32</v>
      </c>
      <c r="E906" s="1" t="s">
        <v>21</v>
      </c>
      <c r="F906" s="1">
        <v>100.0</v>
      </c>
      <c r="G906" s="1"/>
      <c r="H906" s="1">
        <v>10000.0</v>
      </c>
      <c r="I906" s="1">
        <f t="shared" si="1"/>
        <v>10000</v>
      </c>
      <c r="J906" s="1">
        <v>1000.0</v>
      </c>
      <c r="K906" s="1"/>
      <c r="L906" s="1" t="s">
        <v>2252</v>
      </c>
    </row>
    <row r="907">
      <c r="A907" s="1">
        <v>2019.0</v>
      </c>
      <c r="B907" s="1">
        <v>6.0</v>
      </c>
      <c r="C907" s="1" t="s">
        <v>12</v>
      </c>
      <c r="D907" s="1" t="s">
        <v>32</v>
      </c>
      <c r="E907" s="1" t="s">
        <v>25</v>
      </c>
      <c r="F907" s="1">
        <v>100.0</v>
      </c>
      <c r="G907" s="1"/>
      <c r="H907" s="1">
        <v>10000.0</v>
      </c>
      <c r="I907" s="1">
        <f t="shared" si="1"/>
        <v>10000</v>
      </c>
      <c r="J907" s="1">
        <v>1000.0</v>
      </c>
      <c r="K907" s="1"/>
      <c r="L907" s="1" t="s">
        <v>2252</v>
      </c>
    </row>
    <row r="908">
      <c r="A908" s="1">
        <v>2019.0</v>
      </c>
      <c r="B908" s="1">
        <v>6.0</v>
      </c>
      <c r="C908" s="1" t="s">
        <v>12</v>
      </c>
      <c r="D908" s="1" t="s">
        <v>38</v>
      </c>
      <c r="E908" s="1" t="s">
        <v>39</v>
      </c>
      <c r="F908" s="1">
        <v>100.0</v>
      </c>
      <c r="G908" s="1"/>
      <c r="H908" s="1">
        <v>10000.0</v>
      </c>
      <c r="I908" s="1">
        <f t="shared" si="1"/>
        <v>10000</v>
      </c>
      <c r="J908" s="1">
        <v>1000.0</v>
      </c>
      <c r="K908" s="1"/>
      <c r="L908" s="1" t="s">
        <v>2252</v>
      </c>
    </row>
    <row r="909">
      <c r="A909" s="1">
        <v>2019.0</v>
      </c>
      <c r="B909" s="1">
        <v>6.0</v>
      </c>
      <c r="C909" s="1" t="s">
        <v>12</v>
      </c>
      <c r="D909" s="1" t="s">
        <v>45</v>
      </c>
      <c r="E909" s="1" t="s">
        <v>17</v>
      </c>
      <c r="F909" s="1">
        <v>100.0</v>
      </c>
      <c r="G909" s="1"/>
      <c r="H909" s="1">
        <v>10000.0</v>
      </c>
      <c r="I909" s="1">
        <f t="shared" si="1"/>
        <v>10000</v>
      </c>
      <c r="J909" s="1">
        <v>1000.0</v>
      </c>
      <c r="K909" s="1"/>
      <c r="L909" s="1" t="s">
        <v>2252</v>
      </c>
    </row>
    <row r="910">
      <c r="A910" s="1">
        <v>2019.0</v>
      </c>
      <c r="B910" s="1">
        <v>6.0</v>
      </c>
      <c r="C910" s="1" t="s">
        <v>12</v>
      </c>
      <c r="D910" s="1" t="s">
        <v>56</v>
      </c>
      <c r="E910" s="1" t="s">
        <v>21</v>
      </c>
      <c r="F910" s="1">
        <v>100.0</v>
      </c>
      <c r="G910" s="1"/>
      <c r="H910" s="1">
        <v>10000.0</v>
      </c>
      <c r="I910" s="1">
        <f t="shared" si="1"/>
        <v>10000</v>
      </c>
      <c r="J910" s="1">
        <v>1000.0</v>
      </c>
      <c r="K910" s="1"/>
      <c r="L910" s="1" t="s">
        <v>2252</v>
      </c>
    </row>
    <row r="911">
      <c r="A911" s="1">
        <v>2019.0</v>
      </c>
      <c r="B911" s="1">
        <v>6.0</v>
      </c>
      <c r="C911" s="1" t="s">
        <v>12</v>
      </c>
      <c r="D911" s="1" t="s">
        <v>60</v>
      </c>
      <c r="E911" s="1" t="s">
        <v>39</v>
      </c>
      <c r="F911" s="1">
        <v>100.0</v>
      </c>
      <c r="G911" s="1"/>
      <c r="H911" s="1">
        <v>10000.0</v>
      </c>
      <c r="I911" s="1">
        <f t="shared" si="1"/>
        <v>10000</v>
      </c>
      <c r="J911" s="1">
        <v>1000.0</v>
      </c>
      <c r="K911" s="1"/>
      <c r="L911" s="1" t="s">
        <v>2252</v>
      </c>
    </row>
    <row r="912">
      <c r="A912" s="1">
        <v>2019.0</v>
      </c>
      <c r="B912" s="1">
        <v>6.0</v>
      </c>
      <c r="C912" s="1" t="s">
        <v>12</v>
      </c>
      <c r="D912" s="1" t="s">
        <v>64</v>
      </c>
      <c r="E912" s="1" t="s">
        <v>21</v>
      </c>
      <c r="F912" s="1">
        <v>100.0</v>
      </c>
      <c r="G912" s="1"/>
      <c r="H912" s="1">
        <v>10000.0</v>
      </c>
      <c r="I912" s="1">
        <f t="shared" si="1"/>
        <v>10000</v>
      </c>
      <c r="J912" s="1">
        <v>1000.0</v>
      </c>
      <c r="K912" s="1"/>
      <c r="L912" s="1" t="s">
        <v>2252</v>
      </c>
    </row>
    <row r="913">
      <c r="A913" s="1">
        <v>2019.0</v>
      </c>
      <c r="B913" s="1">
        <v>6.0</v>
      </c>
      <c r="C913" s="1" t="s">
        <v>12</v>
      </c>
      <c r="D913" s="1" t="s">
        <v>48</v>
      </c>
      <c r="E913" s="1" t="s">
        <v>49</v>
      </c>
      <c r="F913" s="1">
        <v>100.0</v>
      </c>
      <c r="G913" s="1"/>
      <c r="H913" s="1">
        <v>10000.0</v>
      </c>
      <c r="I913" s="1">
        <f t="shared" si="1"/>
        <v>10000</v>
      </c>
      <c r="J913" s="1">
        <v>1000.0</v>
      </c>
      <c r="K913" s="1"/>
      <c r="L913" s="1" t="s">
        <v>2252</v>
      </c>
    </row>
    <row r="914">
      <c r="A914" s="1">
        <v>2019.0</v>
      </c>
      <c r="B914" s="1">
        <v>6.0</v>
      </c>
      <c r="C914" s="1" t="s">
        <v>12</v>
      </c>
      <c r="D914" s="1" t="s">
        <v>48</v>
      </c>
      <c r="E914" s="1" t="s">
        <v>21</v>
      </c>
      <c r="F914" s="1">
        <v>100.0</v>
      </c>
      <c r="G914" s="1"/>
      <c r="H914" s="1">
        <v>10000.0</v>
      </c>
      <c r="I914" s="1">
        <f t="shared" si="1"/>
        <v>10000</v>
      </c>
      <c r="J914" s="1">
        <v>1000.0</v>
      </c>
      <c r="K914" s="1"/>
      <c r="L914" s="1" t="s">
        <v>2252</v>
      </c>
    </row>
    <row r="915">
      <c r="A915" s="1">
        <v>2019.0</v>
      </c>
      <c r="B915" s="1">
        <v>6.0</v>
      </c>
      <c r="C915" s="1" t="s">
        <v>68</v>
      </c>
      <c r="D915" s="1" t="s">
        <v>13</v>
      </c>
      <c r="E915" s="1" t="s">
        <v>14</v>
      </c>
      <c r="F915" s="1">
        <v>100.0</v>
      </c>
      <c r="G915" s="1"/>
      <c r="H915" s="1">
        <v>10000.0</v>
      </c>
      <c r="I915" s="1">
        <f t="shared" si="1"/>
        <v>10000</v>
      </c>
      <c r="J915" s="1">
        <v>1000.0</v>
      </c>
      <c r="K915" s="1"/>
      <c r="L915" s="1" t="s">
        <v>2252</v>
      </c>
    </row>
    <row r="916">
      <c r="A916" s="1">
        <v>2019.0</v>
      </c>
      <c r="B916" s="1">
        <v>6.0</v>
      </c>
      <c r="C916" s="1" t="s">
        <v>68</v>
      </c>
      <c r="D916" s="1" t="s">
        <v>13</v>
      </c>
      <c r="E916" s="1" t="s">
        <v>72</v>
      </c>
      <c r="F916" s="1">
        <v>100.0</v>
      </c>
      <c r="G916" s="1"/>
      <c r="H916" s="1">
        <v>10000.0</v>
      </c>
      <c r="I916" s="1">
        <f t="shared" si="1"/>
        <v>10000</v>
      </c>
      <c r="J916" s="1">
        <v>1000.0</v>
      </c>
      <c r="K916" s="1"/>
      <c r="L916" s="1" t="s">
        <v>2252</v>
      </c>
    </row>
    <row r="917">
      <c r="A917" s="1">
        <v>2019.0</v>
      </c>
      <c r="B917" s="1">
        <v>6.0</v>
      </c>
      <c r="C917" s="1" t="s">
        <v>68</v>
      </c>
      <c r="D917" s="1" t="s">
        <v>13</v>
      </c>
      <c r="E917" s="1" t="s">
        <v>17</v>
      </c>
      <c r="F917" s="1">
        <v>100.0</v>
      </c>
      <c r="G917" s="1"/>
      <c r="H917" s="1">
        <v>10000.0</v>
      </c>
      <c r="I917" s="1">
        <f t="shared" si="1"/>
        <v>10000</v>
      </c>
      <c r="J917" s="1">
        <v>1000.0</v>
      </c>
      <c r="K917" s="1"/>
      <c r="L917" s="1" t="s">
        <v>2252</v>
      </c>
    </row>
    <row r="918">
      <c r="A918" s="1">
        <v>2019.0</v>
      </c>
      <c r="B918" s="1">
        <v>6.0</v>
      </c>
      <c r="C918" s="1" t="s">
        <v>68</v>
      </c>
      <c r="D918" s="1" t="s">
        <v>13</v>
      </c>
      <c r="E918" s="1" t="s">
        <v>21</v>
      </c>
      <c r="F918" s="1">
        <v>100.0</v>
      </c>
      <c r="G918" s="1"/>
      <c r="H918" s="1">
        <v>10000.0</v>
      </c>
      <c r="I918" s="1">
        <f t="shared" si="1"/>
        <v>10000</v>
      </c>
      <c r="J918" s="1">
        <v>1000.0</v>
      </c>
      <c r="K918" s="1"/>
      <c r="L918" s="1" t="s">
        <v>2252</v>
      </c>
    </row>
    <row r="919">
      <c r="A919" s="1">
        <v>2019.0</v>
      </c>
      <c r="B919" s="1">
        <v>6.0</v>
      </c>
      <c r="C919" s="1" t="s">
        <v>68</v>
      </c>
      <c r="D919" s="1" t="s">
        <v>13</v>
      </c>
      <c r="E919" s="1" t="s">
        <v>25</v>
      </c>
      <c r="F919" s="1">
        <v>100.0</v>
      </c>
      <c r="G919" s="1"/>
      <c r="H919" s="1">
        <v>10000.0</v>
      </c>
      <c r="I919" s="1">
        <f t="shared" si="1"/>
        <v>10000</v>
      </c>
      <c r="J919" s="1">
        <v>1000.0</v>
      </c>
      <c r="K919" s="1"/>
      <c r="L919" s="1" t="s">
        <v>2252</v>
      </c>
    </row>
    <row r="920">
      <c r="A920" s="1">
        <v>2019.0</v>
      </c>
      <c r="B920" s="1">
        <v>6.0</v>
      </c>
      <c r="C920" s="1" t="s">
        <v>68</v>
      </c>
      <c r="D920" s="1" t="s">
        <v>45</v>
      </c>
      <c r="E920" s="1" t="s">
        <v>17</v>
      </c>
      <c r="F920" s="1">
        <v>100.0</v>
      </c>
      <c r="G920" s="1"/>
      <c r="H920" s="1">
        <v>10000.0</v>
      </c>
      <c r="I920" s="1">
        <f t="shared" si="1"/>
        <v>10000</v>
      </c>
      <c r="J920" s="1">
        <v>1000.0</v>
      </c>
      <c r="K920" s="1"/>
      <c r="L920" s="1" t="s">
        <v>2252</v>
      </c>
    </row>
    <row r="921">
      <c r="A921" s="1">
        <v>2019.0</v>
      </c>
      <c r="B921" s="1">
        <v>6.0</v>
      </c>
      <c r="C921" s="1" t="s">
        <v>68</v>
      </c>
      <c r="D921" s="1" t="s">
        <v>29</v>
      </c>
      <c r="E921" s="1" t="s">
        <v>21</v>
      </c>
      <c r="F921" s="1">
        <v>100.0</v>
      </c>
      <c r="G921" s="1"/>
      <c r="H921" s="1">
        <v>10000.0</v>
      </c>
      <c r="I921" s="1">
        <f t="shared" si="1"/>
        <v>10000</v>
      </c>
      <c r="J921" s="1">
        <v>1000.0</v>
      </c>
      <c r="K921" s="1"/>
      <c r="L921" s="1" t="s">
        <v>2252</v>
      </c>
    </row>
    <row r="922">
      <c r="A922" s="1">
        <v>2019.0</v>
      </c>
      <c r="B922" s="1">
        <v>6.0</v>
      </c>
      <c r="C922" s="1" t="s">
        <v>68</v>
      </c>
      <c r="D922" s="1" t="s">
        <v>32</v>
      </c>
      <c r="E922" s="1" t="s">
        <v>14</v>
      </c>
      <c r="F922" s="1">
        <v>100.0</v>
      </c>
      <c r="G922" s="1"/>
      <c r="H922" s="1">
        <v>10000.0</v>
      </c>
      <c r="I922" s="1">
        <f t="shared" si="1"/>
        <v>10000</v>
      </c>
      <c r="J922" s="1">
        <v>1000.0</v>
      </c>
      <c r="K922" s="1"/>
      <c r="L922" s="1" t="s">
        <v>2252</v>
      </c>
    </row>
    <row r="923">
      <c r="A923" s="1">
        <v>2019.0</v>
      </c>
      <c r="B923" s="1">
        <v>6.0</v>
      </c>
      <c r="C923" s="1" t="s">
        <v>68</v>
      </c>
      <c r="D923" s="1" t="s">
        <v>32</v>
      </c>
      <c r="E923" s="1" t="s">
        <v>21</v>
      </c>
      <c r="F923" s="1">
        <v>100.0</v>
      </c>
      <c r="G923" s="1"/>
      <c r="H923" s="1">
        <v>10000.0</v>
      </c>
      <c r="I923" s="1">
        <f t="shared" si="1"/>
        <v>10000</v>
      </c>
      <c r="J923" s="1">
        <v>1000.0</v>
      </c>
      <c r="K923" s="1"/>
      <c r="L923" s="1" t="s">
        <v>2252</v>
      </c>
    </row>
    <row r="924">
      <c r="A924" s="1">
        <v>2019.0</v>
      </c>
      <c r="B924" s="1">
        <v>6.0</v>
      </c>
      <c r="C924" s="1" t="s">
        <v>68</v>
      </c>
      <c r="D924" s="1" t="s">
        <v>38</v>
      </c>
      <c r="E924" s="1" t="s">
        <v>39</v>
      </c>
      <c r="F924" s="1">
        <v>100.0</v>
      </c>
      <c r="G924" s="1"/>
      <c r="H924" s="1">
        <v>10000.0</v>
      </c>
      <c r="I924" s="1">
        <f t="shared" si="1"/>
        <v>10000</v>
      </c>
      <c r="J924" s="1">
        <v>1000.0</v>
      </c>
      <c r="K924" s="1"/>
      <c r="L924" s="1" t="s">
        <v>2252</v>
      </c>
    </row>
    <row r="925">
      <c r="A925" s="1">
        <v>2019.0</v>
      </c>
      <c r="B925" s="1">
        <v>6.0</v>
      </c>
      <c r="C925" s="1" t="s">
        <v>68</v>
      </c>
      <c r="D925" s="1" t="s">
        <v>112</v>
      </c>
      <c r="E925" s="1" t="s">
        <v>21</v>
      </c>
      <c r="F925" s="1">
        <v>100.0</v>
      </c>
      <c r="G925" s="1"/>
      <c r="H925" s="1">
        <v>10000.0</v>
      </c>
      <c r="I925" s="1">
        <f t="shared" si="1"/>
        <v>10000</v>
      </c>
      <c r="J925" s="1">
        <v>1000.0</v>
      </c>
      <c r="K925" s="1"/>
      <c r="L925" s="1" t="s">
        <v>2252</v>
      </c>
    </row>
    <row r="926">
      <c r="A926" s="1">
        <v>2019.0</v>
      </c>
      <c r="B926" s="1">
        <v>6.0</v>
      </c>
      <c r="C926" s="1" t="s">
        <v>68</v>
      </c>
      <c r="D926" s="1" t="s">
        <v>56</v>
      </c>
      <c r="E926" s="1" t="s">
        <v>21</v>
      </c>
      <c r="F926" s="1">
        <v>100.0</v>
      </c>
      <c r="G926" s="1"/>
      <c r="H926" s="1">
        <v>10000.0</v>
      </c>
      <c r="I926" s="1">
        <f t="shared" si="1"/>
        <v>10000</v>
      </c>
      <c r="J926" s="1">
        <v>1000.0</v>
      </c>
      <c r="K926" s="1"/>
      <c r="L926" s="1" t="s">
        <v>2252</v>
      </c>
    </row>
    <row r="927">
      <c r="A927" s="1">
        <v>2019.0</v>
      </c>
      <c r="B927" s="1">
        <v>6.0</v>
      </c>
      <c r="C927" s="1" t="s">
        <v>68</v>
      </c>
      <c r="D927" s="1" t="s">
        <v>165</v>
      </c>
      <c r="E927" s="1" t="s">
        <v>17</v>
      </c>
      <c r="F927" s="1">
        <v>100.0</v>
      </c>
      <c r="G927" s="1"/>
      <c r="H927" s="1">
        <v>10000.0</v>
      </c>
      <c r="I927" s="1">
        <f t="shared" si="1"/>
        <v>10000</v>
      </c>
      <c r="J927" s="1">
        <v>1000.0</v>
      </c>
      <c r="K927" s="1"/>
      <c r="L927" s="1" t="s">
        <v>2252</v>
      </c>
    </row>
    <row r="928">
      <c r="A928" s="1">
        <v>2019.0</v>
      </c>
      <c r="B928" s="1">
        <v>6.0</v>
      </c>
      <c r="C928" s="1" t="s">
        <v>116</v>
      </c>
      <c r="D928" s="1" t="s">
        <v>13</v>
      </c>
      <c r="E928" s="1" t="s">
        <v>14</v>
      </c>
      <c r="F928" s="1">
        <v>100.0</v>
      </c>
      <c r="G928" s="1"/>
      <c r="H928" s="1">
        <v>10000.0</v>
      </c>
      <c r="I928" s="1">
        <f t="shared" si="1"/>
        <v>10000</v>
      </c>
      <c r="J928" s="1">
        <v>1000.0</v>
      </c>
      <c r="K928" s="1"/>
      <c r="L928" s="1" t="s">
        <v>2252</v>
      </c>
    </row>
    <row r="929">
      <c r="A929" s="1">
        <v>2019.0</v>
      </c>
      <c r="B929" s="1">
        <v>6.0</v>
      </c>
      <c r="C929" s="1" t="s">
        <v>116</v>
      </c>
      <c r="D929" s="1" t="s">
        <v>13</v>
      </c>
      <c r="E929" s="1" t="s">
        <v>17</v>
      </c>
      <c r="F929" s="1">
        <v>100.0</v>
      </c>
      <c r="G929" s="1"/>
      <c r="H929" s="1">
        <v>10000.0</v>
      </c>
      <c r="I929" s="1">
        <f t="shared" si="1"/>
        <v>10000</v>
      </c>
      <c r="J929" s="1">
        <v>1000.0</v>
      </c>
      <c r="K929" s="1"/>
      <c r="L929" s="1" t="s">
        <v>2252</v>
      </c>
    </row>
    <row r="930">
      <c r="A930" s="1">
        <v>2019.0</v>
      </c>
      <c r="B930" s="1">
        <v>6.0</v>
      </c>
      <c r="C930" s="1" t="s">
        <v>116</v>
      </c>
      <c r="D930" s="1" t="s">
        <v>13</v>
      </c>
      <c r="E930" s="1" t="s">
        <v>21</v>
      </c>
      <c r="F930" s="1">
        <v>100.0</v>
      </c>
      <c r="G930" s="1"/>
      <c r="H930" s="1">
        <v>10000.0</v>
      </c>
      <c r="I930" s="1">
        <f t="shared" si="1"/>
        <v>10000</v>
      </c>
      <c r="J930" s="1">
        <v>1000.0</v>
      </c>
      <c r="K930" s="1"/>
      <c r="L930" s="1" t="s">
        <v>2252</v>
      </c>
    </row>
    <row r="931">
      <c r="A931" s="1">
        <v>2019.0</v>
      </c>
      <c r="B931" s="1">
        <v>6.0</v>
      </c>
      <c r="C931" s="1" t="s">
        <v>116</v>
      </c>
      <c r="D931" s="1" t="s">
        <v>13</v>
      </c>
      <c r="E931" s="1" t="s">
        <v>25</v>
      </c>
      <c r="F931" s="1">
        <v>100.0</v>
      </c>
      <c r="G931" s="1"/>
      <c r="H931" s="1">
        <v>10000.0</v>
      </c>
      <c r="I931" s="1">
        <f t="shared" si="1"/>
        <v>10000</v>
      </c>
      <c r="J931" s="1">
        <v>1000.0</v>
      </c>
      <c r="K931" s="1"/>
      <c r="L931" s="1" t="s">
        <v>2252</v>
      </c>
    </row>
    <row r="932">
      <c r="A932" s="1">
        <v>2019.0</v>
      </c>
      <c r="B932" s="1">
        <v>6.0</v>
      </c>
      <c r="C932" s="1" t="s">
        <v>116</v>
      </c>
      <c r="D932" s="1" t="s">
        <v>45</v>
      </c>
      <c r="E932" s="1" t="s">
        <v>17</v>
      </c>
      <c r="F932" s="1">
        <v>100.0</v>
      </c>
      <c r="G932" s="1"/>
      <c r="H932" s="1">
        <v>10000.0</v>
      </c>
      <c r="I932" s="1">
        <f t="shared" si="1"/>
        <v>10000</v>
      </c>
      <c r="J932" s="1">
        <v>1000.0</v>
      </c>
      <c r="K932" s="1"/>
      <c r="L932" s="1" t="s">
        <v>2252</v>
      </c>
    </row>
    <row r="933">
      <c r="A933" s="1">
        <v>2019.0</v>
      </c>
      <c r="B933" s="1">
        <v>6.0</v>
      </c>
      <c r="C933" s="1" t="s">
        <v>116</v>
      </c>
      <c r="D933" s="1" t="s">
        <v>29</v>
      </c>
      <c r="E933" s="1" t="s">
        <v>21</v>
      </c>
      <c r="F933" s="1">
        <v>100.0</v>
      </c>
      <c r="G933" s="1"/>
      <c r="H933" s="1">
        <v>10000.0</v>
      </c>
      <c r="I933" s="1">
        <f t="shared" si="1"/>
        <v>10000</v>
      </c>
      <c r="J933" s="1">
        <v>1000.0</v>
      </c>
      <c r="K933" s="1"/>
      <c r="L933" s="1" t="s">
        <v>2252</v>
      </c>
    </row>
    <row r="934">
      <c r="A934" s="1">
        <v>2019.0</v>
      </c>
      <c r="B934" s="1">
        <v>6.0</v>
      </c>
      <c r="C934" s="1" t="s">
        <v>116</v>
      </c>
      <c r="D934" s="1" t="s">
        <v>32</v>
      </c>
      <c r="E934" s="1" t="s">
        <v>14</v>
      </c>
      <c r="F934" s="1">
        <v>100.0</v>
      </c>
      <c r="G934" s="1"/>
      <c r="H934" s="1">
        <v>10000.0</v>
      </c>
      <c r="I934" s="1">
        <f t="shared" si="1"/>
        <v>10000</v>
      </c>
      <c r="J934" s="1">
        <v>1000.0</v>
      </c>
      <c r="K934" s="1"/>
      <c r="L934" s="1" t="s">
        <v>2252</v>
      </c>
    </row>
    <row r="935">
      <c r="A935" s="1">
        <v>2019.0</v>
      </c>
      <c r="B935" s="1">
        <v>6.0</v>
      </c>
      <c r="C935" s="1" t="s">
        <v>116</v>
      </c>
      <c r="D935" s="1" t="s">
        <v>32</v>
      </c>
      <c r="E935" s="1" t="s">
        <v>21</v>
      </c>
      <c r="F935" s="1">
        <v>100.0</v>
      </c>
      <c r="G935" s="1"/>
      <c r="H935" s="1">
        <v>10000.0</v>
      </c>
      <c r="I935" s="1">
        <f t="shared" si="1"/>
        <v>10000</v>
      </c>
      <c r="J935" s="1">
        <v>1000.0</v>
      </c>
      <c r="K935" s="1"/>
      <c r="L935" s="1" t="s">
        <v>2252</v>
      </c>
    </row>
    <row r="936">
      <c r="A936" s="1">
        <v>2019.0</v>
      </c>
      <c r="B936" s="1">
        <v>6.0</v>
      </c>
      <c r="C936" s="1" t="s">
        <v>116</v>
      </c>
      <c r="D936" s="1" t="s">
        <v>102</v>
      </c>
      <c r="E936" s="1" t="s">
        <v>39</v>
      </c>
      <c r="F936" s="1">
        <v>100.0</v>
      </c>
      <c r="G936" s="1"/>
      <c r="H936" s="1">
        <v>10000.0</v>
      </c>
      <c r="I936" s="1">
        <f t="shared" si="1"/>
        <v>10000</v>
      </c>
      <c r="J936" s="1">
        <v>1000.0</v>
      </c>
      <c r="K936" s="1"/>
      <c r="L936" s="1" t="s">
        <v>2252</v>
      </c>
    </row>
    <row r="937">
      <c r="A937" s="1">
        <v>2019.0</v>
      </c>
      <c r="B937" s="1">
        <v>6.0</v>
      </c>
      <c r="C937" s="1" t="s">
        <v>116</v>
      </c>
      <c r="D937" s="1" t="s">
        <v>102</v>
      </c>
      <c r="E937" s="1" t="s">
        <v>21</v>
      </c>
      <c r="F937" s="1">
        <v>100.0</v>
      </c>
      <c r="G937" s="1"/>
      <c r="H937" s="1">
        <v>10000.0</v>
      </c>
      <c r="I937" s="1">
        <f t="shared" si="1"/>
        <v>10000</v>
      </c>
      <c r="J937" s="1">
        <v>1000.0</v>
      </c>
      <c r="K937" s="1"/>
      <c r="L937" s="1" t="s">
        <v>2252</v>
      </c>
    </row>
    <row r="938">
      <c r="A938" s="1">
        <v>2019.0</v>
      </c>
      <c r="B938" s="1">
        <v>6.0</v>
      </c>
      <c r="C938" s="1" t="s">
        <v>116</v>
      </c>
      <c r="D938" s="1" t="s">
        <v>2083</v>
      </c>
      <c r="E938" s="1" t="s">
        <v>39</v>
      </c>
      <c r="F938" s="1">
        <v>100.0</v>
      </c>
      <c r="G938" s="1"/>
      <c r="H938" s="1">
        <v>10000.0</v>
      </c>
      <c r="I938" s="1">
        <f t="shared" si="1"/>
        <v>10000</v>
      </c>
      <c r="J938" s="1">
        <v>1000.0</v>
      </c>
      <c r="K938" s="1"/>
      <c r="L938" s="1" t="s">
        <v>2252</v>
      </c>
    </row>
    <row r="939">
      <c r="A939" s="1">
        <v>2019.0</v>
      </c>
      <c r="B939" s="1">
        <v>6.0</v>
      </c>
      <c r="C939" s="1" t="s">
        <v>116</v>
      </c>
      <c r="D939" s="1" t="s">
        <v>2083</v>
      </c>
      <c r="E939" s="1" t="s">
        <v>49</v>
      </c>
      <c r="F939" s="1">
        <v>100.0</v>
      </c>
      <c r="G939" s="1"/>
      <c r="H939" s="1">
        <v>10000.0</v>
      </c>
      <c r="I939" s="1">
        <f t="shared" si="1"/>
        <v>10000</v>
      </c>
      <c r="J939" s="1">
        <v>1000.0</v>
      </c>
      <c r="K939" s="1"/>
      <c r="L939" s="1" t="s">
        <v>2252</v>
      </c>
    </row>
    <row r="940">
      <c r="A940" s="1">
        <v>2019.0</v>
      </c>
      <c r="B940" s="1">
        <v>6.0</v>
      </c>
      <c r="C940" s="1" t="s">
        <v>116</v>
      </c>
      <c r="D940" s="1" t="s">
        <v>2083</v>
      </c>
      <c r="E940" s="1" t="s">
        <v>21</v>
      </c>
      <c r="F940" s="1">
        <v>100.0</v>
      </c>
      <c r="G940" s="1"/>
      <c r="H940" s="1">
        <v>10000.0</v>
      </c>
      <c r="I940" s="1">
        <f t="shared" si="1"/>
        <v>10000</v>
      </c>
      <c r="J940" s="1">
        <v>1000.0</v>
      </c>
      <c r="K940" s="1"/>
      <c r="L940" s="1" t="s">
        <v>2252</v>
      </c>
    </row>
    <row r="941">
      <c r="A941" s="1">
        <v>2019.0</v>
      </c>
      <c r="B941" s="1">
        <v>6.0</v>
      </c>
      <c r="C941" s="1" t="s">
        <v>116</v>
      </c>
      <c r="D941" s="1" t="s">
        <v>147</v>
      </c>
      <c r="E941" s="1" t="s">
        <v>39</v>
      </c>
      <c r="F941" s="1">
        <v>100.0</v>
      </c>
      <c r="G941" s="1"/>
      <c r="H941" s="1">
        <v>10000.0</v>
      </c>
      <c r="I941" s="1">
        <f t="shared" si="1"/>
        <v>10000</v>
      </c>
      <c r="J941" s="1">
        <v>1000.0</v>
      </c>
      <c r="K941" s="1"/>
      <c r="L941" s="1" t="s">
        <v>2252</v>
      </c>
    </row>
    <row r="942">
      <c r="A942" s="1">
        <v>2019.0</v>
      </c>
      <c r="B942" s="1">
        <v>6.0</v>
      </c>
      <c r="C942" s="1" t="s">
        <v>116</v>
      </c>
      <c r="D942" s="1" t="s">
        <v>147</v>
      </c>
      <c r="E942" s="1" t="s">
        <v>17</v>
      </c>
      <c r="F942" s="1">
        <v>100.0</v>
      </c>
      <c r="G942" s="1"/>
      <c r="H942" s="1">
        <v>10000.0</v>
      </c>
      <c r="I942" s="1">
        <f t="shared" si="1"/>
        <v>10000</v>
      </c>
      <c r="J942" s="1">
        <v>1000.0</v>
      </c>
      <c r="K942" s="1"/>
      <c r="L942" s="1" t="s">
        <v>2252</v>
      </c>
    </row>
    <row r="943">
      <c r="A943" s="1">
        <v>2019.0</v>
      </c>
      <c r="B943" s="1">
        <v>6.0</v>
      </c>
      <c r="C943" s="1" t="s">
        <v>116</v>
      </c>
      <c r="D943" s="1" t="s">
        <v>147</v>
      </c>
      <c r="E943" s="1" t="s">
        <v>21</v>
      </c>
      <c r="F943" s="1">
        <v>100.0</v>
      </c>
      <c r="G943" s="1"/>
      <c r="H943" s="1">
        <v>10000.0</v>
      </c>
      <c r="I943" s="1">
        <f t="shared" si="1"/>
        <v>10000</v>
      </c>
      <c r="J943" s="1">
        <v>1000.0</v>
      </c>
      <c r="K943" s="1"/>
      <c r="L943" s="1" t="s">
        <v>2252</v>
      </c>
    </row>
    <row r="944">
      <c r="A944" s="1">
        <v>2019.0</v>
      </c>
      <c r="B944" s="1">
        <v>6.0</v>
      </c>
      <c r="C944" s="1" t="s">
        <v>116</v>
      </c>
      <c r="D944" s="1" t="s">
        <v>38</v>
      </c>
      <c r="E944" s="1" t="s">
        <v>39</v>
      </c>
      <c r="F944" s="1">
        <v>100.0</v>
      </c>
      <c r="G944" s="1"/>
      <c r="H944" s="1">
        <v>10000.0</v>
      </c>
      <c r="I944" s="1">
        <f t="shared" si="1"/>
        <v>10000</v>
      </c>
      <c r="J944" s="1">
        <v>1000.0</v>
      </c>
      <c r="K944" s="1"/>
      <c r="L944" s="1" t="s">
        <v>2252</v>
      </c>
    </row>
    <row r="945">
      <c r="A945" s="1">
        <v>2019.0</v>
      </c>
      <c r="B945" s="1">
        <v>6.0</v>
      </c>
      <c r="C945" s="1" t="s">
        <v>116</v>
      </c>
      <c r="D945" s="1" t="s">
        <v>158</v>
      </c>
      <c r="E945" s="1" t="s">
        <v>39</v>
      </c>
      <c r="F945" s="1">
        <v>100.0</v>
      </c>
      <c r="G945" s="1"/>
      <c r="H945" s="1">
        <v>10000.0</v>
      </c>
      <c r="I945" s="1">
        <f t="shared" si="1"/>
        <v>10000</v>
      </c>
      <c r="J945" s="1">
        <v>1000.0</v>
      </c>
      <c r="K945" s="1"/>
      <c r="L945" s="1" t="s">
        <v>2252</v>
      </c>
    </row>
    <row r="946">
      <c r="A946" s="1">
        <v>2019.0</v>
      </c>
      <c r="B946" s="1">
        <v>6.0</v>
      </c>
      <c r="C946" s="1" t="s">
        <v>116</v>
      </c>
      <c r="D946" s="1" t="s">
        <v>158</v>
      </c>
      <c r="E946" s="1" t="s">
        <v>17</v>
      </c>
      <c r="F946" s="1">
        <v>100.0</v>
      </c>
      <c r="G946" s="1"/>
      <c r="H946" s="1">
        <v>10000.0</v>
      </c>
      <c r="I946" s="1">
        <f t="shared" si="1"/>
        <v>10000</v>
      </c>
      <c r="J946" s="1">
        <v>1000.0</v>
      </c>
      <c r="K946" s="1"/>
      <c r="L946" s="1" t="s">
        <v>2252</v>
      </c>
    </row>
    <row r="947">
      <c r="A947" s="1">
        <v>2019.0</v>
      </c>
      <c r="B947" s="1">
        <v>6.0</v>
      </c>
      <c r="C947" s="1" t="s">
        <v>116</v>
      </c>
      <c r="D947" s="1" t="s">
        <v>158</v>
      </c>
      <c r="E947" s="1" t="s">
        <v>21</v>
      </c>
      <c r="F947" s="1">
        <v>100.0</v>
      </c>
      <c r="G947" s="1"/>
      <c r="H947" s="1">
        <v>10000.0</v>
      </c>
      <c r="I947" s="1">
        <f t="shared" si="1"/>
        <v>10000</v>
      </c>
      <c r="J947" s="1">
        <v>1000.0</v>
      </c>
      <c r="K947" s="1"/>
      <c r="L947" s="1" t="s">
        <v>2252</v>
      </c>
    </row>
    <row r="948">
      <c r="A948" s="1">
        <v>2019.0</v>
      </c>
      <c r="B948" s="1">
        <v>7.0</v>
      </c>
      <c r="C948" s="1" t="s">
        <v>12</v>
      </c>
      <c r="D948" s="1" t="s">
        <v>13</v>
      </c>
      <c r="E948" s="1" t="s">
        <v>14</v>
      </c>
      <c r="F948" s="1">
        <v>100.0</v>
      </c>
      <c r="G948" s="1"/>
      <c r="H948" s="1">
        <v>10000.0</v>
      </c>
      <c r="I948" s="1">
        <f t="shared" si="1"/>
        <v>10000</v>
      </c>
      <c r="J948" s="1">
        <v>1000.0</v>
      </c>
      <c r="K948" s="1"/>
      <c r="L948" s="1" t="s">
        <v>2252</v>
      </c>
    </row>
    <row r="949">
      <c r="A949" s="1">
        <v>2019.0</v>
      </c>
      <c r="B949" s="1">
        <v>7.0</v>
      </c>
      <c r="C949" s="1" t="s">
        <v>12</v>
      </c>
      <c r="D949" s="1" t="s">
        <v>13</v>
      </c>
      <c r="E949" s="1" t="s">
        <v>17</v>
      </c>
      <c r="F949" s="1">
        <v>100.0</v>
      </c>
      <c r="G949" s="1"/>
      <c r="H949" s="1">
        <v>10000.0</v>
      </c>
      <c r="I949" s="1">
        <f t="shared" si="1"/>
        <v>10000</v>
      </c>
      <c r="J949" s="1">
        <v>1000.0</v>
      </c>
      <c r="K949" s="1"/>
      <c r="L949" s="1" t="s">
        <v>2252</v>
      </c>
    </row>
    <row r="950">
      <c r="A950" s="1">
        <v>2019.0</v>
      </c>
      <c r="B950" s="1">
        <v>7.0</v>
      </c>
      <c r="C950" s="1" t="s">
        <v>12</v>
      </c>
      <c r="D950" s="1" t="s">
        <v>13</v>
      </c>
      <c r="E950" s="1" t="s">
        <v>21</v>
      </c>
      <c r="F950" s="1">
        <v>100.0</v>
      </c>
      <c r="G950" s="1"/>
      <c r="H950" s="1">
        <v>10000.0</v>
      </c>
      <c r="I950" s="1">
        <f t="shared" si="1"/>
        <v>10000</v>
      </c>
      <c r="J950" s="1">
        <v>1000.0</v>
      </c>
      <c r="K950" s="1"/>
      <c r="L950" s="1" t="s">
        <v>2252</v>
      </c>
    </row>
    <row r="951">
      <c r="A951" s="1">
        <v>2019.0</v>
      </c>
      <c r="B951" s="1">
        <v>7.0</v>
      </c>
      <c r="C951" s="1" t="s">
        <v>12</v>
      </c>
      <c r="D951" s="1" t="s">
        <v>13</v>
      </c>
      <c r="E951" s="1" t="s">
        <v>25</v>
      </c>
      <c r="F951" s="1">
        <v>100.0</v>
      </c>
      <c r="G951" s="1"/>
      <c r="H951" s="1">
        <v>10000.0</v>
      </c>
      <c r="I951" s="1">
        <f t="shared" si="1"/>
        <v>10000</v>
      </c>
      <c r="J951" s="1">
        <v>1000.0</v>
      </c>
      <c r="K951" s="1"/>
      <c r="L951" s="1" t="s">
        <v>2252</v>
      </c>
    </row>
    <row r="952">
      <c r="A952" s="1">
        <v>2019.0</v>
      </c>
      <c r="B952" s="1">
        <v>7.0</v>
      </c>
      <c r="C952" s="1" t="s">
        <v>12</v>
      </c>
      <c r="D952" s="1" t="s">
        <v>29</v>
      </c>
      <c r="E952" s="1" t="s">
        <v>21</v>
      </c>
      <c r="F952" s="1">
        <v>100.0</v>
      </c>
      <c r="G952" s="1"/>
      <c r="H952" s="1">
        <v>10000.0</v>
      </c>
      <c r="I952" s="1">
        <f t="shared" si="1"/>
        <v>10000</v>
      </c>
      <c r="J952" s="1">
        <v>1000.0</v>
      </c>
      <c r="K952" s="1"/>
      <c r="L952" s="1" t="s">
        <v>2252</v>
      </c>
    </row>
    <row r="953">
      <c r="A953" s="1">
        <v>2019.0</v>
      </c>
      <c r="B953" s="1">
        <v>7.0</v>
      </c>
      <c r="C953" s="1" t="s">
        <v>12</v>
      </c>
      <c r="D953" s="1" t="s">
        <v>32</v>
      </c>
      <c r="E953" s="1" t="s">
        <v>14</v>
      </c>
      <c r="F953" s="1">
        <v>100.0</v>
      </c>
      <c r="G953" s="1"/>
      <c r="H953" s="1">
        <v>10000.0</v>
      </c>
      <c r="I953" s="1">
        <f t="shared" si="1"/>
        <v>10000</v>
      </c>
      <c r="J953" s="1">
        <v>1000.0</v>
      </c>
      <c r="K953" s="1"/>
      <c r="L953" s="1" t="s">
        <v>2252</v>
      </c>
    </row>
    <row r="954">
      <c r="A954" s="1">
        <v>2019.0</v>
      </c>
      <c r="B954" s="1">
        <v>7.0</v>
      </c>
      <c r="C954" s="1" t="s">
        <v>12</v>
      </c>
      <c r="D954" s="1" t="s">
        <v>32</v>
      </c>
      <c r="E954" s="1" t="s">
        <v>21</v>
      </c>
      <c r="F954" s="1">
        <v>100.0</v>
      </c>
      <c r="G954" s="1"/>
      <c r="H954" s="1">
        <v>10000.0</v>
      </c>
      <c r="I954" s="1">
        <f t="shared" si="1"/>
        <v>10000</v>
      </c>
      <c r="J954" s="1">
        <v>1000.0</v>
      </c>
      <c r="K954" s="1"/>
      <c r="L954" s="1" t="s">
        <v>2252</v>
      </c>
    </row>
    <row r="955">
      <c r="A955" s="1">
        <v>2019.0</v>
      </c>
      <c r="B955" s="1">
        <v>7.0</v>
      </c>
      <c r="C955" s="1" t="s">
        <v>12</v>
      </c>
      <c r="D955" s="1" t="s">
        <v>32</v>
      </c>
      <c r="E955" s="1" t="s">
        <v>25</v>
      </c>
      <c r="F955" s="1">
        <v>100.0</v>
      </c>
      <c r="G955" s="1"/>
      <c r="H955" s="1">
        <v>10000.0</v>
      </c>
      <c r="I955" s="1">
        <f t="shared" si="1"/>
        <v>10000</v>
      </c>
      <c r="J955" s="1">
        <v>1000.0</v>
      </c>
      <c r="K955" s="1"/>
      <c r="L955" s="1" t="s">
        <v>2252</v>
      </c>
    </row>
    <row r="956">
      <c r="A956" s="1">
        <v>2019.0</v>
      </c>
      <c r="B956" s="1">
        <v>7.0</v>
      </c>
      <c r="C956" s="1" t="s">
        <v>12</v>
      </c>
      <c r="D956" s="1" t="s">
        <v>38</v>
      </c>
      <c r="E956" s="1" t="s">
        <v>39</v>
      </c>
      <c r="F956" s="1">
        <v>100.0</v>
      </c>
      <c r="G956" s="1"/>
      <c r="H956" s="1">
        <v>10000.0</v>
      </c>
      <c r="I956" s="1">
        <f t="shared" si="1"/>
        <v>10000</v>
      </c>
      <c r="J956" s="1">
        <v>1000.0</v>
      </c>
      <c r="K956" s="1"/>
      <c r="L956" s="1" t="s">
        <v>2252</v>
      </c>
    </row>
    <row r="957">
      <c r="A957" s="1">
        <v>2019.0</v>
      </c>
      <c r="B957" s="1">
        <v>7.0</v>
      </c>
      <c r="C957" s="1" t="s">
        <v>12</v>
      </c>
      <c r="D957" s="1" t="s">
        <v>42</v>
      </c>
      <c r="E957" s="1" t="s">
        <v>17</v>
      </c>
      <c r="F957" s="1">
        <v>100.0</v>
      </c>
      <c r="G957" s="1"/>
      <c r="H957" s="1">
        <v>10000.0</v>
      </c>
      <c r="I957" s="1">
        <f t="shared" si="1"/>
        <v>10000</v>
      </c>
      <c r="J957" s="1">
        <v>1000.0</v>
      </c>
      <c r="K957" s="1"/>
      <c r="L957" s="1" t="s">
        <v>2252</v>
      </c>
    </row>
    <row r="958">
      <c r="A958" s="1">
        <v>2019.0</v>
      </c>
      <c r="B958" s="1">
        <v>7.0</v>
      </c>
      <c r="C958" s="1" t="s">
        <v>12</v>
      </c>
      <c r="D958" s="1" t="s">
        <v>45</v>
      </c>
      <c r="E958" s="1" t="s">
        <v>17</v>
      </c>
      <c r="F958" s="1">
        <v>100.0</v>
      </c>
      <c r="G958" s="1"/>
      <c r="H958" s="1">
        <v>10000.0</v>
      </c>
      <c r="I958" s="1">
        <f t="shared" si="1"/>
        <v>10000</v>
      </c>
      <c r="J958" s="1">
        <v>1000.0</v>
      </c>
      <c r="K958" s="1"/>
      <c r="L958" s="1" t="s">
        <v>2252</v>
      </c>
    </row>
    <row r="959">
      <c r="A959" s="1">
        <v>2019.0</v>
      </c>
      <c r="B959" s="1">
        <v>7.0</v>
      </c>
      <c r="C959" s="1" t="s">
        <v>12</v>
      </c>
      <c r="D959" s="1" t="s">
        <v>56</v>
      </c>
      <c r="E959" s="1" t="s">
        <v>21</v>
      </c>
      <c r="F959" s="1">
        <v>100.0</v>
      </c>
      <c r="G959" s="1"/>
      <c r="H959" s="1">
        <v>10000.0</v>
      </c>
      <c r="I959" s="1">
        <f t="shared" si="1"/>
        <v>10000</v>
      </c>
      <c r="J959" s="1">
        <v>1000.0</v>
      </c>
      <c r="K959" s="1"/>
      <c r="L959" s="1" t="s">
        <v>2252</v>
      </c>
    </row>
    <row r="960">
      <c r="A960" s="1">
        <v>2019.0</v>
      </c>
      <c r="B960" s="1">
        <v>7.0</v>
      </c>
      <c r="C960" s="1" t="s">
        <v>12</v>
      </c>
      <c r="D960" s="1" t="s">
        <v>60</v>
      </c>
      <c r="E960" s="1" t="s">
        <v>39</v>
      </c>
      <c r="F960" s="1">
        <v>100.0</v>
      </c>
      <c r="G960" s="1"/>
      <c r="H960" s="1">
        <v>10000.0</v>
      </c>
      <c r="I960" s="1">
        <f t="shared" si="1"/>
        <v>10000</v>
      </c>
      <c r="J960" s="1">
        <v>1000.0</v>
      </c>
      <c r="K960" s="1"/>
      <c r="L960" s="1" t="s">
        <v>2252</v>
      </c>
    </row>
    <row r="961">
      <c r="A961" s="1">
        <v>2019.0</v>
      </c>
      <c r="B961" s="1">
        <v>7.0</v>
      </c>
      <c r="C961" s="1" t="s">
        <v>12</v>
      </c>
      <c r="D961" s="1" t="s">
        <v>64</v>
      </c>
      <c r="E961" s="1" t="s">
        <v>21</v>
      </c>
      <c r="F961" s="1">
        <v>100.0</v>
      </c>
      <c r="G961" s="1"/>
      <c r="H961" s="1">
        <v>10000.0</v>
      </c>
      <c r="I961" s="1">
        <f t="shared" si="1"/>
        <v>10000</v>
      </c>
      <c r="J961" s="1">
        <v>1000.0</v>
      </c>
      <c r="K961" s="1"/>
      <c r="L961" s="1" t="s">
        <v>2252</v>
      </c>
    </row>
    <row r="962">
      <c r="A962" s="1">
        <v>2019.0</v>
      </c>
      <c r="B962" s="1">
        <v>7.0</v>
      </c>
      <c r="C962" s="1" t="s">
        <v>12</v>
      </c>
      <c r="D962" s="1" t="s">
        <v>48</v>
      </c>
      <c r="E962" s="1" t="s">
        <v>49</v>
      </c>
      <c r="F962" s="1">
        <v>100.0</v>
      </c>
      <c r="G962" s="1"/>
      <c r="H962" s="1">
        <v>10000.0</v>
      </c>
      <c r="I962" s="1">
        <f t="shared" si="1"/>
        <v>10000</v>
      </c>
      <c r="J962" s="1">
        <v>1000.0</v>
      </c>
      <c r="K962" s="1"/>
      <c r="L962" s="1" t="s">
        <v>2252</v>
      </c>
    </row>
    <row r="963">
      <c r="A963" s="1">
        <v>2019.0</v>
      </c>
      <c r="B963" s="1">
        <v>7.0</v>
      </c>
      <c r="C963" s="1" t="s">
        <v>12</v>
      </c>
      <c r="D963" s="1" t="s">
        <v>48</v>
      </c>
      <c r="E963" s="1" t="s">
        <v>21</v>
      </c>
      <c r="F963" s="1">
        <v>100.0</v>
      </c>
      <c r="G963" s="1"/>
      <c r="H963" s="1">
        <v>10000.0</v>
      </c>
      <c r="I963" s="1">
        <f t="shared" si="1"/>
        <v>10000</v>
      </c>
      <c r="J963" s="1">
        <v>1000.0</v>
      </c>
      <c r="K963" s="1"/>
      <c r="L963" s="1" t="s">
        <v>2252</v>
      </c>
    </row>
    <row r="964">
      <c r="A964" s="1">
        <v>2019.0</v>
      </c>
      <c r="B964" s="1">
        <v>7.0</v>
      </c>
      <c r="C964" s="1" t="s">
        <v>68</v>
      </c>
      <c r="D964" s="1" t="s">
        <v>13</v>
      </c>
      <c r="E964" s="1" t="s">
        <v>14</v>
      </c>
      <c r="F964" s="1">
        <v>100.0</v>
      </c>
      <c r="G964" s="1"/>
      <c r="H964" s="1">
        <v>10000.0</v>
      </c>
      <c r="I964" s="1">
        <f t="shared" si="1"/>
        <v>10000</v>
      </c>
      <c r="J964" s="1">
        <v>1000.0</v>
      </c>
      <c r="K964" s="1"/>
      <c r="L964" s="1" t="s">
        <v>2252</v>
      </c>
    </row>
    <row r="965">
      <c r="A965" s="1">
        <v>2019.0</v>
      </c>
      <c r="B965" s="1">
        <v>7.0</v>
      </c>
      <c r="C965" s="1" t="s">
        <v>68</v>
      </c>
      <c r="D965" s="1" t="s">
        <v>13</v>
      </c>
      <c r="E965" s="1" t="s">
        <v>17</v>
      </c>
      <c r="F965" s="1">
        <v>100.0</v>
      </c>
      <c r="G965" s="1"/>
      <c r="H965" s="1">
        <v>10000.0</v>
      </c>
      <c r="I965" s="1">
        <f t="shared" si="1"/>
        <v>10000</v>
      </c>
      <c r="J965" s="1">
        <v>1000.0</v>
      </c>
      <c r="K965" s="1"/>
      <c r="L965" s="1" t="s">
        <v>2252</v>
      </c>
    </row>
    <row r="966">
      <c r="A966" s="1">
        <v>2019.0</v>
      </c>
      <c r="B966" s="1">
        <v>7.0</v>
      </c>
      <c r="C966" s="1" t="s">
        <v>68</v>
      </c>
      <c r="D966" s="1" t="s">
        <v>13</v>
      </c>
      <c r="E966" s="1" t="s">
        <v>21</v>
      </c>
      <c r="F966" s="1">
        <v>100.0</v>
      </c>
      <c r="G966" s="1"/>
      <c r="H966" s="1">
        <v>10000.0</v>
      </c>
      <c r="I966" s="1">
        <f t="shared" si="1"/>
        <v>10000</v>
      </c>
      <c r="J966" s="1">
        <v>1000.0</v>
      </c>
      <c r="K966" s="1"/>
      <c r="L966" s="1" t="s">
        <v>2252</v>
      </c>
    </row>
    <row r="967">
      <c r="A967" s="1">
        <v>2019.0</v>
      </c>
      <c r="B967" s="1">
        <v>7.0</v>
      </c>
      <c r="C967" s="1" t="s">
        <v>68</v>
      </c>
      <c r="D967" s="1" t="s">
        <v>13</v>
      </c>
      <c r="E967" s="1" t="s">
        <v>25</v>
      </c>
      <c r="F967" s="1">
        <v>100.0</v>
      </c>
      <c r="G967" s="1"/>
      <c r="H967" s="1">
        <v>10000.0</v>
      </c>
      <c r="I967" s="1">
        <f t="shared" si="1"/>
        <v>10000</v>
      </c>
      <c r="J967" s="1">
        <v>1000.0</v>
      </c>
      <c r="K967" s="1"/>
      <c r="L967" s="1" t="s">
        <v>2252</v>
      </c>
    </row>
    <row r="968">
      <c r="A968" s="1">
        <v>2019.0</v>
      </c>
      <c r="B968" s="1">
        <v>7.0</v>
      </c>
      <c r="C968" s="1" t="s">
        <v>68</v>
      </c>
      <c r="D968" s="1" t="s">
        <v>29</v>
      </c>
      <c r="E968" s="1" t="s">
        <v>21</v>
      </c>
      <c r="F968" s="1">
        <v>100.0</v>
      </c>
      <c r="G968" s="1"/>
      <c r="H968" s="1">
        <v>10000.0</v>
      </c>
      <c r="I968" s="1">
        <f t="shared" si="1"/>
        <v>10000</v>
      </c>
      <c r="J968" s="1">
        <v>1000.0</v>
      </c>
      <c r="K968" s="1"/>
      <c r="L968" s="1" t="s">
        <v>2252</v>
      </c>
    </row>
    <row r="969">
      <c r="A969" s="1">
        <v>2019.0</v>
      </c>
      <c r="B969" s="1">
        <v>7.0</v>
      </c>
      <c r="C969" s="1" t="s">
        <v>68</v>
      </c>
      <c r="D969" s="1" t="s">
        <v>45</v>
      </c>
      <c r="E969" s="1" t="s">
        <v>17</v>
      </c>
      <c r="F969" s="1">
        <v>100.0</v>
      </c>
      <c r="G969" s="1"/>
      <c r="H969" s="1">
        <v>10000.0</v>
      </c>
      <c r="I969" s="1">
        <f t="shared" si="1"/>
        <v>10000</v>
      </c>
      <c r="J969" s="1">
        <v>1000.0</v>
      </c>
      <c r="K969" s="1"/>
      <c r="L969" s="1" t="s">
        <v>2252</v>
      </c>
    </row>
    <row r="970">
      <c r="A970" s="1">
        <v>2019.0</v>
      </c>
      <c r="B970" s="1">
        <v>7.0</v>
      </c>
      <c r="C970" s="1" t="s">
        <v>68</v>
      </c>
      <c r="D970" s="1" t="s">
        <v>32</v>
      </c>
      <c r="E970" s="1" t="s">
        <v>14</v>
      </c>
      <c r="F970" s="1">
        <v>100.0</v>
      </c>
      <c r="G970" s="1"/>
      <c r="H970" s="1">
        <v>10000.0</v>
      </c>
      <c r="I970" s="1">
        <f t="shared" si="1"/>
        <v>10000</v>
      </c>
      <c r="J970" s="1">
        <v>1000.0</v>
      </c>
      <c r="K970" s="1"/>
      <c r="L970" s="1" t="s">
        <v>2252</v>
      </c>
    </row>
    <row r="971">
      <c r="A971" s="1">
        <v>2019.0</v>
      </c>
      <c r="B971" s="1">
        <v>7.0</v>
      </c>
      <c r="C971" s="1" t="s">
        <v>68</v>
      </c>
      <c r="D971" s="1" t="s">
        <v>32</v>
      </c>
      <c r="E971" s="1" t="s">
        <v>21</v>
      </c>
      <c r="F971" s="1">
        <v>100.0</v>
      </c>
      <c r="G971" s="1"/>
      <c r="H971" s="1">
        <v>10000.0</v>
      </c>
      <c r="I971" s="1">
        <f t="shared" si="1"/>
        <v>10000</v>
      </c>
      <c r="J971" s="1">
        <v>1000.0</v>
      </c>
      <c r="K971" s="1"/>
      <c r="L971" s="1" t="s">
        <v>2252</v>
      </c>
    </row>
    <row r="972">
      <c r="A972" s="1">
        <v>2019.0</v>
      </c>
      <c r="B972" s="1">
        <v>7.0</v>
      </c>
      <c r="C972" s="1" t="s">
        <v>68</v>
      </c>
      <c r="D972" s="1" t="s">
        <v>38</v>
      </c>
      <c r="E972" s="1" t="s">
        <v>39</v>
      </c>
      <c r="F972" s="1">
        <v>100.0</v>
      </c>
      <c r="G972" s="1"/>
      <c r="H972" s="1">
        <v>10000.0</v>
      </c>
      <c r="I972" s="1">
        <f t="shared" si="1"/>
        <v>10000</v>
      </c>
      <c r="J972" s="1">
        <v>1000.0</v>
      </c>
      <c r="K972" s="1"/>
      <c r="L972" s="1" t="s">
        <v>2252</v>
      </c>
    </row>
    <row r="973">
      <c r="A973" s="1">
        <v>2019.0</v>
      </c>
      <c r="B973" s="1">
        <v>7.0</v>
      </c>
      <c r="C973" s="1" t="s">
        <v>68</v>
      </c>
      <c r="D973" s="1" t="s">
        <v>42</v>
      </c>
      <c r="E973" s="1" t="s">
        <v>17</v>
      </c>
      <c r="F973" s="1">
        <v>100.0</v>
      </c>
      <c r="G973" s="1"/>
      <c r="H973" s="1">
        <v>10000.0</v>
      </c>
      <c r="I973" s="1">
        <f t="shared" si="1"/>
        <v>10000</v>
      </c>
      <c r="J973" s="1">
        <v>1000.0</v>
      </c>
      <c r="K973" s="1"/>
      <c r="L973" s="1" t="s">
        <v>2252</v>
      </c>
    </row>
    <row r="974">
      <c r="A974" s="1">
        <v>2019.0</v>
      </c>
      <c r="B974" s="1">
        <v>7.0</v>
      </c>
      <c r="C974" s="1" t="s">
        <v>68</v>
      </c>
      <c r="D974" s="1" t="s">
        <v>56</v>
      </c>
      <c r="E974" s="1" t="s">
        <v>21</v>
      </c>
      <c r="F974" s="1">
        <v>100.0</v>
      </c>
      <c r="G974" s="1"/>
      <c r="H974" s="1">
        <v>10000.0</v>
      </c>
      <c r="I974" s="1">
        <f t="shared" si="1"/>
        <v>10000</v>
      </c>
      <c r="J974" s="1">
        <v>1000.0</v>
      </c>
      <c r="K974" s="1"/>
      <c r="L974" s="1" t="s">
        <v>2252</v>
      </c>
    </row>
    <row r="975">
      <c r="A975" s="1">
        <v>2019.0</v>
      </c>
      <c r="B975" s="1">
        <v>7.0</v>
      </c>
      <c r="C975" s="1" t="s">
        <v>68</v>
      </c>
      <c r="D975" s="1" t="s">
        <v>112</v>
      </c>
      <c r="E975" s="1" t="s">
        <v>21</v>
      </c>
      <c r="F975" s="1">
        <v>100.0</v>
      </c>
      <c r="G975" s="1"/>
      <c r="H975" s="1">
        <v>10000.0</v>
      </c>
      <c r="I975" s="1">
        <f t="shared" si="1"/>
        <v>10000</v>
      </c>
      <c r="J975" s="1">
        <v>1000.0</v>
      </c>
      <c r="K975" s="1"/>
      <c r="L975" s="1" t="s">
        <v>2252</v>
      </c>
    </row>
    <row r="976">
      <c r="A976" s="1">
        <v>2019.0</v>
      </c>
      <c r="B976" s="1">
        <v>7.0</v>
      </c>
      <c r="C976" s="1" t="s">
        <v>68</v>
      </c>
      <c r="D976" s="1" t="s">
        <v>102</v>
      </c>
      <c r="E976" s="1" t="s">
        <v>39</v>
      </c>
      <c r="F976" s="1">
        <v>100.0</v>
      </c>
      <c r="G976" s="1"/>
      <c r="H976" s="1">
        <v>10000.0</v>
      </c>
      <c r="I976" s="1">
        <f t="shared" si="1"/>
        <v>10000</v>
      </c>
      <c r="J976" s="1">
        <v>1000.0</v>
      </c>
      <c r="K976" s="1"/>
      <c r="L976" s="1" t="s">
        <v>2252</v>
      </c>
    </row>
    <row r="977">
      <c r="A977" s="1">
        <v>2019.0</v>
      </c>
      <c r="B977" s="1">
        <v>7.0</v>
      </c>
      <c r="C977" s="1" t="s">
        <v>68</v>
      </c>
      <c r="D977" s="1" t="s">
        <v>102</v>
      </c>
      <c r="E977" s="1" t="s">
        <v>21</v>
      </c>
      <c r="F977" s="1">
        <v>100.0</v>
      </c>
      <c r="G977" s="1"/>
      <c r="H977" s="1">
        <v>10000.0</v>
      </c>
      <c r="I977" s="1">
        <f t="shared" si="1"/>
        <v>10000</v>
      </c>
      <c r="J977" s="1">
        <v>1000.0</v>
      </c>
      <c r="K977" s="1"/>
      <c r="L977" s="1" t="s">
        <v>2252</v>
      </c>
    </row>
    <row r="978">
      <c r="A978" s="1">
        <v>2019.0</v>
      </c>
      <c r="B978" s="1">
        <v>7.0</v>
      </c>
      <c r="C978" s="1" t="s">
        <v>68</v>
      </c>
      <c r="D978" s="1" t="s">
        <v>729</v>
      </c>
      <c r="E978" s="1" t="s">
        <v>21</v>
      </c>
      <c r="F978" s="1">
        <v>100.0</v>
      </c>
      <c r="G978" s="1"/>
      <c r="H978" s="1">
        <v>10000.0</v>
      </c>
      <c r="I978" s="1">
        <f t="shared" si="1"/>
        <v>10000</v>
      </c>
      <c r="J978" s="1">
        <v>1000.0</v>
      </c>
      <c r="K978" s="1"/>
      <c r="L978" s="1" t="s">
        <v>2252</v>
      </c>
    </row>
    <row r="979">
      <c r="A979" s="1">
        <v>2019.0</v>
      </c>
      <c r="B979" s="1">
        <v>7.0</v>
      </c>
      <c r="C979" s="1" t="s">
        <v>116</v>
      </c>
      <c r="D979" s="1" t="s">
        <v>13</v>
      </c>
      <c r="E979" s="1" t="s">
        <v>14</v>
      </c>
      <c r="F979" s="1">
        <v>100.0</v>
      </c>
      <c r="G979" s="1"/>
      <c r="H979" s="1">
        <v>10000.0</v>
      </c>
      <c r="I979" s="1">
        <f t="shared" si="1"/>
        <v>10000</v>
      </c>
      <c r="J979" s="1">
        <v>1000.0</v>
      </c>
      <c r="K979" s="1"/>
      <c r="L979" s="1" t="s">
        <v>2252</v>
      </c>
    </row>
    <row r="980">
      <c r="A980" s="1">
        <v>2019.0</v>
      </c>
      <c r="B980" s="1">
        <v>7.0</v>
      </c>
      <c r="C980" s="1" t="s">
        <v>116</v>
      </c>
      <c r="D980" s="1" t="s">
        <v>13</v>
      </c>
      <c r="E980" s="1" t="s">
        <v>72</v>
      </c>
      <c r="F980" s="1">
        <v>100.0</v>
      </c>
      <c r="G980" s="1"/>
      <c r="H980" s="1">
        <v>10000.0</v>
      </c>
      <c r="I980" s="1">
        <f t="shared" si="1"/>
        <v>10000</v>
      </c>
      <c r="J980" s="1">
        <v>1000.0</v>
      </c>
      <c r="K980" s="1"/>
      <c r="L980" s="1" t="s">
        <v>2252</v>
      </c>
    </row>
    <row r="981">
      <c r="A981" s="1">
        <v>2019.0</v>
      </c>
      <c r="B981" s="1">
        <v>7.0</v>
      </c>
      <c r="C981" s="1" t="s">
        <v>116</v>
      </c>
      <c r="D981" s="1" t="s">
        <v>13</v>
      </c>
      <c r="E981" s="1" t="s">
        <v>17</v>
      </c>
      <c r="F981" s="1">
        <v>100.0</v>
      </c>
      <c r="G981" s="1"/>
      <c r="H981" s="1">
        <v>10000.0</v>
      </c>
      <c r="I981" s="1">
        <f t="shared" si="1"/>
        <v>10000</v>
      </c>
      <c r="J981" s="1">
        <v>1000.0</v>
      </c>
      <c r="K981" s="1"/>
      <c r="L981" s="1" t="s">
        <v>2252</v>
      </c>
    </row>
    <row r="982">
      <c r="A982" s="1">
        <v>2019.0</v>
      </c>
      <c r="B982" s="1">
        <v>7.0</v>
      </c>
      <c r="C982" s="1" t="s">
        <v>116</v>
      </c>
      <c r="D982" s="1" t="s">
        <v>13</v>
      </c>
      <c r="E982" s="1" t="s">
        <v>21</v>
      </c>
      <c r="F982" s="1">
        <v>100.0</v>
      </c>
      <c r="G982" s="1"/>
      <c r="H982" s="1">
        <v>10000.0</v>
      </c>
      <c r="I982" s="1">
        <f t="shared" si="1"/>
        <v>10000</v>
      </c>
      <c r="J982" s="1">
        <v>1000.0</v>
      </c>
      <c r="K982" s="1"/>
      <c r="L982" s="1" t="s">
        <v>2252</v>
      </c>
    </row>
    <row r="983">
      <c r="A983" s="1">
        <v>2019.0</v>
      </c>
      <c r="B983" s="1">
        <v>7.0</v>
      </c>
      <c r="C983" s="1" t="s">
        <v>116</v>
      </c>
      <c r="D983" s="1" t="s">
        <v>13</v>
      </c>
      <c r="E983" s="1" t="s">
        <v>25</v>
      </c>
      <c r="F983" s="1">
        <v>100.0</v>
      </c>
      <c r="G983" s="1"/>
      <c r="H983" s="1">
        <v>10000.0</v>
      </c>
      <c r="I983" s="1">
        <f t="shared" si="1"/>
        <v>10000</v>
      </c>
      <c r="J983" s="1">
        <v>1000.0</v>
      </c>
      <c r="K983" s="1"/>
      <c r="L983" s="1" t="s">
        <v>2252</v>
      </c>
    </row>
    <row r="984">
      <c r="A984" s="1">
        <v>2019.0</v>
      </c>
      <c r="B984" s="1">
        <v>7.0</v>
      </c>
      <c r="C984" s="1" t="s">
        <v>116</v>
      </c>
      <c r="D984" s="1" t="s">
        <v>29</v>
      </c>
      <c r="E984" s="1" t="s">
        <v>21</v>
      </c>
      <c r="F984" s="1">
        <v>100.0</v>
      </c>
      <c r="G984" s="1"/>
      <c r="H984" s="1">
        <v>10000.0</v>
      </c>
      <c r="I984" s="1">
        <f t="shared" si="1"/>
        <v>10000</v>
      </c>
      <c r="J984" s="1">
        <v>1000.0</v>
      </c>
      <c r="K984" s="1"/>
      <c r="L984" s="1" t="s">
        <v>2252</v>
      </c>
    </row>
    <row r="985">
      <c r="A985" s="1">
        <v>2019.0</v>
      </c>
      <c r="B985" s="1">
        <v>7.0</v>
      </c>
      <c r="C985" s="1" t="s">
        <v>116</v>
      </c>
      <c r="D985" s="1" t="s">
        <v>45</v>
      </c>
      <c r="E985" s="1" t="s">
        <v>17</v>
      </c>
      <c r="F985" s="1">
        <v>100.0</v>
      </c>
      <c r="G985" s="1"/>
      <c r="H985" s="1">
        <v>10000.0</v>
      </c>
      <c r="I985" s="1">
        <f t="shared" si="1"/>
        <v>10000</v>
      </c>
      <c r="J985" s="1">
        <v>1000.0</v>
      </c>
      <c r="K985" s="1"/>
      <c r="L985" s="1" t="s">
        <v>2252</v>
      </c>
    </row>
    <row r="986">
      <c r="A986" s="1">
        <v>2019.0</v>
      </c>
      <c r="B986" s="1">
        <v>7.0</v>
      </c>
      <c r="C986" s="1" t="s">
        <v>116</v>
      </c>
      <c r="D986" s="1" t="s">
        <v>32</v>
      </c>
      <c r="E986" s="1" t="s">
        <v>14</v>
      </c>
      <c r="F986" s="1">
        <v>100.0</v>
      </c>
      <c r="G986" s="1"/>
      <c r="H986" s="1">
        <v>10000.0</v>
      </c>
      <c r="I986" s="1">
        <f t="shared" si="1"/>
        <v>10000</v>
      </c>
      <c r="J986" s="1">
        <v>1000.0</v>
      </c>
      <c r="K986" s="1"/>
      <c r="L986" s="1" t="s">
        <v>2252</v>
      </c>
    </row>
    <row r="987">
      <c r="A987" s="1">
        <v>2019.0</v>
      </c>
      <c r="B987" s="1">
        <v>7.0</v>
      </c>
      <c r="C987" s="1" t="s">
        <v>116</v>
      </c>
      <c r="D987" s="1" t="s">
        <v>32</v>
      </c>
      <c r="E987" s="1" t="s">
        <v>21</v>
      </c>
      <c r="F987" s="1">
        <v>100.0</v>
      </c>
      <c r="G987" s="1"/>
      <c r="H987" s="1">
        <v>10000.0</v>
      </c>
      <c r="I987" s="1">
        <f t="shared" si="1"/>
        <v>10000</v>
      </c>
      <c r="J987" s="1">
        <v>1000.0</v>
      </c>
      <c r="K987" s="1"/>
      <c r="L987" s="1" t="s">
        <v>2252</v>
      </c>
    </row>
    <row r="988">
      <c r="A988" s="1">
        <v>2019.0</v>
      </c>
      <c r="B988" s="1">
        <v>7.0</v>
      </c>
      <c r="C988" s="1" t="s">
        <v>116</v>
      </c>
      <c r="D988" s="1" t="s">
        <v>32</v>
      </c>
      <c r="E988" s="1" t="s">
        <v>25</v>
      </c>
      <c r="F988" s="1">
        <v>100.0</v>
      </c>
      <c r="G988" s="1"/>
      <c r="H988" s="1">
        <v>10000.0</v>
      </c>
      <c r="I988" s="1">
        <f t="shared" si="1"/>
        <v>10000</v>
      </c>
      <c r="J988" s="1">
        <v>1000.0</v>
      </c>
      <c r="K988" s="1"/>
      <c r="L988" s="1" t="s">
        <v>2252</v>
      </c>
    </row>
    <row r="989">
      <c r="A989" s="1">
        <v>2019.0</v>
      </c>
      <c r="B989" s="1">
        <v>7.0</v>
      </c>
      <c r="C989" s="1" t="s">
        <v>116</v>
      </c>
      <c r="D989" s="1" t="s">
        <v>42</v>
      </c>
      <c r="E989" s="1" t="s">
        <v>17</v>
      </c>
      <c r="F989" s="1">
        <v>100.0</v>
      </c>
      <c r="G989" s="1"/>
      <c r="H989" s="1">
        <v>10000.0</v>
      </c>
      <c r="I989" s="1">
        <f t="shared" si="1"/>
        <v>10000</v>
      </c>
      <c r="J989" s="1">
        <v>1000.0</v>
      </c>
      <c r="K989" s="1"/>
      <c r="L989" s="1" t="s">
        <v>2252</v>
      </c>
    </row>
    <row r="990">
      <c r="A990" s="1">
        <v>2019.0</v>
      </c>
      <c r="B990" s="1">
        <v>7.0</v>
      </c>
      <c r="C990" s="1" t="s">
        <v>116</v>
      </c>
      <c r="D990" s="1" t="s">
        <v>102</v>
      </c>
      <c r="E990" s="1" t="s">
        <v>39</v>
      </c>
      <c r="F990" s="1">
        <v>100.0</v>
      </c>
      <c r="G990" s="1"/>
      <c r="H990" s="1">
        <v>10000.0</v>
      </c>
      <c r="I990" s="1">
        <f t="shared" si="1"/>
        <v>10000</v>
      </c>
      <c r="J990" s="1">
        <v>1000.0</v>
      </c>
      <c r="K990" s="1"/>
      <c r="L990" s="1" t="s">
        <v>2252</v>
      </c>
    </row>
    <row r="991">
      <c r="A991" s="1">
        <v>2019.0</v>
      </c>
      <c r="B991" s="1">
        <v>7.0</v>
      </c>
      <c r="C991" s="1" t="s">
        <v>116</v>
      </c>
      <c r="D991" s="1" t="s">
        <v>102</v>
      </c>
      <c r="E991" s="1" t="s">
        <v>21</v>
      </c>
      <c r="F991" s="1">
        <v>100.0</v>
      </c>
      <c r="G991" s="1"/>
      <c r="H991" s="1">
        <v>10000.0</v>
      </c>
      <c r="I991" s="1">
        <f t="shared" si="1"/>
        <v>10000</v>
      </c>
      <c r="J991" s="1">
        <v>1000.0</v>
      </c>
      <c r="K991" s="1"/>
      <c r="L991" s="1" t="s">
        <v>2252</v>
      </c>
    </row>
    <row r="992">
      <c r="A992" s="1">
        <v>2019.0</v>
      </c>
      <c r="B992" s="1">
        <v>7.0</v>
      </c>
      <c r="C992" s="1" t="s">
        <v>116</v>
      </c>
      <c r="D992" s="1" t="s">
        <v>2083</v>
      </c>
      <c r="E992" s="1" t="s">
        <v>39</v>
      </c>
      <c r="F992" s="1">
        <v>100.0</v>
      </c>
      <c r="G992" s="1"/>
      <c r="H992" s="1">
        <v>10000.0</v>
      </c>
      <c r="I992" s="1">
        <f t="shared" si="1"/>
        <v>10000</v>
      </c>
      <c r="J992" s="1">
        <v>1000.0</v>
      </c>
      <c r="K992" s="1"/>
      <c r="L992" s="1" t="s">
        <v>2252</v>
      </c>
    </row>
    <row r="993">
      <c r="A993" s="1">
        <v>2019.0</v>
      </c>
      <c r="B993" s="1">
        <v>7.0</v>
      </c>
      <c r="C993" s="1" t="s">
        <v>116</v>
      </c>
      <c r="D993" s="1" t="s">
        <v>2083</v>
      </c>
      <c r="E993" s="1" t="s">
        <v>49</v>
      </c>
      <c r="F993" s="1">
        <v>100.0</v>
      </c>
      <c r="G993" s="1"/>
      <c r="H993" s="1">
        <v>10000.0</v>
      </c>
      <c r="I993" s="1">
        <f t="shared" si="1"/>
        <v>10000</v>
      </c>
      <c r="J993" s="1">
        <v>1000.0</v>
      </c>
      <c r="K993" s="1"/>
      <c r="L993" s="1" t="s">
        <v>2252</v>
      </c>
    </row>
    <row r="994">
      <c r="A994" s="1">
        <v>2019.0</v>
      </c>
      <c r="B994" s="1">
        <v>7.0</v>
      </c>
      <c r="C994" s="1" t="s">
        <v>116</v>
      </c>
      <c r="D994" s="1" t="s">
        <v>2083</v>
      </c>
      <c r="E994" s="1" t="s">
        <v>21</v>
      </c>
      <c r="F994" s="1">
        <v>100.0</v>
      </c>
      <c r="G994" s="1"/>
      <c r="H994" s="1">
        <v>10000.0</v>
      </c>
      <c r="I994" s="1">
        <f t="shared" si="1"/>
        <v>10000</v>
      </c>
      <c r="J994" s="1">
        <v>1000.0</v>
      </c>
      <c r="K994" s="1"/>
      <c r="L994" s="1" t="s">
        <v>2252</v>
      </c>
    </row>
    <row r="995">
      <c r="A995" s="1">
        <v>2019.0</v>
      </c>
      <c r="B995" s="1">
        <v>7.0</v>
      </c>
      <c r="C995" s="1" t="s">
        <v>116</v>
      </c>
      <c r="D995" s="1" t="s">
        <v>147</v>
      </c>
      <c r="E995" s="1" t="s">
        <v>39</v>
      </c>
      <c r="F995" s="1">
        <v>100.0</v>
      </c>
      <c r="G995" s="1"/>
      <c r="H995" s="1">
        <v>10000.0</v>
      </c>
      <c r="I995" s="1">
        <f t="shared" si="1"/>
        <v>10000</v>
      </c>
      <c r="J995" s="1">
        <v>1000.0</v>
      </c>
      <c r="K995" s="1"/>
      <c r="L995" s="1" t="s">
        <v>2252</v>
      </c>
    </row>
    <row r="996">
      <c r="A996" s="1">
        <v>2019.0</v>
      </c>
      <c r="B996" s="1">
        <v>7.0</v>
      </c>
      <c r="C996" s="1" t="s">
        <v>116</v>
      </c>
      <c r="D996" s="1" t="s">
        <v>147</v>
      </c>
      <c r="E996" s="1" t="s">
        <v>17</v>
      </c>
      <c r="F996" s="1">
        <v>100.0</v>
      </c>
      <c r="G996" s="1"/>
      <c r="H996" s="1">
        <v>10000.0</v>
      </c>
      <c r="I996" s="1">
        <f t="shared" si="1"/>
        <v>10000</v>
      </c>
      <c r="J996" s="1">
        <v>1000.0</v>
      </c>
      <c r="K996" s="1"/>
      <c r="L996" s="1" t="s">
        <v>2252</v>
      </c>
    </row>
    <row r="997">
      <c r="A997" s="1">
        <v>2019.0</v>
      </c>
      <c r="B997" s="1">
        <v>7.0</v>
      </c>
      <c r="C997" s="1" t="s">
        <v>116</v>
      </c>
      <c r="D997" s="1" t="s">
        <v>147</v>
      </c>
      <c r="E997" s="1" t="s">
        <v>21</v>
      </c>
      <c r="F997" s="1">
        <v>100.0</v>
      </c>
      <c r="G997" s="1"/>
      <c r="H997" s="1">
        <v>10000.0</v>
      </c>
      <c r="I997" s="1">
        <f t="shared" si="1"/>
        <v>10000</v>
      </c>
      <c r="J997" s="1">
        <v>1000.0</v>
      </c>
      <c r="K997" s="1"/>
      <c r="L997" s="1" t="s">
        <v>2252</v>
      </c>
    </row>
    <row r="998">
      <c r="A998" s="1">
        <v>2019.0</v>
      </c>
      <c r="B998" s="1">
        <v>7.0</v>
      </c>
      <c r="C998" s="1" t="s">
        <v>116</v>
      </c>
      <c r="D998" s="1" t="s">
        <v>38</v>
      </c>
      <c r="E998" s="1" t="s">
        <v>39</v>
      </c>
      <c r="F998" s="1">
        <v>100.0</v>
      </c>
      <c r="G998" s="1"/>
      <c r="H998" s="1">
        <v>10000.0</v>
      </c>
      <c r="I998" s="1">
        <f t="shared" si="1"/>
        <v>10000</v>
      </c>
      <c r="J998" s="1">
        <v>1000.0</v>
      </c>
      <c r="K998" s="1"/>
      <c r="L998" s="1" t="s">
        <v>2252</v>
      </c>
    </row>
    <row r="999">
      <c r="A999" s="1">
        <v>2019.0</v>
      </c>
      <c r="B999" s="1">
        <v>7.0</v>
      </c>
      <c r="C999" s="1" t="s">
        <v>116</v>
      </c>
      <c r="D999" s="1" t="s">
        <v>158</v>
      </c>
      <c r="E999" s="1" t="s">
        <v>39</v>
      </c>
      <c r="F999" s="1">
        <v>100.0</v>
      </c>
      <c r="G999" s="1"/>
      <c r="H999" s="1">
        <v>10000.0</v>
      </c>
      <c r="I999" s="1">
        <f t="shared" si="1"/>
        <v>10000</v>
      </c>
      <c r="J999" s="1">
        <v>1000.0</v>
      </c>
      <c r="K999" s="1"/>
      <c r="L999" s="1" t="s">
        <v>2252</v>
      </c>
    </row>
    <row r="1000">
      <c r="A1000" s="1">
        <v>2019.0</v>
      </c>
      <c r="B1000" s="1">
        <v>7.0</v>
      </c>
      <c r="C1000" s="1" t="s">
        <v>116</v>
      </c>
      <c r="D1000" s="1" t="s">
        <v>158</v>
      </c>
      <c r="E1000" s="1" t="s">
        <v>17</v>
      </c>
      <c r="F1000" s="1">
        <v>100.0</v>
      </c>
      <c r="G1000" s="1"/>
      <c r="H1000" s="1">
        <v>10000.0</v>
      </c>
      <c r="I1000" s="1">
        <f t="shared" si="1"/>
        <v>10000</v>
      </c>
      <c r="J1000" s="1">
        <v>1000.0</v>
      </c>
      <c r="K1000" s="1"/>
      <c r="L1000" s="1" t="s">
        <v>2252</v>
      </c>
    </row>
    <row r="1001">
      <c r="A1001" s="1">
        <v>2019.0</v>
      </c>
      <c r="B1001" s="1">
        <v>7.0</v>
      </c>
      <c r="C1001" s="1" t="s">
        <v>116</v>
      </c>
      <c r="D1001" s="1" t="s">
        <v>158</v>
      </c>
      <c r="E1001" s="1" t="s">
        <v>21</v>
      </c>
      <c r="F1001" s="1">
        <v>100.0</v>
      </c>
      <c r="G1001" s="1"/>
      <c r="H1001" s="1">
        <v>10000.0</v>
      </c>
      <c r="I1001" s="1">
        <f t="shared" si="1"/>
        <v>10000</v>
      </c>
      <c r="J1001" s="1">
        <v>1000.0</v>
      </c>
      <c r="K1001" s="1"/>
      <c r="L1001" s="1" t="s">
        <v>2252</v>
      </c>
    </row>
    <row r="1002">
      <c r="A1002" s="1">
        <v>2019.0</v>
      </c>
      <c r="B1002" s="1">
        <v>8.0</v>
      </c>
      <c r="C1002" s="1" t="s">
        <v>12</v>
      </c>
      <c r="D1002" s="1" t="s">
        <v>13</v>
      </c>
      <c r="E1002" s="1" t="s">
        <v>14</v>
      </c>
      <c r="F1002" s="1">
        <v>100.0</v>
      </c>
      <c r="G1002" s="1"/>
      <c r="H1002" s="1">
        <v>10000.0</v>
      </c>
      <c r="I1002" s="1">
        <f t="shared" si="1"/>
        <v>10000</v>
      </c>
      <c r="J1002" s="1">
        <v>1000.0</v>
      </c>
      <c r="K1002" s="1"/>
      <c r="L1002" s="1" t="s">
        <v>2252</v>
      </c>
    </row>
    <row r="1003">
      <c r="A1003" s="1">
        <v>2019.0</v>
      </c>
      <c r="B1003" s="1">
        <v>8.0</v>
      </c>
      <c r="C1003" s="1" t="s">
        <v>12</v>
      </c>
      <c r="D1003" s="1" t="s">
        <v>13</v>
      </c>
      <c r="E1003" s="1" t="s">
        <v>17</v>
      </c>
      <c r="F1003" s="1">
        <v>100.0</v>
      </c>
      <c r="G1003" s="1"/>
      <c r="H1003" s="1">
        <v>10000.0</v>
      </c>
      <c r="I1003" s="1">
        <f t="shared" si="1"/>
        <v>10000</v>
      </c>
      <c r="J1003" s="1">
        <v>1000.0</v>
      </c>
      <c r="K1003" s="1"/>
      <c r="L1003" s="1" t="s">
        <v>2252</v>
      </c>
    </row>
    <row r="1004">
      <c r="A1004" s="1">
        <v>2019.0</v>
      </c>
      <c r="B1004" s="1">
        <v>8.0</v>
      </c>
      <c r="C1004" s="1" t="s">
        <v>12</v>
      </c>
      <c r="D1004" s="1" t="s">
        <v>13</v>
      </c>
      <c r="E1004" s="1" t="s">
        <v>21</v>
      </c>
      <c r="F1004" s="1">
        <v>100.0</v>
      </c>
      <c r="G1004" s="1"/>
      <c r="H1004" s="1">
        <v>10000.0</v>
      </c>
      <c r="I1004" s="1">
        <f t="shared" si="1"/>
        <v>10000</v>
      </c>
      <c r="J1004" s="1">
        <v>1000.0</v>
      </c>
      <c r="K1004" s="1"/>
      <c r="L1004" s="1" t="s">
        <v>2252</v>
      </c>
    </row>
    <row r="1005">
      <c r="A1005" s="1">
        <v>2019.0</v>
      </c>
      <c r="B1005" s="1">
        <v>8.0</v>
      </c>
      <c r="C1005" s="1" t="s">
        <v>12</v>
      </c>
      <c r="D1005" s="1" t="s">
        <v>13</v>
      </c>
      <c r="E1005" s="1" t="s">
        <v>25</v>
      </c>
      <c r="F1005" s="1">
        <v>100.0</v>
      </c>
      <c r="G1005" s="1"/>
      <c r="H1005" s="1">
        <v>10000.0</v>
      </c>
      <c r="I1005" s="1">
        <f t="shared" si="1"/>
        <v>10000</v>
      </c>
      <c r="J1005" s="1">
        <v>1000.0</v>
      </c>
      <c r="K1005" s="1"/>
      <c r="L1005" s="1" t="s">
        <v>2252</v>
      </c>
    </row>
    <row r="1006">
      <c r="A1006" s="1">
        <v>2019.0</v>
      </c>
      <c r="B1006" s="1">
        <v>8.0</v>
      </c>
      <c r="C1006" s="1" t="s">
        <v>12</v>
      </c>
      <c r="D1006" s="1" t="s">
        <v>29</v>
      </c>
      <c r="E1006" s="1" t="s">
        <v>21</v>
      </c>
      <c r="F1006" s="1">
        <v>100.0</v>
      </c>
      <c r="G1006" s="1"/>
      <c r="H1006" s="1">
        <v>10000.0</v>
      </c>
      <c r="I1006" s="1">
        <f t="shared" si="1"/>
        <v>10000</v>
      </c>
      <c r="J1006" s="1">
        <v>1000.0</v>
      </c>
      <c r="K1006" s="1"/>
      <c r="L1006" s="1" t="s">
        <v>2252</v>
      </c>
    </row>
    <row r="1007">
      <c r="A1007" s="1">
        <v>2019.0</v>
      </c>
      <c r="B1007" s="1">
        <v>8.0</v>
      </c>
      <c r="C1007" s="1" t="s">
        <v>12</v>
      </c>
      <c r="D1007" s="1" t="s">
        <v>32</v>
      </c>
      <c r="E1007" s="1" t="s">
        <v>14</v>
      </c>
      <c r="F1007" s="1">
        <v>100.0</v>
      </c>
      <c r="G1007" s="1"/>
      <c r="H1007" s="1">
        <v>10000.0</v>
      </c>
      <c r="I1007" s="1">
        <f t="shared" si="1"/>
        <v>10000</v>
      </c>
      <c r="J1007" s="1">
        <v>1000.0</v>
      </c>
      <c r="K1007" s="1"/>
      <c r="L1007" s="1" t="s">
        <v>2252</v>
      </c>
    </row>
    <row r="1008">
      <c r="A1008" s="1">
        <v>2019.0</v>
      </c>
      <c r="B1008" s="1">
        <v>8.0</v>
      </c>
      <c r="C1008" s="1" t="s">
        <v>12</v>
      </c>
      <c r="D1008" s="1" t="s">
        <v>32</v>
      </c>
      <c r="E1008" s="1" t="s">
        <v>21</v>
      </c>
      <c r="F1008" s="1">
        <v>100.0</v>
      </c>
      <c r="G1008" s="1"/>
      <c r="H1008" s="1">
        <v>10000.0</v>
      </c>
      <c r="I1008" s="1">
        <f t="shared" si="1"/>
        <v>10000</v>
      </c>
      <c r="J1008" s="1">
        <v>1000.0</v>
      </c>
      <c r="K1008" s="1"/>
      <c r="L1008" s="1" t="s">
        <v>2252</v>
      </c>
    </row>
    <row r="1009">
      <c r="A1009" s="1">
        <v>2019.0</v>
      </c>
      <c r="B1009" s="1">
        <v>8.0</v>
      </c>
      <c r="C1009" s="1" t="s">
        <v>12</v>
      </c>
      <c r="D1009" s="1" t="s">
        <v>32</v>
      </c>
      <c r="E1009" s="1" t="s">
        <v>25</v>
      </c>
      <c r="F1009" s="1">
        <v>100.0</v>
      </c>
      <c r="G1009" s="1"/>
      <c r="H1009" s="1">
        <v>10000.0</v>
      </c>
      <c r="I1009" s="1">
        <f t="shared" si="1"/>
        <v>10000</v>
      </c>
      <c r="J1009" s="1">
        <v>1000.0</v>
      </c>
      <c r="K1009" s="1"/>
      <c r="L1009" s="1" t="s">
        <v>2252</v>
      </c>
    </row>
    <row r="1010">
      <c r="A1010" s="1">
        <v>2019.0</v>
      </c>
      <c r="B1010" s="1">
        <v>8.0</v>
      </c>
      <c r="C1010" s="1" t="s">
        <v>12</v>
      </c>
      <c r="D1010" s="1" t="s">
        <v>42</v>
      </c>
      <c r="E1010" s="1" t="s">
        <v>17</v>
      </c>
      <c r="F1010" s="1">
        <v>100.0</v>
      </c>
      <c r="G1010" s="1"/>
      <c r="H1010" s="1">
        <v>10000.0</v>
      </c>
      <c r="I1010" s="1">
        <f t="shared" si="1"/>
        <v>10000</v>
      </c>
      <c r="J1010" s="1">
        <v>1000.0</v>
      </c>
      <c r="K1010" s="1"/>
      <c r="L1010" s="1" t="s">
        <v>2252</v>
      </c>
    </row>
    <row r="1011">
      <c r="A1011" s="1">
        <v>2019.0</v>
      </c>
      <c r="B1011" s="1">
        <v>8.0</v>
      </c>
      <c r="C1011" s="1" t="s">
        <v>12</v>
      </c>
      <c r="D1011" s="1" t="s">
        <v>38</v>
      </c>
      <c r="E1011" s="1" t="s">
        <v>39</v>
      </c>
      <c r="F1011" s="1">
        <v>100.0</v>
      </c>
      <c r="G1011" s="1"/>
      <c r="H1011" s="1">
        <v>10000.0</v>
      </c>
      <c r="I1011" s="1">
        <f t="shared" si="1"/>
        <v>10000</v>
      </c>
      <c r="J1011" s="1">
        <v>1000.0</v>
      </c>
      <c r="K1011" s="1"/>
      <c r="L1011" s="1" t="s">
        <v>2252</v>
      </c>
    </row>
    <row r="1012">
      <c r="A1012" s="1">
        <v>2019.0</v>
      </c>
      <c r="B1012" s="1">
        <v>8.0</v>
      </c>
      <c r="C1012" s="1" t="s">
        <v>12</v>
      </c>
      <c r="D1012" s="1" t="s">
        <v>45</v>
      </c>
      <c r="E1012" s="1" t="s">
        <v>17</v>
      </c>
      <c r="F1012" s="1">
        <v>100.0</v>
      </c>
      <c r="G1012" s="1"/>
      <c r="H1012" s="1">
        <v>10000.0</v>
      </c>
      <c r="I1012" s="1">
        <f t="shared" si="1"/>
        <v>10000</v>
      </c>
      <c r="J1012" s="1">
        <v>1000.0</v>
      </c>
      <c r="K1012" s="1"/>
      <c r="L1012" s="1" t="s">
        <v>2252</v>
      </c>
    </row>
    <row r="1013">
      <c r="A1013" s="1">
        <v>2019.0</v>
      </c>
      <c r="B1013" s="1">
        <v>8.0</v>
      </c>
      <c r="C1013" s="1" t="s">
        <v>12</v>
      </c>
      <c r="D1013" s="1" t="s">
        <v>56</v>
      </c>
      <c r="E1013" s="1" t="s">
        <v>21</v>
      </c>
      <c r="F1013" s="1">
        <v>100.0</v>
      </c>
      <c r="G1013" s="1"/>
      <c r="H1013" s="1">
        <v>10000.0</v>
      </c>
      <c r="I1013" s="1">
        <f t="shared" si="1"/>
        <v>10000</v>
      </c>
      <c r="J1013" s="1">
        <v>1000.0</v>
      </c>
      <c r="K1013" s="1"/>
      <c r="L1013" s="1" t="s">
        <v>2252</v>
      </c>
    </row>
    <row r="1014">
      <c r="A1014" s="1">
        <v>2019.0</v>
      </c>
      <c r="B1014" s="1">
        <v>8.0</v>
      </c>
      <c r="C1014" s="1" t="s">
        <v>12</v>
      </c>
      <c r="D1014" s="1" t="s">
        <v>60</v>
      </c>
      <c r="E1014" s="1" t="s">
        <v>39</v>
      </c>
      <c r="F1014" s="1">
        <v>100.0</v>
      </c>
      <c r="G1014" s="1"/>
      <c r="H1014" s="1">
        <v>10000.0</v>
      </c>
      <c r="I1014" s="1">
        <f t="shared" si="1"/>
        <v>10000</v>
      </c>
      <c r="J1014" s="1">
        <v>1000.0</v>
      </c>
      <c r="K1014" s="1"/>
      <c r="L1014" s="1" t="s">
        <v>2252</v>
      </c>
    </row>
    <row r="1015">
      <c r="A1015" s="1">
        <v>2019.0</v>
      </c>
      <c r="B1015" s="1">
        <v>8.0</v>
      </c>
      <c r="C1015" s="1" t="s">
        <v>12</v>
      </c>
      <c r="D1015" s="1" t="s">
        <v>48</v>
      </c>
      <c r="E1015" s="1" t="s">
        <v>49</v>
      </c>
      <c r="F1015" s="1">
        <v>100.0</v>
      </c>
      <c r="G1015" s="1"/>
      <c r="H1015" s="1">
        <v>10000.0</v>
      </c>
      <c r="I1015" s="1">
        <f t="shared" si="1"/>
        <v>10000</v>
      </c>
      <c r="J1015" s="1">
        <v>1000.0</v>
      </c>
      <c r="K1015" s="1"/>
      <c r="L1015" s="1" t="s">
        <v>2252</v>
      </c>
    </row>
    <row r="1016">
      <c r="A1016" s="1">
        <v>2019.0</v>
      </c>
      <c r="B1016" s="1">
        <v>8.0</v>
      </c>
      <c r="C1016" s="1" t="s">
        <v>12</v>
      </c>
      <c r="D1016" s="1" t="s">
        <v>48</v>
      </c>
      <c r="E1016" s="1" t="s">
        <v>21</v>
      </c>
      <c r="F1016" s="1">
        <v>100.0</v>
      </c>
      <c r="G1016" s="1"/>
      <c r="H1016" s="1">
        <v>10000.0</v>
      </c>
      <c r="I1016" s="1">
        <f t="shared" si="1"/>
        <v>10000</v>
      </c>
      <c r="J1016" s="1">
        <v>1000.0</v>
      </c>
      <c r="K1016" s="1"/>
      <c r="L1016" s="1" t="s">
        <v>2252</v>
      </c>
    </row>
    <row r="1017">
      <c r="A1017" s="1">
        <v>2019.0</v>
      </c>
      <c r="B1017" s="1">
        <v>8.0</v>
      </c>
      <c r="C1017" s="1" t="s">
        <v>12</v>
      </c>
      <c r="D1017" s="1" t="s">
        <v>64</v>
      </c>
      <c r="E1017" s="1" t="s">
        <v>21</v>
      </c>
      <c r="F1017" s="1">
        <v>100.0</v>
      </c>
      <c r="G1017" s="1"/>
      <c r="H1017" s="1">
        <v>10000.0</v>
      </c>
      <c r="I1017" s="1">
        <f t="shared" si="1"/>
        <v>10000</v>
      </c>
      <c r="J1017" s="1">
        <v>1000.0</v>
      </c>
      <c r="K1017" s="1"/>
      <c r="L1017" s="1" t="s">
        <v>2252</v>
      </c>
    </row>
    <row r="1018">
      <c r="A1018" s="1">
        <v>2019.0</v>
      </c>
      <c r="B1018" s="1">
        <v>8.0</v>
      </c>
      <c r="C1018" s="1" t="s">
        <v>68</v>
      </c>
      <c r="D1018" s="1" t="s">
        <v>13</v>
      </c>
      <c r="E1018" s="1" t="s">
        <v>14</v>
      </c>
      <c r="F1018" s="1">
        <v>100.0</v>
      </c>
      <c r="G1018" s="1"/>
      <c r="H1018" s="1">
        <v>10000.0</v>
      </c>
      <c r="I1018" s="1">
        <f t="shared" si="1"/>
        <v>10000</v>
      </c>
      <c r="J1018" s="1">
        <v>1000.0</v>
      </c>
      <c r="K1018" s="1"/>
      <c r="L1018" s="1" t="s">
        <v>2252</v>
      </c>
    </row>
    <row r="1019">
      <c r="A1019" s="1">
        <v>2019.0</v>
      </c>
      <c r="B1019" s="1">
        <v>8.0</v>
      </c>
      <c r="C1019" s="1" t="s">
        <v>68</v>
      </c>
      <c r="D1019" s="1" t="s">
        <v>13</v>
      </c>
      <c r="E1019" s="1" t="s">
        <v>17</v>
      </c>
      <c r="F1019" s="1">
        <v>100.0</v>
      </c>
      <c r="G1019" s="1"/>
      <c r="H1019" s="1">
        <v>10000.0</v>
      </c>
      <c r="I1019" s="1">
        <f t="shared" si="1"/>
        <v>10000</v>
      </c>
      <c r="J1019" s="1">
        <v>1000.0</v>
      </c>
      <c r="K1019" s="1"/>
      <c r="L1019" s="1" t="s">
        <v>2252</v>
      </c>
    </row>
    <row r="1020">
      <c r="A1020" s="1">
        <v>2019.0</v>
      </c>
      <c r="B1020" s="1">
        <v>8.0</v>
      </c>
      <c r="C1020" s="1" t="s">
        <v>68</v>
      </c>
      <c r="D1020" s="1" t="s">
        <v>13</v>
      </c>
      <c r="E1020" s="1" t="s">
        <v>21</v>
      </c>
      <c r="F1020" s="1">
        <v>100.0</v>
      </c>
      <c r="G1020" s="1"/>
      <c r="H1020" s="1">
        <v>10000.0</v>
      </c>
      <c r="I1020" s="1">
        <f t="shared" si="1"/>
        <v>10000</v>
      </c>
      <c r="J1020" s="1">
        <v>1000.0</v>
      </c>
      <c r="K1020" s="1"/>
      <c r="L1020" s="1" t="s">
        <v>2252</v>
      </c>
    </row>
    <row r="1021">
      <c r="A1021" s="1">
        <v>2019.0</v>
      </c>
      <c r="B1021" s="1">
        <v>8.0</v>
      </c>
      <c r="C1021" s="1" t="s">
        <v>68</v>
      </c>
      <c r="D1021" s="1" t="s">
        <v>13</v>
      </c>
      <c r="E1021" s="1" t="s">
        <v>25</v>
      </c>
      <c r="F1021" s="1">
        <v>100.0</v>
      </c>
      <c r="G1021" s="1"/>
      <c r="H1021" s="1">
        <v>10000.0</v>
      </c>
      <c r="I1021" s="1">
        <f t="shared" si="1"/>
        <v>10000</v>
      </c>
      <c r="J1021" s="1">
        <v>1000.0</v>
      </c>
      <c r="K1021" s="1"/>
      <c r="L1021" s="1" t="s">
        <v>2252</v>
      </c>
    </row>
    <row r="1022">
      <c r="A1022" s="1">
        <v>2019.0</v>
      </c>
      <c r="B1022" s="1">
        <v>8.0</v>
      </c>
      <c r="C1022" s="1" t="s">
        <v>68</v>
      </c>
      <c r="D1022" s="1" t="s">
        <v>29</v>
      </c>
      <c r="E1022" s="1" t="s">
        <v>21</v>
      </c>
      <c r="F1022" s="1">
        <v>100.0</v>
      </c>
      <c r="G1022" s="1"/>
      <c r="H1022" s="1">
        <v>10000.0</v>
      </c>
      <c r="I1022" s="1">
        <f t="shared" si="1"/>
        <v>10000</v>
      </c>
      <c r="J1022" s="1">
        <v>1000.0</v>
      </c>
      <c r="K1022" s="1"/>
      <c r="L1022" s="1" t="s">
        <v>2252</v>
      </c>
    </row>
    <row r="1023">
      <c r="A1023" s="1">
        <v>2019.0</v>
      </c>
      <c r="B1023" s="1">
        <v>8.0</v>
      </c>
      <c r="C1023" s="1" t="s">
        <v>68</v>
      </c>
      <c r="D1023" s="1" t="s">
        <v>45</v>
      </c>
      <c r="E1023" s="1" t="s">
        <v>17</v>
      </c>
      <c r="F1023" s="1">
        <v>100.0</v>
      </c>
      <c r="G1023" s="1"/>
      <c r="H1023" s="1">
        <v>10000.0</v>
      </c>
      <c r="I1023" s="1">
        <f t="shared" si="1"/>
        <v>10000</v>
      </c>
      <c r="J1023" s="1">
        <v>1000.0</v>
      </c>
      <c r="K1023" s="1"/>
      <c r="L1023" s="1" t="s">
        <v>2252</v>
      </c>
    </row>
    <row r="1024">
      <c r="A1024" s="1">
        <v>2019.0</v>
      </c>
      <c r="B1024" s="1">
        <v>8.0</v>
      </c>
      <c r="C1024" s="1" t="s">
        <v>68</v>
      </c>
      <c r="D1024" s="1" t="s">
        <v>32</v>
      </c>
      <c r="E1024" s="1" t="s">
        <v>14</v>
      </c>
      <c r="F1024" s="1">
        <v>100.0</v>
      </c>
      <c r="G1024" s="1"/>
      <c r="H1024" s="1">
        <v>10000.0</v>
      </c>
      <c r="I1024" s="1">
        <f t="shared" si="1"/>
        <v>10000</v>
      </c>
      <c r="J1024" s="1">
        <v>1000.0</v>
      </c>
      <c r="K1024" s="1"/>
      <c r="L1024" s="1" t="s">
        <v>2252</v>
      </c>
    </row>
    <row r="1025">
      <c r="A1025" s="1">
        <v>2019.0</v>
      </c>
      <c r="B1025" s="1">
        <v>8.0</v>
      </c>
      <c r="C1025" s="1" t="s">
        <v>68</v>
      </c>
      <c r="D1025" s="1" t="s">
        <v>32</v>
      </c>
      <c r="E1025" s="1" t="s">
        <v>21</v>
      </c>
      <c r="F1025" s="1">
        <v>100.0</v>
      </c>
      <c r="G1025" s="1"/>
      <c r="H1025" s="1">
        <v>10000.0</v>
      </c>
      <c r="I1025" s="1">
        <f t="shared" si="1"/>
        <v>10000</v>
      </c>
      <c r="J1025" s="1">
        <v>1000.0</v>
      </c>
      <c r="K1025" s="1"/>
      <c r="L1025" s="1" t="s">
        <v>2252</v>
      </c>
    </row>
    <row r="1026">
      <c r="A1026" s="1">
        <v>2019.0</v>
      </c>
      <c r="B1026" s="1">
        <v>8.0</v>
      </c>
      <c r="C1026" s="1" t="s">
        <v>68</v>
      </c>
      <c r="D1026" s="1" t="s">
        <v>38</v>
      </c>
      <c r="E1026" s="1" t="s">
        <v>39</v>
      </c>
      <c r="F1026" s="1">
        <v>100.0</v>
      </c>
      <c r="G1026" s="1"/>
      <c r="H1026" s="1">
        <v>10000.0</v>
      </c>
      <c r="I1026" s="1">
        <f t="shared" si="1"/>
        <v>10000</v>
      </c>
      <c r="J1026" s="1">
        <v>1000.0</v>
      </c>
      <c r="K1026" s="1"/>
      <c r="L1026" s="1" t="s">
        <v>2252</v>
      </c>
    </row>
    <row r="1027">
      <c r="A1027" s="1">
        <v>2019.0</v>
      </c>
      <c r="B1027" s="1">
        <v>8.0</v>
      </c>
      <c r="C1027" s="1" t="s">
        <v>68</v>
      </c>
      <c r="D1027" s="1" t="s">
        <v>42</v>
      </c>
      <c r="E1027" s="1" t="s">
        <v>17</v>
      </c>
      <c r="F1027" s="1">
        <v>100.0</v>
      </c>
      <c r="G1027" s="1"/>
      <c r="H1027" s="1">
        <v>10000.0</v>
      </c>
      <c r="I1027" s="1">
        <f t="shared" si="1"/>
        <v>10000</v>
      </c>
      <c r="J1027" s="1">
        <v>1000.0</v>
      </c>
      <c r="K1027" s="1"/>
      <c r="L1027" s="1" t="s">
        <v>2252</v>
      </c>
    </row>
    <row r="1028">
      <c r="A1028" s="1">
        <v>2019.0</v>
      </c>
      <c r="B1028" s="1">
        <v>8.0</v>
      </c>
      <c r="C1028" s="1" t="s">
        <v>68</v>
      </c>
      <c r="D1028" s="1" t="s">
        <v>102</v>
      </c>
      <c r="E1028" s="1" t="s">
        <v>39</v>
      </c>
      <c r="F1028" s="1">
        <v>100.0</v>
      </c>
      <c r="G1028" s="1"/>
      <c r="H1028" s="1">
        <v>10000.0</v>
      </c>
      <c r="I1028" s="1">
        <f t="shared" si="1"/>
        <v>10000</v>
      </c>
      <c r="J1028" s="1">
        <v>1000.0</v>
      </c>
      <c r="K1028" s="1"/>
      <c r="L1028" s="1" t="s">
        <v>2252</v>
      </c>
    </row>
    <row r="1029">
      <c r="A1029" s="1">
        <v>2019.0</v>
      </c>
      <c r="B1029" s="1">
        <v>8.0</v>
      </c>
      <c r="C1029" s="1" t="s">
        <v>68</v>
      </c>
      <c r="D1029" s="1" t="s">
        <v>102</v>
      </c>
      <c r="E1029" s="1" t="s">
        <v>21</v>
      </c>
      <c r="F1029" s="1">
        <v>100.0</v>
      </c>
      <c r="G1029" s="1"/>
      <c r="H1029" s="1">
        <v>10000.0</v>
      </c>
      <c r="I1029" s="1">
        <f t="shared" si="1"/>
        <v>10000</v>
      </c>
      <c r="J1029" s="1">
        <v>1000.0</v>
      </c>
      <c r="K1029" s="1"/>
      <c r="L1029" s="1" t="s">
        <v>2252</v>
      </c>
    </row>
    <row r="1030">
      <c r="A1030" s="1">
        <v>2019.0</v>
      </c>
      <c r="B1030" s="1">
        <v>8.0</v>
      </c>
      <c r="C1030" s="1" t="s">
        <v>68</v>
      </c>
      <c r="D1030" s="1" t="s">
        <v>112</v>
      </c>
      <c r="E1030" s="1" t="s">
        <v>21</v>
      </c>
      <c r="F1030" s="1">
        <v>100.0</v>
      </c>
      <c r="G1030" s="1"/>
      <c r="H1030" s="1">
        <v>10000.0</v>
      </c>
      <c r="I1030" s="1">
        <f t="shared" si="1"/>
        <v>10000</v>
      </c>
      <c r="J1030" s="1">
        <v>1000.0</v>
      </c>
      <c r="K1030" s="1"/>
      <c r="L1030" s="1" t="s">
        <v>2252</v>
      </c>
    </row>
    <row r="1031">
      <c r="A1031" s="1">
        <v>2019.0</v>
      </c>
      <c r="B1031" s="1">
        <v>8.0</v>
      </c>
      <c r="C1031" s="1" t="s">
        <v>68</v>
      </c>
      <c r="D1031" s="1" t="s">
        <v>729</v>
      </c>
      <c r="E1031" s="1" t="s">
        <v>21</v>
      </c>
      <c r="F1031" s="1">
        <v>100.0</v>
      </c>
      <c r="G1031" s="1"/>
      <c r="H1031" s="1">
        <v>10000.0</v>
      </c>
      <c r="I1031" s="1">
        <f t="shared" si="1"/>
        <v>10000</v>
      </c>
      <c r="J1031" s="1">
        <v>1000.0</v>
      </c>
      <c r="K1031" s="1"/>
      <c r="L1031" s="1" t="s">
        <v>2252</v>
      </c>
    </row>
    <row r="1032">
      <c r="A1032" s="1">
        <v>2019.0</v>
      </c>
      <c r="B1032" s="1">
        <v>8.0</v>
      </c>
      <c r="C1032" s="1" t="s">
        <v>116</v>
      </c>
      <c r="D1032" s="1" t="s">
        <v>13</v>
      </c>
      <c r="E1032" s="1" t="s">
        <v>14</v>
      </c>
      <c r="F1032" s="1">
        <v>100.0</v>
      </c>
      <c r="G1032" s="1"/>
      <c r="H1032" s="1">
        <v>10000.0</v>
      </c>
      <c r="I1032" s="1">
        <f t="shared" si="1"/>
        <v>10000</v>
      </c>
      <c r="J1032" s="1">
        <v>1000.0</v>
      </c>
      <c r="K1032" s="1"/>
      <c r="L1032" s="1" t="s">
        <v>2252</v>
      </c>
    </row>
    <row r="1033">
      <c r="A1033" s="1">
        <v>2019.0</v>
      </c>
      <c r="B1033" s="1">
        <v>8.0</v>
      </c>
      <c r="C1033" s="1" t="s">
        <v>116</v>
      </c>
      <c r="D1033" s="1" t="s">
        <v>13</v>
      </c>
      <c r="E1033" s="1" t="s">
        <v>72</v>
      </c>
      <c r="F1033" s="1">
        <v>100.0</v>
      </c>
      <c r="G1033" s="1"/>
      <c r="H1033" s="1">
        <v>10000.0</v>
      </c>
      <c r="I1033" s="1">
        <f t="shared" si="1"/>
        <v>10000</v>
      </c>
      <c r="J1033" s="1">
        <v>1000.0</v>
      </c>
      <c r="K1033" s="1"/>
      <c r="L1033" s="1" t="s">
        <v>2252</v>
      </c>
    </row>
    <row r="1034">
      <c r="A1034" s="1">
        <v>2019.0</v>
      </c>
      <c r="B1034" s="1">
        <v>8.0</v>
      </c>
      <c r="C1034" s="1" t="s">
        <v>116</v>
      </c>
      <c r="D1034" s="1" t="s">
        <v>13</v>
      </c>
      <c r="E1034" s="1" t="s">
        <v>17</v>
      </c>
      <c r="F1034" s="1">
        <v>100.0</v>
      </c>
      <c r="G1034" s="1"/>
      <c r="H1034" s="1">
        <v>10000.0</v>
      </c>
      <c r="I1034" s="1">
        <f t="shared" si="1"/>
        <v>10000</v>
      </c>
      <c r="J1034" s="1">
        <v>1000.0</v>
      </c>
      <c r="K1034" s="1"/>
      <c r="L1034" s="1" t="s">
        <v>2252</v>
      </c>
    </row>
    <row r="1035">
      <c r="A1035" s="1">
        <v>2019.0</v>
      </c>
      <c r="B1035" s="1">
        <v>8.0</v>
      </c>
      <c r="C1035" s="1" t="s">
        <v>116</v>
      </c>
      <c r="D1035" s="1" t="s">
        <v>13</v>
      </c>
      <c r="E1035" s="1" t="s">
        <v>21</v>
      </c>
      <c r="F1035" s="1">
        <v>100.0</v>
      </c>
      <c r="G1035" s="1"/>
      <c r="H1035" s="1">
        <v>10000.0</v>
      </c>
      <c r="I1035" s="1">
        <f t="shared" si="1"/>
        <v>10000</v>
      </c>
      <c r="J1035" s="1">
        <v>1000.0</v>
      </c>
      <c r="K1035" s="1"/>
      <c r="L1035" s="1" t="s">
        <v>2252</v>
      </c>
    </row>
    <row r="1036">
      <c r="A1036" s="1">
        <v>2019.0</v>
      </c>
      <c r="B1036" s="1">
        <v>8.0</v>
      </c>
      <c r="C1036" s="1" t="s">
        <v>116</v>
      </c>
      <c r="D1036" s="1" t="s">
        <v>13</v>
      </c>
      <c r="E1036" s="1" t="s">
        <v>25</v>
      </c>
      <c r="F1036" s="1">
        <v>100.0</v>
      </c>
      <c r="G1036" s="1"/>
      <c r="H1036" s="1">
        <v>10000.0</v>
      </c>
      <c r="I1036" s="1">
        <f t="shared" si="1"/>
        <v>10000</v>
      </c>
      <c r="J1036" s="1">
        <v>1000.0</v>
      </c>
      <c r="K1036" s="1"/>
      <c r="L1036" s="1" t="s">
        <v>2252</v>
      </c>
    </row>
    <row r="1037">
      <c r="A1037" s="1">
        <v>2019.0</v>
      </c>
      <c r="B1037" s="1">
        <v>8.0</v>
      </c>
      <c r="C1037" s="1" t="s">
        <v>116</v>
      </c>
      <c r="D1037" s="1" t="s">
        <v>29</v>
      </c>
      <c r="E1037" s="1" t="s">
        <v>21</v>
      </c>
      <c r="F1037" s="1">
        <v>100.0</v>
      </c>
      <c r="G1037" s="1"/>
      <c r="H1037" s="1">
        <v>10000.0</v>
      </c>
      <c r="I1037" s="1">
        <f t="shared" si="1"/>
        <v>10000</v>
      </c>
      <c r="J1037" s="1">
        <v>1000.0</v>
      </c>
      <c r="K1037" s="1"/>
      <c r="L1037" s="1" t="s">
        <v>2252</v>
      </c>
    </row>
    <row r="1038">
      <c r="A1038" s="1">
        <v>2019.0</v>
      </c>
      <c r="B1038" s="1">
        <v>8.0</v>
      </c>
      <c r="C1038" s="1" t="s">
        <v>116</v>
      </c>
      <c r="D1038" s="1" t="s">
        <v>32</v>
      </c>
      <c r="E1038" s="1" t="s">
        <v>14</v>
      </c>
      <c r="F1038" s="1">
        <v>100.0</v>
      </c>
      <c r="G1038" s="1"/>
      <c r="H1038" s="1">
        <v>10000.0</v>
      </c>
      <c r="I1038" s="1">
        <f t="shared" si="1"/>
        <v>10000</v>
      </c>
      <c r="J1038" s="1">
        <v>1000.0</v>
      </c>
      <c r="K1038" s="1"/>
      <c r="L1038" s="1" t="s">
        <v>2252</v>
      </c>
    </row>
    <row r="1039">
      <c r="A1039" s="1">
        <v>2019.0</v>
      </c>
      <c r="B1039" s="1">
        <v>8.0</v>
      </c>
      <c r="C1039" s="1" t="s">
        <v>116</v>
      </c>
      <c r="D1039" s="1" t="s">
        <v>32</v>
      </c>
      <c r="E1039" s="1" t="s">
        <v>21</v>
      </c>
      <c r="F1039" s="1">
        <v>100.0</v>
      </c>
      <c r="G1039" s="1"/>
      <c r="H1039" s="1">
        <v>10000.0</v>
      </c>
      <c r="I1039" s="1">
        <f t="shared" si="1"/>
        <v>10000</v>
      </c>
      <c r="J1039" s="1">
        <v>1000.0</v>
      </c>
      <c r="K1039" s="1"/>
      <c r="L1039" s="1" t="s">
        <v>2252</v>
      </c>
    </row>
    <row r="1040">
      <c r="A1040" s="1">
        <v>2019.0</v>
      </c>
      <c r="B1040" s="1">
        <v>8.0</v>
      </c>
      <c r="C1040" s="1" t="s">
        <v>116</v>
      </c>
      <c r="D1040" s="1" t="s">
        <v>45</v>
      </c>
      <c r="E1040" s="1" t="s">
        <v>17</v>
      </c>
      <c r="F1040" s="1">
        <v>100.0</v>
      </c>
      <c r="G1040" s="1"/>
      <c r="H1040" s="1">
        <v>10000.0</v>
      </c>
      <c r="I1040" s="1">
        <f t="shared" si="1"/>
        <v>10000</v>
      </c>
      <c r="J1040" s="1">
        <v>1000.0</v>
      </c>
      <c r="K1040" s="1"/>
      <c r="L1040" s="1" t="s">
        <v>2252</v>
      </c>
    </row>
    <row r="1041">
      <c r="A1041" s="1">
        <v>2019.0</v>
      </c>
      <c r="B1041" s="1">
        <v>8.0</v>
      </c>
      <c r="C1041" s="1" t="s">
        <v>116</v>
      </c>
      <c r="D1041" s="1" t="s">
        <v>42</v>
      </c>
      <c r="E1041" s="1" t="s">
        <v>17</v>
      </c>
      <c r="F1041" s="1">
        <v>100.0</v>
      </c>
      <c r="G1041" s="1"/>
      <c r="H1041" s="1">
        <v>10000.0</v>
      </c>
      <c r="I1041" s="1">
        <f t="shared" si="1"/>
        <v>10000</v>
      </c>
      <c r="J1041" s="1">
        <v>1000.0</v>
      </c>
      <c r="K1041" s="1"/>
      <c r="L1041" s="1" t="s">
        <v>2252</v>
      </c>
    </row>
    <row r="1042">
      <c r="A1042" s="1">
        <v>2019.0</v>
      </c>
      <c r="B1042" s="1">
        <v>8.0</v>
      </c>
      <c r="C1042" s="1" t="s">
        <v>116</v>
      </c>
      <c r="D1042" s="1" t="s">
        <v>102</v>
      </c>
      <c r="E1042" s="1" t="s">
        <v>39</v>
      </c>
      <c r="F1042" s="1">
        <v>100.0</v>
      </c>
      <c r="G1042" s="1"/>
      <c r="H1042" s="1">
        <v>10000.0</v>
      </c>
      <c r="I1042" s="1">
        <f t="shared" si="1"/>
        <v>10000</v>
      </c>
      <c r="J1042" s="1">
        <v>1000.0</v>
      </c>
      <c r="K1042" s="1"/>
      <c r="L1042" s="1" t="s">
        <v>2252</v>
      </c>
    </row>
    <row r="1043">
      <c r="A1043" s="1">
        <v>2019.0</v>
      </c>
      <c r="B1043" s="1">
        <v>8.0</v>
      </c>
      <c r="C1043" s="1" t="s">
        <v>116</v>
      </c>
      <c r="D1043" s="1" t="s">
        <v>102</v>
      </c>
      <c r="E1043" s="1" t="s">
        <v>21</v>
      </c>
      <c r="F1043" s="1">
        <v>100.0</v>
      </c>
      <c r="G1043" s="1"/>
      <c r="H1043" s="1">
        <v>10000.0</v>
      </c>
      <c r="I1043" s="1">
        <f t="shared" si="1"/>
        <v>10000</v>
      </c>
      <c r="J1043" s="1">
        <v>1000.0</v>
      </c>
      <c r="K1043" s="1"/>
      <c r="L1043" s="1" t="s">
        <v>2252</v>
      </c>
    </row>
    <row r="1044">
      <c r="A1044" s="1">
        <v>2019.0</v>
      </c>
      <c r="B1044" s="1">
        <v>8.0</v>
      </c>
      <c r="C1044" s="1" t="s">
        <v>116</v>
      </c>
      <c r="D1044" s="1" t="s">
        <v>2083</v>
      </c>
      <c r="E1044" s="1" t="s">
        <v>39</v>
      </c>
      <c r="F1044" s="1">
        <v>100.0</v>
      </c>
      <c r="G1044" s="1"/>
      <c r="H1044" s="1">
        <v>10000.0</v>
      </c>
      <c r="I1044" s="1">
        <f t="shared" si="1"/>
        <v>10000</v>
      </c>
      <c r="J1044" s="1">
        <v>1000.0</v>
      </c>
      <c r="K1044" s="1"/>
      <c r="L1044" s="1" t="s">
        <v>2252</v>
      </c>
    </row>
    <row r="1045">
      <c r="A1045" s="1">
        <v>2019.0</v>
      </c>
      <c r="B1045" s="1">
        <v>8.0</v>
      </c>
      <c r="C1045" s="1" t="s">
        <v>116</v>
      </c>
      <c r="D1045" s="1" t="s">
        <v>2083</v>
      </c>
      <c r="E1045" s="1" t="s">
        <v>49</v>
      </c>
      <c r="F1045" s="1">
        <v>100.0</v>
      </c>
      <c r="G1045" s="1"/>
      <c r="H1045" s="1">
        <v>10000.0</v>
      </c>
      <c r="I1045" s="1">
        <f t="shared" si="1"/>
        <v>10000</v>
      </c>
      <c r="J1045" s="1">
        <v>1000.0</v>
      </c>
      <c r="K1045" s="1"/>
      <c r="L1045" s="1" t="s">
        <v>2252</v>
      </c>
    </row>
    <row r="1046">
      <c r="A1046" s="1">
        <v>2019.0</v>
      </c>
      <c r="B1046" s="1">
        <v>8.0</v>
      </c>
      <c r="C1046" s="1" t="s">
        <v>116</v>
      </c>
      <c r="D1046" s="1" t="s">
        <v>2083</v>
      </c>
      <c r="E1046" s="1" t="s">
        <v>21</v>
      </c>
      <c r="F1046" s="1">
        <v>100.0</v>
      </c>
      <c r="G1046" s="1"/>
      <c r="H1046" s="1">
        <v>10000.0</v>
      </c>
      <c r="I1046" s="1">
        <f t="shared" si="1"/>
        <v>10000</v>
      </c>
      <c r="J1046" s="1">
        <v>1000.0</v>
      </c>
      <c r="K1046" s="1"/>
      <c r="L1046" s="1" t="s">
        <v>2252</v>
      </c>
    </row>
    <row r="1047">
      <c r="A1047" s="1">
        <v>2019.0</v>
      </c>
      <c r="B1047" s="1">
        <v>8.0</v>
      </c>
      <c r="C1047" s="1" t="s">
        <v>116</v>
      </c>
      <c r="D1047" s="1" t="s">
        <v>147</v>
      </c>
      <c r="E1047" s="1" t="s">
        <v>39</v>
      </c>
      <c r="F1047" s="1">
        <v>100.0</v>
      </c>
      <c r="G1047" s="1"/>
      <c r="H1047" s="1">
        <v>10000.0</v>
      </c>
      <c r="I1047" s="1">
        <f t="shared" si="1"/>
        <v>10000</v>
      </c>
      <c r="J1047" s="1">
        <v>1000.0</v>
      </c>
      <c r="K1047" s="1"/>
      <c r="L1047" s="1" t="s">
        <v>2252</v>
      </c>
    </row>
    <row r="1048">
      <c r="A1048" s="1">
        <v>2019.0</v>
      </c>
      <c r="B1048" s="1">
        <v>8.0</v>
      </c>
      <c r="C1048" s="1" t="s">
        <v>116</v>
      </c>
      <c r="D1048" s="1" t="s">
        <v>147</v>
      </c>
      <c r="E1048" s="1" t="s">
        <v>17</v>
      </c>
      <c r="F1048" s="1">
        <v>100.0</v>
      </c>
      <c r="G1048" s="1"/>
      <c r="H1048" s="1">
        <v>10000.0</v>
      </c>
      <c r="I1048" s="1">
        <f t="shared" si="1"/>
        <v>10000</v>
      </c>
      <c r="J1048" s="1">
        <v>1000.0</v>
      </c>
      <c r="K1048" s="1"/>
      <c r="L1048" s="1" t="s">
        <v>2252</v>
      </c>
    </row>
    <row r="1049">
      <c r="A1049" s="1">
        <v>2019.0</v>
      </c>
      <c r="B1049" s="1">
        <v>8.0</v>
      </c>
      <c r="C1049" s="1" t="s">
        <v>116</v>
      </c>
      <c r="D1049" s="1" t="s">
        <v>147</v>
      </c>
      <c r="E1049" s="1" t="s">
        <v>21</v>
      </c>
      <c r="F1049" s="1">
        <v>100.0</v>
      </c>
      <c r="G1049" s="1"/>
      <c r="H1049" s="1">
        <v>10000.0</v>
      </c>
      <c r="I1049" s="1">
        <f t="shared" si="1"/>
        <v>10000</v>
      </c>
      <c r="J1049" s="1">
        <v>1000.0</v>
      </c>
      <c r="K1049" s="1"/>
      <c r="L1049" s="1" t="s">
        <v>2252</v>
      </c>
    </row>
    <row r="1050">
      <c r="A1050" s="1">
        <v>2019.0</v>
      </c>
      <c r="B1050" s="1">
        <v>8.0</v>
      </c>
      <c r="C1050" s="1" t="s">
        <v>116</v>
      </c>
      <c r="D1050" s="1" t="s">
        <v>38</v>
      </c>
      <c r="E1050" s="1" t="s">
        <v>39</v>
      </c>
      <c r="F1050" s="1">
        <v>100.0</v>
      </c>
      <c r="G1050" s="1"/>
      <c r="H1050" s="1">
        <v>10000.0</v>
      </c>
      <c r="I1050" s="1">
        <f t="shared" si="1"/>
        <v>10000</v>
      </c>
      <c r="J1050" s="1">
        <v>1000.0</v>
      </c>
      <c r="K1050" s="1"/>
      <c r="L1050" s="1" t="s">
        <v>2252</v>
      </c>
    </row>
    <row r="1051">
      <c r="A1051" s="1">
        <v>2019.0</v>
      </c>
      <c r="B1051" s="1">
        <v>8.0</v>
      </c>
      <c r="C1051" s="1" t="s">
        <v>116</v>
      </c>
      <c r="D1051" s="1" t="s">
        <v>158</v>
      </c>
      <c r="E1051" s="1" t="s">
        <v>39</v>
      </c>
      <c r="F1051" s="1">
        <v>100.0</v>
      </c>
      <c r="G1051" s="1"/>
      <c r="H1051" s="1">
        <v>10000.0</v>
      </c>
      <c r="I1051" s="1">
        <f t="shared" si="1"/>
        <v>10000</v>
      </c>
      <c r="J1051" s="1">
        <v>1000.0</v>
      </c>
      <c r="K1051" s="1"/>
      <c r="L1051" s="1" t="s">
        <v>2252</v>
      </c>
    </row>
    <row r="1052">
      <c r="A1052" s="1">
        <v>2019.0</v>
      </c>
      <c r="B1052" s="1">
        <v>8.0</v>
      </c>
      <c r="C1052" s="1" t="s">
        <v>116</v>
      </c>
      <c r="D1052" s="1" t="s">
        <v>158</v>
      </c>
      <c r="E1052" s="1" t="s">
        <v>17</v>
      </c>
      <c r="F1052" s="1">
        <v>100.0</v>
      </c>
      <c r="G1052" s="1"/>
      <c r="H1052" s="1">
        <v>10000.0</v>
      </c>
      <c r="I1052" s="1">
        <f t="shared" si="1"/>
        <v>10000</v>
      </c>
      <c r="J1052" s="1">
        <v>1000.0</v>
      </c>
      <c r="K1052" s="1"/>
      <c r="L1052" s="1" t="s">
        <v>2252</v>
      </c>
    </row>
    <row r="1053">
      <c r="A1053" s="1">
        <v>2019.0</v>
      </c>
      <c r="B1053" s="1">
        <v>8.0</v>
      </c>
      <c r="C1053" s="1" t="s">
        <v>116</v>
      </c>
      <c r="D1053" s="1" t="s">
        <v>158</v>
      </c>
      <c r="E1053" s="1" t="s">
        <v>21</v>
      </c>
      <c r="F1053" s="1">
        <v>100.0</v>
      </c>
      <c r="G1053" s="1"/>
      <c r="H1053" s="1">
        <v>10000.0</v>
      </c>
      <c r="I1053" s="1">
        <f t="shared" si="1"/>
        <v>10000</v>
      </c>
      <c r="J1053" s="1">
        <v>1000.0</v>
      </c>
      <c r="K1053" s="1"/>
      <c r="L1053" s="1" t="s">
        <v>2252</v>
      </c>
    </row>
    <row r="1054">
      <c r="A1054" s="1">
        <v>2019.0</v>
      </c>
      <c r="B1054" s="1">
        <v>9.0</v>
      </c>
      <c r="C1054" s="1" t="s">
        <v>12</v>
      </c>
      <c r="D1054" s="1" t="s">
        <v>13</v>
      </c>
      <c r="E1054" s="1" t="s">
        <v>14</v>
      </c>
      <c r="F1054" s="1">
        <v>100.0</v>
      </c>
      <c r="G1054" s="1"/>
      <c r="H1054" s="1">
        <v>10000.0</v>
      </c>
      <c r="I1054" s="1">
        <f t="shared" si="1"/>
        <v>10000</v>
      </c>
      <c r="J1054" s="1">
        <v>1000.0</v>
      </c>
      <c r="K1054" s="1"/>
      <c r="L1054" s="1" t="s">
        <v>2252</v>
      </c>
    </row>
    <row r="1055">
      <c r="A1055" s="1">
        <v>2019.0</v>
      </c>
      <c r="B1055" s="1">
        <v>9.0</v>
      </c>
      <c r="C1055" s="1" t="s">
        <v>12</v>
      </c>
      <c r="D1055" s="1" t="s">
        <v>13</v>
      </c>
      <c r="E1055" s="1" t="s">
        <v>17</v>
      </c>
      <c r="F1055" s="1">
        <v>100.0</v>
      </c>
      <c r="G1055" s="1"/>
      <c r="H1055" s="1">
        <v>10000.0</v>
      </c>
      <c r="I1055" s="1">
        <f t="shared" si="1"/>
        <v>10000</v>
      </c>
      <c r="J1055" s="1">
        <v>1000.0</v>
      </c>
      <c r="K1055" s="1"/>
      <c r="L1055" s="1" t="s">
        <v>2252</v>
      </c>
    </row>
    <row r="1056">
      <c r="A1056" s="1">
        <v>2019.0</v>
      </c>
      <c r="B1056" s="1">
        <v>9.0</v>
      </c>
      <c r="C1056" s="1" t="s">
        <v>12</v>
      </c>
      <c r="D1056" s="1" t="s">
        <v>13</v>
      </c>
      <c r="E1056" s="1" t="s">
        <v>21</v>
      </c>
      <c r="F1056" s="1">
        <v>100.0</v>
      </c>
      <c r="G1056" s="1"/>
      <c r="H1056" s="1">
        <v>10000.0</v>
      </c>
      <c r="I1056" s="1">
        <f t="shared" si="1"/>
        <v>10000</v>
      </c>
      <c r="J1056" s="1">
        <v>1000.0</v>
      </c>
      <c r="K1056" s="1"/>
      <c r="L1056" s="1" t="s">
        <v>2252</v>
      </c>
    </row>
    <row r="1057">
      <c r="A1057" s="1">
        <v>2019.0</v>
      </c>
      <c r="B1057" s="1">
        <v>9.0</v>
      </c>
      <c r="C1057" s="1" t="s">
        <v>12</v>
      </c>
      <c r="D1057" s="1" t="s">
        <v>13</v>
      </c>
      <c r="E1057" s="1" t="s">
        <v>25</v>
      </c>
      <c r="F1057" s="1">
        <v>100.0</v>
      </c>
      <c r="G1057" s="1"/>
      <c r="H1057" s="1">
        <v>10000.0</v>
      </c>
      <c r="I1057" s="1">
        <f t="shared" si="1"/>
        <v>10000</v>
      </c>
      <c r="J1057" s="1">
        <v>1000.0</v>
      </c>
      <c r="K1057" s="1"/>
      <c r="L1057" s="1" t="s">
        <v>2252</v>
      </c>
    </row>
    <row r="1058">
      <c r="A1058" s="1">
        <v>2019.0</v>
      </c>
      <c r="B1058" s="1">
        <v>9.0</v>
      </c>
      <c r="C1058" s="1" t="s">
        <v>12</v>
      </c>
      <c r="D1058" s="1" t="s">
        <v>29</v>
      </c>
      <c r="E1058" s="1" t="s">
        <v>21</v>
      </c>
      <c r="F1058" s="1">
        <v>100.0</v>
      </c>
      <c r="G1058" s="1"/>
      <c r="H1058" s="1">
        <v>10000.0</v>
      </c>
      <c r="I1058" s="1">
        <f t="shared" si="1"/>
        <v>10000</v>
      </c>
      <c r="J1058" s="1">
        <v>1000.0</v>
      </c>
      <c r="K1058" s="1"/>
      <c r="L1058" s="1" t="s">
        <v>2252</v>
      </c>
    </row>
    <row r="1059">
      <c r="A1059" s="1">
        <v>2019.0</v>
      </c>
      <c r="B1059" s="1">
        <v>9.0</v>
      </c>
      <c r="C1059" s="1" t="s">
        <v>12</v>
      </c>
      <c r="D1059" s="1" t="s">
        <v>32</v>
      </c>
      <c r="E1059" s="1" t="s">
        <v>14</v>
      </c>
      <c r="F1059" s="1">
        <v>100.0</v>
      </c>
      <c r="G1059" s="1"/>
      <c r="H1059" s="1">
        <v>10000.0</v>
      </c>
      <c r="I1059" s="1">
        <f t="shared" si="1"/>
        <v>10000</v>
      </c>
      <c r="J1059" s="1">
        <v>1000.0</v>
      </c>
      <c r="K1059" s="1"/>
      <c r="L1059" s="1" t="s">
        <v>2252</v>
      </c>
    </row>
    <row r="1060">
      <c r="A1060" s="1">
        <v>2019.0</v>
      </c>
      <c r="B1060" s="1">
        <v>9.0</v>
      </c>
      <c r="C1060" s="1" t="s">
        <v>12</v>
      </c>
      <c r="D1060" s="1" t="s">
        <v>32</v>
      </c>
      <c r="E1060" s="1" t="s">
        <v>21</v>
      </c>
      <c r="F1060" s="1">
        <v>100.0</v>
      </c>
      <c r="G1060" s="1"/>
      <c r="H1060" s="1">
        <v>10000.0</v>
      </c>
      <c r="I1060" s="1">
        <f t="shared" si="1"/>
        <v>10000</v>
      </c>
      <c r="J1060" s="1">
        <v>1000.0</v>
      </c>
      <c r="K1060" s="1"/>
      <c r="L1060" s="1" t="s">
        <v>2252</v>
      </c>
    </row>
    <row r="1061">
      <c r="A1061" s="1">
        <v>2019.0</v>
      </c>
      <c r="B1061" s="1">
        <v>9.0</v>
      </c>
      <c r="C1061" s="1" t="s">
        <v>12</v>
      </c>
      <c r="D1061" s="1" t="s">
        <v>38</v>
      </c>
      <c r="E1061" s="1" t="s">
        <v>39</v>
      </c>
      <c r="F1061" s="1">
        <v>100.0</v>
      </c>
      <c r="G1061" s="1"/>
      <c r="H1061" s="1">
        <v>10000.0</v>
      </c>
      <c r="I1061" s="1">
        <f t="shared" si="1"/>
        <v>10000</v>
      </c>
      <c r="J1061" s="1">
        <v>1000.0</v>
      </c>
      <c r="K1061" s="1"/>
      <c r="L1061" s="1" t="s">
        <v>2252</v>
      </c>
    </row>
    <row r="1062">
      <c r="A1062" s="1">
        <v>2019.0</v>
      </c>
      <c r="B1062" s="1">
        <v>9.0</v>
      </c>
      <c r="C1062" s="1" t="s">
        <v>12</v>
      </c>
      <c r="D1062" s="1" t="s">
        <v>42</v>
      </c>
      <c r="E1062" s="1" t="s">
        <v>17</v>
      </c>
      <c r="F1062" s="1">
        <v>100.0</v>
      </c>
      <c r="G1062" s="1"/>
      <c r="H1062" s="1">
        <v>10000.0</v>
      </c>
      <c r="I1062" s="1">
        <f t="shared" si="1"/>
        <v>10000</v>
      </c>
      <c r="J1062" s="1">
        <v>1000.0</v>
      </c>
      <c r="K1062" s="1"/>
      <c r="L1062" s="1" t="s">
        <v>2252</v>
      </c>
    </row>
    <row r="1063">
      <c r="A1063" s="1">
        <v>2019.0</v>
      </c>
      <c r="B1063" s="1">
        <v>9.0</v>
      </c>
      <c r="C1063" s="1" t="s">
        <v>12</v>
      </c>
      <c r="D1063" s="1" t="s">
        <v>45</v>
      </c>
      <c r="E1063" s="1" t="s">
        <v>17</v>
      </c>
      <c r="F1063" s="1">
        <v>100.0</v>
      </c>
      <c r="G1063" s="1"/>
      <c r="H1063" s="1">
        <v>10000.0</v>
      </c>
      <c r="I1063" s="1">
        <f t="shared" si="1"/>
        <v>10000</v>
      </c>
      <c r="J1063" s="1">
        <v>1000.0</v>
      </c>
      <c r="K1063" s="1"/>
      <c r="L1063" s="1" t="s">
        <v>2252</v>
      </c>
    </row>
    <row r="1064">
      <c r="A1064" s="1">
        <v>2019.0</v>
      </c>
      <c r="B1064" s="1">
        <v>9.0</v>
      </c>
      <c r="C1064" s="1" t="s">
        <v>12</v>
      </c>
      <c r="D1064" s="1" t="s">
        <v>56</v>
      </c>
      <c r="E1064" s="1" t="s">
        <v>21</v>
      </c>
      <c r="F1064" s="1">
        <v>100.0</v>
      </c>
      <c r="G1064" s="1"/>
      <c r="H1064" s="1">
        <v>10000.0</v>
      </c>
      <c r="I1064" s="1">
        <f t="shared" si="1"/>
        <v>10000</v>
      </c>
      <c r="J1064" s="1">
        <v>1000.0</v>
      </c>
      <c r="K1064" s="1"/>
      <c r="L1064" s="1" t="s">
        <v>2252</v>
      </c>
    </row>
    <row r="1065">
      <c r="A1065" s="1">
        <v>2019.0</v>
      </c>
      <c r="B1065" s="1">
        <v>9.0</v>
      </c>
      <c r="C1065" s="1" t="s">
        <v>12</v>
      </c>
      <c r="D1065" s="1" t="s">
        <v>60</v>
      </c>
      <c r="E1065" s="1" t="s">
        <v>39</v>
      </c>
      <c r="F1065" s="1">
        <v>100.0</v>
      </c>
      <c r="G1065" s="1"/>
      <c r="H1065" s="1">
        <v>10000.0</v>
      </c>
      <c r="I1065" s="1">
        <f t="shared" si="1"/>
        <v>10000</v>
      </c>
      <c r="J1065" s="1">
        <v>1000.0</v>
      </c>
      <c r="K1065" s="1"/>
      <c r="L1065" s="1" t="s">
        <v>2252</v>
      </c>
    </row>
    <row r="1066">
      <c r="A1066" s="1">
        <v>2019.0</v>
      </c>
      <c r="B1066" s="1">
        <v>9.0</v>
      </c>
      <c r="C1066" s="1" t="s">
        <v>12</v>
      </c>
      <c r="D1066" s="1" t="s">
        <v>64</v>
      </c>
      <c r="E1066" s="1" t="s">
        <v>21</v>
      </c>
      <c r="F1066" s="1">
        <v>100.0</v>
      </c>
      <c r="G1066" s="1"/>
      <c r="H1066" s="1">
        <v>10000.0</v>
      </c>
      <c r="I1066" s="1">
        <f t="shared" si="1"/>
        <v>10000</v>
      </c>
      <c r="J1066" s="1">
        <v>1000.0</v>
      </c>
      <c r="K1066" s="1"/>
      <c r="L1066" s="1" t="s">
        <v>2252</v>
      </c>
    </row>
    <row r="1067">
      <c r="A1067" s="1">
        <v>2019.0</v>
      </c>
      <c r="B1067" s="1">
        <v>9.0</v>
      </c>
      <c r="C1067" s="1" t="s">
        <v>12</v>
      </c>
      <c r="D1067" s="1" t="s">
        <v>48</v>
      </c>
      <c r="E1067" s="1" t="s">
        <v>49</v>
      </c>
      <c r="F1067" s="1">
        <v>100.0</v>
      </c>
      <c r="G1067" s="1"/>
      <c r="H1067" s="1">
        <v>10000.0</v>
      </c>
      <c r="I1067" s="1">
        <f t="shared" si="1"/>
        <v>10000</v>
      </c>
      <c r="J1067" s="1">
        <v>1000.0</v>
      </c>
      <c r="K1067" s="1"/>
      <c r="L1067" s="1" t="s">
        <v>2252</v>
      </c>
    </row>
    <row r="1068">
      <c r="A1068" s="1">
        <v>2019.0</v>
      </c>
      <c r="B1068" s="1">
        <v>9.0</v>
      </c>
      <c r="C1068" s="1" t="s">
        <v>12</v>
      </c>
      <c r="D1068" s="1" t="s">
        <v>48</v>
      </c>
      <c r="E1068" s="1" t="s">
        <v>21</v>
      </c>
      <c r="F1068" s="1">
        <v>100.0</v>
      </c>
      <c r="G1068" s="1"/>
      <c r="H1068" s="1">
        <v>10000.0</v>
      </c>
      <c r="I1068" s="1">
        <f t="shared" si="1"/>
        <v>10000</v>
      </c>
      <c r="J1068" s="1">
        <v>1000.0</v>
      </c>
      <c r="K1068" s="1"/>
      <c r="L1068" s="1" t="s">
        <v>2252</v>
      </c>
    </row>
    <row r="1069">
      <c r="A1069" s="1">
        <v>2019.0</v>
      </c>
      <c r="B1069" s="1">
        <v>9.0</v>
      </c>
      <c r="C1069" s="1" t="s">
        <v>68</v>
      </c>
      <c r="D1069" s="1" t="s">
        <v>13</v>
      </c>
      <c r="E1069" s="1" t="s">
        <v>14</v>
      </c>
      <c r="F1069" s="1">
        <v>100.0</v>
      </c>
      <c r="G1069" s="1"/>
      <c r="H1069" s="1">
        <v>10000.0</v>
      </c>
      <c r="I1069" s="1">
        <f t="shared" si="1"/>
        <v>10000</v>
      </c>
      <c r="J1069" s="1">
        <v>1000.0</v>
      </c>
      <c r="K1069" s="1"/>
      <c r="L1069" s="1" t="s">
        <v>2252</v>
      </c>
    </row>
    <row r="1070">
      <c r="A1070" s="1">
        <v>2019.0</v>
      </c>
      <c r="B1070" s="1">
        <v>9.0</v>
      </c>
      <c r="C1070" s="1" t="s">
        <v>68</v>
      </c>
      <c r="D1070" s="1" t="s">
        <v>13</v>
      </c>
      <c r="E1070" s="1" t="s">
        <v>17</v>
      </c>
      <c r="F1070" s="1">
        <v>100.0</v>
      </c>
      <c r="G1070" s="1"/>
      <c r="H1070" s="1">
        <v>10000.0</v>
      </c>
      <c r="I1070" s="1">
        <f t="shared" si="1"/>
        <v>10000</v>
      </c>
      <c r="J1070" s="1">
        <v>1000.0</v>
      </c>
      <c r="K1070" s="1"/>
      <c r="L1070" s="1" t="s">
        <v>2252</v>
      </c>
    </row>
    <row r="1071">
      <c r="A1071" s="1">
        <v>2019.0</v>
      </c>
      <c r="B1071" s="1">
        <v>9.0</v>
      </c>
      <c r="C1071" s="1" t="s">
        <v>68</v>
      </c>
      <c r="D1071" s="1" t="s">
        <v>13</v>
      </c>
      <c r="E1071" s="1" t="s">
        <v>21</v>
      </c>
      <c r="F1071" s="1">
        <v>100.0</v>
      </c>
      <c r="G1071" s="1"/>
      <c r="H1071" s="1">
        <v>10000.0</v>
      </c>
      <c r="I1071" s="1">
        <f t="shared" si="1"/>
        <v>10000</v>
      </c>
      <c r="J1071" s="1">
        <v>1000.0</v>
      </c>
      <c r="K1071" s="1"/>
      <c r="L1071" s="1" t="s">
        <v>2252</v>
      </c>
    </row>
    <row r="1072">
      <c r="A1072" s="1">
        <v>2019.0</v>
      </c>
      <c r="B1072" s="1">
        <v>9.0</v>
      </c>
      <c r="C1072" s="1" t="s">
        <v>68</v>
      </c>
      <c r="D1072" s="1" t="s">
        <v>13</v>
      </c>
      <c r="E1072" s="1" t="s">
        <v>25</v>
      </c>
      <c r="F1072" s="1">
        <v>100.0</v>
      </c>
      <c r="G1072" s="1"/>
      <c r="H1072" s="1">
        <v>10000.0</v>
      </c>
      <c r="I1072" s="1">
        <f t="shared" si="1"/>
        <v>10000</v>
      </c>
      <c r="J1072" s="1">
        <v>1000.0</v>
      </c>
      <c r="K1072" s="1"/>
      <c r="L1072" s="1" t="s">
        <v>2252</v>
      </c>
    </row>
    <row r="1073">
      <c r="A1073" s="1">
        <v>2019.0</v>
      </c>
      <c r="B1073" s="1">
        <v>9.0</v>
      </c>
      <c r="C1073" s="1" t="s">
        <v>68</v>
      </c>
      <c r="D1073" s="1" t="s">
        <v>29</v>
      </c>
      <c r="E1073" s="1" t="s">
        <v>21</v>
      </c>
      <c r="F1073" s="1">
        <v>100.0</v>
      </c>
      <c r="G1073" s="1"/>
      <c r="H1073" s="1">
        <v>10000.0</v>
      </c>
      <c r="I1073" s="1">
        <f t="shared" si="1"/>
        <v>10000</v>
      </c>
      <c r="J1073" s="1">
        <v>1000.0</v>
      </c>
      <c r="K1073" s="1"/>
      <c r="L1073" s="1" t="s">
        <v>2252</v>
      </c>
    </row>
    <row r="1074">
      <c r="A1074" s="1">
        <v>2019.0</v>
      </c>
      <c r="B1074" s="1">
        <v>9.0</v>
      </c>
      <c r="C1074" s="1" t="s">
        <v>68</v>
      </c>
      <c r="D1074" s="1" t="s">
        <v>32</v>
      </c>
      <c r="E1074" s="1" t="s">
        <v>14</v>
      </c>
      <c r="F1074" s="1">
        <v>100.0</v>
      </c>
      <c r="G1074" s="1"/>
      <c r="H1074" s="1">
        <v>10000.0</v>
      </c>
      <c r="I1074" s="1">
        <f t="shared" si="1"/>
        <v>10000</v>
      </c>
      <c r="J1074" s="1">
        <v>1000.0</v>
      </c>
      <c r="K1074" s="1"/>
      <c r="L1074" s="1" t="s">
        <v>2252</v>
      </c>
    </row>
    <row r="1075">
      <c r="A1075" s="1">
        <v>2019.0</v>
      </c>
      <c r="B1075" s="1">
        <v>9.0</v>
      </c>
      <c r="C1075" s="1" t="s">
        <v>68</v>
      </c>
      <c r="D1075" s="1" t="s">
        <v>32</v>
      </c>
      <c r="E1075" s="1" t="s">
        <v>21</v>
      </c>
      <c r="F1075" s="1">
        <v>100.0</v>
      </c>
      <c r="G1075" s="1"/>
      <c r="H1075" s="1">
        <v>10000.0</v>
      </c>
      <c r="I1075" s="1">
        <f t="shared" si="1"/>
        <v>10000</v>
      </c>
      <c r="J1075" s="1">
        <v>1000.0</v>
      </c>
      <c r="K1075" s="1"/>
      <c r="L1075" s="1" t="s">
        <v>2252</v>
      </c>
    </row>
    <row r="1076">
      <c r="A1076" s="1">
        <v>2019.0</v>
      </c>
      <c r="B1076" s="1">
        <v>9.0</v>
      </c>
      <c r="C1076" s="1" t="s">
        <v>68</v>
      </c>
      <c r="D1076" s="1" t="s">
        <v>45</v>
      </c>
      <c r="E1076" s="1" t="s">
        <v>17</v>
      </c>
      <c r="F1076" s="1">
        <v>100.0</v>
      </c>
      <c r="G1076" s="1"/>
      <c r="H1076" s="1">
        <v>10000.0</v>
      </c>
      <c r="I1076" s="1">
        <f t="shared" si="1"/>
        <v>10000</v>
      </c>
      <c r="J1076" s="1">
        <v>1000.0</v>
      </c>
      <c r="K1076" s="1"/>
      <c r="L1076" s="1" t="s">
        <v>2252</v>
      </c>
    </row>
    <row r="1077">
      <c r="A1077" s="1">
        <v>2019.0</v>
      </c>
      <c r="B1077" s="1">
        <v>9.0</v>
      </c>
      <c r="C1077" s="1" t="s">
        <v>68</v>
      </c>
      <c r="D1077" s="1" t="s">
        <v>38</v>
      </c>
      <c r="E1077" s="1" t="s">
        <v>39</v>
      </c>
      <c r="F1077" s="1">
        <v>100.0</v>
      </c>
      <c r="G1077" s="1"/>
      <c r="H1077" s="1">
        <v>10000.0</v>
      </c>
      <c r="I1077" s="1">
        <f t="shared" si="1"/>
        <v>10000</v>
      </c>
      <c r="J1077" s="1">
        <v>1000.0</v>
      </c>
      <c r="K1077" s="1"/>
      <c r="L1077" s="1" t="s">
        <v>2252</v>
      </c>
    </row>
    <row r="1078">
      <c r="A1078" s="1">
        <v>2019.0</v>
      </c>
      <c r="B1078" s="1">
        <v>9.0</v>
      </c>
      <c r="C1078" s="1" t="s">
        <v>68</v>
      </c>
      <c r="D1078" s="1" t="s">
        <v>42</v>
      </c>
      <c r="E1078" s="1" t="s">
        <v>17</v>
      </c>
      <c r="F1078" s="1">
        <v>100.0</v>
      </c>
      <c r="G1078" s="1"/>
      <c r="H1078" s="1">
        <v>10000.0</v>
      </c>
      <c r="I1078" s="1">
        <f t="shared" si="1"/>
        <v>10000</v>
      </c>
      <c r="J1078" s="1">
        <v>1000.0</v>
      </c>
      <c r="K1078" s="1"/>
      <c r="L1078" s="1" t="s">
        <v>2252</v>
      </c>
    </row>
    <row r="1079">
      <c r="A1079" s="1">
        <v>2019.0</v>
      </c>
      <c r="B1079" s="1">
        <v>9.0</v>
      </c>
      <c r="C1079" s="1" t="s">
        <v>68</v>
      </c>
      <c r="D1079" s="1" t="s">
        <v>102</v>
      </c>
      <c r="E1079" s="1" t="s">
        <v>39</v>
      </c>
      <c r="F1079" s="1">
        <v>100.0</v>
      </c>
      <c r="G1079" s="1"/>
      <c r="H1079" s="1">
        <v>10000.0</v>
      </c>
      <c r="I1079" s="1">
        <f t="shared" si="1"/>
        <v>10000</v>
      </c>
      <c r="J1079" s="1">
        <v>1000.0</v>
      </c>
      <c r="K1079" s="1"/>
      <c r="L1079" s="1" t="s">
        <v>2252</v>
      </c>
    </row>
    <row r="1080">
      <c r="A1080" s="1">
        <v>2019.0</v>
      </c>
      <c r="B1080" s="1">
        <v>9.0</v>
      </c>
      <c r="C1080" s="1" t="s">
        <v>68</v>
      </c>
      <c r="D1080" s="1" t="s">
        <v>102</v>
      </c>
      <c r="E1080" s="1" t="s">
        <v>21</v>
      </c>
      <c r="F1080" s="1">
        <v>100.0</v>
      </c>
      <c r="G1080" s="1"/>
      <c r="H1080" s="1">
        <v>10000.0</v>
      </c>
      <c r="I1080" s="1">
        <f t="shared" si="1"/>
        <v>10000</v>
      </c>
      <c r="J1080" s="1">
        <v>1000.0</v>
      </c>
      <c r="K1080" s="1"/>
      <c r="L1080" s="1" t="s">
        <v>2252</v>
      </c>
    </row>
    <row r="1081">
      <c r="A1081" s="1">
        <v>2019.0</v>
      </c>
      <c r="B1081" s="1">
        <v>9.0</v>
      </c>
      <c r="C1081" s="1" t="s">
        <v>68</v>
      </c>
      <c r="D1081" s="1" t="s">
        <v>112</v>
      </c>
      <c r="E1081" s="1" t="s">
        <v>21</v>
      </c>
      <c r="F1081" s="1">
        <v>100.0</v>
      </c>
      <c r="G1081" s="1"/>
      <c r="H1081" s="1">
        <v>10000.0</v>
      </c>
      <c r="I1081" s="1">
        <f t="shared" si="1"/>
        <v>10000</v>
      </c>
      <c r="J1081" s="1">
        <v>1000.0</v>
      </c>
      <c r="K1081" s="1"/>
      <c r="L1081" s="1" t="s">
        <v>2252</v>
      </c>
    </row>
    <row r="1082">
      <c r="A1082" s="1">
        <v>2019.0</v>
      </c>
      <c r="B1082" s="1">
        <v>9.0</v>
      </c>
      <c r="C1082" s="1" t="s">
        <v>68</v>
      </c>
      <c r="D1082" s="1" t="s">
        <v>165</v>
      </c>
      <c r="E1082" s="1" t="s">
        <v>17</v>
      </c>
      <c r="F1082" s="1">
        <v>100.0</v>
      </c>
      <c r="G1082" s="1"/>
      <c r="H1082" s="1">
        <v>10000.0</v>
      </c>
      <c r="I1082" s="1">
        <f t="shared" si="1"/>
        <v>10000</v>
      </c>
      <c r="J1082" s="1">
        <v>1000.0</v>
      </c>
      <c r="K1082" s="1"/>
      <c r="L1082" s="1" t="s">
        <v>2252</v>
      </c>
    </row>
    <row r="1083">
      <c r="A1083" s="1">
        <v>2019.0</v>
      </c>
      <c r="B1083" s="1">
        <v>9.0</v>
      </c>
      <c r="C1083" s="1" t="s">
        <v>116</v>
      </c>
      <c r="D1083" s="1" t="s">
        <v>13</v>
      </c>
      <c r="E1083" s="1" t="s">
        <v>14</v>
      </c>
      <c r="F1083" s="1">
        <v>100.0</v>
      </c>
      <c r="G1083" s="1"/>
      <c r="H1083" s="1">
        <v>10000.0</v>
      </c>
      <c r="I1083" s="1">
        <f t="shared" si="1"/>
        <v>10000</v>
      </c>
      <c r="J1083" s="1">
        <v>1000.0</v>
      </c>
      <c r="K1083" s="1"/>
      <c r="L1083" s="1" t="s">
        <v>2252</v>
      </c>
    </row>
    <row r="1084">
      <c r="A1084" s="1">
        <v>2019.0</v>
      </c>
      <c r="B1084" s="1">
        <v>9.0</v>
      </c>
      <c r="C1084" s="1" t="s">
        <v>116</v>
      </c>
      <c r="D1084" s="1" t="s">
        <v>13</v>
      </c>
      <c r="E1084" s="1" t="s">
        <v>72</v>
      </c>
      <c r="F1084" s="1">
        <v>100.0</v>
      </c>
      <c r="G1084" s="1"/>
      <c r="H1084" s="1">
        <v>10000.0</v>
      </c>
      <c r="I1084" s="1">
        <f t="shared" si="1"/>
        <v>10000</v>
      </c>
      <c r="J1084" s="1">
        <v>1000.0</v>
      </c>
      <c r="K1084" s="1"/>
      <c r="L1084" s="1" t="s">
        <v>2252</v>
      </c>
    </row>
    <row r="1085">
      <c r="A1085" s="1">
        <v>2019.0</v>
      </c>
      <c r="B1085" s="1">
        <v>9.0</v>
      </c>
      <c r="C1085" s="1" t="s">
        <v>116</v>
      </c>
      <c r="D1085" s="1" t="s">
        <v>13</v>
      </c>
      <c r="E1085" s="1" t="s">
        <v>17</v>
      </c>
      <c r="F1085" s="1">
        <v>100.0</v>
      </c>
      <c r="G1085" s="1"/>
      <c r="H1085" s="1">
        <v>10000.0</v>
      </c>
      <c r="I1085" s="1">
        <f t="shared" si="1"/>
        <v>10000</v>
      </c>
      <c r="J1085" s="1">
        <v>1000.0</v>
      </c>
      <c r="K1085" s="1"/>
      <c r="L1085" s="1" t="s">
        <v>2252</v>
      </c>
    </row>
    <row r="1086">
      <c r="A1086" s="1">
        <v>2019.0</v>
      </c>
      <c r="B1086" s="1">
        <v>9.0</v>
      </c>
      <c r="C1086" s="1" t="s">
        <v>116</v>
      </c>
      <c r="D1086" s="1" t="s">
        <v>13</v>
      </c>
      <c r="E1086" s="1" t="s">
        <v>21</v>
      </c>
      <c r="F1086" s="1">
        <v>100.0</v>
      </c>
      <c r="G1086" s="1"/>
      <c r="H1086" s="1">
        <v>10000.0</v>
      </c>
      <c r="I1086" s="1">
        <f t="shared" si="1"/>
        <v>10000</v>
      </c>
      <c r="J1086" s="1">
        <v>1000.0</v>
      </c>
      <c r="K1086" s="1"/>
      <c r="L1086" s="1" t="s">
        <v>2252</v>
      </c>
    </row>
    <row r="1087">
      <c r="A1087" s="1">
        <v>2019.0</v>
      </c>
      <c r="B1087" s="1">
        <v>9.0</v>
      </c>
      <c r="C1087" s="1" t="s">
        <v>116</v>
      </c>
      <c r="D1087" s="1" t="s">
        <v>13</v>
      </c>
      <c r="E1087" s="1" t="s">
        <v>25</v>
      </c>
      <c r="F1087" s="1">
        <v>100.0</v>
      </c>
      <c r="G1087" s="1"/>
      <c r="H1087" s="1">
        <v>10000.0</v>
      </c>
      <c r="I1087" s="1">
        <f t="shared" si="1"/>
        <v>10000</v>
      </c>
      <c r="J1087" s="1">
        <v>1000.0</v>
      </c>
      <c r="K1087" s="1"/>
      <c r="L1087" s="1" t="s">
        <v>2252</v>
      </c>
    </row>
    <row r="1088">
      <c r="A1088" s="1">
        <v>2019.0</v>
      </c>
      <c r="B1088" s="1">
        <v>9.0</v>
      </c>
      <c r="C1088" s="1" t="s">
        <v>116</v>
      </c>
      <c r="D1088" s="1" t="s">
        <v>29</v>
      </c>
      <c r="E1088" s="1" t="s">
        <v>21</v>
      </c>
      <c r="F1088" s="1">
        <v>100.0</v>
      </c>
      <c r="G1088" s="1"/>
      <c r="H1088" s="1">
        <v>10000.0</v>
      </c>
      <c r="I1088" s="1">
        <f t="shared" si="1"/>
        <v>10000</v>
      </c>
      <c r="J1088" s="1">
        <v>1000.0</v>
      </c>
      <c r="K1088" s="1"/>
      <c r="L1088" s="1" t="s">
        <v>2252</v>
      </c>
    </row>
    <row r="1089">
      <c r="A1089" s="1">
        <v>2019.0</v>
      </c>
      <c r="B1089" s="1">
        <v>9.0</v>
      </c>
      <c r="C1089" s="1" t="s">
        <v>116</v>
      </c>
      <c r="D1089" s="1" t="s">
        <v>32</v>
      </c>
      <c r="E1089" s="1" t="s">
        <v>14</v>
      </c>
      <c r="F1089" s="1">
        <v>100.0</v>
      </c>
      <c r="G1089" s="1"/>
      <c r="H1089" s="1">
        <v>10000.0</v>
      </c>
      <c r="I1089" s="1">
        <f t="shared" si="1"/>
        <v>10000</v>
      </c>
      <c r="J1089" s="1">
        <v>1000.0</v>
      </c>
      <c r="K1089" s="1"/>
      <c r="L1089" s="1" t="s">
        <v>2252</v>
      </c>
    </row>
    <row r="1090">
      <c r="A1090" s="1">
        <v>2019.0</v>
      </c>
      <c r="B1090" s="1">
        <v>9.0</v>
      </c>
      <c r="C1090" s="1" t="s">
        <v>116</v>
      </c>
      <c r="D1090" s="1" t="s">
        <v>32</v>
      </c>
      <c r="E1090" s="1" t="s">
        <v>21</v>
      </c>
      <c r="F1090" s="1">
        <v>100.0</v>
      </c>
      <c r="G1090" s="1"/>
      <c r="H1090" s="1">
        <v>10000.0</v>
      </c>
      <c r="I1090" s="1">
        <f t="shared" si="1"/>
        <v>10000</v>
      </c>
      <c r="J1090" s="1">
        <v>1000.0</v>
      </c>
      <c r="K1090" s="1"/>
      <c r="L1090" s="1" t="s">
        <v>2252</v>
      </c>
    </row>
    <row r="1091">
      <c r="A1091" s="1">
        <v>2019.0</v>
      </c>
      <c r="B1091" s="1">
        <v>9.0</v>
      </c>
      <c r="C1091" s="1" t="s">
        <v>116</v>
      </c>
      <c r="D1091" s="1" t="s">
        <v>45</v>
      </c>
      <c r="E1091" s="1" t="s">
        <v>17</v>
      </c>
      <c r="F1091" s="1">
        <v>100.0</v>
      </c>
      <c r="G1091" s="1"/>
      <c r="H1091" s="1">
        <v>10000.0</v>
      </c>
      <c r="I1091" s="1">
        <f t="shared" si="1"/>
        <v>10000</v>
      </c>
      <c r="J1091" s="1">
        <v>1000.0</v>
      </c>
      <c r="K1091" s="1"/>
      <c r="L1091" s="1" t="s">
        <v>2252</v>
      </c>
    </row>
    <row r="1092">
      <c r="A1092" s="1">
        <v>2019.0</v>
      </c>
      <c r="B1092" s="1">
        <v>9.0</v>
      </c>
      <c r="C1092" s="1" t="s">
        <v>116</v>
      </c>
      <c r="D1092" s="1" t="s">
        <v>42</v>
      </c>
      <c r="E1092" s="1" t="s">
        <v>17</v>
      </c>
      <c r="F1092" s="1">
        <v>100.0</v>
      </c>
      <c r="G1092" s="1"/>
      <c r="H1092" s="1">
        <v>10000.0</v>
      </c>
      <c r="I1092" s="1">
        <f t="shared" si="1"/>
        <v>10000</v>
      </c>
      <c r="J1092" s="1">
        <v>1000.0</v>
      </c>
      <c r="K1092" s="1"/>
      <c r="L1092" s="1" t="s">
        <v>2252</v>
      </c>
    </row>
    <row r="1093">
      <c r="A1093" s="1">
        <v>2019.0</v>
      </c>
      <c r="B1093" s="1">
        <v>9.0</v>
      </c>
      <c r="C1093" s="1" t="s">
        <v>116</v>
      </c>
      <c r="D1093" s="1" t="s">
        <v>102</v>
      </c>
      <c r="E1093" s="1" t="s">
        <v>39</v>
      </c>
      <c r="F1093" s="1">
        <v>100.0</v>
      </c>
      <c r="G1093" s="1"/>
      <c r="H1093" s="1">
        <v>10000.0</v>
      </c>
      <c r="I1093" s="1">
        <f t="shared" si="1"/>
        <v>10000</v>
      </c>
      <c r="J1093" s="1">
        <v>1000.0</v>
      </c>
      <c r="K1093" s="1"/>
      <c r="L1093" s="1" t="s">
        <v>2252</v>
      </c>
    </row>
    <row r="1094">
      <c r="A1094" s="1">
        <v>2019.0</v>
      </c>
      <c r="B1094" s="1">
        <v>9.0</v>
      </c>
      <c r="C1094" s="1" t="s">
        <v>116</v>
      </c>
      <c r="D1094" s="1" t="s">
        <v>102</v>
      </c>
      <c r="E1094" s="1" t="s">
        <v>21</v>
      </c>
      <c r="F1094" s="1">
        <v>100.0</v>
      </c>
      <c r="G1094" s="1"/>
      <c r="H1094" s="1">
        <v>10000.0</v>
      </c>
      <c r="I1094" s="1">
        <f t="shared" si="1"/>
        <v>10000</v>
      </c>
      <c r="J1094" s="1">
        <v>1000.0</v>
      </c>
      <c r="K1094" s="1"/>
      <c r="L1094" s="1" t="s">
        <v>2252</v>
      </c>
    </row>
    <row r="1095">
      <c r="A1095" s="1">
        <v>2019.0</v>
      </c>
      <c r="B1095" s="1">
        <v>9.0</v>
      </c>
      <c r="C1095" s="1" t="s">
        <v>116</v>
      </c>
      <c r="D1095" s="1" t="s">
        <v>345</v>
      </c>
      <c r="E1095" s="1" t="s">
        <v>72</v>
      </c>
      <c r="F1095" s="1">
        <v>100.0</v>
      </c>
      <c r="G1095" s="1"/>
      <c r="H1095" s="1">
        <v>10000.0</v>
      </c>
      <c r="I1095" s="1">
        <f t="shared" si="1"/>
        <v>10000</v>
      </c>
      <c r="J1095" s="1">
        <v>1000.0</v>
      </c>
      <c r="K1095" s="1"/>
      <c r="L1095" s="1" t="s">
        <v>2252</v>
      </c>
    </row>
    <row r="1096">
      <c r="A1096" s="1">
        <v>2019.0</v>
      </c>
      <c r="B1096" s="1">
        <v>9.0</v>
      </c>
      <c r="C1096" s="1" t="s">
        <v>116</v>
      </c>
      <c r="D1096" s="1" t="s">
        <v>345</v>
      </c>
      <c r="E1096" s="1" t="s">
        <v>21</v>
      </c>
      <c r="F1096" s="1">
        <v>100.0</v>
      </c>
      <c r="G1096" s="1"/>
      <c r="H1096" s="1">
        <v>10000.0</v>
      </c>
      <c r="I1096" s="1">
        <f t="shared" si="1"/>
        <v>10000</v>
      </c>
      <c r="J1096" s="1">
        <v>1000.0</v>
      </c>
      <c r="K1096" s="1"/>
      <c r="L1096" s="1" t="s">
        <v>2252</v>
      </c>
    </row>
    <row r="1097">
      <c r="A1097" s="1">
        <v>2019.0</v>
      </c>
      <c r="B1097" s="1">
        <v>9.0</v>
      </c>
      <c r="C1097" s="1" t="s">
        <v>116</v>
      </c>
      <c r="D1097" s="1" t="s">
        <v>158</v>
      </c>
      <c r="E1097" s="1" t="s">
        <v>39</v>
      </c>
      <c r="F1097" s="1">
        <v>100.0</v>
      </c>
      <c r="G1097" s="1"/>
      <c r="H1097" s="1">
        <v>10000.0</v>
      </c>
      <c r="I1097" s="1">
        <f t="shared" si="1"/>
        <v>10000</v>
      </c>
      <c r="J1097" s="1">
        <v>1000.0</v>
      </c>
      <c r="K1097" s="1"/>
      <c r="L1097" s="1" t="s">
        <v>2252</v>
      </c>
    </row>
    <row r="1098">
      <c r="A1098" s="1">
        <v>2019.0</v>
      </c>
      <c r="B1098" s="1">
        <v>9.0</v>
      </c>
      <c r="C1098" s="1" t="s">
        <v>116</v>
      </c>
      <c r="D1098" s="1" t="s">
        <v>158</v>
      </c>
      <c r="E1098" s="1" t="s">
        <v>17</v>
      </c>
      <c r="F1098" s="1">
        <v>100.0</v>
      </c>
      <c r="G1098" s="1"/>
      <c r="H1098" s="1">
        <v>10000.0</v>
      </c>
      <c r="I1098" s="1">
        <f t="shared" si="1"/>
        <v>10000</v>
      </c>
      <c r="J1098" s="1">
        <v>1000.0</v>
      </c>
      <c r="K1098" s="1"/>
      <c r="L1098" s="1" t="s">
        <v>2252</v>
      </c>
    </row>
    <row r="1099">
      <c r="A1099" s="1">
        <v>2019.0</v>
      </c>
      <c r="B1099" s="1">
        <v>9.0</v>
      </c>
      <c r="C1099" s="1" t="s">
        <v>116</v>
      </c>
      <c r="D1099" s="1" t="s">
        <v>158</v>
      </c>
      <c r="E1099" s="1" t="s">
        <v>21</v>
      </c>
      <c r="F1099" s="1">
        <v>100.0</v>
      </c>
      <c r="G1099" s="1"/>
      <c r="H1099" s="1">
        <v>10000.0</v>
      </c>
      <c r="I1099" s="1">
        <f t="shared" si="1"/>
        <v>10000</v>
      </c>
      <c r="J1099" s="1">
        <v>1000.0</v>
      </c>
      <c r="K1099" s="1"/>
      <c r="L1099" s="1" t="s">
        <v>2252</v>
      </c>
    </row>
    <row r="1100">
      <c r="A1100" s="1">
        <v>2019.0</v>
      </c>
      <c r="B1100" s="1">
        <v>9.0</v>
      </c>
      <c r="C1100" s="1" t="s">
        <v>116</v>
      </c>
      <c r="D1100" s="1" t="s">
        <v>147</v>
      </c>
      <c r="E1100" s="1" t="s">
        <v>39</v>
      </c>
      <c r="F1100" s="1">
        <v>100.0</v>
      </c>
      <c r="G1100" s="1"/>
      <c r="H1100" s="1">
        <v>10000.0</v>
      </c>
      <c r="I1100" s="1">
        <f t="shared" si="1"/>
        <v>10000</v>
      </c>
      <c r="J1100" s="1">
        <v>1000.0</v>
      </c>
      <c r="K1100" s="1"/>
      <c r="L1100" s="1" t="s">
        <v>2252</v>
      </c>
    </row>
    <row r="1101">
      <c r="A1101" s="1">
        <v>2019.0</v>
      </c>
      <c r="B1101" s="1">
        <v>9.0</v>
      </c>
      <c r="C1101" s="1" t="s">
        <v>116</v>
      </c>
      <c r="D1101" s="1" t="s">
        <v>147</v>
      </c>
      <c r="E1101" s="1" t="s">
        <v>17</v>
      </c>
      <c r="F1101" s="1">
        <v>100.0</v>
      </c>
      <c r="G1101" s="1"/>
      <c r="H1101" s="1">
        <v>10000.0</v>
      </c>
      <c r="I1101" s="1">
        <f t="shared" si="1"/>
        <v>10000</v>
      </c>
      <c r="J1101" s="1">
        <v>1000.0</v>
      </c>
      <c r="K1101" s="1"/>
      <c r="L1101" s="1" t="s">
        <v>2252</v>
      </c>
    </row>
    <row r="1102">
      <c r="A1102" s="1">
        <v>2019.0</v>
      </c>
      <c r="B1102" s="1">
        <v>9.0</v>
      </c>
      <c r="C1102" s="1" t="s">
        <v>116</v>
      </c>
      <c r="D1102" s="1" t="s">
        <v>147</v>
      </c>
      <c r="E1102" s="1" t="s">
        <v>21</v>
      </c>
      <c r="F1102" s="1">
        <v>100.0</v>
      </c>
      <c r="G1102" s="1"/>
      <c r="H1102" s="1">
        <v>10000.0</v>
      </c>
      <c r="I1102" s="1">
        <f t="shared" si="1"/>
        <v>10000</v>
      </c>
      <c r="J1102" s="1">
        <v>1000.0</v>
      </c>
      <c r="K1102" s="1"/>
      <c r="L1102" s="1" t="s">
        <v>2252</v>
      </c>
    </row>
    <row r="1103">
      <c r="A1103" s="1">
        <v>2019.0</v>
      </c>
      <c r="B1103" s="1">
        <v>9.0</v>
      </c>
      <c r="C1103" s="1" t="s">
        <v>116</v>
      </c>
      <c r="D1103" s="1" t="s">
        <v>1949</v>
      </c>
      <c r="E1103" s="1" t="s">
        <v>14</v>
      </c>
      <c r="F1103" s="1">
        <v>100.0</v>
      </c>
      <c r="G1103" s="1"/>
      <c r="H1103" s="1">
        <v>10000.0</v>
      </c>
      <c r="I1103" s="1">
        <f t="shared" si="1"/>
        <v>10000</v>
      </c>
      <c r="J1103" s="1">
        <v>1000.0</v>
      </c>
      <c r="K1103" s="1"/>
      <c r="L1103" s="1" t="s">
        <v>2252</v>
      </c>
    </row>
    <row r="1104">
      <c r="A1104" s="1">
        <v>2019.0</v>
      </c>
      <c r="B1104" s="1">
        <v>9.0</v>
      </c>
      <c r="C1104" s="1" t="s">
        <v>116</v>
      </c>
      <c r="D1104" s="1" t="s">
        <v>1949</v>
      </c>
      <c r="E1104" s="1" t="s">
        <v>17</v>
      </c>
      <c r="F1104" s="1">
        <v>100.0</v>
      </c>
      <c r="G1104" s="1"/>
      <c r="H1104" s="1">
        <v>10000.0</v>
      </c>
      <c r="I1104" s="1">
        <f t="shared" si="1"/>
        <v>10000</v>
      </c>
      <c r="J1104" s="1">
        <v>1000.0</v>
      </c>
      <c r="K1104" s="1"/>
      <c r="L1104" s="1" t="s">
        <v>2252</v>
      </c>
    </row>
    <row r="1105">
      <c r="A1105" s="1">
        <v>2019.0</v>
      </c>
      <c r="B1105" s="1">
        <v>10.0</v>
      </c>
      <c r="C1105" s="1" t="s">
        <v>12</v>
      </c>
      <c r="D1105" s="1" t="s">
        <v>13</v>
      </c>
      <c r="E1105" s="1" t="s">
        <v>14</v>
      </c>
      <c r="F1105" s="1">
        <v>100.0</v>
      </c>
      <c r="G1105" s="1"/>
      <c r="H1105" s="1">
        <v>10000.0</v>
      </c>
      <c r="I1105" s="1">
        <f t="shared" si="1"/>
        <v>10000</v>
      </c>
      <c r="J1105" s="1">
        <v>1000.0</v>
      </c>
      <c r="K1105" s="1"/>
      <c r="L1105" s="1" t="s">
        <v>2252</v>
      </c>
    </row>
    <row r="1106">
      <c r="A1106" s="1">
        <v>2019.0</v>
      </c>
      <c r="B1106" s="1">
        <v>10.0</v>
      </c>
      <c r="C1106" s="1" t="s">
        <v>12</v>
      </c>
      <c r="D1106" s="1" t="s">
        <v>13</v>
      </c>
      <c r="E1106" s="1" t="s">
        <v>17</v>
      </c>
      <c r="F1106" s="1">
        <v>100.0</v>
      </c>
      <c r="G1106" s="1"/>
      <c r="H1106" s="1">
        <v>10000.0</v>
      </c>
      <c r="I1106" s="1">
        <f t="shared" si="1"/>
        <v>10000</v>
      </c>
      <c r="J1106" s="1">
        <v>1000.0</v>
      </c>
      <c r="K1106" s="1"/>
      <c r="L1106" s="1" t="s">
        <v>2252</v>
      </c>
    </row>
    <row r="1107">
      <c r="A1107" s="1">
        <v>2019.0</v>
      </c>
      <c r="B1107" s="1">
        <v>10.0</v>
      </c>
      <c r="C1107" s="1" t="s">
        <v>12</v>
      </c>
      <c r="D1107" s="1" t="s">
        <v>13</v>
      </c>
      <c r="E1107" s="1" t="s">
        <v>21</v>
      </c>
      <c r="F1107" s="1">
        <v>100.0</v>
      </c>
      <c r="G1107" s="1"/>
      <c r="H1107" s="1">
        <v>10000.0</v>
      </c>
      <c r="I1107" s="1">
        <f t="shared" si="1"/>
        <v>10000</v>
      </c>
      <c r="J1107" s="1">
        <v>1000.0</v>
      </c>
      <c r="K1107" s="1"/>
      <c r="L1107" s="1" t="s">
        <v>2252</v>
      </c>
    </row>
    <row r="1108">
      <c r="A1108" s="1">
        <v>2019.0</v>
      </c>
      <c r="B1108" s="1">
        <v>10.0</v>
      </c>
      <c r="C1108" s="1" t="s">
        <v>12</v>
      </c>
      <c r="D1108" s="1" t="s">
        <v>13</v>
      </c>
      <c r="E1108" s="1" t="s">
        <v>25</v>
      </c>
      <c r="F1108" s="1">
        <v>100.0</v>
      </c>
      <c r="G1108" s="1"/>
      <c r="H1108" s="1">
        <v>10000.0</v>
      </c>
      <c r="I1108" s="1">
        <f t="shared" si="1"/>
        <v>10000</v>
      </c>
      <c r="J1108" s="1">
        <v>1000.0</v>
      </c>
      <c r="K1108" s="1"/>
      <c r="L1108" s="1" t="s">
        <v>2252</v>
      </c>
    </row>
    <row r="1109">
      <c r="A1109" s="1">
        <v>2019.0</v>
      </c>
      <c r="B1109" s="1">
        <v>10.0</v>
      </c>
      <c r="C1109" s="1" t="s">
        <v>12</v>
      </c>
      <c r="D1109" s="1" t="s">
        <v>29</v>
      </c>
      <c r="E1109" s="1" t="s">
        <v>21</v>
      </c>
      <c r="F1109" s="1">
        <v>100.0</v>
      </c>
      <c r="G1109" s="1"/>
      <c r="H1109" s="1">
        <v>10000.0</v>
      </c>
      <c r="I1109" s="1">
        <f t="shared" si="1"/>
        <v>10000</v>
      </c>
      <c r="J1109" s="1">
        <v>1000.0</v>
      </c>
      <c r="K1109" s="1"/>
      <c r="L1109" s="1" t="s">
        <v>2252</v>
      </c>
    </row>
    <row r="1110">
      <c r="A1110" s="1">
        <v>2019.0</v>
      </c>
      <c r="B1110" s="1">
        <v>10.0</v>
      </c>
      <c r="C1110" s="1" t="s">
        <v>12</v>
      </c>
      <c r="D1110" s="1" t="s">
        <v>32</v>
      </c>
      <c r="E1110" s="1" t="s">
        <v>14</v>
      </c>
      <c r="F1110" s="1">
        <v>100.0</v>
      </c>
      <c r="G1110" s="1"/>
      <c r="H1110" s="1">
        <v>10000.0</v>
      </c>
      <c r="I1110" s="1">
        <f t="shared" si="1"/>
        <v>10000</v>
      </c>
      <c r="J1110" s="1">
        <v>1000.0</v>
      </c>
      <c r="K1110" s="1"/>
      <c r="L1110" s="1" t="s">
        <v>2252</v>
      </c>
    </row>
    <row r="1111">
      <c r="A1111" s="1">
        <v>2019.0</v>
      </c>
      <c r="B1111" s="1">
        <v>10.0</v>
      </c>
      <c r="C1111" s="1" t="s">
        <v>12</v>
      </c>
      <c r="D1111" s="1" t="s">
        <v>32</v>
      </c>
      <c r="E1111" s="1" t="s">
        <v>21</v>
      </c>
      <c r="F1111" s="1">
        <v>100.0</v>
      </c>
      <c r="G1111" s="1"/>
      <c r="H1111" s="1">
        <v>10000.0</v>
      </c>
      <c r="I1111" s="1">
        <f t="shared" si="1"/>
        <v>10000</v>
      </c>
      <c r="J1111" s="1">
        <v>1000.0</v>
      </c>
      <c r="K1111" s="1"/>
      <c r="L1111" s="1" t="s">
        <v>2252</v>
      </c>
    </row>
    <row r="1112">
      <c r="A1112" s="1">
        <v>2019.0</v>
      </c>
      <c r="B1112" s="1">
        <v>10.0</v>
      </c>
      <c r="C1112" s="1" t="s">
        <v>12</v>
      </c>
      <c r="D1112" s="1" t="s">
        <v>32</v>
      </c>
      <c r="E1112" s="1" t="s">
        <v>25</v>
      </c>
      <c r="F1112" s="1">
        <v>100.0</v>
      </c>
      <c r="G1112" s="1"/>
      <c r="H1112" s="1">
        <v>10000.0</v>
      </c>
      <c r="I1112" s="1">
        <f t="shared" si="1"/>
        <v>10000</v>
      </c>
      <c r="J1112" s="1">
        <v>1000.0</v>
      </c>
      <c r="K1112" s="1"/>
      <c r="L1112" s="1" t="s">
        <v>2252</v>
      </c>
    </row>
    <row r="1113">
      <c r="A1113" s="1">
        <v>2019.0</v>
      </c>
      <c r="B1113" s="1">
        <v>10.0</v>
      </c>
      <c r="C1113" s="1" t="s">
        <v>12</v>
      </c>
      <c r="D1113" s="1" t="s">
        <v>42</v>
      </c>
      <c r="E1113" s="1" t="s">
        <v>17</v>
      </c>
      <c r="F1113" s="1">
        <v>100.0</v>
      </c>
      <c r="G1113" s="1"/>
      <c r="H1113" s="1">
        <v>10000.0</v>
      </c>
      <c r="I1113" s="1">
        <f t="shared" si="1"/>
        <v>10000</v>
      </c>
      <c r="J1113" s="1">
        <v>1000.0</v>
      </c>
      <c r="K1113" s="1"/>
      <c r="L1113" s="1" t="s">
        <v>2252</v>
      </c>
    </row>
    <row r="1114">
      <c r="A1114" s="1">
        <v>2019.0</v>
      </c>
      <c r="B1114" s="1">
        <v>10.0</v>
      </c>
      <c r="C1114" s="1" t="s">
        <v>12</v>
      </c>
      <c r="D1114" s="1" t="s">
        <v>38</v>
      </c>
      <c r="E1114" s="1" t="s">
        <v>39</v>
      </c>
      <c r="F1114" s="1">
        <v>100.0</v>
      </c>
      <c r="G1114" s="1"/>
      <c r="H1114" s="1">
        <v>10000.0</v>
      </c>
      <c r="I1114" s="1">
        <f t="shared" si="1"/>
        <v>10000</v>
      </c>
      <c r="J1114" s="1">
        <v>1000.0</v>
      </c>
      <c r="K1114" s="1"/>
      <c r="L1114" s="1" t="s">
        <v>2252</v>
      </c>
    </row>
    <row r="1115">
      <c r="A1115" s="1">
        <v>2019.0</v>
      </c>
      <c r="B1115" s="1">
        <v>10.0</v>
      </c>
      <c r="C1115" s="1" t="s">
        <v>12</v>
      </c>
      <c r="D1115" s="1" t="s">
        <v>56</v>
      </c>
      <c r="E1115" s="1" t="s">
        <v>21</v>
      </c>
      <c r="F1115" s="1">
        <v>100.0</v>
      </c>
      <c r="G1115" s="1"/>
      <c r="H1115" s="1">
        <v>10000.0</v>
      </c>
      <c r="I1115" s="1">
        <f t="shared" si="1"/>
        <v>10000</v>
      </c>
      <c r="J1115" s="1">
        <v>1000.0</v>
      </c>
      <c r="K1115" s="1"/>
      <c r="L1115" s="1" t="s">
        <v>2252</v>
      </c>
    </row>
    <row r="1116">
      <c r="A1116" s="1">
        <v>2019.0</v>
      </c>
      <c r="B1116" s="1">
        <v>10.0</v>
      </c>
      <c r="C1116" s="1" t="s">
        <v>12</v>
      </c>
      <c r="D1116" s="1" t="s">
        <v>45</v>
      </c>
      <c r="E1116" s="1" t="s">
        <v>17</v>
      </c>
      <c r="F1116" s="1">
        <v>100.0</v>
      </c>
      <c r="G1116" s="1"/>
      <c r="H1116" s="1">
        <v>10000.0</v>
      </c>
      <c r="I1116" s="1">
        <f t="shared" si="1"/>
        <v>10000</v>
      </c>
      <c r="J1116" s="1">
        <v>1000.0</v>
      </c>
      <c r="K1116" s="1"/>
      <c r="L1116" s="1" t="s">
        <v>2252</v>
      </c>
    </row>
    <row r="1117">
      <c r="A1117" s="1">
        <v>2019.0</v>
      </c>
      <c r="B1117" s="1">
        <v>10.0</v>
      </c>
      <c r="C1117" s="1" t="s">
        <v>12</v>
      </c>
      <c r="D1117" s="1" t="s">
        <v>60</v>
      </c>
      <c r="E1117" s="1" t="s">
        <v>39</v>
      </c>
      <c r="F1117" s="1">
        <v>100.0</v>
      </c>
      <c r="G1117" s="1"/>
      <c r="H1117" s="1">
        <v>10000.0</v>
      </c>
      <c r="I1117" s="1">
        <f t="shared" si="1"/>
        <v>10000</v>
      </c>
      <c r="J1117" s="1">
        <v>1000.0</v>
      </c>
      <c r="K1117" s="1"/>
      <c r="L1117" s="1" t="s">
        <v>2252</v>
      </c>
    </row>
    <row r="1118">
      <c r="A1118" s="1">
        <v>2019.0</v>
      </c>
      <c r="B1118" s="1">
        <v>10.0</v>
      </c>
      <c r="C1118" s="1" t="s">
        <v>12</v>
      </c>
      <c r="D1118" s="1" t="s">
        <v>64</v>
      </c>
      <c r="E1118" s="1" t="s">
        <v>21</v>
      </c>
      <c r="F1118" s="1">
        <v>100.0</v>
      </c>
      <c r="G1118" s="1"/>
      <c r="H1118" s="1">
        <v>10000.0</v>
      </c>
      <c r="I1118" s="1">
        <f t="shared" si="1"/>
        <v>10000</v>
      </c>
      <c r="J1118" s="1">
        <v>1000.0</v>
      </c>
      <c r="K1118" s="1"/>
      <c r="L1118" s="1" t="s">
        <v>2252</v>
      </c>
    </row>
    <row r="1119">
      <c r="A1119" s="1">
        <v>2019.0</v>
      </c>
      <c r="B1119" s="1">
        <v>10.0</v>
      </c>
      <c r="C1119" s="1" t="s">
        <v>68</v>
      </c>
      <c r="D1119" s="1" t="s">
        <v>13</v>
      </c>
      <c r="E1119" s="1" t="s">
        <v>14</v>
      </c>
      <c r="F1119" s="1">
        <v>100.0</v>
      </c>
      <c r="G1119" s="1"/>
      <c r="H1119" s="1">
        <v>10000.0</v>
      </c>
      <c r="I1119" s="1">
        <f t="shared" si="1"/>
        <v>10000</v>
      </c>
      <c r="J1119" s="1">
        <v>1000.0</v>
      </c>
      <c r="K1119" s="1"/>
      <c r="L1119" s="1" t="s">
        <v>2252</v>
      </c>
    </row>
    <row r="1120">
      <c r="A1120" s="1">
        <v>2019.0</v>
      </c>
      <c r="B1120" s="1">
        <v>10.0</v>
      </c>
      <c r="C1120" s="1" t="s">
        <v>68</v>
      </c>
      <c r="D1120" s="1" t="s">
        <v>13</v>
      </c>
      <c r="E1120" s="1" t="s">
        <v>17</v>
      </c>
      <c r="F1120" s="1">
        <v>100.0</v>
      </c>
      <c r="G1120" s="1"/>
      <c r="H1120" s="1">
        <v>10000.0</v>
      </c>
      <c r="I1120" s="1">
        <f t="shared" si="1"/>
        <v>10000</v>
      </c>
      <c r="J1120" s="1">
        <v>1000.0</v>
      </c>
      <c r="K1120" s="1"/>
      <c r="L1120" s="1" t="s">
        <v>2252</v>
      </c>
    </row>
    <row r="1121">
      <c r="A1121" s="1">
        <v>2019.0</v>
      </c>
      <c r="B1121" s="1">
        <v>10.0</v>
      </c>
      <c r="C1121" s="1" t="s">
        <v>68</v>
      </c>
      <c r="D1121" s="1" t="s">
        <v>13</v>
      </c>
      <c r="E1121" s="1" t="s">
        <v>21</v>
      </c>
      <c r="F1121" s="1">
        <v>100.0</v>
      </c>
      <c r="G1121" s="1"/>
      <c r="H1121" s="1">
        <v>10000.0</v>
      </c>
      <c r="I1121" s="1">
        <f t="shared" si="1"/>
        <v>10000</v>
      </c>
      <c r="J1121" s="1">
        <v>1000.0</v>
      </c>
      <c r="K1121" s="1"/>
      <c r="L1121" s="1" t="s">
        <v>2252</v>
      </c>
    </row>
    <row r="1122">
      <c r="A1122" s="1">
        <v>2019.0</v>
      </c>
      <c r="B1122" s="1">
        <v>10.0</v>
      </c>
      <c r="C1122" s="1" t="s">
        <v>68</v>
      </c>
      <c r="D1122" s="1" t="s">
        <v>13</v>
      </c>
      <c r="E1122" s="1" t="s">
        <v>25</v>
      </c>
      <c r="F1122" s="1">
        <v>100.0</v>
      </c>
      <c r="G1122" s="1"/>
      <c r="H1122" s="1">
        <v>10000.0</v>
      </c>
      <c r="I1122" s="1">
        <f t="shared" si="1"/>
        <v>10000</v>
      </c>
      <c r="J1122" s="1">
        <v>1000.0</v>
      </c>
      <c r="K1122" s="1"/>
      <c r="L1122" s="1" t="s">
        <v>2252</v>
      </c>
    </row>
    <row r="1123">
      <c r="A1123" s="1">
        <v>2019.0</v>
      </c>
      <c r="B1123" s="1">
        <v>10.0</v>
      </c>
      <c r="C1123" s="1" t="s">
        <v>68</v>
      </c>
      <c r="D1123" s="1" t="s">
        <v>29</v>
      </c>
      <c r="E1123" s="1" t="s">
        <v>21</v>
      </c>
      <c r="F1123" s="1">
        <v>100.0</v>
      </c>
      <c r="G1123" s="1"/>
      <c r="H1123" s="1">
        <v>10000.0</v>
      </c>
      <c r="I1123" s="1">
        <f t="shared" si="1"/>
        <v>10000</v>
      </c>
      <c r="J1123" s="1">
        <v>1000.0</v>
      </c>
      <c r="K1123" s="1"/>
      <c r="L1123" s="1" t="s">
        <v>2252</v>
      </c>
    </row>
    <row r="1124">
      <c r="A1124" s="1">
        <v>2019.0</v>
      </c>
      <c r="B1124" s="1">
        <v>10.0</v>
      </c>
      <c r="C1124" s="1" t="s">
        <v>68</v>
      </c>
      <c r="D1124" s="1" t="s">
        <v>45</v>
      </c>
      <c r="E1124" s="1" t="s">
        <v>17</v>
      </c>
      <c r="F1124" s="1">
        <v>100.0</v>
      </c>
      <c r="G1124" s="1"/>
      <c r="H1124" s="1">
        <v>10000.0</v>
      </c>
      <c r="I1124" s="1">
        <f t="shared" si="1"/>
        <v>10000</v>
      </c>
      <c r="J1124" s="1">
        <v>1000.0</v>
      </c>
      <c r="K1124" s="1"/>
      <c r="L1124" s="1" t="s">
        <v>2252</v>
      </c>
    </row>
    <row r="1125">
      <c r="A1125" s="1">
        <v>2019.0</v>
      </c>
      <c r="B1125" s="1">
        <v>10.0</v>
      </c>
      <c r="C1125" s="1" t="s">
        <v>68</v>
      </c>
      <c r="D1125" s="1" t="s">
        <v>32</v>
      </c>
      <c r="E1125" s="1" t="s">
        <v>14</v>
      </c>
      <c r="F1125" s="1">
        <v>100.0</v>
      </c>
      <c r="G1125" s="1"/>
      <c r="H1125" s="1">
        <v>10000.0</v>
      </c>
      <c r="I1125" s="1">
        <f t="shared" si="1"/>
        <v>10000</v>
      </c>
      <c r="J1125" s="1">
        <v>1000.0</v>
      </c>
      <c r="K1125" s="1"/>
      <c r="L1125" s="1" t="s">
        <v>2252</v>
      </c>
    </row>
    <row r="1126">
      <c r="A1126" s="1">
        <v>2019.0</v>
      </c>
      <c r="B1126" s="1">
        <v>10.0</v>
      </c>
      <c r="C1126" s="1" t="s">
        <v>68</v>
      </c>
      <c r="D1126" s="1" t="s">
        <v>32</v>
      </c>
      <c r="E1126" s="1" t="s">
        <v>21</v>
      </c>
      <c r="F1126" s="1">
        <v>100.0</v>
      </c>
      <c r="G1126" s="1"/>
      <c r="H1126" s="1">
        <v>10000.0</v>
      </c>
      <c r="I1126" s="1">
        <f t="shared" si="1"/>
        <v>10000</v>
      </c>
      <c r="J1126" s="1">
        <v>1000.0</v>
      </c>
      <c r="K1126" s="1"/>
      <c r="L1126" s="1" t="s">
        <v>2252</v>
      </c>
    </row>
    <row r="1127">
      <c r="A1127" s="1">
        <v>2019.0</v>
      </c>
      <c r="B1127" s="1">
        <v>10.0</v>
      </c>
      <c r="C1127" s="1" t="s">
        <v>68</v>
      </c>
      <c r="D1127" s="1" t="s">
        <v>42</v>
      </c>
      <c r="E1127" s="1" t="s">
        <v>17</v>
      </c>
      <c r="F1127" s="1">
        <v>100.0</v>
      </c>
      <c r="G1127" s="1"/>
      <c r="H1127" s="1">
        <v>10000.0</v>
      </c>
      <c r="I1127" s="1">
        <f t="shared" si="1"/>
        <v>10000</v>
      </c>
      <c r="J1127" s="1">
        <v>1000.0</v>
      </c>
      <c r="K1127" s="1"/>
      <c r="L1127" s="1" t="s">
        <v>2252</v>
      </c>
    </row>
    <row r="1128">
      <c r="A1128" s="1">
        <v>2019.0</v>
      </c>
      <c r="B1128" s="1">
        <v>10.0</v>
      </c>
      <c r="C1128" s="1" t="s">
        <v>68</v>
      </c>
      <c r="D1128" s="1" t="s">
        <v>48</v>
      </c>
      <c r="E1128" s="1" t="s">
        <v>21</v>
      </c>
      <c r="F1128" s="1">
        <v>100.0</v>
      </c>
      <c r="G1128" s="1"/>
      <c r="H1128" s="1">
        <v>10000.0</v>
      </c>
      <c r="I1128" s="1">
        <f t="shared" si="1"/>
        <v>10000</v>
      </c>
      <c r="J1128" s="1">
        <v>1000.0</v>
      </c>
      <c r="K1128" s="1"/>
      <c r="L1128" s="1" t="s">
        <v>2252</v>
      </c>
    </row>
    <row r="1129">
      <c r="A1129" s="1">
        <v>2019.0</v>
      </c>
      <c r="B1129" s="1">
        <v>10.0</v>
      </c>
      <c r="C1129" s="1" t="s">
        <v>68</v>
      </c>
      <c r="D1129" s="1" t="s">
        <v>38</v>
      </c>
      <c r="E1129" s="1" t="s">
        <v>39</v>
      </c>
      <c r="F1129" s="1">
        <v>100.0</v>
      </c>
      <c r="G1129" s="1"/>
      <c r="H1129" s="1">
        <v>10000.0</v>
      </c>
      <c r="I1129" s="1">
        <f t="shared" si="1"/>
        <v>10000</v>
      </c>
      <c r="J1129" s="1">
        <v>1000.0</v>
      </c>
      <c r="K1129" s="1"/>
      <c r="L1129" s="1" t="s">
        <v>2252</v>
      </c>
    </row>
    <row r="1130">
      <c r="A1130" s="1">
        <v>2019.0</v>
      </c>
      <c r="B1130" s="1">
        <v>10.0</v>
      </c>
      <c r="C1130" s="1" t="s">
        <v>68</v>
      </c>
      <c r="D1130" s="1" t="s">
        <v>112</v>
      </c>
      <c r="E1130" s="1" t="s">
        <v>21</v>
      </c>
      <c r="F1130" s="1">
        <v>100.0</v>
      </c>
      <c r="G1130" s="1"/>
      <c r="H1130" s="1">
        <v>10000.0</v>
      </c>
      <c r="I1130" s="1">
        <f t="shared" si="1"/>
        <v>10000</v>
      </c>
      <c r="J1130" s="1">
        <v>1000.0</v>
      </c>
      <c r="K1130" s="1"/>
      <c r="L1130" s="1" t="s">
        <v>2252</v>
      </c>
    </row>
    <row r="1131">
      <c r="A1131" s="1">
        <v>2019.0</v>
      </c>
      <c r="B1131" s="1">
        <v>10.0</v>
      </c>
      <c r="C1131" s="1" t="s">
        <v>68</v>
      </c>
      <c r="D1131" s="1" t="s">
        <v>102</v>
      </c>
      <c r="E1131" s="1" t="s">
        <v>39</v>
      </c>
      <c r="F1131" s="1">
        <v>100.0</v>
      </c>
      <c r="G1131" s="1"/>
      <c r="H1131" s="1">
        <v>10000.0</v>
      </c>
      <c r="I1131" s="1">
        <f t="shared" si="1"/>
        <v>10000</v>
      </c>
      <c r="J1131" s="1">
        <v>1000.0</v>
      </c>
      <c r="K1131" s="1"/>
      <c r="L1131" s="1" t="s">
        <v>2252</v>
      </c>
    </row>
    <row r="1132">
      <c r="A1132" s="1">
        <v>2019.0</v>
      </c>
      <c r="B1132" s="1">
        <v>10.0</v>
      </c>
      <c r="C1132" s="1" t="s">
        <v>68</v>
      </c>
      <c r="D1132" s="1" t="s">
        <v>102</v>
      </c>
      <c r="E1132" s="1" t="s">
        <v>21</v>
      </c>
      <c r="F1132" s="1">
        <v>100.0</v>
      </c>
      <c r="G1132" s="1"/>
      <c r="H1132" s="1">
        <v>10000.0</v>
      </c>
      <c r="I1132" s="1">
        <f t="shared" si="1"/>
        <v>10000</v>
      </c>
      <c r="J1132" s="1">
        <v>1000.0</v>
      </c>
      <c r="K1132" s="1"/>
      <c r="L1132" s="1" t="s">
        <v>2252</v>
      </c>
    </row>
    <row r="1133">
      <c r="A1133" s="1">
        <v>2019.0</v>
      </c>
      <c r="B1133" s="1">
        <v>10.0</v>
      </c>
      <c r="C1133" s="1" t="s">
        <v>68</v>
      </c>
      <c r="D1133" s="1" t="s">
        <v>729</v>
      </c>
      <c r="E1133" s="1" t="s">
        <v>21</v>
      </c>
      <c r="F1133" s="1">
        <v>100.0</v>
      </c>
      <c r="G1133" s="1"/>
      <c r="H1133" s="1">
        <v>10000.0</v>
      </c>
      <c r="I1133" s="1">
        <f t="shared" si="1"/>
        <v>10000</v>
      </c>
      <c r="J1133" s="1">
        <v>1000.0</v>
      </c>
      <c r="K1133" s="1"/>
      <c r="L1133" s="1" t="s">
        <v>2252</v>
      </c>
    </row>
    <row r="1134">
      <c r="A1134" s="1">
        <v>2019.0</v>
      </c>
      <c r="B1134" s="1">
        <v>10.0</v>
      </c>
      <c r="C1134" s="1" t="s">
        <v>116</v>
      </c>
      <c r="D1134" s="1" t="s">
        <v>13</v>
      </c>
      <c r="E1134" s="1" t="s">
        <v>14</v>
      </c>
      <c r="F1134" s="1">
        <v>100.0</v>
      </c>
      <c r="G1134" s="1"/>
      <c r="H1134" s="1">
        <v>10000.0</v>
      </c>
      <c r="I1134" s="1">
        <f t="shared" si="1"/>
        <v>10000</v>
      </c>
      <c r="J1134" s="1">
        <v>1000.0</v>
      </c>
      <c r="K1134" s="1"/>
      <c r="L1134" s="1" t="s">
        <v>2252</v>
      </c>
    </row>
    <row r="1135">
      <c r="A1135" s="1">
        <v>2019.0</v>
      </c>
      <c r="B1135" s="1">
        <v>10.0</v>
      </c>
      <c r="C1135" s="1" t="s">
        <v>116</v>
      </c>
      <c r="D1135" s="1" t="s">
        <v>13</v>
      </c>
      <c r="E1135" s="1" t="s">
        <v>72</v>
      </c>
      <c r="F1135" s="1">
        <v>100.0</v>
      </c>
      <c r="G1135" s="1"/>
      <c r="H1135" s="1">
        <v>10000.0</v>
      </c>
      <c r="I1135" s="1">
        <f t="shared" si="1"/>
        <v>10000</v>
      </c>
      <c r="J1135" s="1">
        <v>1000.0</v>
      </c>
      <c r="K1135" s="1"/>
      <c r="L1135" s="1" t="s">
        <v>2252</v>
      </c>
    </row>
    <row r="1136">
      <c r="A1136" s="1">
        <v>2019.0</v>
      </c>
      <c r="B1136" s="1">
        <v>10.0</v>
      </c>
      <c r="C1136" s="1" t="s">
        <v>116</v>
      </c>
      <c r="D1136" s="1" t="s">
        <v>13</v>
      </c>
      <c r="E1136" s="1" t="s">
        <v>17</v>
      </c>
      <c r="F1136" s="1">
        <v>100.0</v>
      </c>
      <c r="G1136" s="1"/>
      <c r="H1136" s="1">
        <v>10000.0</v>
      </c>
      <c r="I1136" s="1">
        <f t="shared" si="1"/>
        <v>10000</v>
      </c>
      <c r="J1136" s="1">
        <v>1000.0</v>
      </c>
      <c r="K1136" s="1"/>
      <c r="L1136" s="1" t="s">
        <v>2252</v>
      </c>
    </row>
    <row r="1137">
      <c r="A1137" s="1">
        <v>2019.0</v>
      </c>
      <c r="B1137" s="1">
        <v>10.0</v>
      </c>
      <c r="C1137" s="1" t="s">
        <v>116</v>
      </c>
      <c r="D1137" s="1" t="s">
        <v>13</v>
      </c>
      <c r="E1137" s="1" t="s">
        <v>21</v>
      </c>
      <c r="F1137" s="1">
        <v>100.0</v>
      </c>
      <c r="G1137" s="1"/>
      <c r="H1137" s="1">
        <v>10000.0</v>
      </c>
      <c r="I1137" s="1">
        <f t="shared" si="1"/>
        <v>10000</v>
      </c>
      <c r="J1137" s="1">
        <v>1000.0</v>
      </c>
      <c r="K1137" s="1"/>
      <c r="L1137" s="1" t="s">
        <v>2252</v>
      </c>
    </row>
    <row r="1138">
      <c r="A1138" s="1">
        <v>2019.0</v>
      </c>
      <c r="B1138" s="1">
        <v>10.0</v>
      </c>
      <c r="C1138" s="1" t="s">
        <v>116</v>
      </c>
      <c r="D1138" s="1" t="s">
        <v>13</v>
      </c>
      <c r="E1138" s="1" t="s">
        <v>25</v>
      </c>
      <c r="F1138" s="1">
        <v>100.0</v>
      </c>
      <c r="G1138" s="1"/>
      <c r="H1138" s="1">
        <v>10000.0</v>
      </c>
      <c r="I1138" s="1">
        <f t="shared" si="1"/>
        <v>10000</v>
      </c>
      <c r="J1138" s="1">
        <v>1000.0</v>
      </c>
      <c r="K1138" s="1"/>
      <c r="L1138" s="1" t="s">
        <v>2252</v>
      </c>
    </row>
    <row r="1139">
      <c r="A1139" s="1">
        <v>2019.0</v>
      </c>
      <c r="B1139" s="1">
        <v>10.0</v>
      </c>
      <c r="C1139" s="1" t="s">
        <v>116</v>
      </c>
      <c r="D1139" s="1" t="s">
        <v>29</v>
      </c>
      <c r="E1139" s="1" t="s">
        <v>21</v>
      </c>
      <c r="F1139" s="1">
        <v>100.0</v>
      </c>
      <c r="G1139" s="1"/>
      <c r="H1139" s="1">
        <v>10000.0</v>
      </c>
      <c r="I1139" s="1">
        <f t="shared" si="1"/>
        <v>10000</v>
      </c>
      <c r="J1139" s="1">
        <v>1000.0</v>
      </c>
      <c r="K1139" s="1"/>
      <c r="L1139" s="1" t="s">
        <v>2252</v>
      </c>
    </row>
    <row r="1140">
      <c r="A1140" s="1">
        <v>2019.0</v>
      </c>
      <c r="B1140" s="1">
        <v>10.0</v>
      </c>
      <c r="C1140" s="1" t="s">
        <v>116</v>
      </c>
      <c r="D1140" s="1" t="s">
        <v>32</v>
      </c>
      <c r="E1140" s="1" t="s">
        <v>14</v>
      </c>
      <c r="F1140" s="1">
        <v>100.0</v>
      </c>
      <c r="G1140" s="1"/>
      <c r="H1140" s="1">
        <v>10000.0</v>
      </c>
      <c r="I1140" s="1">
        <f t="shared" si="1"/>
        <v>10000</v>
      </c>
      <c r="J1140" s="1">
        <v>1000.0</v>
      </c>
      <c r="K1140" s="1"/>
      <c r="L1140" s="1" t="s">
        <v>2252</v>
      </c>
    </row>
    <row r="1141">
      <c r="A1141" s="1">
        <v>2019.0</v>
      </c>
      <c r="B1141" s="1">
        <v>10.0</v>
      </c>
      <c r="C1141" s="1" t="s">
        <v>116</v>
      </c>
      <c r="D1141" s="1" t="s">
        <v>32</v>
      </c>
      <c r="E1141" s="1" t="s">
        <v>21</v>
      </c>
      <c r="F1141" s="1">
        <v>100.0</v>
      </c>
      <c r="G1141" s="1"/>
      <c r="H1141" s="1">
        <v>10000.0</v>
      </c>
      <c r="I1141" s="1">
        <f t="shared" si="1"/>
        <v>10000</v>
      </c>
      <c r="J1141" s="1">
        <v>1000.0</v>
      </c>
      <c r="K1141" s="1"/>
      <c r="L1141" s="1" t="s">
        <v>2252</v>
      </c>
    </row>
    <row r="1142">
      <c r="A1142" s="1">
        <v>2019.0</v>
      </c>
      <c r="B1142" s="1">
        <v>10.0</v>
      </c>
      <c r="C1142" s="1" t="s">
        <v>116</v>
      </c>
      <c r="D1142" s="1" t="s">
        <v>45</v>
      </c>
      <c r="E1142" s="1" t="s">
        <v>17</v>
      </c>
      <c r="F1142" s="1">
        <v>100.0</v>
      </c>
      <c r="G1142" s="1"/>
      <c r="H1142" s="1">
        <v>10000.0</v>
      </c>
      <c r="I1142" s="1">
        <f t="shared" si="1"/>
        <v>10000</v>
      </c>
      <c r="J1142" s="1">
        <v>1000.0</v>
      </c>
      <c r="K1142" s="1"/>
      <c r="L1142" s="1" t="s">
        <v>2252</v>
      </c>
    </row>
    <row r="1143">
      <c r="A1143" s="1">
        <v>2019.0</v>
      </c>
      <c r="B1143" s="1">
        <v>10.0</v>
      </c>
      <c r="C1143" s="1" t="s">
        <v>116</v>
      </c>
      <c r="D1143" s="1" t="s">
        <v>42</v>
      </c>
      <c r="E1143" s="1" t="s">
        <v>17</v>
      </c>
      <c r="F1143" s="1">
        <v>100.0</v>
      </c>
      <c r="G1143" s="1"/>
      <c r="H1143" s="1">
        <v>10000.0</v>
      </c>
      <c r="I1143" s="1">
        <f t="shared" si="1"/>
        <v>10000</v>
      </c>
      <c r="J1143" s="1">
        <v>1000.0</v>
      </c>
      <c r="K1143" s="1"/>
      <c r="L1143" s="1" t="s">
        <v>2252</v>
      </c>
    </row>
    <row r="1144">
      <c r="A1144" s="1">
        <v>2019.0</v>
      </c>
      <c r="B1144" s="1">
        <v>10.0</v>
      </c>
      <c r="C1144" s="1" t="s">
        <v>116</v>
      </c>
      <c r="D1144" s="1" t="s">
        <v>102</v>
      </c>
      <c r="E1144" s="1" t="s">
        <v>39</v>
      </c>
      <c r="F1144" s="1">
        <v>100.0</v>
      </c>
      <c r="G1144" s="1"/>
      <c r="H1144" s="1">
        <v>10000.0</v>
      </c>
      <c r="I1144" s="1">
        <f t="shared" si="1"/>
        <v>10000</v>
      </c>
      <c r="J1144" s="1">
        <v>1000.0</v>
      </c>
      <c r="K1144" s="1"/>
      <c r="L1144" s="1" t="s">
        <v>2252</v>
      </c>
    </row>
    <row r="1145">
      <c r="A1145" s="1">
        <v>2019.0</v>
      </c>
      <c r="B1145" s="1">
        <v>10.0</v>
      </c>
      <c r="C1145" s="1" t="s">
        <v>116</v>
      </c>
      <c r="D1145" s="1" t="s">
        <v>102</v>
      </c>
      <c r="E1145" s="1" t="s">
        <v>21</v>
      </c>
      <c r="F1145" s="1">
        <v>100.0</v>
      </c>
      <c r="G1145" s="1"/>
      <c r="H1145" s="1">
        <v>10000.0</v>
      </c>
      <c r="I1145" s="1">
        <f t="shared" si="1"/>
        <v>10000</v>
      </c>
      <c r="J1145" s="1">
        <v>1000.0</v>
      </c>
      <c r="K1145" s="1"/>
      <c r="L1145" s="1" t="s">
        <v>2252</v>
      </c>
    </row>
    <row r="1146">
      <c r="A1146" s="1">
        <v>2019.0</v>
      </c>
      <c r="B1146" s="1">
        <v>10.0</v>
      </c>
      <c r="C1146" s="1" t="s">
        <v>116</v>
      </c>
      <c r="D1146" s="1" t="s">
        <v>345</v>
      </c>
      <c r="E1146" s="1" t="s">
        <v>72</v>
      </c>
      <c r="F1146" s="1">
        <v>100.0</v>
      </c>
      <c r="G1146" s="1"/>
      <c r="H1146" s="1">
        <v>10000.0</v>
      </c>
      <c r="I1146" s="1">
        <f t="shared" si="1"/>
        <v>10000</v>
      </c>
      <c r="J1146" s="1">
        <v>1000.0</v>
      </c>
      <c r="K1146" s="1"/>
      <c r="L1146" s="1" t="s">
        <v>2252</v>
      </c>
    </row>
    <row r="1147">
      <c r="A1147" s="1">
        <v>2019.0</v>
      </c>
      <c r="B1147" s="1">
        <v>10.0</v>
      </c>
      <c r="C1147" s="1" t="s">
        <v>116</v>
      </c>
      <c r="D1147" s="1" t="s">
        <v>345</v>
      </c>
      <c r="E1147" s="1" t="s">
        <v>21</v>
      </c>
      <c r="F1147" s="1">
        <v>100.0</v>
      </c>
      <c r="G1147" s="1"/>
      <c r="H1147" s="1">
        <v>10000.0</v>
      </c>
      <c r="I1147" s="1">
        <f t="shared" si="1"/>
        <v>10000</v>
      </c>
      <c r="J1147" s="1">
        <v>1000.0</v>
      </c>
      <c r="K1147" s="1"/>
      <c r="L1147" s="1" t="s">
        <v>2252</v>
      </c>
    </row>
    <row r="1148">
      <c r="A1148" s="1">
        <v>2019.0</v>
      </c>
      <c r="B1148" s="1">
        <v>10.0</v>
      </c>
      <c r="C1148" s="1" t="s">
        <v>116</v>
      </c>
      <c r="D1148" s="1" t="s">
        <v>158</v>
      </c>
      <c r="E1148" s="1" t="s">
        <v>39</v>
      </c>
      <c r="F1148" s="1">
        <v>100.0</v>
      </c>
      <c r="G1148" s="1"/>
      <c r="H1148" s="1">
        <v>10000.0</v>
      </c>
      <c r="I1148" s="1">
        <f t="shared" si="1"/>
        <v>10000</v>
      </c>
      <c r="J1148" s="1">
        <v>1000.0</v>
      </c>
      <c r="K1148" s="1"/>
      <c r="L1148" s="1" t="s">
        <v>2252</v>
      </c>
    </row>
    <row r="1149">
      <c r="A1149" s="1">
        <v>2019.0</v>
      </c>
      <c r="B1149" s="1">
        <v>10.0</v>
      </c>
      <c r="C1149" s="1" t="s">
        <v>116</v>
      </c>
      <c r="D1149" s="1" t="s">
        <v>158</v>
      </c>
      <c r="E1149" s="1" t="s">
        <v>17</v>
      </c>
      <c r="F1149" s="1">
        <v>100.0</v>
      </c>
      <c r="G1149" s="1"/>
      <c r="H1149" s="1">
        <v>10000.0</v>
      </c>
      <c r="I1149" s="1">
        <f t="shared" si="1"/>
        <v>10000</v>
      </c>
      <c r="J1149" s="1">
        <v>1000.0</v>
      </c>
      <c r="K1149" s="1"/>
      <c r="L1149" s="1" t="s">
        <v>2252</v>
      </c>
    </row>
    <row r="1150">
      <c r="A1150" s="1">
        <v>2019.0</v>
      </c>
      <c r="B1150" s="1">
        <v>10.0</v>
      </c>
      <c r="C1150" s="1" t="s">
        <v>116</v>
      </c>
      <c r="D1150" s="1" t="s">
        <v>158</v>
      </c>
      <c r="E1150" s="1" t="s">
        <v>21</v>
      </c>
      <c r="F1150" s="1">
        <v>100.0</v>
      </c>
      <c r="G1150" s="1"/>
      <c r="H1150" s="1">
        <v>10000.0</v>
      </c>
      <c r="I1150" s="1">
        <f t="shared" si="1"/>
        <v>10000</v>
      </c>
      <c r="J1150" s="1">
        <v>1000.0</v>
      </c>
      <c r="K1150" s="1"/>
      <c r="L1150" s="1" t="s">
        <v>2252</v>
      </c>
    </row>
    <row r="1151">
      <c r="A1151" s="1">
        <v>2019.0</v>
      </c>
      <c r="B1151" s="1">
        <v>10.0</v>
      </c>
      <c r="C1151" s="1" t="s">
        <v>116</v>
      </c>
      <c r="D1151" s="1" t="s">
        <v>147</v>
      </c>
      <c r="E1151" s="1" t="s">
        <v>39</v>
      </c>
      <c r="F1151" s="1">
        <v>100.0</v>
      </c>
      <c r="G1151" s="1"/>
      <c r="H1151" s="1">
        <v>10000.0</v>
      </c>
      <c r="I1151" s="1">
        <f t="shared" si="1"/>
        <v>10000</v>
      </c>
      <c r="J1151" s="1">
        <v>1000.0</v>
      </c>
      <c r="K1151" s="1"/>
      <c r="L1151" s="1" t="s">
        <v>2252</v>
      </c>
    </row>
    <row r="1152">
      <c r="A1152" s="1">
        <v>2019.0</v>
      </c>
      <c r="B1152" s="1">
        <v>10.0</v>
      </c>
      <c r="C1152" s="1" t="s">
        <v>116</v>
      </c>
      <c r="D1152" s="1" t="s">
        <v>147</v>
      </c>
      <c r="E1152" s="1" t="s">
        <v>17</v>
      </c>
      <c r="F1152" s="1">
        <v>100.0</v>
      </c>
      <c r="G1152" s="1"/>
      <c r="H1152" s="1">
        <v>10000.0</v>
      </c>
      <c r="I1152" s="1">
        <f t="shared" si="1"/>
        <v>10000</v>
      </c>
      <c r="J1152" s="1">
        <v>1000.0</v>
      </c>
      <c r="K1152" s="1"/>
      <c r="L1152" s="1" t="s">
        <v>2252</v>
      </c>
    </row>
    <row r="1153">
      <c r="A1153" s="1">
        <v>2019.0</v>
      </c>
      <c r="B1153" s="1">
        <v>10.0</v>
      </c>
      <c r="C1153" s="1" t="s">
        <v>116</v>
      </c>
      <c r="D1153" s="1" t="s">
        <v>147</v>
      </c>
      <c r="E1153" s="1" t="s">
        <v>21</v>
      </c>
      <c r="F1153" s="1">
        <v>100.0</v>
      </c>
      <c r="G1153" s="1"/>
      <c r="H1153" s="1">
        <v>10000.0</v>
      </c>
      <c r="I1153" s="1">
        <f t="shared" si="1"/>
        <v>10000</v>
      </c>
      <c r="J1153" s="1">
        <v>1000.0</v>
      </c>
      <c r="K1153" s="1"/>
      <c r="L1153" s="1" t="s">
        <v>2252</v>
      </c>
    </row>
    <row r="1154">
      <c r="A1154" s="1">
        <v>2019.0</v>
      </c>
      <c r="B1154" s="1">
        <v>10.0</v>
      </c>
      <c r="C1154" s="1" t="s">
        <v>116</v>
      </c>
      <c r="D1154" s="1" t="s">
        <v>1949</v>
      </c>
      <c r="E1154" s="1" t="s">
        <v>14</v>
      </c>
      <c r="F1154" s="1">
        <v>100.0</v>
      </c>
      <c r="G1154" s="1"/>
      <c r="H1154" s="1">
        <v>10000.0</v>
      </c>
      <c r="I1154" s="1">
        <f t="shared" si="1"/>
        <v>10000</v>
      </c>
      <c r="J1154" s="1">
        <v>1000.0</v>
      </c>
      <c r="K1154" s="1"/>
      <c r="L1154" s="1" t="s">
        <v>2252</v>
      </c>
    </row>
    <row r="1155">
      <c r="A1155" s="1">
        <v>2019.0</v>
      </c>
      <c r="B1155" s="1">
        <v>10.0</v>
      </c>
      <c r="C1155" s="1" t="s">
        <v>116</v>
      </c>
      <c r="D1155" s="1" t="s">
        <v>1949</v>
      </c>
      <c r="E1155" s="1" t="s">
        <v>17</v>
      </c>
      <c r="F1155" s="1">
        <v>100.0</v>
      </c>
      <c r="G1155" s="1"/>
      <c r="H1155" s="1">
        <v>10000.0</v>
      </c>
      <c r="I1155" s="1">
        <f t="shared" si="1"/>
        <v>10000</v>
      </c>
      <c r="J1155" s="1">
        <v>1000.0</v>
      </c>
      <c r="K1155" s="1"/>
      <c r="L1155" s="1" t="s">
        <v>2252</v>
      </c>
    </row>
    <row r="1156">
      <c r="A1156" s="1">
        <v>2019.0</v>
      </c>
      <c r="B1156" s="1">
        <v>11.0</v>
      </c>
      <c r="C1156" s="1" t="s">
        <v>12</v>
      </c>
      <c r="D1156" s="1" t="s">
        <v>13</v>
      </c>
      <c r="E1156" s="1" t="s">
        <v>14</v>
      </c>
      <c r="F1156" s="1">
        <v>100.0</v>
      </c>
      <c r="G1156" s="1"/>
      <c r="H1156" s="1">
        <v>10000.0</v>
      </c>
      <c r="I1156" s="1">
        <f t="shared" si="1"/>
        <v>10000</v>
      </c>
      <c r="J1156" s="1">
        <v>1000.0</v>
      </c>
      <c r="K1156" s="1"/>
      <c r="L1156" s="1" t="s">
        <v>2252</v>
      </c>
    </row>
    <row r="1157">
      <c r="A1157" s="1">
        <v>2019.0</v>
      </c>
      <c r="B1157" s="1">
        <v>11.0</v>
      </c>
      <c r="C1157" s="1" t="s">
        <v>12</v>
      </c>
      <c r="D1157" s="1" t="s">
        <v>13</v>
      </c>
      <c r="E1157" s="1" t="s">
        <v>17</v>
      </c>
      <c r="F1157" s="1">
        <v>100.0</v>
      </c>
      <c r="G1157" s="1"/>
      <c r="H1157" s="1">
        <v>10000.0</v>
      </c>
      <c r="I1157" s="1">
        <f t="shared" si="1"/>
        <v>10000</v>
      </c>
      <c r="J1157" s="1">
        <v>1000.0</v>
      </c>
      <c r="K1157" s="1"/>
      <c r="L1157" s="1" t="s">
        <v>2252</v>
      </c>
    </row>
    <row r="1158">
      <c r="A1158" s="1">
        <v>2019.0</v>
      </c>
      <c r="B1158" s="1">
        <v>11.0</v>
      </c>
      <c r="C1158" s="1" t="s">
        <v>12</v>
      </c>
      <c r="D1158" s="1" t="s">
        <v>13</v>
      </c>
      <c r="E1158" s="1" t="s">
        <v>21</v>
      </c>
      <c r="F1158" s="1">
        <v>100.0</v>
      </c>
      <c r="G1158" s="1"/>
      <c r="H1158" s="1">
        <v>10000.0</v>
      </c>
      <c r="I1158" s="1">
        <f t="shared" si="1"/>
        <v>10000</v>
      </c>
      <c r="J1158" s="1">
        <v>1000.0</v>
      </c>
      <c r="K1158" s="1"/>
      <c r="L1158" s="1" t="s">
        <v>2252</v>
      </c>
    </row>
    <row r="1159">
      <c r="A1159" s="1">
        <v>2019.0</v>
      </c>
      <c r="B1159" s="1">
        <v>11.0</v>
      </c>
      <c r="C1159" s="1" t="s">
        <v>12</v>
      </c>
      <c r="D1159" s="1" t="s">
        <v>13</v>
      </c>
      <c r="E1159" s="1" t="s">
        <v>25</v>
      </c>
      <c r="F1159" s="1">
        <v>100.0</v>
      </c>
      <c r="G1159" s="1"/>
      <c r="H1159" s="1">
        <v>10000.0</v>
      </c>
      <c r="I1159" s="1">
        <f t="shared" si="1"/>
        <v>10000</v>
      </c>
      <c r="J1159" s="1">
        <v>1000.0</v>
      </c>
      <c r="K1159" s="1"/>
      <c r="L1159" s="1" t="s">
        <v>2252</v>
      </c>
    </row>
    <row r="1160">
      <c r="A1160" s="1">
        <v>2019.0</v>
      </c>
      <c r="B1160" s="1">
        <v>11.0</v>
      </c>
      <c r="C1160" s="1" t="s">
        <v>12</v>
      </c>
      <c r="D1160" s="1" t="s">
        <v>29</v>
      </c>
      <c r="E1160" s="1" t="s">
        <v>21</v>
      </c>
      <c r="F1160" s="1">
        <v>100.0</v>
      </c>
      <c r="G1160" s="1"/>
      <c r="H1160" s="1">
        <v>10000.0</v>
      </c>
      <c r="I1160" s="1">
        <f t="shared" si="1"/>
        <v>10000</v>
      </c>
      <c r="J1160" s="1">
        <v>1000.0</v>
      </c>
      <c r="K1160" s="1"/>
      <c r="L1160" s="1" t="s">
        <v>2252</v>
      </c>
    </row>
    <row r="1161">
      <c r="A1161" s="1">
        <v>2019.0</v>
      </c>
      <c r="B1161" s="1">
        <v>11.0</v>
      </c>
      <c r="C1161" s="1" t="s">
        <v>12</v>
      </c>
      <c r="D1161" s="1" t="s">
        <v>32</v>
      </c>
      <c r="E1161" s="1" t="s">
        <v>14</v>
      </c>
      <c r="F1161" s="1">
        <v>100.0</v>
      </c>
      <c r="G1161" s="1"/>
      <c r="H1161" s="1">
        <v>10000.0</v>
      </c>
      <c r="I1161" s="1">
        <f t="shared" si="1"/>
        <v>10000</v>
      </c>
      <c r="J1161" s="1">
        <v>1000.0</v>
      </c>
      <c r="K1161" s="1"/>
      <c r="L1161" s="1" t="s">
        <v>2252</v>
      </c>
    </row>
    <row r="1162">
      <c r="A1162" s="1">
        <v>2019.0</v>
      </c>
      <c r="B1162" s="1">
        <v>11.0</v>
      </c>
      <c r="C1162" s="1" t="s">
        <v>12</v>
      </c>
      <c r="D1162" s="1" t="s">
        <v>32</v>
      </c>
      <c r="E1162" s="1" t="s">
        <v>21</v>
      </c>
      <c r="F1162" s="1">
        <v>100.0</v>
      </c>
      <c r="G1162" s="1"/>
      <c r="H1162" s="1">
        <v>10000.0</v>
      </c>
      <c r="I1162" s="1">
        <f t="shared" si="1"/>
        <v>10000</v>
      </c>
      <c r="J1162" s="1">
        <v>1000.0</v>
      </c>
      <c r="K1162" s="1"/>
      <c r="L1162" s="1" t="s">
        <v>2252</v>
      </c>
    </row>
    <row r="1163">
      <c r="A1163" s="1">
        <v>2019.0</v>
      </c>
      <c r="B1163" s="1">
        <v>11.0</v>
      </c>
      <c r="C1163" s="1" t="s">
        <v>12</v>
      </c>
      <c r="D1163" s="1" t="s">
        <v>32</v>
      </c>
      <c r="E1163" s="1" t="s">
        <v>25</v>
      </c>
      <c r="F1163" s="1">
        <v>100.0</v>
      </c>
      <c r="G1163" s="1"/>
      <c r="H1163" s="1">
        <v>10000.0</v>
      </c>
      <c r="I1163" s="1">
        <f t="shared" si="1"/>
        <v>10000</v>
      </c>
      <c r="J1163" s="1">
        <v>1000.0</v>
      </c>
      <c r="K1163" s="1"/>
      <c r="L1163" s="1" t="s">
        <v>2252</v>
      </c>
    </row>
    <row r="1164">
      <c r="A1164" s="1">
        <v>2019.0</v>
      </c>
      <c r="B1164" s="1">
        <v>11.0</v>
      </c>
      <c r="C1164" s="1" t="s">
        <v>12</v>
      </c>
      <c r="D1164" s="1" t="s">
        <v>38</v>
      </c>
      <c r="E1164" s="1" t="s">
        <v>39</v>
      </c>
      <c r="F1164" s="1">
        <v>100.0</v>
      </c>
      <c r="G1164" s="1"/>
      <c r="H1164" s="1">
        <v>10000.0</v>
      </c>
      <c r="I1164" s="1">
        <f t="shared" si="1"/>
        <v>10000</v>
      </c>
      <c r="J1164" s="1">
        <v>1000.0</v>
      </c>
      <c r="K1164" s="1"/>
      <c r="L1164" s="1" t="s">
        <v>2252</v>
      </c>
    </row>
    <row r="1165">
      <c r="A1165" s="1">
        <v>2019.0</v>
      </c>
      <c r="B1165" s="1">
        <v>11.0</v>
      </c>
      <c r="C1165" s="1" t="s">
        <v>12</v>
      </c>
      <c r="D1165" s="1" t="s">
        <v>42</v>
      </c>
      <c r="E1165" s="1" t="s">
        <v>17</v>
      </c>
      <c r="F1165" s="1">
        <v>100.0</v>
      </c>
      <c r="G1165" s="1"/>
      <c r="H1165" s="1">
        <v>10000.0</v>
      </c>
      <c r="I1165" s="1">
        <f t="shared" si="1"/>
        <v>10000</v>
      </c>
      <c r="J1165" s="1">
        <v>1000.0</v>
      </c>
      <c r="K1165" s="1"/>
      <c r="L1165" s="1" t="s">
        <v>2252</v>
      </c>
    </row>
    <row r="1166">
      <c r="A1166" s="1">
        <v>2019.0</v>
      </c>
      <c r="B1166" s="1">
        <v>11.0</v>
      </c>
      <c r="C1166" s="1" t="s">
        <v>12</v>
      </c>
      <c r="D1166" s="1" t="s">
        <v>56</v>
      </c>
      <c r="E1166" s="1" t="s">
        <v>21</v>
      </c>
      <c r="F1166" s="1">
        <v>100.0</v>
      </c>
      <c r="G1166" s="1"/>
      <c r="H1166" s="1">
        <v>10000.0</v>
      </c>
      <c r="I1166" s="1">
        <f t="shared" si="1"/>
        <v>10000</v>
      </c>
      <c r="J1166" s="1">
        <v>1000.0</v>
      </c>
      <c r="K1166" s="1"/>
      <c r="L1166" s="1" t="s">
        <v>2252</v>
      </c>
    </row>
    <row r="1167">
      <c r="A1167" s="1">
        <v>2019.0</v>
      </c>
      <c r="B1167" s="1">
        <v>11.0</v>
      </c>
      <c r="C1167" s="1" t="s">
        <v>12</v>
      </c>
      <c r="D1167" s="1" t="s">
        <v>45</v>
      </c>
      <c r="E1167" s="1" t="s">
        <v>17</v>
      </c>
      <c r="F1167" s="1">
        <v>100.0</v>
      </c>
      <c r="G1167" s="1"/>
      <c r="H1167" s="1">
        <v>10000.0</v>
      </c>
      <c r="I1167" s="1">
        <f t="shared" si="1"/>
        <v>10000</v>
      </c>
      <c r="J1167" s="1">
        <v>1000.0</v>
      </c>
      <c r="K1167" s="1"/>
      <c r="L1167" s="1" t="s">
        <v>2252</v>
      </c>
    </row>
    <row r="1168">
      <c r="A1168" s="1">
        <v>2019.0</v>
      </c>
      <c r="B1168" s="1">
        <v>11.0</v>
      </c>
      <c r="C1168" s="1" t="s">
        <v>12</v>
      </c>
      <c r="D1168" s="1" t="s">
        <v>60</v>
      </c>
      <c r="E1168" s="1" t="s">
        <v>39</v>
      </c>
      <c r="F1168" s="1">
        <v>100.0</v>
      </c>
      <c r="G1168" s="1"/>
      <c r="H1168" s="1">
        <v>10000.0</v>
      </c>
      <c r="I1168" s="1">
        <f t="shared" si="1"/>
        <v>10000</v>
      </c>
      <c r="J1168" s="1">
        <v>1000.0</v>
      </c>
      <c r="K1168" s="1"/>
      <c r="L1168" s="1" t="s">
        <v>2252</v>
      </c>
    </row>
    <row r="1169">
      <c r="A1169" s="1">
        <v>2019.0</v>
      </c>
      <c r="B1169" s="1">
        <v>11.0</v>
      </c>
      <c r="C1169" s="1" t="s">
        <v>12</v>
      </c>
      <c r="D1169" s="1" t="s">
        <v>147</v>
      </c>
      <c r="E1169" s="1" t="s">
        <v>39</v>
      </c>
      <c r="F1169" s="1">
        <v>100.0</v>
      </c>
      <c r="G1169" s="1"/>
      <c r="H1169" s="1">
        <v>10000.0</v>
      </c>
      <c r="I1169" s="1">
        <f t="shared" si="1"/>
        <v>10000</v>
      </c>
      <c r="J1169" s="1">
        <v>1000.0</v>
      </c>
      <c r="K1169" s="1"/>
      <c r="L1169" s="1" t="s">
        <v>2252</v>
      </c>
    </row>
    <row r="1170">
      <c r="A1170" s="1">
        <v>2019.0</v>
      </c>
      <c r="B1170" s="1">
        <v>11.0</v>
      </c>
      <c r="C1170" s="1" t="s">
        <v>12</v>
      </c>
      <c r="D1170" s="1" t="s">
        <v>147</v>
      </c>
      <c r="E1170" s="1" t="s">
        <v>17</v>
      </c>
      <c r="F1170" s="1">
        <v>100.0</v>
      </c>
      <c r="G1170" s="1"/>
      <c r="H1170" s="1">
        <v>10000.0</v>
      </c>
      <c r="I1170" s="1">
        <f t="shared" si="1"/>
        <v>10000</v>
      </c>
      <c r="J1170" s="1">
        <v>1000.0</v>
      </c>
      <c r="K1170" s="1"/>
      <c r="L1170" s="1" t="s">
        <v>2252</v>
      </c>
    </row>
    <row r="1171">
      <c r="A1171" s="1">
        <v>2019.0</v>
      </c>
      <c r="B1171" s="1">
        <v>11.0</v>
      </c>
      <c r="C1171" s="1" t="s">
        <v>68</v>
      </c>
      <c r="D1171" s="1" t="s">
        <v>13</v>
      </c>
      <c r="E1171" s="1" t="s">
        <v>14</v>
      </c>
      <c r="F1171" s="1">
        <v>100.0</v>
      </c>
      <c r="G1171" s="1"/>
      <c r="H1171" s="1">
        <v>10000.0</v>
      </c>
      <c r="I1171" s="1">
        <f t="shared" si="1"/>
        <v>10000</v>
      </c>
      <c r="J1171" s="1">
        <v>1000.0</v>
      </c>
      <c r="K1171" s="1"/>
      <c r="L1171" s="1" t="s">
        <v>2252</v>
      </c>
    </row>
    <row r="1172">
      <c r="A1172" s="1">
        <v>2019.0</v>
      </c>
      <c r="B1172" s="1">
        <v>11.0</v>
      </c>
      <c r="C1172" s="1" t="s">
        <v>68</v>
      </c>
      <c r="D1172" s="1" t="s">
        <v>13</v>
      </c>
      <c r="E1172" s="1" t="s">
        <v>17</v>
      </c>
      <c r="F1172" s="1">
        <v>100.0</v>
      </c>
      <c r="G1172" s="1"/>
      <c r="H1172" s="1">
        <v>10000.0</v>
      </c>
      <c r="I1172" s="1">
        <f t="shared" si="1"/>
        <v>10000</v>
      </c>
      <c r="J1172" s="1">
        <v>1000.0</v>
      </c>
      <c r="K1172" s="1"/>
      <c r="L1172" s="1" t="s">
        <v>2252</v>
      </c>
    </row>
    <row r="1173">
      <c r="A1173" s="1">
        <v>2019.0</v>
      </c>
      <c r="B1173" s="1">
        <v>11.0</v>
      </c>
      <c r="C1173" s="1" t="s">
        <v>68</v>
      </c>
      <c r="D1173" s="1" t="s">
        <v>13</v>
      </c>
      <c r="E1173" s="1" t="s">
        <v>21</v>
      </c>
      <c r="F1173" s="1">
        <v>100.0</v>
      </c>
      <c r="G1173" s="1"/>
      <c r="H1173" s="1">
        <v>10000.0</v>
      </c>
      <c r="I1173" s="1">
        <f t="shared" si="1"/>
        <v>10000</v>
      </c>
      <c r="J1173" s="1">
        <v>1000.0</v>
      </c>
      <c r="K1173" s="1"/>
      <c r="L1173" s="1" t="s">
        <v>2252</v>
      </c>
    </row>
    <row r="1174">
      <c r="A1174" s="1">
        <v>2019.0</v>
      </c>
      <c r="B1174" s="1">
        <v>11.0</v>
      </c>
      <c r="C1174" s="1" t="s">
        <v>68</v>
      </c>
      <c r="D1174" s="1" t="s">
        <v>13</v>
      </c>
      <c r="E1174" s="1" t="s">
        <v>25</v>
      </c>
      <c r="F1174" s="1">
        <v>100.0</v>
      </c>
      <c r="G1174" s="1"/>
      <c r="H1174" s="1">
        <v>10000.0</v>
      </c>
      <c r="I1174" s="1">
        <f t="shared" si="1"/>
        <v>10000</v>
      </c>
      <c r="J1174" s="1">
        <v>1000.0</v>
      </c>
      <c r="K1174" s="1"/>
      <c r="L1174" s="1" t="s">
        <v>2252</v>
      </c>
    </row>
    <row r="1175">
      <c r="A1175" s="1">
        <v>2019.0</v>
      </c>
      <c r="B1175" s="1">
        <v>11.0</v>
      </c>
      <c r="C1175" s="1" t="s">
        <v>68</v>
      </c>
      <c r="D1175" s="1" t="s">
        <v>29</v>
      </c>
      <c r="E1175" s="1" t="s">
        <v>21</v>
      </c>
      <c r="F1175" s="1">
        <v>100.0</v>
      </c>
      <c r="G1175" s="1"/>
      <c r="H1175" s="1">
        <v>10000.0</v>
      </c>
      <c r="I1175" s="1">
        <f t="shared" si="1"/>
        <v>10000</v>
      </c>
      <c r="J1175" s="1">
        <v>1000.0</v>
      </c>
      <c r="K1175" s="1"/>
      <c r="L1175" s="1" t="s">
        <v>2252</v>
      </c>
    </row>
    <row r="1176">
      <c r="A1176" s="1">
        <v>2019.0</v>
      </c>
      <c r="B1176" s="1">
        <v>11.0</v>
      </c>
      <c r="C1176" s="1" t="s">
        <v>68</v>
      </c>
      <c r="D1176" s="1" t="s">
        <v>45</v>
      </c>
      <c r="E1176" s="1" t="s">
        <v>17</v>
      </c>
      <c r="F1176" s="1">
        <v>100.0</v>
      </c>
      <c r="G1176" s="1"/>
      <c r="H1176" s="1">
        <v>10000.0</v>
      </c>
      <c r="I1176" s="1">
        <f t="shared" si="1"/>
        <v>10000</v>
      </c>
      <c r="J1176" s="1">
        <v>1000.0</v>
      </c>
      <c r="K1176" s="1"/>
      <c r="L1176" s="1" t="s">
        <v>2252</v>
      </c>
    </row>
    <row r="1177">
      <c r="A1177" s="1">
        <v>2019.0</v>
      </c>
      <c r="B1177" s="1">
        <v>11.0</v>
      </c>
      <c r="C1177" s="1" t="s">
        <v>68</v>
      </c>
      <c r="D1177" s="1" t="s">
        <v>32</v>
      </c>
      <c r="E1177" s="1" t="s">
        <v>14</v>
      </c>
      <c r="F1177" s="1">
        <v>100.0</v>
      </c>
      <c r="G1177" s="1"/>
      <c r="H1177" s="1">
        <v>10000.0</v>
      </c>
      <c r="I1177" s="1">
        <f t="shared" si="1"/>
        <v>10000</v>
      </c>
      <c r="J1177" s="1">
        <v>1000.0</v>
      </c>
      <c r="K1177" s="1"/>
      <c r="L1177" s="1" t="s">
        <v>2252</v>
      </c>
    </row>
    <row r="1178">
      <c r="A1178" s="1">
        <v>2019.0</v>
      </c>
      <c r="B1178" s="1">
        <v>11.0</v>
      </c>
      <c r="C1178" s="1" t="s">
        <v>68</v>
      </c>
      <c r="D1178" s="1" t="s">
        <v>32</v>
      </c>
      <c r="E1178" s="1" t="s">
        <v>21</v>
      </c>
      <c r="F1178" s="1">
        <v>100.0</v>
      </c>
      <c r="G1178" s="1"/>
      <c r="H1178" s="1">
        <v>10000.0</v>
      </c>
      <c r="I1178" s="1">
        <f t="shared" si="1"/>
        <v>10000</v>
      </c>
      <c r="J1178" s="1">
        <v>1000.0</v>
      </c>
      <c r="K1178" s="1"/>
      <c r="L1178" s="1" t="s">
        <v>2252</v>
      </c>
    </row>
    <row r="1179">
      <c r="A1179" s="1">
        <v>2019.0</v>
      </c>
      <c r="B1179" s="1">
        <v>11.0</v>
      </c>
      <c r="C1179" s="1" t="s">
        <v>68</v>
      </c>
      <c r="D1179" s="1" t="s">
        <v>38</v>
      </c>
      <c r="E1179" s="1" t="s">
        <v>39</v>
      </c>
      <c r="F1179" s="1">
        <v>100.0</v>
      </c>
      <c r="G1179" s="1"/>
      <c r="H1179" s="1">
        <v>10000.0</v>
      </c>
      <c r="I1179" s="1">
        <f t="shared" si="1"/>
        <v>10000</v>
      </c>
      <c r="J1179" s="1">
        <v>1000.0</v>
      </c>
      <c r="K1179" s="1"/>
      <c r="L1179" s="1" t="s">
        <v>2252</v>
      </c>
    </row>
    <row r="1180">
      <c r="A1180" s="1">
        <v>2019.0</v>
      </c>
      <c r="B1180" s="1">
        <v>11.0</v>
      </c>
      <c r="C1180" s="1" t="s">
        <v>68</v>
      </c>
      <c r="D1180" s="1" t="s">
        <v>42</v>
      </c>
      <c r="E1180" s="1" t="s">
        <v>17</v>
      </c>
      <c r="F1180" s="1">
        <v>100.0</v>
      </c>
      <c r="G1180" s="1"/>
      <c r="H1180" s="1">
        <v>10000.0</v>
      </c>
      <c r="I1180" s="1">
        <f t="shared" si="1"/>
        <v>10000</v>
      </c>
      <c r="J1180" s="1">
        <v>1000.0</v>
      </c>
      <c r="K1180" s="1"/>
      <c r="L1180" s="1" t="s">
        <v>2252</v>
      </c>
    </row>
    <row r="1181">
      <c r="A1181" s="1">
        <v>2019.0</v>
      </c>
      <c r="B1181" s="1">
        <v>11.0</v>
      </c>
      <c r="C1181" s="1" t="s">
        <v>68</v>
      </c>
      <c r="D1181" s="1" t="s">
        <v>102</v>
      </c>
      <c r="E1181" s="1" t="s">
        <v>39</v>
      </c>
      <c r="F1181" s="1">
        <v>100.0</v>
      </c>
      <c r="G1181" s="1"/>
      <c r="H1181" s="1">
        <v>10000.0</v>
      </c>
      <c r="I1181" s="1">
        <f t="shared" si="1"/>
        <v>10000</v>
      </c>
      <c r="J1181" s="1">
        <v>1000.0</v>
      </c>
      <c r="K1181" s="1"/>
      <c r="L1181" s="1" t="s">
        <v>2252</v>
      </c>
    </row>
    <row r="1182">
      <c r="A1182" s="1">
        <v>2019.0</v>
      </c>
      <c r="B1182" s="1">
        <v>11.0</v>
      </c>
      <c r="C1182" s="1" t="s">
        <v>68</v>
      </c>
      <c r="D1182" s="1" t="s">
        <v>102</v>
      </c>
      <c r="E1182" s="1" t="s">
        <v>21</v>
      </c>
      <c r="F1182" s="1">
        <v>100.0</v>
      </c>
      <c r="G1182" s="1"/>
      <c r="H1182" s="1">
        <v>10000.0</v>
      </c>
      <c r="I1182" s="1">
        <f t="shared" si="1"/>
        <v>10000</v>
      </c>
      <c r="J1182" s="1">
        <v>1000.0</v>
      </c>
      <c r="K1182" s="1"/>
      <c r="L1182" s="1" t="s">
        <v>2252</v>
      </c>
    </row>
    <row r="1183">
      <c r="A1183" s="1">
        <v>2019.0</v>
      </c>
      <c r="B1183" s="1">
        <v>11.0</v>
      </c>
      <c r="C1183" s="1" t="s">
        <v>68</v>
      </c>
      <c r="D1183" s="1" t="s">
        <v>108</v>
      </c>
      <c r="E1183" s="1" t="s">
        <v>49</v>
      </c>
      <c r="F1183" s="1">
        <v>100.0</v>
      </c>
      <c r="G1183" s="1"/>
      <c r="H1183" s="1">
        <v>10000.0</v>
      </c>
      <c r="I1183" s="1">
        <f t="shared" si="1"/>
        <v>10000</v>
      </c>
      <c r="J1183" s="1">
        <v>1000.0</v>
      </c>
      <c r="K1183" s="1"/>
      <c r="L1183" s="1" t="s">
        <v>2252</v>
      </c>
    </row>
    <row r="1184">
      <c r="A1184" s="1">
        <v>2019.0</v>
      </c>
      <c r="B1184" s="1">
        <v>11.0</v>
      </c>
      <c r="C1184" s="1" t="s">
        <v>68</v>
      </c>
      <c r="D1184" s="1" t="s">
        <v>112</v>
      </c>
      <c r="E1184" s="1" t="s">
        <v>21</v>
      </c>
      <c r="F1184" s="1">
        <v>100.0</v>
      </c>
      <c r="G1184" s="1"/>
      <c r="H1184" s="1">
        <v>10000.0</v>
      </c>
      <c r="I1184" s="1">
        <f t="shared" si="1"/>
        <v>10000</v>
      </c>
      <c r="J1184" s="1">
        <v>1000.0</v>
      </c>
      <c r="K1184" s="1"/>
      <c r="L1184" s="1" t="s">
        <v>2252</v>
      </c>
    </row>
    <row r="1185">
      <c r="A1185" s="1">
        <v>2019.0</v>
      </c>
      <c r="B1185" s="1">
        <v>11.0</v>
      </c>
      <c r="C1185" s="1" t="s">
        <v>68</v>
      </c>
      <c r="D1185" s="1" t="s">
        <v>165</v>
      </c>
      <c r="E1185" s="1" t="s">
        <v>17</v>
      </c>
      <c r="F1185" s="1">
        <v>100.0</v>
      </c>
      <c r="G1185" s="1"/>
      <c r="H1185" s="1">
        <v>10000.0</v>
      </c>
      <c r="I1185" s="1">
        <f t="shared" si="1"/>
        <v>10000</v>
      </c>
      <c r="J1185" s="1">
        <v>1000.0</v>
      </c>
      <c r="K1185" s="1"/>
      <c r="L1185" s="1" t="s">
        <v>2252</v>
      </c>
    </row>
    <row r="1186">
      <c r="A1186" s="1">
        <v>2019.0</v>
      </c>
      <c r="B1186" s="1">
        <v>11.0</v>
      </c>
      <c r="C1186" s="1" t="s">
        <v>116</v>
      </c>
      <c r="D1186" s="1" t="s">
        <v>13</v>
      </c>
      <c r="E1186" s="1" t="s">
        <v>14</v>
      </c>
      <c r="F1186" s="1">
        <v>100.0</v>
      </c>
      <c r="G1186" s="1"/>
      <c r="H1186" s="1">
        <v>10000.0</v>
      </c>
      <c r="I1186" s="1">
        <f t="shared" si="1"/>
        <v>10000</v>
      </c>
      <c r="J1186" s="1">
        <v>1000.0</v>
      </c>
      <c r="K1186" s="1"/>
      <c r="L1186" s="1" t="s">
        <v>2252</v>
      </c>
    </row>
    <row r="1187">
      <c r="A1187" s="1">
        <v>2019.0</v>
      </c>
      <c r="B1187" s="1">
        <v>11.0</v>
      </c>
      <c r="C1187" s="1" t="s">
        <v>116</v>
      </c>
      <c r="D1187" s="1" t="s">
        <v>13</v>
      </c>
      <c r="E1187" s="1" t="s">
        <v>72</v>
      </c>
      <c r="F1187" s="1">
        <v>100.0</v>
      </c>
      <c r="G1187" s="1"/>
      <c r="H1187" s="1">
        <v>10000.0</v>
      </c>
      <c r="I1187" s="1">
        <f t="shared" si="1"/>
        <v>10000</v>
      </c>
      <c r="J1187" s="1">
        <v>1000.0</v>
      </c>
      <c r="K1187" s="1"/>
      <c r="L1187" s="1" t="s">
        <v>2252</v>
      </c>
    </row>
    <row r="1188">
      <c r="A1188" s="1">
        <v>2019.0</v>
      </c>
      <c r="B1188" s="1">
        <v>11.0</v>
      </c>
      <c r="C1188" s="1" t="s">
        <v>116</v>
      </c>
      <c r="D1188" s="1" t="s">
        <v>13</v>
      </c>
      <c r="E1188" s="1" t="s">
        <v>17</v>
      </c>
      <c r="F1188" s="1">
        <v>100.0</v>
      </c>
      <c r="G1188" s="1"/>
      <c r="H1188" s="1">
        <v>10000.0</v>
      </c>
      <c r="I1188" s="1">
        <f t="shared" si="1"/>
        <v>10000</v>
      </c>
      <c r="J1188" s="1">
        <v>1000.0</v>
      </c>
      <c r="K1188" s="1"/>
      <c r="L1188" s="1" t="s">
        <v>2252</v>
      </c>
    </row>
    <row r="1189">
      <c r="A1189" s="1">
        <v>2019.0</v>
      </c>
      <c r="B1189" s="1">
        <v>11.0</v>
      </c>
      <c r="C1189" s="1" t="s">
        <v>116</v>
      </c>
      <c r="D1189" s="1" t="s">
        <v>13</v>
      </c>
      <c r="E1189" s="1" t="s">
        <v>21</v>
      </c>
      <c r="F1189" s="1">
        <v>100.0</v>
      </c>
      <c r="G1189" s="1"/>
      <c r="H1189" s="1">
        <v>10000.0</v>
      </c>
      <c r="I1189" s="1">
        <f t="shared" si="1"/>
        <v>10000</v>
      </c>
      <c r="J1189" s="1">
        <v>1000.0</v>
      </c>
      <c r="K1189" s="1"/>
      <c r="L1189" s="1" t="s">
        <v>2252</v>
      </c>
    </row>
    <row r="1190">
      <c r="A1190" s="1">
        <v>2019.0</v>
      </c>
      <c r="B1190" s="1">
        <v>11.0</v>
      </c>
      <c r="C1190" s="1" t="s">
        <v>116</v>
      </c>
      <c r="D1190" s="1" t="s">
        <v>13</v>
      </c>
      <c r="E1190" s="1" t="s">
        <v>25</v>
      </c>
      <c r="F1190" s="1">
        <v>100.0</v>
      </c>
      <c r="G1190" s="1"/>
      <c r="H1190" s="1">
        <v>10000.0</v>
      </c>
      <c r="I1190" s="1">
        <f t="shared" si="1"/>
        <v>10000</v>
      </c>
      <c r="J1190" s="1">
        <v>1000.0</v>
      </c>
      <c r="K1190" s="1"/>
      <c r="L1190" s="1" t="s">
        <v>2252</v>
      </c>
    </row>
    <row r="1191">
      <c r="A1191" s="1">
        <v>2019.0</v>
      </c>
      <c r="B1191" s="1">
        <v>11.0</v>
      </c>
      <c r="C1191" s="1" t="s">
        <v>116</v>
      </c>
      <c r="D1191" s="1" t="s">
        <v>29</v>
      </c>
      <c r="E1191" s="1" t="s">
        <v>21</v>
      </c>
      <c r="F1191" s="1">
        <v>100.0</v>
      </c>
      <c r="G1191" s="1"/>
      <c r="H1191" s="1">
        <v>10000.0</v>
      </c>
      <c r="I1191" s="1">
        <f t="shared" si="1"/>
        <v>10000</v>
      </c>
      <c r="J1191" s="1">
        <v>1000.0</v>
      </c>
      <c r="K1191" s="1"/>
      <c r="L1191" s="1" t="s">
        <v>2252</v>
      </c>
    </row>
    <row r="1192">
      <c r="A1192" s="1">
        <v>2019.0</v>
      </c>
      <c r="B1192" s="1">
        <v>11.0</v>
      </c>
      <c r="C1192" s="1" t="s">
        <v>116</v>
      </c>
      <c r="D1192" s="1" t="s">
        <v>32</v>
      </c>
      <c r="E1192" s="1" t="s">
        <v>14</v>
      </c>
      <c r="F1192" s="1">
        <v>100.0</v>
      </c>
      <c r="G1192" s="1"/>
      <c r="H1192" s="1">
        <v>10000.0</v>
      </c>
      <c r="I1192" s="1">
        <f t="shared" si="1"/>
        <v>10000</v>
      </c>
      <c r="J1192" s="1">
        <v>1000.0</v>
      </c>
      <c r="K1192" s="1"/>
      <c r="L1192" s="1" t="s">
        <v>2252</v>
      </c>
    </row>
    <row r="1193">
      <c r="A1193" s="1">
        <v>2019.0</v>
      </c>
      <c r="B1193" s="1">
        <v>11.0</v>
      </c>
      <c r="C1193" s="1" t="s">
        <v>116</v>
      </c>
      <c r="D1193" s="1" t="s">
        <v>32</v>
      </c>
      <c r="E1193" s="1" t="s">
        <v>21</v>
      </c>
      <c r="F1193" s="1">
        <v>100.0</v>
      </c>
      <c r="G1193" s="1"/>
      <c r="H1193" s="1">
        <v>10000.0</v>
      </c>
      <c r="I1193" s="1">
        <f t="shared" si="1"/>
        <v>10000</v>
      </c>
      <c r="J1193" s="1">
        <v>1000.0</v>
      </c>
      <c r="K1193" s="1"/>
      <c r="L1193" s="1" t="s">
        <v>2252</v>
      </c>
    </row>
    <row r="1194">
      <c r="A1194" s="1">
        <v>2019.0</v>
      </c>
      <c r="B1194" s="1">
        <v>11.0</v>
      </c>
      <c r="C1194" s="1" t="s">
        <v>116</v>
      </c>
      <c r="D1194" s="1" t="s">
        <v>42</v>
      </c>
      <c r="E1194" s="1" t="s">
        <v>17</v>
      </c>
      <c r="F1194" s="1">
        <v>100.0</v>
      </c>
      <c r="G1194" s="1"/>
      <c r="H1194" s="1">
        <v>10000.0</v>
      </c>
      <c r="I1194" s="1">
        <f t="shared" si="1"/>
        <v>10000</v>
      </c>
      <c r="J1194" s="1">
        <v>1000.0</v>
      </c>
      <c r="K1194" s="1"/>
      <c r="L1194" s="1" t="s">
        <v>2252</v>
      </c>
    </row>
    <row r="1195">
      <c r="A1195" s="1">
        <v>2019.0</v>
      </c>
      <c r="B1195" s="1">
        <v>11.0</v>
      </c>
      <c r="C1195" s="1" t="s">
        <v>116</v>
      </c>
      <c r="D1195" s="1" t="s">
        <v>45</v>
      </c>
      <c r="E1195" s="1" t="s">
        <v>17</v>
      </c>
      <c r="F1195" s="1">
        <v>100.0</v>
      </c>
      <c r="G1195" s="1"/>
      <c r="H1195" s="1">
        <v>10000.0</v>
      </c>
      <c r="I1195" s="1">
        <f t="shared" si="1"/>
        <v>10000</v>
      </c>
      <c r="J1195" s="1">
        <v>1000.0</v>
      </c>
      <c r="K1195" s="1"/>
      <c r="L1195" s="1" t="s">
        <v>2252</v>
      </c>
    </row>
    <row r="1196">
      <c r="A1196" s="1">
        <v>2019.0</v>
      </c>
      <c r="B1196" s="1">
        <v>11.0</v>
      </c>
      <c r="C1196" s="1" t="s">
        <v>116</v>
      </c>
      <c r="D1196" s="1" t="s">
        <v>102</v>
      </c>
      <c r="E1196" s="1" t="s">
        <v>39</v>
      </c>
      <c r="F1196" s="1">
        <v>100.0</v>
      </c>
      <c r="G1196" s="1"/>
      <c r="H1196" s="1">
        <v>10000.0</v>
      </c>
      <c r="I1196" s="1">
        <f t="shared" si="1"/>
        <v>10000</v>
      </c>
      <c r="J1196" s="1">
        <v>1000.0</v>
      </c>
      <c r="K1196" s="1"/>
      <c r="L1196" s="1" t="s">
        <v>2252</v>
      </c>
    </row>
    <row r="1197">
      <c r="A1197" s="1">
        <v>2019.0</v>
      </c>
      <c r="B1197" s="1">
        <v>11.0</v>
      </c>
      <c r="C1197" s="1" t="s">
        <v>116</v>
      </c>
      <c r="D1197" s="1" t="s">
        <v>102</v>
      </c>
      <c r="E1197" s="1" t="s">
        <v>21</v>
      </c>
      <c r="F1197" s="1">
        <v>100.0</v>
      </c>
      <c r="G1197" s="1"/>
      <c r="H1197" s="1">
        <v>10000.0</v>
      </c>
      <c r="I1197" s="1">
        <f t="shared" si="1"/>
        <v>10000</v>
      </c>
      <c r="J1197" s="1">
        <v>1000.0</v>
      </c>
      <c r="K1197" s="1"/>
      <c r="L1197" s="1" t="s">
        <v>2252</v>
      </c>
    </row>
    <row r="1198">
      <c r="A1198" s="1">
        <v>2019.0</v>
      </c>
      <c r="B1198" s="1">
        <v>11.0</v>
      </c>
      <c r="C1198" s="1" t="s">
        <v>116</v>
      </c>
      <c r="D1198" s="1" t="s">
        <v>345</v>
      </c>
      <c r="E1198" s="1" t="s">
        <v>72</v>
      </c>
      <c r="F1198" s="1">
        <v>100.0</v>
      </c>
      <c r="G1198" s="1"/>
      <c r="H1198" s="1">
        <v>10000.0</v>
      </c>
      <c r="I1198" s="1">
        <f t="shared" si="1"/>
        <v>10000</v>
      </c>
      <c r="J1198" s="1">
        <v>1000.0</v>
      </c>
      <c r="K1198" s="1"/>
      <c r="L1198" s="1" t="s">
        <v>2252</v>
      </c>
    </row>
    <row r="1199">
      <c r="A1199" s="1">
        <v>2019.0</v>
      </c>
      <c r="B1199" s="1">
        <v>11.0</v>
      </c>
      <c r="C1199" s="1" t="s">
        <v>116</v>
      </c>
      <c r="D1199" s="1" t="s">
        <v>345</v>
      </c>
      <c r="E1199" s="1" t="s">
        <v>21</v>
      </c>
      <c r="F1199" s="1">
        <v>100.0</v>
      </c>
      <c r="G1199" s="1"/>
      <c r="H1199" s="1">
        <v>10000.0</v>
      </c>
      <c r="I1199" s="1">
        <f t="shared" si="1"/>
        <v>10000</v>
      </c>
      <c r="J1199" s="1">
        <v>1000.0</v>
      </c>
      <c r="K1199" s="1"/>
      <c r="L1199" s="1" t="s">
        <v>2252</v>
      </c>
    </row>
    <row r="1200">
      <c r="A1200" s="1">
        <v>2019.0</v>
      </c>
      <c r="B1200" s="1">
        <v>11.0</v>
      </c>
      <c r="C1200" s="1" t="s">
        <v>116</v>
      </c>
      <c r="D1200" s="1" t="s">
        <v>158</v>
      </c>
      <c r="E1200" s="1" t="s">
        <v>39</v>
      </c>
      <c r="F1200" s="1">
        <v>100.0</v>
      </c>
      <c r="G1200" s="1"/>
      <c r="H1200" s="1">
        <v>10000.0</v>
      </c>
      <c r="I1200" s="1">
        <f t="shared" si="1"/>
        <v>10000</v>
      </c>
      <c r="J1200" s="1">
        <v>1000.0</v>
      </c>
      <c r="K1200" s="1"/>
      <c r="L1200" s="1" t="s">
        <v>2252</v>
      </c>
    </row>
    <row r="1201">
      <c r="A1201" s="1">
        <v>2019.0</v>
      </c>
      <c r="B1201" s="1">
        <v>11.0</v>
      </c>
      <c r="C1201" s="1" t="s">
        <v>116</v>
      </c>
      <c r="D1201" s="1" t="s">
        <v>158</v>
      </c>
      <c r="E1201" s="1" t="s">
        <v>17</v>
      </c>
      <c r="F1201" s="1">
        <v>100.0</v>
      </c>
      <c r="G1201" s="1"/>
      <c r="H1201" s="1">
        <v>10000.0</v>
      </c>
      <c r="I1201" s="1">
        <f t="shared" si="1"/>
        <v>10000</v>
      </c>
      <c r="J1201" s="1">
        <v>1000.0</v>
      </c>
      <c r="K1201" s="1"/>
      <c r="L1201" s="1" t="s">
        <v>2252</v>
      </c>
    </row>
    <row r="1202">
      <c r="A1202" s="1">
        <v>2019.0</v>
      </c>
      <c r="B1202" s="1">
        <v>11.0</v>
      </c>
      <c r="C1202" s="1" t="s">
        <v>116</v>
      </c>
      <c r="D1202" s="1" t="s">
        <v>158</v>
      </c>
      <c r="E1202" s="1" t="s">
        <v>21</v>
      </c>
      <c r="F1202" s="1">
        <v>100.0</v>
      </c>
      <c r="G1202" s="1"/>
      <c r="H1202" s="1">
        <v>10000.0</v>
      </c>
      <c r="I1202" s="1">
        <f t="shared" si="1"/>
        <v>10000</v>
      </c>
      <c r="J1202" s="1">
        <v>1000.0</v>
      </c>
      <c r="K1202" s="1"/>
      <c r="L1202" s="1" t="s">
        <v>2252</v>
      </c>
    </row>
    <row r="1203">
      <c r="A1203" s="1">
        <v>2019.0</v>
      </c>
      <c r="B1203" s="1">
        <v>11.0</v>
      </c>
      <c r="C1203" s="1" t="s">
        <v>116</v>
      </c>
      <c r="D1203" s="1" t="s">
        <v>147</v>
      </c>
      <c r="E1203" s="1" t="s">
        <v>39</v>
      </c>
      <c r="F1203" s="1">
        <v>100.0</v>
      </c>
      <c r="G1203" s="1"/>
      <c r="H1203" s="1">
        <v>10000.0</v>
      </c>
      <c r="I1203" s="1">
        <f t="shared" si="1"/>
        <v>10000</v>
      </c>
      <c r="J1203" s="1">
        <v>1000.0</v>
      </c>
      <c r="K1203" s="1"/>
      <c r="L1203" s="1" t="s">
        <v>2252</v>
      </c>
    </row>
    <row r="1204">
      <c r="A1204" s="1">
        <v>2019.0</v>
      </c>
      <c r="B1204" s="1">
        <v>11.0</v>
      </c>
      <c r="C1204" s="1" t="s">
        <v>116</v>
      </c>
      <c r="D1204" s="1" t="s">
        <v>147</v>
      </c>
      <c r="E1204" s="1" t="s">
        <v>17</v>
      </c>
      <c r="F1204" s="1">
        <v>100.0</v>
      </c>
      <c r="G1204" s="1"/>
      <c r="H1204" s="1">
        <v>10000.0</v>
      </c>
      <c r="I1204" s="1">
        <f t="shared" si="1"/>
        <v>10000</v>
      </c>
      <c r="J1204" s="1">
        <v>1000.0</v>
      </c>
      <c r="K1204" s="1"/>
      <c r="L1204" s="1" t="s">
        <v>2252</v>
      </c>
    </row>
    <row r="1205">
      <c r="A1205" s="1">
        <v>2019.0</v>
      </c>
      <c r="B1205" s="1">
        <v>11.0</v>
      </c>
      <c r="C1205" s="1" t="s">
        <v>116</v>
      </c>
      <c r="D1205" s="1" t="s">
        <v>147</v>
      </c>
      <c r="E1205" s="1" t="s">
        <v>21</v>
      </c>
      <c r="F1205" s="1">
        <v>100.0</v>
      </c>
      <c r="G1205" s="1"/>
      <c r="H1205" s="1">
        <v>10000.0</v>
      </c>
      <c r="I1205" s="1">
        <f t="shared" si="1"/>
        <v>10000</v>
      </c>
      <c r="J1205" s="1">
        <v>1000.0</v>
      </c>
      <c r="K1205" s="1"/>
      <c r="L1205" s="1" t="s">
        <v>2252</v>
      </c>
    </row>
    <row r="1206">
      <c r="A1206" s="1">
        <v>2019.0</v>
      </c>
      <c r="B1206" s="1">
        <v>11.0</v>
      </c>
      <c r="C1206" s="1" t="s">
        <v>116</v>
      </c>
      <c r="D1206" s="1" t="s">
        <v>1949</v>
      </c>
      <c r="E1206" s="1" t="s">
        <v>14</v>
      </c>
      <c r="F1206" s="1">
        <v>100.0</v>
      </c>
      <c r="G1206" s="1"/>
      <c r="H1206" s="1">
        <v>10000.0</v>
      </c>
      <c r="I1206" s="1">
        <f t="shared" si="1"/>
        <v>10000</v>
      </c>
      <c r="J1206" s="1">
        <v>1000.0</v>
      </c>
      <c r="K1206" s="1"/>
      <c r="L1206" s="1" t="s">
        <v>2252</v>
      </c>
    </row>
    <row r="1207">
      <c r="A1207" s="1">
        <v>2019.0</v>
      </c>
      <c r="B1207" s="1">
        <v>11.0</v>
      </c>
      <c r="C1207" s="1" t="s">
        <v>116</v>
      </c>
      <c r="D1207" s="1" t="s">
        <v>1949</v>
      </c>
      <c r="E1207" s="1" t="s">
        <v>17</v>
      </c>
      <c r="F1207" s="1">
        <v>100.0</v>
      </c>
      <c r="G1207" s="1"/>
      <c r="H1207" s="1">
        <v>10000.0</v>
      </c>
      <c r="I1207" s="1">
        <f t="shared" si="1"/>
        <v>10000</v>
      </c>
      <c r="J1207" s="1">
        <v>1000.0</v>
      </c>
      <c r="K1207" s="1"/>
      <c r="L1207" s="1" t="s">
        <v>2252</v>
      </c>
    </row>
    <row r="1208">
      <c r="A1208" s="1">
        <v>2019.0</v>
      </c>
      <c r="B1208" s="1">
        <v>12.0</v>
      </c>
      <c r="C1208" s="1" t="s">
        <v>12</v>
      </c>
      <c r="D1208" s="1" t="s">
        <v>13</v>
      </c>
      <c r="E1208" s="1" t="s">
        <v>14</v>
      </c>
      <c r="F1208" s="1">
        <v>100.0</v>
      </c>
      <c r="G1208" s="1"/>
      <c r="H1208" s="1">
        <v>10000.0</v>
      </c>
      <c r="I1208" s="1">
        <f t="shared" si="1"/>
        <v>10000</v>
      </c>
      <c r="J1208" s="1">
        <v>1000.0</v>
      </c>
      <c r="K1208" s="1"/>
      <c r="L1208" s="1" t="s">
        <v>2252</v>
      </c>
    </row>
    <row r="1209">
      <c r="A1209" s="1">
        <v>2019.0</v>
      </c>
      <c r="B1209" s="1">
        <v>12.0</v>
      </c>
      <c r="C1209" s="1" t="s">
        <v>12</v>
      </c>
      <c r="D1209" s="1" t="s">
        <v>13</v>
      </c>
      <c r="E1209" s="1" t="s">
        <v>17</v>
      </c>
      <c r="F1209" s="1">
        <v>100.0</v>
      </c>
      <c r="G1209" s="1"/>
      <c r="H1209" s="1">
        <v>10000.0</v>
      </c>
      <c r="I1209" s="1">
        <f t="shared" si="1"/>
        <v>10000</v>
      </c>
      <c r="J1209" s="1">
        <v>1000.0</v>
      </c>
      <c r="K1209" s="1"/>
      <c r="L1209" s="1" t="s">
        <v>2252</v>
      </c>
    </row>
    <row r="1210">
      <c r="A1210" s="1">
        <v>2019.0</v>
      </c>
      <c r="B1210" s="1">
        <v>12.0</v>
      </c>
      <c r="C1210" s="1" t="s">
        <v>12</v>
      </c>
      <c r="D1210" s="1" t="s">
        <v>13</v>
      </c>
      <c r="E1210" s="1" t="s">
        <v>21</v>
      </c>
      <c r="F1210" s="1">
        <v>100.0</v>
      </c>
      <c r="G1210" s="1"/>
      <c r="H1210" s="1">
        <v>10000.0</v>
      </c>
      <c r="I1210" s="1">
        <f t="shared" si="1"/>
        <v>10000</v>
      </c>
      <c r="J1210" s="1">
        <v>1000.0</v>
      </c>
      <c r="K1210" s="1"/>
      <c r="L1210" s="1" t="s">
        <v>2252</v>
      </c>
    </row>
    <row r="1211">
      <c r="A1211" s="1">
        <v>2019.0</v>
      </c>
      <c r="B1211" s="1">
        <v>12.0</v>
      </c>
      <c r="C1211" s="1" t="s">
        <v>12</v>
      </c>
      <c r="D1211" s="1" t="s">
        <v>13</v>
      </c>
      <c r="E1211" s="1" t="s">
        <v>25</v>
      </c>
      <c r="F1211" s="1">
        <v>100.0</v>
      </c>
      <c r="G1211" s="1"/>
      <c r="H1211" s="1">
        <v>10000.0</v>
      </c>
      <c r="I1211" s="1">
        <f t="shared" si="1"/>
        <v>10000</v>
      </c>
      <c r="J1211" s="1">
        <v>1000.0</v>
      </c>
      <c r="K1211" s="1"/>
      <c r="L1211" s="1" t="s">
        <v>2252</v>
      </c>
    </row>
    <row r="1212">
      <c r="A1212" s="1">
        <v>2019.0</v>
      </c>
      <c r="B1212" s="1">
        <v>12.0</v>
      </c>
      <c r="C1212" s="1" t="s">
        <v>12</v>
      </c>
      <c r="D1212" s="1" t="s">
        <v>29</v>
      </c>
      <c r="E1212" s="1" t="s">
        <v>21</v>
      </c>
      <c r="F1212" s="1">
        <v>100.0</v>
      </c>
      <c r="G1212" s="1"/>
      <c r="H1212" s="1">
        <v>10000.0</v>
      </c>
      <c r="I1212" s="1">
        <f t="shared" si="1"/>
        <v>10000</v>
      </c>
      <c r="J1212" s="1">
        <v>1000.0</v>
      </c>
      <c r="K1212" s="1"/>
      <c r="L1212" s="1" t="s">
        <v>2252</v>
      </c>
    </row>
    <row r="1213">
      <c r="A1213" s="1">
        <v>2019.0</v>
      </c>
      <c r="B1213" s="1">
        <v>12.0</v>
      </c>
      <c r="C1213" s="1" t="s">
        <v>12</v>
      </c>
      <c r="D1213" s="1" t="s">
        <v>32</v>
      </c>
      <c r="E1213" s="1" t="s">
        <v>14</v>
      </c>
      <c r="F1213" s="1">
        <v>100.0</v>
      </c>
      <c r="G1213" s="1"/>
      <c r="H1213" s="1">
        <v>10000.0</v>
      </c>
      <c r="I1213" s="1">
        <f t="shared" si="1"/>
        <v>10000</v>
      </c>
      <c r="J1213" s="1">
        <v>1000.0</v>
      </c>
      <c r="K1213" s="1"/>
      <c r="L1213" s="1" t="s">
        <v>2252</v>
      </c>
    </row>
    <row r="1214">
      <c r="A1214" s="1">
        <v>2019.0</v>
      </c>
      <c r="B1214" s="1">
        <v>12.0</v>
      </c>
      <c r="C1214" s="1" t="s">
        <v>12</v>
      </c>
      <c r="D1214" s="1" t="s">
        <v>32</v>
      </c>
      <c r="E1214" s="1" t="s">
        <v>21</v>
      </c>
      <c r="F1214" s="1">
        <v>100.0</v>
      </c>
      <c r="G1214" s="1"/>
      <c r="H1214" s="1">
        <v>10000.0</v>
      </c>
      <c r="I1214" s="1">
        <f t="shared" si="1"/>
        <v>10000</v>
      </c>
      <c r="J1214" s="1">
        <v>1000.0</v>
      </c>
      <c r="K1214" s="1"/>
      <c r="L1214" s="1" t="s">
        <v>2252</v>
      </c>
    </row>
    <row r="1215">
      <c r="A1215" s="1">
        <v>2019.0</v>
      </c>
      <c r="B1215" s="1">
        <v>12.0</v>
      </c>
      <c r="C1215" s="1" t="s">
        <v>12</v>
      </c>
      <c r="D1215" s="1" t="s">
        <v>32</v>
      </c>
      <c r="E1215" s="1" t="s">
        <v>25</v>
      </c>
      <c r="F1215" s="1">
        <v>100.0</v>
      </c>
      <c r="G1215" s="1"/>
      <c r="H1215" s="1">
        <v>10000.0</v>
      </c>
      <c r="I1215" s="1">
        <f t="shared" si="1"/>
        <v>10000</v>
      </c>
      <c r="J1215" s="1">
        <v>1000.0</v>
      </c>
      <c r="K1215" s="1"/>
      <c r="L1215" s="1" t="s">
        <v>2252</v>
      </c>
    </row>
    <row r="1216">
      <c r="A1216" s="1">
        <v>2019.0</v>
      </c>
      <c r="B1216" s="1">
        <v>12.0</v>
      </c>
      <c r="C1216" s="1" t="s">
        <v>12</v>
      </c>
      <c r="D1216" s="1" t="s">
        <v>38</v>
      </c>
      <c r="E1216" s="1" t="s">
        <v>39</v>
      </c>
      <c r="F1216" s="1">
        <v>100.0</v>
      </c>
      <c r="G1216" s="1"/>
      <c r="H1216" s="1">
        <v>10000.0</v>
      </c>
      <c r="I1216" s="1">
        <f t="shared" si="1"/>
        <v>10000</v>
      </c>
      <c r="J1216" s="1">
        <v>1000.0</v>
      </c>
      <c r="K1216" s="1"/>
      <c r="L1216" s="1" t="s">
        <v>2252</v>
      </c>
    </row>
    <row r="1217">
      <c r="A1217" s="1">
        <v>2019.0</v>
      </c>
      <c r="B1217" s="1">
        <v>12.0</v>
      </c>
      <c r="C1217" s="1" t="s">
        <v>12</v>
      </c>
      <c r="D1217" s="1" t="s">
        <v>42</v>
      </c>
      <c r="E1217" s="1" t="s">
        <v>17</v>
      </c>
      <c r="F1217" s="1">
        <v>100.0</v>
      </c>
      <c r="G1217" s="1"/>
      <c r="H1217" s="1">
        <v>10000.0</v>
      </c>
      <c r="I1217" s="1">
        <f t="shared" si="1"/>
        <v>10000</v>
      </c>
      <c r="J1217" s="1">
        <v>1000.0</v>
      </c>
      <c r="K1217" s="1"/>
      <c r="L1217" s="1" t="s">
        <v>2252</v>
      </c>
    </row>
    <row r="1218">
      <c r="A1218" s="1">
        <v>2019.0</v>
      </c>
      <c r="B1218" s="1">
        <v>12.0</v>
      </c>
      <c r="C1218" s="1" t="s">
        <v>12</v>
      </c>
      <c r="D1218" s="1" t="s">
        <v>45</v>
      </c>
      <c r="E1218" s="1" t="s">
        <v>17</v>
      </c>
      <c r="F1218" s="1">
        <v>100.0</v>
      </c>
      <c r="G1218" s="1"/>
      <c r="H1218" s="1">
        <v>10000.0</v>
      </c>
      <c r="I1218" s="1">
        <f t="shared" si="1"/>
        <v>10000</v>
      </c>
      <c r="J1218" s="1">
        <v>1000.0</v>
      </c>
      <c r="K1218" s="1"/>
      <c r="L1218" s="1" t="s">
        <v>2252</v>
      </c>
    </row>
    <row r="1219">
      <c r="A1219" s="1">
        <v>2019.0</v>
      </c>
      <c r="B1219" s="1">
        <v>12.0</v>
      </c>
      <c r="C1219" s="1" t="s">
        <v>12</v>
      </c>
      <c r="D1219" s="1" t="s">
        <v>56</v>
      </c>
      <c r="E1219" s="1" t="s">
        <v>21</v>
      </c>
      <c r="F1219" s="1">
        <v>100.0</v>
      </c>
      <c r="G1219" s="1"/>
      <c r="H1219" s="1">
        <v>10000.0</v>
      </c>
      <c r="I1219" s="1">
        <f t="shared" si="1"/>
        <v>10000</v>
      </c>
      <c r="J1219" s="1">
        <v>1000.0</v>
      </c>
      <c r="K1219" s="1"/>
      <c r="L1219" s="1" t="s">
        <v>2252</v>
      </c>
    </row>
    <row r="1220">
      <c r="A1220" s="1">
        <v>2019.0</v>
      </c>
      <c r="B1220" s="1">
        <v>12.0</v>
      </c>
      <c r="C1220" s="1" t="s">
        <v>12</v>
      </c>
      <c r="D1220" s="1" t="s">
        <v>60</v>
      </c>
      <c r="E1220" s="1" t="s">
        <v>39</v>
      </c>
      <c r="F1220" s="1">
        <v>100.0</v>
      </c>
      <c r="G1220" s="1"/>
      <c r="H1220" s="1">
        <v>10000.0</v>
      </c>
      <c r="I1220" s="1">
        <f t="shared" si="1"/>
        <v>10000</v>
      </c>
      <c r="J1220" s="1">
        <v>1000.0</v>
      </c>
      <c r="K1220" s="1"/>
      <c r="L1220" s="1" t="s">
        <v>2252</v>
      </c>
    </row>
    <row r="1221">
      <c r="A1221" s="1">
        <v>2019.0</v>
      </c>
      <c r="B1221" s="1">
        <v>12.0</v>
      </c>
      <c r="C1221" s="1" t="s">
        <v>12</v>
      </c>
      <c r="D1221" s="1" t="s">
        <v>48</v>
      </c>
      <c r="E1221" s="1" t="s">
        <v>49</v>
      </c>
      <c r="F1221" s="1">
        <v>100.0</v>
      </c>
      <c r="G1221" s="1"/>
      <c r="H1221" s="1">
        <v>10000.0</v>
      </c>
      <c r="I1221" s="1">
        <f t="shared" si="1"/>
        <v>10000</v>
      </c>
      <c r="J1221" s="1">
        <v>1000.0</v>
      </c>
      <c r="K1221" s="1"/>
      <c r="L1221" s="1" t="s">
        <v>2252</v>
      </c>
    </row>
    <row r="1222">
      <c r="A1222" s="1">
        <v>2019.0</v>
      </c>
      <c r="B1222" s="1">
        <v>12.0</v>
      </c>
      <c r="C1222" s="1" t="s">
        <v>12</v>
      </c>
      <c r="D1222" s="1" t="s">
        <v>48</v>
      </c>
      <c r="E1222" s="1" t="s">
        <v>21</v>
      </c>
      <c r="F1222" s="1">
        <v>100.0</v>
      </c>
      <c r="G1222" s="1"/>
      <c r="H1222" s="1">
        <v>10000.0</v>
      </c>
      <c r="I1222" s="1">
        <f t="shared" si="1"/>
        <v>10000</v>
      </c>
      <c r="J1222" s="1">
        <v>1000.0</v>
      </c>
      <c r="K1222" s="1"/>
      <c r="L1222" s="1" t="s">
        <v>2252</v>
      </c>
    </row>
    <row r="1223">
      <c r="A1223" s="1">
        <v>2019.0</v>
      </c>
      <c r="B1223" s="1">
        <v>12.0</v>
      </c>
      <c r="C1223" s="1" t="s">
        <v>68</v>
      </c>
      <c r="D1223" s="1" t="s">
        <v>13</v>
      </c>
      <c r="E1223" s="1" t="s">
        <v>14</v>
      </c>
      <c r="F1223" s="1">
        <v>100.0</v>
      </c>
      <c r="G1223" s="1"/>
      <c r="H1223" s="1">
        <v>10000.0</v>
      </c>
      <c r="I1223" s="1">
        <f t="shared" si="1"/>
        <v>10000</v>
      </c>
      <c r="J1223" s="1">
        <v>1000.0</v>
      </c>
      <c r="K1223" s="1"/>
      <c r="L1223" s="1" t="s">
        <v>2252</v>
      </c>
    </row>
    <row r="1224">
      <c r="A1224" s="1">
        <v>2019.0</v>
      </c>
      <c r="B1224" s="1">
        <v>12.0</v>
      </c>
      <c r="C1224" s="1" t="s">
        <v>68</v>
      </c>
      <c r="D1224" s="1" t="s">
        <v>13</v>
      </c>
      <c r="E1224" s="1" t="s">
        <v>72</v>
      </c>
      <c r="F1224" s="1">
        <v>100.0</v>
      </c>
      <c r="G1224" s="1"/>
      <c r="H1224" s="1">
        <v>10000.0</v>
      </c>
      <c r="I1224" s="1">
        <f t="shared" si="1"/>
        <v>10000</v>
      </c>
      <c r="J1224" s="1">
        <v>1000.0</v>
      </c>
      <c r="K1224" s="1"/>
      <c r="L1224" s="1" t="s">
        <v>2252</v>
      </c>
    </row>
    <row r="1225">
      <c r="A1225" s="1">
        <v>2019.0</v>
      </c>
      <c r="B1225" s="1">
        <v>12.0</v>
      </c>
      <c r="C1225" s="1" t="s">
        <v>68</v>
      </c>
      <c r="D1225" s="1" t="s">
        <v>13</v>
      </c>
      <c r="E1225" s="1" t="s">
        <v>17</v>
      </c>
      <c r="F1225" s="1">
        <v>100.0</v>
      </c>
      <c r="G1225" s="1"/>
      <c r="H1225" s="1">
        <v>10000.0</v>
      </c>
      <c r="I1225" s="1">
        <f t="shared" si="1"/>
        <v>10000</v>
      </c>
      <c r="J1225" s="1">
        <v>1000.0</v>
      </c>
      <c r="K1225" s="1"/>
      <c r="L1225" s="1" t="s">
        <v>2252</v>
      </c>
    </row>
    <row r="1226">
      <c r="A1226" s="1">
        <v>2019.0</v>
      </c>
      <c r="B1226" s="1">
        <v>12.0</v>
      </c>
      <c r="C1226" s="1" t="s">
        <v>68</v>
      </c>
      <c r="D1226" s="1" t="s">
        <v>13</v>
      </c>
      <c r="E1226" s="1" t="s">
        <v>21</v>
      </c>
      <c r="F1226" s="1">
        <v>100.0</v>
      </c>
      <c r="G1226" s="1"/>
      <c r="H1226" s="1">
        <v>10000.0</v>
      </c>
      <c r="I1226" s="1">
        <f t="shared" si="1"/>
        <v>10000</v>
      </c>
      <c r="J1226" s="1">
        <v>1000.0</v>
      </c>
      <c r="K1226" s="1"/>
      <c r="L1226" s="1" t="s">
        <v>2252</v>
      </c>
    </row>
    <row r="1227">
      <c r="A1227" s="1">
        <v>2019.0</v>
      </c>
      <c r="B1227" s="1">
        <v>12.0</v>
      </c>
      <c r="C1227" s="1" t="s">
        <v>68</v>
      </c>
      <c r="D1227" s="1" t="s">
        <v>13</v>
      </c>
      <c r="E1227" s="1" t="s">
        <v>25</v>
      </c>
      <c r="F1227" s="1">
        <v>100.0</v>
      </c>
      <c r="G1227" s="1"/>
      <c r="H1227" s="1">
        <v>10000.0</v>
      </c>
      <c r="I1227" s="1">
        <f t="shared" si="1"/>
        <v>10000</v>
      </c>
      <c r="J1227" s="1">
        <v>1000.0</v>
      </c>
      <c r="K1227" s="1"/>
      <c r="L1227" s="1" t="s">
        <v>2252</v>
      </c>
    </row>
    <row r="1228">
      <c r="A1228" s="1">
        <v>2019.0</v>
      </c>
      <c r="B1228" s="1">
        <v>12.0</v>
      </c>
      <c r="C1228" s="1" t="s">
        <v>68</v>
      </c>
      <c r="D1228" s="1" t="s">
        <v>29</v>
      </c>
      <c r="E1228" s="1" t="s">
        <v>21</v>
      </c>
      <c r="F1228" s="1">
        <v>100.0</v>
      </c>
      <c r="G1228" s="1"/>
      <c r="H1228" s="1">
        <v>10000.0</v>
      </c>
      <c r="I1228" s="1">
        <f t="shared" si="1"/>
        <v>10000</v>
      </c>
      <c r="J1228" s="1">
        <v>1000.0</v>
      </c>
      <c r="K1228" s="1"/>
      <c r="L1228" s="1" t="s">
        <v>2252</v>
      </c>
    </row>
    <row r="1229">
      <c r="A1229" s="1">
        <v>2019.0</v>
      </c>
      <c r="B1229" s="1">
        <v>12.0</v>
      </c>
      <c r="C1229" s="1" t="s">
        <v>68</v>
      </c>
      <c r="D1229" s="1" t="s">
        <v>45</v>
      </c>
      <c r="E1229" s="1" t="s">
        <v>17</v>
      </c>
      <c r="F1229" s="1">
        <v>100.0</v>
      </c>
      <c r="G1229" s="1"/>
      <c r="H1229" s="1">
        <v>10000.0</v>
      </c>
      <c r="I1229" s="1">
        <f t="shared" si="1"/>
        <v>10000</v>
      </c>
      <c r="J1229" s="1">
        <v>1000.0</v>
      </c>
      <c r="K1229" s="1"/>
      <c r="L1229" s="1" t="s">
        <v>2252</v>
      </c>
    </row>
    <row r="1230">
      <c r="A1230" s="1">
        <v>2019.0</v>
      </c>
      <c r="B1230" s="1">
        <v>12.0</v>
      </c>
      <c r="C1230" s="1" t="s">
        <v>68</v>
      </c>
      <c r="D1230" s="1" t="s">
        <v>32</v>
      </c>
      <c r="E1230" s="1" t="s">
        <v>14</v>
      </c>
      <c r="F1230" s="1">
        <v>100.0</v>
      </c>
      <c r="G1230" s="1"/>
      <c r="H1230" s="1">
        <v>10000.0</v>
      </c>
      <c r="I1230" s="1">
        <f t="shared" si="1"/>
        <v>10000</v>
      </c>
      <c r="J1230" s="1">
        <v>1000.0</v>
      </c>
      <c r="K1230" s="1"/>
      <c r="L1230" s="1" t="s">
        <v>2252</v>
      </c>
    </row>
    <row r="1231">
      <c r="A1231" s="1">
        <v>2019.0</v>
      </c>
      <c r="B1231" s="1">
        <v>12.0</v>
      </c>
      <c r="C1231" s="1" t="s">
        <v>68</v>
      </c>
      <c r="D1231" s="1" t="s">
        <v>32</v>
      </c>
      <c r="E1231" s="1" t="s">
        <v>21</v>
      </c>
      <c r="F1231" s="1">
        <v>100.0</v>
      </c>
      <c r="G1231" s="1"/>
      <c r="H1231" s="1">
        <v>10000.0</v>
      </c>
      <c r="I1231" s="1">
        <f t="shared" si="1"/>
        <v>10000</v>
      </c>
      <c r="J1231" s="1">
        <v>1000.0</v>
      </c>
      <c r="K1231" s="1"/>
      <c r="L1231" s="1" t="s">
        <v>2252</v>
      </c>
    </row>
    <row r="1232">
      <c r="A1232" s="1">
        <v>2019.0</v>
      </c>
      <c r="B1232" s="1">
        <v>12.0</v>
      </c>
      <c r="C1232" s="1" t="s">
        <v>68</v>
      </c>
      <c r="D1232" s="1" t="s">
        <v>42</v>
      </c>
      <c r="E1232" s="1" t="s">
        <v>17</v>
      </c>
      <c r="F1232" s="1">
        <v>100.0</v>
      </c>
      <c r="G1232" s="1"/>
      <c r="H1232" s="1">
        <v>10000.0</v>
      </c>
      <c r="I1232" s="1">
        <f t="shared" si="1"/>
        <v>10000</v>
      </c>
      <c r="J1232" s="1">
        <v>1000.0</v>
      </c>
      <c r="K1232" s="1"/>
      <c r="L1232" s="1" t="s">
        <v>2252</v>
      </c>
    </row>
    <row r="1233">
      <c r="A1233" s="1">
        <v>2019.0</v>
      </c>
      <c r="B1233" s="1">
        <v>12.0</v>
      </c>
      <c r="C1233" s="1" t="s">
        <v>68</v>
      </c>
      <c r="D1233" s="1" t="s">
        <v>98</v>
      </c>
      <c r="E1233" s="1" t="s">
        <v>17</v>
      </c>
      <c r="F1233" s="1">
        <v>100.0</v>
      </c>
      <c r="G1233" s="1"/>
      <c r="H1233" s="1">
        <v>10000.0</v>
      </c>
      <c r="I1233" s="1">
        <f t="shared" si="1"/>
        <v>10000</v>
      </c>
      <c r="J1233" s="1">
        <v>1000.0</v>
      </c>
      <c r="K1233" s="1"/>
      <c r="L1233" s="1" t="s">
        <v>2252</v>
      </c>
    </row>
    <row r="1234">
      <c r="A1234" s="1">
        <v>2019.0</v>
      </c>
      <c r="B1234" s="1">
        <v>12.0</v>
      </c>
      <c r="C1234" s="1" t="s">
        <v>68</v>
      </c>
      <c r="D1234" s="1" t="s">
        <v>38</v>
      </c>
      <c r="E1234" s="1" t="s">
        <v>39</v>
      </c>
      <c r="F1234" s="1">
        <v>100.0</v>
      </c>
      <c r="G1234" s="1"/>
      <c r="H1234" s="1">
        <v>10000.0</v>
      </c>
      <c r="I1234" s="1">
        <f t="shared" si="1"/>
        <v>10000</v>
      </c>
      <c r="J1234" s="1">
        <v>1000.0</v>
      </c>
      <c r="K1234" s="1"/>
      <c r="L1234" s="1" t="s">
        <v>2252</v>
      </c>
    </row>
    <row r="1235">
      <c r="A1235" s="1">
        <v>2019.0</v>
      </c>
      <c r="B1235" s="1">
        <v>12.0</v>
      </c>
      <c r="C1235" s="1" t="s">
        <v>68</v>
      </c>
      <c r="D1235" s="1" t="s">
        <v>102</v>
      </c>
      <c r="E1235" s="1" t="s">
        <v>39</v>
      </c>
      <c r="F1235" s="1">
        <v>100.0</v>
      </c>
      <c r="G1235" s="1"/>
      <c r="H1235" s="1">
        <v>10000.0</v>
      </c>
      <c r="I1235" s="1">
        <f t="shared" si="1"/>
        <v>10000</v>
      </c>
      <c r="J1235" s="1">
        <v>1000.0</v>
      </c>
      <c r="K1235" s="1"/>
      <c r="L1235" s="1" t="s">
        <v>2252</v>
      </c>
    </row>
    <row r="1236">
      <c r="A1236" s="1">
        <v>2019.0</v>
      </c>
      <c r="B1236" s="1">
        <v>12.0</v>
      </c>
      <c r="C1236" s="1" t="s">
        <v>68</v>
      </c>
      <c r="D1236" s="1" t="s">
        <v>102</v>
      </c>
      <c r="E1236" s="1" t="s">
        <v>21</v>
      </c>
      <c r="F1236" s="1">
        <v>100.0</v>
      </c>
      <c r="G1236" s="1"/>
      <c r="H1236" s="1">
        <v>10000.0</v>
      </c>
      <c r="I1236" s="1">
        <f t="shared" si="1"/>
        <v>10000</v>
      </c>
      <c r="J1236" s="1">
        <v>1000.0</v>
      </c>
      <c r="K1236" s="1"/>
      <c r="L1236" s="1" t="s">
        <v>2252</v>
      </c>
    </row>
    <row r="1237">
      <c r="A1237" s="1">
        <v>2019.0</v>
      </c>
      <c r="B1237" s="1">
        <v>12.0</v>
      </c>
      <c r="C1237" s="1" t="s">
        <v>68</v>
      </c>
      <c r="D1237" s="1" t="s">
        <v>112</v>
      </c>
      <c r="E1237" s="1" t="s">
        <v>21</v>
      </c>
      <c r="F1237" s="1">
        <v>100.0</v>
      </c>
      <c r="G1237" s="1"/>
      <c r="H1237" s="1">
        <v>10000.0</v>
      </c>
      <c r="I1237" s="1">
        <f t="shared" si="1"/>
        <v>10000</v>
      </c>
      <c r="J1237" s="1">
        <v>1000.0</v>
      </c>
      <c r="K1237" s="1"/>
      <c r="L1237" s="1" t="s">
        <v>2252</v>
      </c>
    </row>
    <row r="1238">
      <c r="A1238" s="1">
        <v>2019.0</v>
      </c>
      <c r="B1238" s="1">
        <v>12.0</v>
      </c>
      <c r="C1238" s="1" t="s">
        <v>68</v>
      </c>
      <c r="D1238" s="1" t="s">
        <v>165</v>
      </c>
      <c r="E1238" s="1" t="s">
        <v>39</v>
      </c>
      <c r="F1238" s="1">
        <v>100.0</v>
      </c>
      <c r="G1238" s="1"/>
      <c r="H1238" s="1">
        <v>10000.0</v>
      </c>
      <c r="I1238" s="1">
        <f t="shared" si="1"/>
        <v>10000</v>
      </c>
      <c r="J1238" s="1">
        <v>1000.0</v>
      </c>
      <c r="K1238" s="1"/>
      <c r="L1238" s="1" t="s">
        <v>2252</v>
      </c>
    </row>
    <row r="1239">
      <c r="A1239" s="1">
        <v>2019.0</v>
      </c>
      <c r="B1239" s="1">
        <v>12.0</v>
      </c>
      <c r="C1239" s="1" t="s">
        <v>68</v>
      </c>
      <c r="D1239" s="1" t="s">
        <v>165</v>
      </c>
      <c r="E1239" s="1" t="s">
        <v>17</v>
      </c>
      <c r="F1239" s="1">
        <v>100.0</v>
      </c>
      <c r="G1239" s="1"/>
      <c r="H1239" s="1">
        <v>10000.0</v>
      </c>
      <c r="I1239" s="1">
        <f t="shared" si="1"/>
        <v>10000</v>
      </c>
      <c r="J1239" s="1">
        <v>1000.0</v>
      </c>
      <c r="K1239" s="1"/>
      <c r="L1239" s="1" t="s">
        <v>2252</v>
      </c>
    </row>
    <row r="1240">
      <c r="A1240" s="1">
        <v>2019.0</v>
      </c>
      <c r="B1240" s="1">
        <v>12.0</v>
      </c>
      <c r="C1240" s="1" t="s">
        <v>116</v>
      </c>
      <c r="D1240" s="1" t="s">
        <v>13</v>
      </c>
      <c r="E1240" s="1" t="s">
        <v>14</v>
      </c>
      <c r="F1240" s="1">
        <v>100.0</v>
      </c>
      <c r="G1240" s="1"/>
      <c r="H1240" s="1">
        <v>10000.0</v>
      </c>
      <c r="I1240" s="1">
        <f t="shared" si="1"/>
        <v>10000</v>
      </c>
      <c r="J1240" s="1">
        <v>1000.0</v>
      </c>
      <c r="K1240" s="1"/>
      <c r="L1240" s="1" t="s">
        <v>2252</v>
      </c>
    </row>
    <row r="1241">
      <c r="A1241" s="1">
        <v>2019.0</v>
      </c>
      <c r="B1241" s="1">
        <v>12.0</v>
      </c>
      <c r="C1241" s="1" t="s">
        <v>116</v>
      </c>
      <c r="D1241" s="1" t="s">
        <v>13</v>
      </c>
      <c r="E1241" s="1" t="s">
        <v>72</v>
      </c>
      <c r="F1241" s="1">
        <v>100.0</v>
      </c>
      <c r="G1241" s="1"/>
      <c r="H1241" s="1">
        <v>10000.0</v>
      </c>
      <c r="I1241" s="1">
        <f t="shared" si="1"/>
        <v>10000</v>
      </c>
      <c r="J1241" s="1">
        <v>1000.0</v>
      </c>
      <c r="K1241" s="1"/>
      <c r="L1241" s="1" t="s">
        <v>2252</v>
      </c>
    </row>
    <row r="1242">
      <c r="A1242" s="1">
        <v>2019.0</v>
      </c>
      <c r="B1242" s="1">
        <v>12.0</v>
      </c>
      <c r="C1242" s="1" t="s">
        <v>116</v>
      </c>
      <c r="D1242" s="1" t="s">
        <v>13</v>
      </c>
      <c r="E1242" s="1" t="s">
        <v>17</v>
      </c>
      <c r="F1242" s="1">
        <v>100.0</v>
      </c>
      <c r="G1242" s="1"/>
      <c r="H1242" s="1">
        <v>10000.0</v>
      </c>
      <c r="I1242" s="1">
        <f t="shared" si="1"/>
        <v>10000</v>
      </c>
      <c r="J1242" s="1">
        <v>1000.0</v>
      </c>
      <c r="K1242" s="1"/>
      <c r="L1242" s="1" t="s">
        <v>2252</v>
      </c>
    </row>
    <row r="1243">
      <c r="A1243" s="1">
        <v>2019.0</v>
      </c>
      <c r="B1243" s="1">
        <v>12.0</v>
      </c>
      <c r="C1243" s="1" t="s">
        <v>116</v>
      </c>
      <c r="D1243" s="1" t="s">
        <v>13</v>
      </c>
      <c r="E1243" s="1" t="s">
        <v>21</v>
      </c>
      <c r="F1243" s="1">
        <v>100.0</v>
      </c>
      <c r="G1243" s="1"/>
      <c r="H1243" s="1">
        <v>10000.0</v>
      </c>
      <c r="I1243" s="1">
        <f t="shared" si="1"/>
        <v>10000</v>
      </c>
      <c r="J1243" s="1">
        <v>1000.0</v>
      </c>
      <c r="K1243" s="1"/>
      <c r="L1243" s="1" t="s">
        <v>2252</v>
      </c>
    </row>
    <row r="1244">
      <c r="A1244" s="1">
        <v>2019.0</v>
      </c>
      <c r="B1244" s="1">
        <v>12.0</v>
      </c>
      <c r="C1244" s="1" t="s">
        <v>116</v>
      </c>
      <c r="D1244" s="1" t="s">
        <v>13</v>
      </c>
      <c r="E1244" s="1" t="s">
        <v>25</v>
      </c>
      <c r="F1244" s="1">
        <v>100.0</v>
      </c>
      <c r="G1244" s="1"/>
      <c r="H1244" s="1">
        <v>10000.0</v>
      </c>
      <c r="I1244" s="1">
        <f t="shared" si="1"/>
        <v>10000</v>
      </c>
      <c r="J1244" s="1">
        <v>1000.0</v>
      </c>
      <c r="K1244" s="1"/>
      <c r="L1244" s="1" t="s">
        <v>2252</v>
      </c>
    </row>
    <row r="1245">
      <c r="A1245" s="1">
        <v>2019.0</v>
      </c>
      <c r="B1245" s="1">
        <v>12.0</v>
      </c>
      <c r="C1245" s="1" t="s">
        <v>116</v>
      </c>
      <c r="D1245" s="1" t="s">
        <v>29</v>
      </c>
      <c r="E1245" s="1" t="s">
        <v>21</v>
      </c>
      <c r="F1245" s="1">
        <v>100.0</v>
      </c>
      <c r="G1245" s="1"/>
      <c r="H1245" s="1">
        <v>10000.0</v>
      </c>
      <c r="I1245" s="1">
        <f t="shared" si="1"/>
        <v>10000</v>
      </c>
      <c r="J1245" s="1">
        <v>1000.0</v>
      </c>
      <c r="K1245" s="1"/>
      <c r="L1245" s="1" t="s">
        <v>2252</v>
      </c>
    </row>
    <row r="1246">
      <c r="A1246" s="1">
        <v>2019.0</v>
      </c>
      <c r="B1246" s="1">
        <v>12.0</v>
      </c>
      <c r="C1246" s="1" t="s">
        <v>116</v>
      </c>
      <c r="D1246" s="1" t="s">
        <v>32</v>
      </c>
      <c r="E1246" s="1" t="s">
        <v>14</v>
      </c>
      <c r="F1246" s="1">
        <v>100.0</v>
      </c>
      <c r="G1246" s="1"/>
      <c r="H1246" s="1">
        <v>10000.0</v>
      </c>
      <c r="I1246" s="1">
        <f t="shared" si="1"/>
        <v>10000</v>
      </c>
      <c r="J1246" s="1">
        <v>1000.0</v>
      </c>
      <c r="K1246" s="1"/>
      <c r="L1246" s="1" t="s">
        <v>2252</v>
      </c>
    </row>
    <row r="1247">
      <c r="A1247" s="1">
        <v>2019.0</v>
      </c>
      <c r="B1247" s="1">
        <v>12.0</v>
      </c>
      <c r="C1247" s="1" t="s">
        <v>116</v>
      </c>
      <c r="D1247" s="1" t="s">
        <v>32</v>
      </c>
      <c r="E1247" s="1" t="s">
        <v>21</v>
      </c>
      <c r="F1247" s="1">
        <v>100.0</v>
      </c>
      <c r="G1247" s="1"/>
      <c r="H1247" s="1">
        <v>10000.0</v>
      </c>
      <c r="I1247" s="1">
        <f t="shared" si="1"/>
        <v>10000</v>
      </c>
      <c r="J1247" s="1">
        <v>1000.0</v>
      </c>
      <c r="K1247" s="1"/>
      <c r="L1247" s="1" t="s">
        <v>2252</v>
      </c>
    </row>
    <row r="1248">
      <c r="A1248" s="1">
        <v>2019.0</v>
      </c>
      <c r="B1248" s="1">
        <v>12.0</v>
      </c>
      <c r="C1248" s="1" t="s">
        <v>116</v>
      </c>
      <c r="D1248" s="1" t="s">
        <v>42</v>
      </c>
      <c r="E1248" s="1" t="s">
        <v>17</v>
      </c>
      <c r="F1248" s="1">
        <v>100.0</v>
      </c>
      <c r="G1248" s="1"/>
      <c r="H1248" s="1">
        <v>10000.0</v>
      </c>
      <c r="I1248" s="1">
        <f t="shared" si="1"/>
        <v>10000</v>
      </c>
      <c r="J1248" s="1">
        <v>1000.0</v>
      </c>
      <c r="K1248" s="1"/>
      <c r="L1248" s="1" t="s">
        <v>2252</v>
      </c>
    </row>
    <row r="1249">
      <c r="A1249" s="1">
        <v>2019.0</v>
      </c>
      <c r="B1249" s="1">
        <v>12.0</v>
      </c>
      <c r="C1249" s="1" t="s">
        <v>116</v>
      </c>
      <c r="D1249" s="1" t="s">
        <v>45</v>
      </c>
      <c r="E1249" s="1" t="s">
        <v>17</v>
      </c>
      <c r="F1249" s="1">
        <v>100.0</v>
      </c>
      <c r="G1249" s="1"/>
      <c r="H1249" s="1">
        <v>10000.0</v>
      </c>
      <c r="I1249" s="1">
        <f t="shared" si="1"/>
        <v>10000</v>
      </c>
      <c r="J1249" s="1">
        <v>1000.0</v>
      </c>
      <c r="K1249" s="1"/>
      <c r="L1249" s="1" t="s">
        <v>2252</v>
      </c>
    </row>
    <row r="1250">
      <c r="A1250" s="1">
        <v>2019.0</v>
      </c>
      <c r="B1250" s="1">
        <v>12.0</v>
      </c>
      <c r="C1250" s="1" t="s">
        <v>116</v>
      </c>
      <c r="D1250" s="1" t="s">
        <v>147</v>
      </c>
      <c r="E1250" s="1" t="s">
        <v>39</v>
      </c>
      <c r="F1250" s="1">
        <v>100.0</v>
      </c>
      <c r="G1250" s="1"/>
      <c r="H1250" s="1">
        <v>10000.0</v>
      </c>
      <c r="I1250" s="1">
        <f t="shared" si="1"/>
        <v>10000</v>
      </c>
      <c r="J1250" s="1">
        <v>1000.0</v>
      </c>
      <c r="K1250" s="1"/>
      <c r="L1250" s="1" t="s">
        <v>2252</v>
      </c>
    </row>
    <row r="1251">
      <c r="A1251" s="1">
        <v>2019.0</v>
      </c>
      <c r="B1251" s="1">
        <v>12.0</v>
      </c>
      <c r="C1251" s="1" t="s">
        <v>116</v>
      </c>
      <c r="D1251" s="1" t="s">
        <v>147</v>
      </c>
      <c r="E1251" s="1" t="s">
        <v>17</v>
      </c>
      <c r="F1251" s="1">
        <v>100.0</v>
      </c>
      <c r="G1251" s="1"/>
      <c r="H1251" s="1">
        <v>10000.0</v>
      </c>
      <c r="I1251" s="1">
        <f t="shared" si="1"/>
        <v>10000</v>
      </c>
      <c r="J1251" s="1">
        <v>1000.0</v>
      </c>
      <c r="K1251" s="1"/>
      <c r="L1251" s="1" t="s">
        <v>2252</v>
      </c>
    </row>
    <row r="1252">
      <c r="A1252" s="1">
        <v>2019.0</v>
      </c>
      <c r="B1252" s="1">
        <v>12.0</v>
      </c>
      <c r="C1252" s="1" t="s">
        <v>116</v>
      </c>
      <c r="D1252" s="1" t="s">
        <v>147</v>
      </c>
      <c r="E1252" s="1" t="s">
        <v>21</v>
      </c>
      <c r="F1252" s="1">
        <v>100.0</v>
      </c>
      <c r="G1252" s="1"/>
      <c r="H1252" s="1">
        <v>10000.0</v>
      </c>
      <c r="I1252" s="1">
        <f t="shared" si="1"/>
        <v>10000</v>
      </c>
      <c r="J1252" s="1">
        <v>1000.0</v>
      </c>
      <c r="K1252" s="1"/>
      <c r="L1252" s="1" t="s">
        <v>2252</v>
      </c>
    </row>
    <row r="1253">
      <c r="A1253" s="1">
        <v>2019.0</v>
      </c>
      <c r="B1253" s="1">
        <v>12.0</v>
      </c>
      <c r="C1253" s="1" t="s">
        <v>116</v>
      </c>
      <c r="D1253" s="1" t="s">
        <v>102</v>
      </c>
      <c r="E1253" s="1" t="s">
        <v>39</v>
      </c>
      <c r="F1253" s="1">
        <v>100.0</v>
      </c>
      <c r="G1253" s="1"/>
      <c r="H1253" s="1">
        <v>10000.0</v>
      </c>
      <c r="I1253" s="1">
        <f t="shared" si="1"/>
        <v>10000</v>
      </c>
      <c r="J1253" s="1">
        <v>1000.0</v>
      </c>
      <c r="K1253" s="1"/>
      <c r="L1253" s="1" t="s">
        <v>2252</v>
      </c>
    </row>
    <row r="1254">
      <c r="A1254" s="1">
        <v>2019.0</v>
      </c>
      <c r="B1254" s="1">
        <v>12.0</v>
      </c>
      <c r="C1254" s="1" t="s">
        <v>116</v>
      </c>
      <c r="D1254" s="1" t="s">
        <v>102</v>
      </c>
      <c r="E1254" s="1" t="s">
        <v>21</v>
      </c>
      <c r="F1254" s="1">
        <v>100.0</v>
      </c>
      <c r="G1254" s="1"/>
      <c r="H1254" s="1">
        <v>10000.0</v>
      </c>
      <c r="I1254" s="1">
        <f t="shared" si="1"/>
        <v>10000</v>
      </c>
      <c r="J1254" s="1">
        <v>1000.0</v>
      </c>
      <c r="K1254" s="1"/>
      <c r="L1254" s="1" t="s">
        <v>2252</v>
      </c>
    </row>
    <row r="1255">
      <c r="A1255" s="1">
        <v>2019.0</v>
      </c>
      <c r="B1255" s="1">
        <v>12.0</v>
      </c>
      <c r="C1255" s="1" t="s">
        <v>116</v>
      </c>
      <c r="D1255" s="1" t="s">
        <v>38</v>
      </c>
      <c r="E1255" s="1" t="s">
        <v>39</v>
      </c>
      <c r="F1255" s="1">
        <v>100.0</v>
      </c>
      <c r="G1255" s="1"/>
      <c r="H1255" s="1">
        <v>10000.0</v>
      </c>
      <c r="I1255" s="1">
        <f t="shared" si="1"/>
        <v>10000</v>
      </c>
      <c r="J1255" s="1">
        <v>1000.0</v>
      </c>
      <c r="K1255" s="1"/>
      <c r="L1255" s="1" t="s">
        <v>2252</v>
      </c>
    </row>
    <row r="1256">
      <c r="A1256" s="1">
        <v>2019.0</v>
      </c>
      <c r="B1256" s="1">
        <v>12.0</v>
      </c>
      <c r="C1256" s="1" t="s">
        <v>116</v>
      </c>
      <c r="D1256" s="1" t="s">
        <v>158</v>
      </c>
      <c r="E1256" s="1" t="s">
        <v>17</v>
      </c>
      <c r="F1256" s="1">
        <v>100.0</v>
      </c>
      <c r="G1256" s="1"/>
      <c r="H1256" s="1">
        <v>10000.0</v>
      </c>
      <c r="I1256" s="1">
        <f t="shared" si="1"/>
        <v>10000</v>
      </c>
      <c r="J1256" s="1">
        <v>1000.0</v>
      </c>
      <c r="K1256" s="1"/>
      <c r="L1256" s="1" t="s">
        <v>2252</v>
      </c>
    </row>
    <row r="1257">
      <c r="A1257" s="1">
        <v>2019.0</v>
      </c>
      <c r="B1257" s="1">
        <v>12.0</v>
      </c>
      <c r="C1257" s="1" t="s">
        <v>116</v>
      </c>
      <c r="D1257" s="1" t="s">
        <v>158</v>
      </c>
      <c r="E1257" s="1" t="s">
        <v>21</v>
      </c>
      <c r="F1257" s="1">
        <v>100.0</v>
      </c>
      <c r="G1257" s="1"/>
      <c r="H1257" s="1">
        <v>10000.0</v>
      </c>
      <c r="I1257" s="1">
        <f t="shared" si="1"/>
        <v>10000</v>
      </c>
      <c r="J1257" s="1">
        <v>1000.0</v>
      </c>
      <c r="K1257" s="1"/>
      <c r="L1257" s="1" t="s">
        <v>2252</v>
      </c>
    </row>
    <row r="1258">
      <c r="A1258" s="1">
        <v>2019.0</v>
      </c>
      <c r="B1258" s="1">
        <v>12.0</v>
      </c>
      <c r="C1258" s="1" t="s">
        <v>116</v>
      </c>
      <c r="D1258" s="1" t="s">
        <v>165</v>
      </c>
      <c r="E1258" s="1" t="s">
        <v>39</v>
      </c>
      <c r="F1258" s="1">
        <v>100.0</v>
      </c>
      <c r="G1258" s="1"/>
      <c r="H1258" s="1">
        <v>10000.0</v>
      </c>
      <c r="I1258" s="1">
        <f t="shared" si="1"/>
        <v>10000</v>
      </c>
      <c r="J1258" s="1">
        <v>1000.0</v>
      </c>
      <c r="K1258" s="1"/>
      <c r="L1258" s="1" t="s">
        <v>2252</v>
      </c>
    </row>
    <row r="1259">
      <c r="A1259" s="1">
        <v>2019.0</v>
      </c>
      <c r="B1259" s="1">
        <v>12.0</v>
      </c>
      <c r="C1259" s="1" t="s">
        <v>116</v>
      </c>
      <c r="D1259" s="1" t="s">
        <v>165</v>
      </c>
      <c r="E1259" s="1" t="s">
        <v>17</v>
      </c>
      <c r="F1259" s="1">
        <v>100.0</v>
      </c>
      <c r="G1259" s="1"/>
      <c r="H1259" s="1">
        <v>10000.0</v>
      </c>
      <c r="I1259" s="1">
        <f t="shared" si="1"/>
        <v>10000</v>
      </c>
      <c r="J1259" s="1">
        <v>1000.0</v>
      </c>
      <c r="K1259" s="1"/>
      <c r="L1259" s="1" t="s">
        <v>2252</v>
      </c>
    </row>
  </sheetData>
  <autoFilter ref="$A$1:$L$125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6.75"/>
    <col customWidth="1" min="11" max="12" width="16.88"/>
    <col customWidth="1" min="13" max="13" width="13.63"/>
    <col customWidth="1" min="14" max="14" width="18.75"/>
  </cols>
  <sheetData>
    <row r="1">
      <c r="A1" s="1" t="s">
        <v>0</v>
      </c>
      <c r="B1" s="1" t="s">
        <v>1</v>
      </c>
      <c r="C1" s="4" t="s">
        <v>166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7</v>
      </c>
      <c r="J1" s="4" t="s">
        <v>8</v>
      </c>
      <c r="K1" s="1" t="s">
        <v>9</v>
      </c>
      <c r="L1" s="4" t="s">
        <v>10</v>
      </c>
      <c r="M1" s="1" t="s">
        <v>11</v>
      </c>
      <c r="N1" s="4" t="s">
        <v>181</v>
      </c>
    </row>
    <row r="2">
      <c r="A2" s="6" t="s">
        <v>183</v>
      </c>
      <c r="B2" s="6" t="s">
        <v>186</v>
      </c>
      <c r="C2" s="5">
        <f t="shared" ref="C2:C653" si="1">VALUE(B2)</f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5">
        <f t="shared" ref="H2:H653" si="2">VALUE(SUBSTITUTE(G2,".",","))</f>
        <v>16.3202</v>
      </c>
      <c r="I2" s="1" t="s">
        <v>16</v>
      </c>
      <c r="J2" s="5">
        <f t="shared" ref="J2:J653" si="3">VALUE(SUBSTITUTE(I2,".",","))</f>
        <v>936.803413</v>
      </c>
      <c r="K2" s="6" t="s">
        <v>198</v>
      </c>
      <c r="L2" s="5">
        <f t="shared" ref="L2:L653" si="4">VALUE(SUBSTITUTE(K2,".",","))</f>
        <v>3.4272</v>
      </c>
      <c r="M2" s="6" t="s">
        <v>200</v>
      </c>
      <c r="N2" s="5">
        <f t="shared" ref="N2:N653" si="5">VALUE(M2)</f>
        <v>477</v>
      </c>
    </row>
    <row r="3">
      <c r="A3" s="6" t="s">
        <v>183</v>
      </c>
      <c r="B3" s="6" t="s">
        <v>186</v>
      </c>
      <c r="C3" s="5">
        <f t="shared" si="1"/>
        <v>1</v>
      </c>
      <c r="D3" s="1" t="s">
        <v>12</v>
      </c>
      <c r="E3" s="1" t="s">
        <v>13</v>
      </c>
      <c r="F3" s="1" t="s">
        <v>17</v>
      </c>
      <c r="G3" s="1" t="s">
        <v>18</v>
      </c>
      <c r="H3" s="5">
        <f t="shared" si="2"/>
        <v>87.8634</v>
      </c>
      <c r="I3" s="1" t="s">
        <v>19</v>
      </c>
      <c r="J3" s="5">
        <f t="shared" si="3"/>
        <v>7019.116508</v>
      </c>
      <c r="K3" s="1" t="s">
        <v>20</v>
      </c>
      <c r="L3" s="5">
        <f t="shared" si="4"/>
        <v>30.7522</v>
      </c>
      <c r="M3" s="6" t="s">
        <v>202</v>
      </c>
      <c r="N3" s="5">
        <f t="shared" si="5"/>
        <v>754</v>
      </c>
    </row>
    <row r="4">
      <c r="A4" s="6" t="s">
        <v>183</v>
      </c>
      <c r="B4" s="6" t="s">
        <v>186</v>
      </c>
      <c r="C4" s="5">
        <f t="shared" si="1"/>
        <v>1</v>
      </c>
      <c r="D4" s="1" t="s">
        <v>12</v>
      </c>
      <c r="E4" s="1" t="s">
        <v>13</v>
      </c>
      <c r="F4" s="1" t="s">
        <v>21</v>
      </c>
      <c r="G4" s="1" t="s">
        <v>22</v>
      </c>
      <c r="H4" s="5">
        <f t="shared" si="2"/>
        <v>35.7182</v>
      </c>
      <c r="I4" s="1" t="s">
        <v>23</v>
      </c>
      <c r="J4" s="5">
        <f t="shared" si="3"/>
        <v>4166.453788</v>
      </c>
      <c r="K4" s="1" t="s">
        <v>24</v>
      </c>
      <c r="L4" s="5">
        <f t="shared" si="4"/>
        <v>17.8592</v>
      </c>
      <c r="M4" s="6" t="s">
        <v>205</v>
      </c>
      <c r="N4" s="5">
        <f t="shared" si="5"/>
        <v>629</v>
      </c>
    </row>
    <row r="5">
      <c r="A5" s="6" t="s">
        <v>183</v>
      </c>
      <c r="B5" s="6" t="s">
        <v>186</v>
      </c>
      <c r="C5" s="5">
        <f t="shared" si="1"/>
        <v>1</v>
      </c>
      <c r="D5" s="1" t="s">
        <v>12</v>
      </c>
      <c r="E5" s="1" t="s">
        <v>13</v>
      </c>
      <c r="F5" s="1" t="s">
        <v>25</v>
      </c>
      <c r="G5" s="1" t="s">
        <v>26</v>
      </c>
      <c r="H5" s="5">
        <f t="shared" si="2"/>
        <v>0.358</v>
      </c>
      <c r="I5" s="1" t="s">
        <v>27</v>
      </c>
      <c r="J5" s="5">
        <f t="shared" si="3"/>
        <v>66.38769</v>
      </c>
      <c r="K5" s="1" t="s">
        <v>28</v>
      </c>
      <c r="L5" s="5">
        <f t="shared" si="4"/>
        <v>0.2685</v>
      </c>
      <c r="M5" s="6" t="s">
        <v>211</v>
      </c>
      <c r="N5" s="5">
        <f t="shared" si="5"/>
        <v>29</v>
      </c>
    </row>
    <row r="6">
      <c r="A6" s="6" t="s">
        <v>183</v>
      </c>
      <c r="B6" s="6" t="s">
        <v>186</v>
      </c>
      <c r="C6" s="5">
        <f t="shared" si="1"/>
        <v>1</v>
      </c>
      <c r="D6" s="1" t="s">
        <v>12</v>
      </c>
      <c r="E6" s="1" t="s">
        <v>29</v>
      </c>
      <c r="F6" s="1" t="s">
        <v>21</v>
      </c>
      <c r="G6" s="1" t="s">
        <v>30</v>
      </c>
      <c r="H6" s="5">
        <f t="shared" si="2"/>
        <v>16.8368</v>
      </c>
      <c r="I6" s="1" t="s">
        <v>31</v>
      </c>
      <c r="J6" s="5">
        <f t="shared" si="3"/>
        <v>3227.992656</v>
      </c>
      <c r="K6" s="6" t="s">
        <v>218</v>
      </c>
      <c r="L6" s="5">
        <f t="shared" si="4"/>
        <v>6.7346</v>
      </c>
      <c r="M6" s="6" t="s">
        <v>220</v>
      </c>
      <c r="N6" s="5">
        <f t="shared" si="5"/>
        <v>663</v>
      </c>
    </row>
    <row r="7">
      <c r="A7" s="6" t="s">
        <v>183</v>
      </c>
      <c r="B7" s="6" t="s">
        <v>186</v>
      </c>
      <c r="C7" s="5">
        <f t="shared" si="1"/>
        <v>1</v>
      </c>
      <c r="D7" s="1" t="s">
        <v>12</v>
      </c>
      <c r="E7" s="1" t="s">
        <v>32</v>
      </c>
      <c r="F7" s="1" t="s">
        <v>14</v>
      </c>
      <c r="G7" s="6" t="s">
        <v>33</v>
      </c>
      <c r="H7" s="5">
        <f t="shared" si="2"/>
        <v>10.0639</v>
      </c>
      <c r="I7" s="1" t="s">
        <v>34</v>
      </c>
      <c r="J7" s="5">
        <f t="shared" si="3"/>
        <v>573.128758</v>
      </c>
      <c r="K7" s="6" t="s">
        <v>228</v>
      </c>
      <c r="L7" s="5">
        <f t="shared" si="4"/>
        <v>2.3147</v>
      </c>
      <c r="M7" s="6" t="s">
        <v>231</v>
      </c>
      <c r="N7" s="5">
        <f t="shared" si="5"/>
        <v>547</v>
      </c>
    </row>
    <row r="8">
      <c r="A8" s="6" t="s">
        <v>183</v>
      </c>
      <c r="B8" s="6" t="s">
        <v>186</v>
      </c>
      <c r="C8" s="5">
        <f t="shared" si="1"/>
        <v>1</v>
      </c>
      <c r="D8" s="1" t="s">
        <v>12</v>
      </c>
      <c r="E8" s="1" t="s">
        <v>32</v>
      </c>
      <c r="F8" s="1" t="s">
        <v>21</v>
      </c>
      <c r="G8" s="6" t="s">
        <v>35</v>
      </c>
      <c r="H8" s="5">
        <f t="shared" si="2"/>
        <v>5.1222</v>
      </c>
      <c r="I8" s="1" t="s">
        <v>36</v>
      </c>
      <c r="J8" s="5">
        <f t="shared" si="3"/>
        <v>559.444379</v>
      </c>
      <c r="K8" s="1" t="s">
        <v>37</v>
      </c>
      <c r="L8" s="5">
        <f t="shared" si="4"/>
        <v>2.305</v>
      </c>
      <c r="M8" s="6" t="s">
        <v>238</v>
      </c>
      <c r="N8" s="5">
        <f t="shared" si="5"/>
        <v>325</v>
      </c>
    </row>
    <row r="9">
      <c r="A9" s="6" t="s">
        <v>183</v>
      </c>
      <c r="B9" s="6" t="s">
        <v>186</v>
      </c>
      <c r="C9" s="5">
        <f t="shared" si="1"/>
        <v>1</v>
      </c>
      <c r="D9" s="1" t="s">
        <v>12</v>
      </c>
      <c r="E9" s="1" t="s">
        <v>38</v>
      </c>
      <c r="F9" s="1" t="s">
        <v>39</v>
      </c>
      <c r="G9" s="6" t="s">
        <v>242</v>
      </c>
      <c r="H9" s="5">
        <f t="shared" si="2"/>
        <v>3.4856</v>
      </c>
      <c r="I9" s="1" t="s">
        <v>40</v>
      </c>
      <c r="J9" s="5">
        <f t="shared" si="3"/>
        <v>328.755626</v>
      </c>
      <c r="K9" s="1" t="s">
        <v>41</v>
      </c>
      <c r="L9" s="5">
        <f t="shared" si="4"/>
        <v>0.6274</v>
      </c>
      <c r="M9" s="6" t="s">
        <v>248</v>
      </c>
      <c r="N9" s="5">
        <f t="shared" si="5"/>
        <v>96</v>
      </c>
    </row>
    <row r="10">
      <c r="A10" s="6" t="s">
        <v>183</v>
      </c>
      <c r="B10" s="6" t="s">
        <v>186</v>
      </c>
      <c r="C10" s="5">
        <f t="shared" si="1"/>
        <v>1</v>
      </c>
      <c r="D10" s="1" t="s">
        <v>12</v>
      </c>
      <c r="E10" s="1" t="s">
        <v>42</v>
      </c>
      <c r="F10" s="1" t="s">
        <v>17</v>
      </c>
      <c r="G10" s="6" t="s">
        <v>251</v>
      </c>
      <c r="H10" s="5">
        <f t="shared" si="2"/>
        <v>1.6929</v>
      </c>
      <c r="I10" s="1" t="s">
        <v>43</v>
      </c>
      <c r="J10" s="5">
        <f t="shared" si="3"/>
        <v>253.642919</v>
      </c>
      <c r="K10" s="1" t="s">
        <v>44</v>
      </c>
      <c r="L10" s="5">
        <f t="shared" si="4"/>
        <v>0.6264</v>
      </c>
      <c r="M10" s="6" t="s">
        <v>258</v>
      </c>
      <c r="N10" s="5">
        <f t="shared" si="5"/>
        <v>95</v>
      </c>
    </row>
    <row r="11">
      <c r="A11" s="6" t="s">
        <v>183</v>
      </c>
      <c r="B11" s="6" t="s">
        <v>186</v>
      </c>
      <c r="C11" s="5">
        <f t="shared" si="1"/>
        <v>1</v>
      </c>
      <c r="D11" s="1" t="s">
        <v>12</v>
      </c>
      <c r="E11" s="1" t="s">
        <v>45</v>
      </c>
      <c r="F11" s="1" t="s">
        <v>17</v>
      </c>
      <c r="G11" s="6" t="s">
        <v>262</v>
      </c>
      <c r="H11" s="5">
        <f t="shared" si="2"/>
        <v>2.8313</v>
      </c>
      <c r="I11" s="1" t="s">
        <v>46</v>
      </c>
      <c r="J11" s="5">
        <f t="shared" si="3"/>
        <v>200.763102</v>
      </c>
      <c r="K11" s="6" t="s">
        <v>47</v>
      </c>
      <c r="L11" s="5">
        <f t="shared" si="4"/>
        <v>1.0193</v>
      </c>
      <c r="M11" s="6" t="s">
        <v>266</v>
      </c>
      <c r="N11" s="5">
        <f t="shared" si="5"/>
        <v>191</v>
      </c>
    </row>
    <row r="12">
      <c r="A12" s="6" t="s">
        <v>183</v>
      </c>
      <c r="B12" s="6" t="s">
        <v>186</v>
      </c>
      <c r="C12" s="5">
        <f t="shared" si="1"/>
        <v>1</v>
      </c>
      <c r="D12" s="1" t="s">
        <v>12</v>
      </c>
      <c r="E12" s="1" t="s">
        <v>48</v>
      </c>
      <c r="F12" s="1" t="s">
        <v>49</v>
      </c>
      <c r="G12" s="1" t="s">
        <v>50</v>
      </c>
      <c r="H12" s="5">
        <f t="shared" si="2"/>
        <v>0.0068</v>
      </c>
      <c r="I12" s="1" t="s">
        <v>51</v>
      </c>
      <c r="J12" s="5">
        <f t="shared" si="3"/>
        <v>2.200698</v>
      </c>
      <c r="K12" s="1" t="s">
        <v>52</v>
      </c>
      <c r="L12" s="5">
        <f t="shared" si="4"/>
        <v>0.0019</v>
      </c>
      <c r="M12" s="6" t="s">
        <v>273</v>
      </c>
      <c r="N12" s="5">
        <f t="shared" si="5"/>
        <v>4</v>
      </c>
    </row>
    <row r="13">
      <c r="A13" s="6" t="s">
        <v>183</v>
      </c>
      <c r="B13" s="6" t="s">
        <v>186</v>
      </c>
      <c r="C13" s="5">
        <f t="shared" si="1"/>
        <v>1</v>
      </c>
      <c r="D13" s="1" t="s">
        <v>12</v>
      </c>
      <c r="E13" s="1" t="s">
        <v>48</v>
      </c>
      <c r="F13" s="1" t="s">
        <v>21</v>
      </c>
      <c r="G13" s="1" t="s">
        <v>53</v>
      </c>
      <c r="H13" s="5">
        <f t="shared" si="2"/>
        <v>0.5648</v>
      </c>
      <c r="I13" s="1" t="s">
        <v>54</v>
      </c>
      <c r="J13" s="5">
        <f t="shared" si="3"/>
        <v>71.031833</v>
      </c>
      <c r="K13" s="1" t="s">
        <v>55</v>
      </c>
      <c r="L13" s="5">
        <f t="shared" si="4"/>
        <v>0.2259</v>
      </c>
      <c r="M13" s="6" t="s">
        <v>277</v>
      </c>
      <c r="N13" s="5">
        <f t="shared" si="5"/>
        <v>78</v>
      </c>
    </row>
    <row r="14">
      <c r="A14" s="6" t="s">
        <v>183</v>
      </c>
      <c r="B14" s="6" t="s">
        <v>186</v>
      </c>
      <c r="C14" s="5">
        <f t="shared" si="1"/>
        <v>1</v>
      </c>
      <c r="D14" s="1" t="s">
        <v>12</v>
      </c>
      <c r="E14" s="1" t="s">
        <v>56</v>
      </c>
      <c r="F14" s="1" t="s">
        <v>21</v>
      </c>
      <c r="G14" s="1" t="s">
        <v>57</v>
      </c>
      <c r="H14" s="5">
        <f t="shared" si="2"/>
        <v>0.242</v>
      </c>
      <c r="I14" s="1" t="s">
        <v>58</v>
      </c>
      <c r="J14" s="5">
        <f t="shared" si="3"/>
        <v>61.805145</v>
      </c>
      <c r="K14" s="1" t="s">
        <v>59</v>
      </c>
      <c r="L14" s="5">
        <f t="shared" si="4"/>
        <v>0.0968</v>
      </c>
      <c r="M14" s="6" t="s">
        <v>248</v>
      </c>
      <c r="N14" s="5">
        <f t="shared" si="5"/>
        <v>96</v>
      </c>
    </row>
    <row r="15">
      <c r="A15" s="6" t="s">
        <v>183</v>
      </c>
      <c r="B15" s="6" t="s">
        <v>186</v>
      </c>
      <c r="C15" s="5">
        <f t="shared" si="1"/>
        <v>1</v>
      </c>
      <c r="D15" s="1" t="s">
        <v>12</v>
      </c>
      <c r="E15" s="1" t="s">
        <v>60</v>
      </c>
      <c r="F15" s="1" t="s">
        <v>39</v>
      </c>
      <c r="G15" s="1" t="s">
        <v>61</v>
      </c>
      <c r="H15" s="5">
        <f t="shared" si="2"/>
        <v>0.3707</v>
      </c>
      <c r="I15" s="1" t="s">
        <v>62</v>
      </c>
      <c r="J15" s="5">
        <f t="shared" si="3"/>
        <v>56.153614</v>
      </c>
      <c r="K15" s="1" t="s">
        <v>63</v>
      </c>
      <c r="L15" s="5">
        <f t="shared" si="4"/>
        <v>0.0704</v>
      </c>
      <c r="M15" s="6" t="s">
        <v>291</v>
      </c>
      <c r="N15" s="5">
        <f t="shared" si="5"/>
        <v>0</v>
      </c>
    </row>
    <row r="16">
      <c r="A16" s="6" t="s">
        <v>183</v>
      </c>
      <c r="B16" s="6" t="s">
        <v>186</v>
      </c>
      <c r="C16" s="5">
        <f t="shared" si="1"/>
        <v>1</v>
      </c>
      <c r="D16" s="1" t="s">
        <v>12</v>
      </c>
      <c r="E16" s="1" t="s">
        <v>64</v>
      </c>
      <c r="F16" s="1" t="s">
        <v>21</v>
      </c>
      <c r="G16" s="1" t="s">
        <v>65</v>
      </c>
      <c r="H16" s="5">
        <f t="shared" si="2"/>
        <v>0.321</v>
      </c>
      <c r="I16" s="1" t="s">
        <v>66</v>
      </c>
      <c r="J16" s="5">
        <f t="shared" si="3"/>
        <v>50.76976</v>
      </c>
      <c r="K16" s="1" t="s">
        <v>67</v>
      </c>
      <c r="L16" s="5">
        <f t="shared" si="4"/>
        <v>0.1284</v>
      </c>
      <c r="M16" s="6" t="s">
        <v>291</v>
      </c>
      <c r="N16" s="5">
        <f t="shared" si="5"/>
        <v>0</v>
      </c>
    </row>
    <row r="17">
      <c r="A17" s="6" t="s">
        <v>183</v>
      </c>
      <c r="B17" s="6" t="s">
        <v>186</v>
      </c>
      <c r="C17" s="5">
        <f t="shared" si="1"/>
        <v>1</v>
      </c>
      <c r="D17" s="1" t="s">
        <v>68</v>
      </c>
      <c r="E17" s="1" t="s">
        <v>13</v>
      </c>
      <c r="F17" s="1" t="s">
        <v>14</v>
      </c>
      <c r="G17" s="1" t="s">
        <v>69</v>
      </c>
      <c r="H17" s="5">
        <f t="shared" si="2"/>
        <v>66.7225</v>
      </c>
      <c r="I17" s="1" t="s">
        <v>70</v>
      </c>
      <c r="J17" s="5">
        <f t="shared" si="3"/>
        <v>4050.03638</v>
      </c>
      <c r="K17" s="1" t="s">
        <v>71</v>
      </c>
      <c r="L17" s="5">
        <f t="shared" si="4"/>
        <v>14.0117</v>
      </c>
      <c r="M17" s="6" t="s">
        <v>300</v>
      </c>
      <c r="N17" s="5">
        <f t="shared" si="5"/>
        <v>7561</v>
      </c>
    </row>
    <row r="18">
      <c r="A18" s="6" t="s">
        <v>183</v>
      </c>
      <c r="B18" s="6" t="s">
        <v>186</v>
      </c>
      <c r="C18" s="5">
        <f t="shared" si="1"/>
        <v>1</v>
      </c>
      <c r="D18" s="1" t="s">
        <v>68</v>
      </c>
      <c r="E18" s="1" t="s">
        <v>13</v>
      </c>
      <c r="F18" s="1" t="s">
        <v>72</v>
      </c>
      <c r="G18" s="1" t="s">
        <v>73</v>
      </c>
      <c r="H18" s="5">
        <f t="shared" si="2"/>
        <v>0.0013</v>
      </c>
      <c r="I18" s="1" t="s">
        <v>74</v>
      </c>
      <c r="J18" s="5">
        <f t="shared" si="3"/>
        <v>0.134999</v>
      </c>
      <c r="K18" s="1" t="s">
        <v>75</v>
      </c>
      <c r="L18" s="5">
        <f t="shared" si="4"/>
        <v>0.0004</v>
      </c>
      <c r="M18" s="6" t="s">
        <v>186</v>
      </c>
      <c r="N18" s="5">
        <f t="shared" si="5"/>
        <v>1</v>
      </c>
    </row>
    <row r="19">
      <c r="A19" s="6" t="s">
        <v>183</v>
      </c>
      <c r="B19" s="6" t="s">
        <v>186</v>
      </c>
      <c r="C19" s="5">
        <f t="shared" si="1"/>
        <v>1</v>
      </c>
      <c r="D19" s="1" t="s">
        <v>68</v>
      </c>
      <c r="E19" s="1" t="s">
        <v>13</v>
      </c>
      <c r="F19" s="1" t="s">
        <v>17</v>
      </c>
      <c r="G19" s="1" t="s">
        <v>76</v>
      </c>
      <c r="H19" s="5">
        <f t="shared" si="2"/>
        <v>77.9698</v>
      </c>
      <c r="I19" s="1" t="s">
        <v>77</v>
      </c>
      <c r="J19" s="5">
        <f t="shared" si="3"/>
        <v>7036.255168</v>
      </c>
      <c r="K19" s="1" t="s">
        <v>78</v>
      </c>
      <c r="L19" s="5">
        <f t="shared" si="4"/>
        <v>27.2894</v>
      </c>
      <c r="M19" s="6" t="s">
        <v>311</v>
      </c>
      <c r="N19" s="5">
        <f t="shared" si="5"/>
        <v>8754</v>
      </c>
    </row>
    <row r="20">
      <c r="A20" s="6" t="s">
        <v>183</v>
      </c>
      <c r="B20" s="6" t="s">
        <v>186</v>
      </c>
      <c r="C20" s="5">
        <f t="shared" si="1"/>
        <v>1</v>
      </c>
      <c r="D20" s="1" t="s">
        <v>68</v>
      </c>
      <c r="E20" s="1" t="s">
        <v>13</v>
      </c>
      <c r="F20" s="1" t="s">
        <v>21</v>
      </c>
      <c r="G20" s="1" t="s">
        <v>79</v>
      </c>
      <c r="H20" s="5">
        <f t="shared" si="2"/>
        <v>7.861</v>
      </c>
      <c r="I20" s="1" t="s">
        <v>80</v>
      </c>
      <c r="J20" s="5">
        <f t="shared" si="3"/>
        <v>1087.96951</v>
      </c>
      <c r="K20" s="6" t="s">
        <v>316</v>
      </c>
      <c r="L20" s="5">
        <f t="shared" si="4"/>
        <v>3.9304</v>
      </c>
      <c r="M20" s="6" t="s">
        <v>319</v>
      </c>
      <c r="N20" s="5">
        <f t="shared" si="5"/>
        <v>1426</v>
      </c>
    </row>
    <row r="21">
      <c r="A21" s="6" t="s">
        <v>183</v>
      </c>
      <c r="B21" s="6" t="s">
        <v>186</v>
      </c>
      <c r="C21" s="5">
        <f t="shared" si="1"/>
        <v>1</v>
      </c>
      <c r="D21" s="1" t="s">
        <v>68</v>
      </c>
      <c r="E21" s="1" t="s">
        <v>13</v>
      </c>
      <c r="F21" s="1" t="s">
        <v>25</v>
      </c>
      <c r="G21" s="1" t="s">
        <v>81</v>
      </c>
      <c r="H21" s="5">
        <f t="shared" si="2"/>
        <v>0.6025</v>
      </c>
      <c r="I21" s="1" t="s">
        <v>82</v>
      </c>
      <c r="J21" s="5">
        <f t="shared" si="3"/>
        <v>109.493529</v>
      </c>
      <c r="K21" s="1" t="s">
        <v>83</v>
      </c>
      <c r="L21" s="5">
        <f t="shared" si="4"/>
        <v>0.4518</v>
      </c>
      <c r="M21" s="6" t="s">
        <v>326</v>
      </c>
      <c r="N21" s="5">
        <f t="shared" si="5"/>
        <v>277</v>
      </c>
    </row>
    <row r="22">
      <c r="A22" s="6" t="s">
        <v>183</v>
      </c>
      <c r="B22" s="6" t="s">
        <v>186</v>
      </c>
      <c r="C22" s="5">
        <f t="shared" si="1"/>
        <v>1</v>
      </c>
      <c r="D22" s="1" t="s">
        <v>68</v>
      </c>
      <c r="E22" s="1" t="s">
        <v>45</v>
      </c>
      <c r="F22" s="1" t="s">
        <v>17</v>
      </c>
      <c r="G22" s="1" t="s">
        <v>84</v>
      </c>
      <c r="H22" s="5">
        <f t="shared" si="2"/>
        <v>52.7901</v>
      </c>
      <c r="I22" s="1" t="s">
        <v>85</v>
      </c>
      <c r="J22" s="5">
        <f t="shared" si="3"/>
        <v>3000.962605</v>
      </c>
      <c r="K22" s="1" t="s">
        <v>86</v>
      </c>
      <c r="L22" s="5">
        <f t="shared" si="4"/>
        <v>19.0044</v>
      </c>
      <c r="M22" s="6" t="s">
        <v>334</v>
      </c>
      <c r="N22" s="5">
        <f t="shared" si="5"/>
        <v>5948</v>
      </c>
    </row>
    <row r="23">
      <c r="A23" s="6" t="s">
        <v>183</v>
      </c>
      <c r="B23" s="6" t="s">
        <v>186</v>
      </c>
      <c r="C23" s="5">
        <f t="shared" si="1"/>
        <v>1</v>
      </c>
      <c r="D23" s="1" t="s">
        <v>68</v>
      </c>
      <c r="E23" s="1" t="s">
        <v>29</v>
      </c>
      <c r="F23" s="1" t="s">
        <v>21</v>
      </c>
      <c r="G23" s="1" t="s">
        <v>87</v>
      </c>
      <c r="H23" s="5">
        <f t="shared" si="2"/>
        <v>14.2126</v>
      </c>
      <c r="I23" s="1" t="s">
        <v>88</v>
      </c>
      <c r="J23" s="5">
        <f t="shared" si="3"/>
        <v>2169.309011</v>
      </c>
      <c r="K23" s="6" t="s">
        <v>341</v>
      </c>
      <c r="L23" s="5">
        <f t="shared" si="4"/>
        <v>5.6849</v>
      </c>
      <c r="M23" s="6" t="s">
        <v>344</v>
      </c>
      <c r="N23" s="5">
        <f t="shared" si="5"/>
        <v>1776</v>
      </c>
    </row>
    <row r="24">
      <c r="A24" s="6" t="s">
        <v>183</v>
      </c>
      <c r="B24" s="6" t="s">
        <v>186</v>
      </c>
      <c r="C24" s="5">
        <f t="shared" si="1"/>
        <v>1</v>
      </c>
      <c r="D24" s="1" t="s">
        <v>68</v>
      </c>
      <c r="E24" s="1" t="s">
        <v>32</v>
      </c>
      <c r="F24" s="1" t="s">
        <v>14</v>
      </c>
      <c r="G24" s="6" t="s">
        <v>349</v>
      </c>
      <c r="H24" s="5">
        <f t="shared" si="2"/>
        <v>4.3366</v>
      </c>
      <c r="I24" s="1" t="s">
        <v>89</v>
      </c>
      <c r="J24" s="5">
        <f t="shared" si="3"/>
        <v>319.951771</v>
      </c>
      <c r="K24" s="1" t="s">
        <v>90</v>
      </c>
      <c r="L24" s="5">
        <f t="shared" si="4"/>
        <v>0.9974</v>
      </c>
      <c r="M24" s="6" t="s">
        <v>355</v>
      </c>
      <c r="N24" s="5">
        <f t="shared" si="5"/>
        <v>1627</v>
      </c>
    </row>
    <row r="25">
      <c r="A25" s="6" t="s">
        <v>183</v>
      </c>
      <c r="B25" s="6" t="s">
        <v>186</v>
      </c>
      <c r="C25" s="5">
        <f t="shared" si="1"/>
        <v>1</v>
      </c>
      <c r="D25" s="1" t="s">
        <v>68</v>
      </c>
      <c r="E25" s="1" t="s">
        <v>32</v>
      </c>
      <c r="F25" s="1" t="s">
        <v>21</v>
      </c>
      <c r="G25" s="6" t="s">
        <v>359</v>
      </c>
      <c r="H25" s="5">
        <f t="shared" si="2"/>
        <v>1.6089</v>
      </c>
      <c r="I25" s="1" t="s">
        <v>91</v>
      </c>
      <c r="J25" s="5">
        <f t="shared" si="3"/>
        <v>234.200456</v>
      </c>
      <c r="K25" s="1" t="s">
        <v>92</v>
      </c>
      <c r="L25" s="5">
        <f t="shared" si="4"/>
        <v>0.7239</v>
      </c>
      <c r="M25" s="6" t="s">
        <v>363</v>
      </c>
      <c r="N25" s="5">
        <f t="shared" si="5"/>
        <v>514</v>
      </c>
    </row>
    <row r="26">
      <c r="A26" s="6" t="s">
        <v>183</v>
      </c>
      <c r="B26" s="6" t="s">
        <v>186</v>
      </c>
      <c r="C26" s="5">
        <f t="shared" si="1"/>
        <v>1</v>
      </c>
      <c r="D26" s="1" t="s">
        <v>68</v>
      </c>
      <c r="E26" s="1" t="s">
        <v>42</v>
      </c>
      <c r="F26" s="1" t="s">
        <v>17</v>
      </c>
      <c r="G26" s="6" t="s">
        <v>368</v>
      </c>
      <c r="H26" s="5">
        <f t="shared" si="2"/>
        <v>1.2559</v>
      </c>
      <c r="I26" s="1" t="s">
        <v>93</v>
      </c>
      <c r="J26" s="5">
        <f t="shared" si="3"/>
        <v>207.232319</v>
      </c>
      <c r="K26" s="1" t="s">
        <v>94</v>
      </c>
      <c r="L26" s="5">
        <f t="shared" si="4"/>
        <v>0.4648</v>
      </c>
      <c r="M26" s="6" t="s">
        <v>372</v>
      </c>
      <c r="N26" s="5">
        <f t="shared" si="5"/>
        <v>355</v>
      </c>
    </row>
    <row r="27">
      <c r="A27" s="6" t="s">
        <v>183</v>
      </c>
      <c r="B27" s="6" t="s">
        <v>186</v>
      </c>
      <c r="C27" s="5">
        <f t="shared" si="1"/>
        <v>1</v>
      </c>
      <c r="D27" s="1" t="s">
        <v>68</v>
      </c>
      <c r="E27" s="1" t="s">
        <v>38</v>
      </c>
      <c r="F27" s="1" t="s">
        <v>39</v>
      </c>
      <c r="G27" s="6" t="s">
        <v>95</v>
      </c>
      <c r="H27" s="5">
        <f t="shared" si="2"/>
        <v>2.0961</v>
      </c>
      <c r="I27" s="1" t="s">
        <v>96</v>
      </c>
      <c r="J27" s="5">
        <f t="shared" si="3"/>
        <v>177.535357</v>
      </c>
      <c r="K27" s="1" t="s">
        <v>97</v>
      </c>
      <c r="L27" s="5">
        <f t="shared" si="4"/>
        <v>0.3773</v>
      </c>
      <c r="M27" s="6" t="s">
        <v>378</v>
      </c>
      <c r="N27" s="5">
        <f t="shared" si="5"/>
        <v>298</v>
      </c>
    </row>
    <row r="28">
      <c r="A28" s="6" t="s">
        <v>183</v>
      </c>
      <c r="B28" s="6" t="s">
        <v>186</v>
      </c>
      <c r="C28" s="5">
        <f t="shared" si="1"/>
        <v>1</v>
      </c>
      <c r="D28" s="1" t="s">
        <v>68</v>
      </c>
      <c r="E28" s="1" t="s">
        <v>98</v>
      </c>
      <c r="F28" s="1" t="s">
        <v>17</v>
      </c>
      <c r="G28" s="1" t="s">
        <v>99</v>
      </c>
      <c r="H28" s="5">
        <f t="shared" si="2"/>
        <v>0.5244</v>
      </c>
      <c r="I28" s="1" t="s">
        <v>100</v>
      </c>
      <c r="J28" s="5">
        <f t="shared" si="3"/>
        <v>119.596253</v>
      </c>
      <c r="K28" s="1" t="s">
        <v>101</v>
      </c>
      <c r="L28" s="5">
        <f t="shared" si="4"/>
        <v>0.1835</v>
      </c>
      <c r="M28" s="6" t="s">
        <v>386</v>
      </c>
      <c r="N28" s="5">
        <f t="shared" si="5"/>
        <v>71</v>
      </c>
    </row>
    <row r="29">
      <c r="A29" s="6" t="s">
        <v>183</v>
      </c>
      <c r="B29" s="6" t="s">
        <v>186</v>
      </c>
      <c r="C29" s="5">
        <f t="shared" si="1"/>
        <v>1</v>
      </c>
      <c r="D29" s="1" t="s">
        <v>68</v>
      </c>
      <c r="E29" s="1" t="s">
        <v>102</v>
      </c>
      <c r="F29" s="1" t="s">
        <v>39</v>
      </c>
      <c r="G29" s="1" t="s">
        <v>103</v>
      </c>
      <c r="H29" s="5">
        <f t="shared" si="2"/>
        <v>0.0022</v>
      </c>
      <c r="I29" s="1" t="s">
        <v>104</v>
      </c>
      <c r="J29" s="5">
        <f t="shared" si="3"/>
        <v>0.930142</v>
      </c>
      <c r="K29" s="1" t="s">
        <v>75</v>
      </c>
      <c r="L29" s="5">
        <f t="shared" si="4"/>
        <v>0.0004</v>
      </c>
      <c r="M29" s="6" t="s">
        <v>397</v>
      </c>
      <c r="N29" s="5">
        <f t="shared" si="5"/>
        <v>2</v>
      </c>
    </row>
    <row r="30">
      <c r="A30" s="6" t="s">
        <v>183</v>
      </c>
      <c r="B30" s="6" t="s">
        <v>186</v>
      </c>
      <c r="C30" s="5">
        <f t="shared" si="1"/>
        <v>1</v>
      </c>
      <c r="D30" s="1" t="s">
        <v>68</v>
      </c>
      <c r="E30" s="1" t="s">
        <v>102</v>
      </c>
      <c r="F30" s="1" t="s">
        <v>21</v>
      </c>
      <c r="G30" s="1" t="s">
        <v>105</v>
      </c>
      <c r="H30" s="5">
        <f t="shared" si="2"/>
        <v>0.3416</v>
      </c>
      <c r="I30" s="1" t="s">
        <v>106</v>
      </c>
      <c r="J30" s="5">
        <f t="shared" si="3"/>
        <v>108.540446</v>
      </c>
      <c r="K30" s="1" t="s">
        <v>107</v>
      </c>
      <c r="L30" s="5">
        <f t="shared" si="4"/>
        <v>0.1367</v>
      </c>
      <c r="M30" s="6" t="s">
        <v>410</v>
      </c>
      <c r="N30" s="5">
        <f t="shared" si="5"/>
        <v>49</v>
      </c>
    </row>
    <row r="31">
      <c r="A31" s="6" t="s">
        <v>183</v>
      </c>
      <c r="B31" s="6" t="s">
        <v>186</v>
      </c>
      <c r="C31" s="5">
        <f t="shared" si="1"/>
        <v>1</v>
      </c>
      <c r="D31" s="1" t="s">
        <v>68</v>
      </c>
      <c r="E31" s="1" t="s">
        <v>108</v>
      </c>
      <c r="F31" s="1" t="s">
        <v>49</v>
      </c>
      <c r="G31" s="6" t="s">
        <v>109</v>
      </c>
      <c r="H31" s="5">
        <f t="shared" si="2"/>
        <v>1.0783</v>
      </c>
      <c r="I31" s="1" t="s">
        <v>110</v>
      </c>
      <c r="J31" s="5">
        <f t="shared" si="3"/>
        <v>51.908766</v>
      </c>
      <c r="K31" s="1" t="s">
        <v>111</v>
      </c>
      <c r="L31" s="5">
        <f t="shared" si="4"/>
        <v>0.302</v>
      </c>
      <c r="M31" s="6" t="s">
        <v>421</v>
      </c>
      <c r="N31" s="5">
        <f t="shared" si="5"/>
        <v>613</v>
      </c>
    </row>
    <row r="32">
      <c r="A32" s="6" t="s">
        <v>183</v>
      </c>
      <c r="B32" s="6" t="s">
        <v>186</v>
      </c>
      <c r="C32" s="5">
        <f t="shared" si="1"/>
        <v>1</v>
      </c>
      <c r="D32" s="1" t="s">
        <v>68</v>
      </c>
      <c r="E32" s="1" t="s">
        <v>112</v>
      </c>
      <c r="F32" s="1" t="s">
        <v>21</v>
      </c>
      <c r="G32" s="1" t="s">
        <v>113</v>
      </c>
      <c r="H32" s="5">
        <f t="shared" si="2"/>
        <v>0.4799</v>
      </c>
      <c r="I32" s="1" t="s">
        <v>114</v>
      </c>
      <c r="J32" s="5">
        <f t="shared" si="3"/>
        <v>43.137401</v>
      </c>
      <c r="K32" s="1" t="s">
        <v>115</v>
      </c>
      <c r="L32" s="5">
        <f t="shared" si="4"/>
        <v>0.24</v>
      </c>
      <c r="M32" s="6" t="s">
        <v>291</v>
      </c>
      <c r="N32" s="5">
        <f t="shared" si="5"/>
        <v>0</v>
      </c>
    </row>
    <row r="33">
      <c r="A33" s="6" t="s">
        <v>183</v>
      </c>
      <c r="B33" s="6" t="s">
        <v>186</v>
      </c>
      <c r="C33" s="5">
        <f t="shared" si="1"/>
        <v>1</v>
      </c>
      <c r="D33" s="1" t="s">
        <v>116</v>
      </c>
      <c r="E33" s="1" t="s">
        <v>13</v>
      </c>
      <c r="F33" s="1" t="s">
        <v>14</v>
      </c>
      <c r="G33" s="1" t="s">
        <v>117</v>
      </c>
      <c r="H33" s="5">
        <f t="shared" si="2"/>
        <v>173.1694</v>
      </c>
      <c r="I33" s="1" t="s">
        <v>118</v>
      </c>
      <c r="J33" s="5">
        <f t="shared" si="3"/>
        <v>8930.873194</v>
      </c>
      <c r="K33" s="1" t="s">
        <v>119</v>
      </c>
      <c r="L33" s="5">
        <f t="shared" si="4"/>
        <v>36.3655</v>
      </c>
      <c r="M33" s="6" t="s">
        <v>443</v>
      </c>
      <c r="N33" s="5">
        <f t="shared" si="5"/>
        <v>10568</v>
      </c>
    </row>
    <row r="34">
      <c r="A34" s="6" t="s">
        <v>183</v>
      </c>
      <c r="B34" s="6" t="s">
        <v>186</v>
      </c>
      <c r="C34" s="5">
        <f t="shared" si="1"/>
        <v>1</v>
      </c>
      <c r="D34" s="1" t="s">
        <v>116</v>
      </c>
      <c r="E34" s="1" t="s">
        <v>13</v>
      </c>
      <c r="F34" s="1" t="s">
        <v>17</v>
      </c>
      <c r="G34" s="1" t="s">
        <v>120</v>
      </c>
      <c r="H34" s="5">
        <f t="shared" si="2"/>
        <v>109.4041</v>
      </c>
      <c r="I34" s="1" t="s">
        <v>121</v>
      </c>
      <c r="J34" s="5">
        <f t="shared" si="3"/>
        <v>9457.396412</v>
      </c>
      <c r="K34" s="1" t="s">
        <v>122</v>
      </c>
      <c r="L34" s="5">
        <f t="shared" si="4"/>
        <v>38.2914</v>
      </c>
      <c r="M34" s="6" t="s">
        <v>453</v>
      </c>
      <c r="N34" s="5">
        <f t="shared" si="5"/>
        <v>8553</v>
      </c>
    </row>
    <row r="35">
      <c r="A35" s="6" t="s">
        <v>183</v>
      </c>
      <c r="B35" s="6" t="s">
        <v>186</v>
      </c>
      <c r="C35" s="5">
        <f t="shared" si="1"/>
        <v>1</v>
      </c>
      <c r="D35" s="1" t="s">
        <v>116</v>
      </c>
      <c r="E35" s="1" t="s">
        <v>13</v>
      </c>
      <c r="F35" s="1" t="s">
        <v>21</v>
      </c>
      <c r="G35" s="1" t="s">
        <v>123</v>
      </c>
      <c r="H35" s="5">
        <f t="shared" si="2"/>
        <v>41.8318</v>
      </c>
      <c r="I35" s="1" t="s">
        <v>124</v>
      </c>
      <c r="J35" s="5">
        <f t="shared" si="3"/>
        <v>4901.080918</v>
      </c>
      <c r="K35" s="1" t="s">
        <v>125</v>
      </c>
      <c r="L35" s="5">
        <f t="shared" si="4"/>
        <v>20.916</v>
      </c>
      <c r="M35" s="6" t="s">
        <v>468</v>
      </c>
      <c r="N35" s="5">
        <f t="shared" si="5"/>
        <v>2638</v>
      </c>
    </row>
    <row r="36">
      <c r="A36" s="6" t="s">
        <v>183</v>
      </c>
      <c r="B36" s="6" t="s">
        <v>186</v>
      </c>
      <c r="C36" s="5">
        <f t="shared" si="1"/>
        <v>1</v>
      </c>
      <c r="D36" s="1" t="s">
        <v>116</v>
      </c>
      <c r="E36" s="1" t="s">
        <v>13</v>
      </c>
      <c r="F36" s="1" t="s">
        <v>25</v>
      </c>
      <c r="G36" s="1" t="s">
        <v>126</v>
      </c>
      <c r="H36" s="5">
        <f t="shared" si="2"/>
        <v>0.0807</v>
      </c>
      <c r="I36" s="1" t="s">
        <v>127</v>
      </c>
      <c r="J36" s="5">
        <f t="shared" si="3"/>
        <v>15.311662</v>
      </c>
      <c r="K36" s="1" t="s">
        <v>128</v>
      </c>
      <c r="L36" s="5">
        <f t="shared" si="4"/>
        <v>0.0605</v>
      </c>
      <c r="M36" s="6" t="s">
        <v>482</v>
      </c>
      <c r="N36" s="5">
        <f t="shared" si="5"/>
        <v>53</v>
      </c>
    </row>
    <row r="37">
      <c r="A37" s="6" t="s">
        <v>183</v>
      </c>
      <c r="B37" s="6" t="s">
        <v>186</v>
      </c>
      <c r="C37" s="5">
        <f t="shared" si="1"/>
        <v>1</v>
      </c>
      <c r="D37" s="1" t="s">
        <v>116</v>
      </c>
      <c r="E37" s="1" t="s">
        <v>29</v>
      </c>
      <c r="F37" s="1" t="s">
        <v>21</v>
      </c>
      <c r="G37" s="1" t="s">
        <v>129</v>
      </c>
      <c r="H37" s="5">
        <f t="shared" si="2"/>
        <v>66.1422</v>
      </c>
      <c r="I37" s="1" t="s">
        <v>130</v>
      </c>
      <c r="J37" s="5">
        <f t="shared" si="3"/>
        <v>9564.403796</v>
      </c>
      <c r="K37" s="1" t="s">
        <v>131</v>
      </c>
      <c r="L37" s="5">
        <f t="shared" si="4"/>
        <v>26.4569</v>
      </c>
      <c r="M37" s="6" t="s">
        <v>494</v>
      </c>
      <c r="N37" s="5">
        <f t="shared" si="5"/>
        <v>5157</v>
      </c>
    </row>
    <row r="38">
      <c r="A38" s="6" t="s">
        <v>183</v>
      </c>
      <c r="B38" s="6" t="s">
        <v>186</v>
      </c>
      <c r="C38" s="5">
        <f t="shared" si="1"/>
        <v>1</v>
      </c>
      <c r="D38" s="1" t="s">
        <v>116</v>
      </c>
      <c r="E38" s="1" t="s">
        <v>45</v>
      </c>
      <c r="F38" s="1" t="s">
        <v>17</v>
      </c>
      <c r="G38" s="1" t="s">
        <v>132</v>
      </c>
      <c r="H38" s="5">
        <f t="shared" si="2"/>
        <v>55.3375</v>
      </c>
      <c r="I38" s="1" t="s">
        <v>133</v>
      </c>
      <c r="J38" s="5">
        <f t="shared" si="3"/>
        <v>3197.053251</v>
      </c>
      <c r="K38" s="1" t="s">
        <v>134</v>
      </c>
      <c r="L38" s="5">
        <f t="shared" si="4"/>
        <v>19.9215</v>
      </c>
      <c r="M38" s="6" t="s">
        <v>506</v>
      </c>
      <c r="N38" s="5">
        <f t="shared" si="5"/>
        <v>6724</v>
      </c>
    </row>
    <row r="39">
      <c r="A39" s="6" t="s">
        <v>183</v>
      </c>
      <c r="B39" s="6" t="s">
        <v>186</v>
      </c>
      <c r="C39" s="5">
        <f t="shared" si="1"/>
        <v>1</v>
      </c>
      <c r="D39" s="1" t="s">
        <v>116</v>
      </c>
      <c r="E39" s="1" t="s">
        <v>32</v>
      </c>
      <c r="F39" s="1" t="s">
        <v>14</v>
      </c>
      <c r="G39" s="1" t="s">
        <v>135</v>
      </c>
      <c r="H39" s="5">
        <f t="shared" si="2"/>
        <v>19.5669</v>
      </c>
      <c r="I39" s="1" t="s">
        <v>136</v>
      </c>
      <c r="J39" s="5">
        <f t="shared" si="3"/>
        <v>1090.341146</v>
      </c>
      <c r="K39" s="6" t="s">
        <v>517</v>
      </c>
      <c r="L39" s="5">
        <f t="shared" si="4"/>
        <v>4.5003</v>
      </c>
      <c r="M39" s="6" t="s">
        <v>521</v>
      </c>
      <c r="N39" s="5">
        <f t="shared" si="5"/>
        <v>3312</v>
      </c>
    </row>
    <row r="40">
      <c r="A40" s="6" t="s">
        <v>183</v>
      </c>
      <c r="B40" s="6" t="s">
        <v>186</v>
      </c>
      <c r="C40" s="5">
        <f t="shared" si="1"/>
        <v>1</v>
      </c>
      <c r="D40" s="1" t="s">
        <v>116</v>
      </c>
      <c r="E40" s="1" t="s">
        <v>32</v>
      </c>
      <c r="F40" s="1" t="s">
        <v>21</v>
      </c>
      <c r="G40" s="6" t="s">
        <v>137</v>
      </c>
      <c r="H40" s="5">
        <f t="shared" si="2"/>
        <v>7.0743</v>
      </c>
      <c r="I40" s="1" t="s">
        <v>138</v>
      </c>
      <c r="J40" s="5">
        <f t="shared" si="3"/>
        <v>918.309789</v>
      </c>
      <c r="K40" s="6" t="s">
        <v>139</v>
      </c>
      <c r="L40" s="5">
        <f t="shared" si="4"/>
        <v>3.1834</v>
      </c>
      <c r="M40" s="6" t="s">
        <v>534</v>
      </c>
      <c r="N40" s="5">
        <f t="shared" si="5"/>
        <v>1018</v>
      </c>
    </row>
    <row r="41">
      <c r="A41" s="6" t="s">
        <v>183</v>
      </c>
      <c r="B41" s="6" t="s">
        <v>186</v>
      </c>
      <c r="C41" s="5">
        <f t="shared" si="1"/>
        <v>1</v>
      </c>
      <c r="D41" s="1" t="s">
        <v>116</v>
      </c>
      <c r="E41" s="1" t="s">
        <v>42</v>
      </c>
      <c r="F41" s="1" t="s">
        <v>17</v>
      </c>
      <c r="G41" s="6" t="s">
        <v>539</v>
      </c>
      <c r="H41" s="5">
        <f t="shared" si="2"/>
        <v>5.5746</v>
      </c>
      <c r="I41" s="1" t="s">
        <v>140</v>
      </c>
      <c r="J41" s="5">
        <f t="shared" si="3"/>
        <v>811.85142</v>
      </c>
      <c r="K41" s="6" t="s">
        <v>141</v>
      </c>
      <c r="L41" s="5">
        <f t="shared" si="4"/>
        <v>2.0626</v>
      </c>
      <c r="M41" s="6" t="s">
        <v>545</v>
      </c>
      <c r="N41" s="5">
        <f t="shared" si="5"/>
        <v>709</v>
      </c>
    </row>
    <row r="42">
      <c r="A42" s="6" t="s">
        <v>183</v>
      </c>
      <c r="B42" s="6" t="s">
        <v>186</v>
      </c>
      <c r="C42" s="5">
        <f t="shared" si="1"/>
        <v>1</v>
      </c>
      <c r="D42" s="1" t="s">
        <v>116</v>
      </c>
      <c r="E42" s="1" t="s">
        <v>102</v>
      </c>
      <c r="F42" s="1" t="s">
        <v>39</v>
      </c>
      <c r="G42" s="1" t="s">
        <v>142</v>
      </c>
      <c r="H42" s="5">
        <f t="shared" si="2"/>
        <v>0.0088</v>
      </c>
      <c r="I42" s="1" t="s">
        <v>143</v>
      </c>
      <c r="J42" s="5">
        <f t="shared" si="3"/>
        <v>3.021369</v>
      </c>
      <c r="K42" s="1" t="s">
        <v>144</v>
      </c>
      <c r="L42" s="5">
        <f t="shared" si="4"/>
        <v>0.0017</v>
      </c>
      <c r="M42" s="6" t="s">
        <v>557</v>
      </c>
      <c r="N42" s="5">
        <f t="shared" si="5"/>
        <v>10</v>
      </c>
    </row>
    <row r="43">
      <c r="A43" s="6" t="s">
        <v>183</v>
      </c>
      <c r="B43" s="6" t="s">
        <v>186</v>
      </c>
      <c r="C43" s="5">
        <f t="shared" si="1"/>
        <v>1</v>
      </c>
      <c r="D43" s="1" t="s">
        <v>116</v>
      </c>
      <c r="E43" s="1" t="s">
        <v>102</v>
      </c>
      <c r="F43" s="1" t="s">
        <v>21</v>
      </c>
      <c r="G43" s="6" t="s">
        <v>564</v>
      </c>
      <c r="H43" s="5">
        <f t="shared" si="2"/>
        <v>1.7347</v>
      </c>
      <c r="I43" s="1" t="s">
        <v>145</v>
      </c>
      <c r="J43" s="5">
        <f t="shared" si="3"/>
        <v>489.019976</v>
      </c>
      <c r="K43" s="1" t="s">
        <v>146</v>
      </c>
      <c r="L43" s="5">
        <f t="shared" si="4"/>
        <v>0.6938</v>
      </c>
      <c r="M43" s="6" t="s">
        <v>573</v>
      </c>
      <c r="N43" s="5">
        <f t="shared" si="5"/>
        <v>223</v>
      </c>
    </row>
    <row r="44">
      <c r="A44" s="6" t="s">
        <v>183</v>
      </c>
      <c r="B44" s="6" t="s">
        <v>186</v>
      </c>
      <c r="C44" s="5">
        <f t="shared" si="1"/>
        <v>1</v>
      </c>
      <c r="D44" s="1" t="s">
        <v>116</v>
      </c>
      <c r="E44" s="1" t="s">
        <v>147</v>
      </c>
      <c r="F44" s="1" t="s">
        <v>39</v>
      </c>
      <c r="G44" s="6" t="s">
        <v>580</v>
      </c>
      <c r="H44" s="5">
        <f t="shared" si="2"/>
        <v>1.3486</v>
      </c>
      <c r="I44" s="1" t="s">
        <v>148</v>
      </c>
      <c r="J44" s="5">
        <f t="shared" si="3"/>
        <v>387.537281</v>
      </c>
      <c r="K44" s="1" t="s">
        <v>149</v>
      </c>
      <c r="L44" s="5">
        <f t="shared" si="4"/>
        <v>0.2563</v>
      </c>
      <c r="M44" s="6" t="s">
        <v>587</v>
      </c>
      <c r="N44" s="5">
        <f t="shared" si="5"/>
        <v>100</v>
      </c>
    </row>
    <row r="45">
      <c r="A45" s="6" t="s">
        <v>183</v>
      </c>
      <c r="B45" s="6" t="s">
        <v>186</v>
      </c>
      <c r="C45" s="5">
        <f t="shared" si="1"/>
        <v>1</v>
      </c>
      <c r="D45" s="1" t="s">
        <v>116</v>
      </c>
      <c r="E45" s="1" t="s">
        <v>147</v>
      </c>
      <c r="F45" s="1" t="s">
        <v>17</v>
      </c>
      <c r="G45" s="1" t="s">
        <v>150</v>
      </c>
      <c r="H45" s="5">
        <f t="shared" si="2"/>
        <v>0.0314</v>
      </c>
      <c r="I45" s="1" t="s">
        <v>151</v>
      </c>
      <c r="J45" s="5">
        <f t="shared" si="3"/>
        <v>10.497775</v>
      </c>
      <c r="K45" s="1" t="s">
        <v>152</v>
      </c>
      <c r="L45" s="5">
        <f t="shared" si="4"/>
        <v>0.011</v>
      </c>
      <c r="M45" s="6" t="s">
        <v>600</v>
      </c>
      <c r="N45" s="5">
        <f t="shared" si="5"/>
        <v>7</v>
      </c>
    </row>
    <row r="46">
      <c r="A46" s="6" t="s">
        <v>183</v>
      </c>
      <c r="B46" s="6" t="s">
        <v>186</v>
      </c>
      <c r="C46" s="5">
        <f t="shared" si="1"/>
        <v>1</v>
      </c>
      <c r="D46" s="1" t="s">
        <v>116</v>
      </c>
      <c r="E46" s="1" t="s">
        <v>147</v>
      </c>
      <c r="F46" s="1" t="s">
        <v>21</v>
      </c>
      <c r="G46" s="1" t="s">
        <v>153</v>
      </c>
      <c r="H46" s="5">
        <f t="shared" si="2"/>
        <v>0.0734</v>
      </c>
      <c r="I46" s="1" t="s">
        <v>154</v>
      </c>
      <c r="J46" s="5">
        <f t="shared" si="3"/>
        <v>36.070235</v>
      </c>
      <c r="K46" s="1" t="s">
        <v>155</v>
      </c>
      <c r="L46" s="5">
        <f t="shared" si="4"/>
        <v>0.0367</v>
      </c>
      <c r="M46" s="6" t="s">
        <v>612</v>
      </c>
      <c r="N46" s="5">
        <f t="shared" si="5"/>
        <v>50</v>
      </c>
    </row>
    <row r="47">
      <c r="A47" s="6" t="s">
        <v>183</v>
      </c>
      <c r="B47" s="6" t="s">
        <v>186</v>
      </c>
      <c r="C47" s="5">
        <f t="shared" si="1"/>
        <v>1</v>
      </c>
      <c r="D47" s="1" t="s">
        <v>116</v>
      </c>
      <c r="E47" s="1" t="s">
        <v>38</v>
      </c>
      <c r="F47" s="1" t="s">
        <v>39</v>
      </c>
      <c r="G47" s="6" t="s">
        <v>619</v>
      </c>
      <c r="H47" s="5">
        <f t="shared" si="2"/>
        <v>3.1912</v>
      </c>
      <c r="I47" s="1" t="s">
        <v>156</v>
      </c>
      <c r="J47" s="5">
        <f t="shared" si="3"/>
        <v>241.683626</v>
      </c>
      <c r="K47" s="1" t="s">
        <v>157</v>
      </c>
      <c r="L47" s="5">
        <f t="shared" si="4"/>
        <v>0.5744</v>
      </c>
      <c r="M47" s="6" t="s">
        <v>626</v>
      </c>
      <c r="N47" s="5">
        <f t="shared" si="5"/>
        <v>179</v>
      </c>
    </row>
    <row r="48">
      <c r="A48" s="6" t="s">
        <v>183</v>
      </c>
      <c r="B48" s="6" t="s">
        <v>186</v>
      </c>
      <c r="C48" s="5">
        <f t="shared" si="1"/>
        <v>1</v>
      </c>
      <c r="D48" s="1" t="s">
        <v>116</v>
      </c>
      <c r="E48" s="1" t="s">
        <v>158</v>
      </c>
      <c r="F48" s="1" t="s">
        <v>17</v>
      </c>
      <c r="G48" s="1" t="s">
        <v>159</v>
      </c>
      <c r="H48" s="5">
        <f t="shared" si="2"/>
        <v>0.0554</v>
      </c>
      <c r="I48" s="1" t="s">
        <v>160</v>
      </c>
      <c r="J48" s="5">
        <f t="shared" si="3"/>
        <v>25.307236</v>
      </c>
      <c r="K48" s="1" t="s">
        <v>161</v>
      </c>
      <c r="L48" s="5">
        <f t="shared" si="4"/>
        <v>0.0194</v>
      </c>
      <c r="M48" s="6" t="s">
        <v>291</v>
      </c>
      <c r="N48" s="5">
        <f t="shared" si="5"/>
        <v>0</v>
      </c>
    </row>
    <row r="49">
      <c r="A49" s="6" t="s">
        <v>183</v>
      </c>
      <c r="B49" s="6" t="s">
        <v>186</v>
      </c>
      <c r="C49" s="5">
        <f t="shared" si="1"/>
        <v>1</v>
      </c>
      <c r="D49" s="1" t="s">
        <v>116</v>
      </c>
      <c r="E49" s="1" t="s">
        <v>158</v>
      </c>
      <c r="F49" s="1" t="s">
        <v>21</v>
      </c>
      <c r="G49" s="1" t="s">
        <v>162</v>
      </c>
      <c r="H49" s="5">
        <f t="shared" si="2"/>
        <v>0.3194</v>
      </c>
      <c r="I49" s="1" t="s">
        <v>163</v>
      </c>
      <c r="J49" s="5">
        <f t="shared" si="3"/>
        <v>174.92429</v>
      </c>
      <c r="K49" s="1" t="s">
        <v>164</v>
      </c>
      <c r="L49" s="5">
        <f t="shared" si="4"/>
        <v>0.1341</v>
      </c>
      <c r="M49" s="6" t="s">
        <v>291</v>
      </c>
      <c r="N49" s="5">
        <f t="shared" si="5"/>
        <v>0</v>
      </c>
    </row>
    <row r="50">
      <c r="A50" s="6" t="s">
        <v>183</v>
      </c>
      <c r="B50" s="6" t="s">
        <v>186</v>
      </c>
      <c r="C50" s="5">
        <f t="shared" si="1"/>
        <v>1</v>
      </c>
      <c r="D50" s="1" t="s">
        <v>116</v>
      </c>
      <c r="E50" s="1" t="s">
        <v>165</v>
      </c>
      <c r="F50" s="1" t="s">
        <v>39</v>
      </c>
      <c r="G50" s="1" t="s">
        <v>167</v>
      </c>
      <c r="H50" s="5">
        <f t="shared" si="2"/>
        <v>0.3405</v>
      </c>
      <c r="I50" s="1" t="s">
        <v>168</v>
      </c>
      <c r="J50" s="5">
        <f t="shared" si="3"/>
        <v>46.280242</v>
      </c>
      <c r="K50" s="1" t="s">
        <v>169</v>
      </c>
      <c r="L50" s="5">
        <f t="shared" si="4"/>
        <v>0.0613</v>
      </c>
      <c r="M50" s="6" t="s">
        <v>658</v>
      </c>
      <c r="N50" s="5">
        <f t="shared" si="5"/>
        <v>63</v>
      </c>
    </row>
    <row r="51">
      <c r="A51" s="6" t="s">
        <v>183</v>
      </c>
      <c r="B51" s="6" t="s">
        <v>186</v>
      </c>
      <c r="C51" s="5">
        <f t="shared" si="1"/>
        <v>1</v>
      </c>
      <c r="D51" s="1" t="s">
        <v>116</v>
      </c>
      <c r="E51" s="1" t="s">
        <v>165</v>
      </c>
      <c r="F51" s="1" t="s">
        <v>17</v>
      </c>
      <c r="G51" s="1" t="s">
        <v>170</v>
      </c>
      <c r="H51" s="5">
        <f t="shared" si="2"/>
        <v>0.7489</v>
      </c>
      <c r="I51" s="1" t="s">
        <v>171</v>
      </c>
      <c r="J51" s="5">
        <f t="shared" si="3"/>
        <v>144.095549</v>
      </c>
      <c r="K51" s="1" t="s">
        <v>172</v>
      </c>
      <c r="L51" s="5">
        <f t="shared" si="4"/>
        <v>0.2622</v>
      </c>
      <c r="M51" s="6" t="s">
        <v>670</v>
      </c>
      <c r="N51" s="5">
        <f t="shared" si="5"/>
        <v>67</v>
      </c>
    </row>
    <row r="52">
      <c r="A52" s="6" t="s">
        <v>183</v>
      </c>
      <c r="B52" s="6" t="s">
        <v>397</v>
      </c>
      <c r="C52" s="5">
        <f t="shared" si="1"/>
        <v>2</v>
      </c>
      <c r="D52" s="1" t="s">
        <v>12</v>
      </c>
      <c r="E52" s="1" t="s">
        <v>13</v>
      </c>
      <c r="F52" s="1" t="s">
        <v>14</v>
      </c>
      <c r="G52" s="1" t="s">
        <v>173</v>
      </c>
      <c r="H52" s="5">
        <f t="shared" si="2"/>
        <v>15.4443</v>
      </c>
      <c r="I52" s="1" t="s">
        <v>174</v>
      </c>
      <c r="J52" s="5">
        <f t="shared" si="3"/>
        <v>902.021306</v>
      </c>
      <c r="K52" s="6" t="s">
        <v>683</v>
      </c>
      <c r="L52" s="5">
        <f t="shared" si="4"/>
        <v>3.2433</v>
      </c>
      <c r="M52" s="6" t="s">
        <v>686</v>
      </c>
      <c r="N52" s="5">
        <f t="shared" si="5"/>
        <v>479</v>
      </c>
    </row>
    <row r="53">
      <c r="A53" s="6" t="s">
        <v>183</v>
      </c>
      <c r="B53" s="6" t="s">
        <v>397</v>
      </c>
      <c r="C53" s="5">
        <f t="shared" si="1"/>
        <v>2</v>
      </c>
      <c r="D53" s="1" t="s">
        <v>12</v>
      </c>
      <c r="E53" s="1" t="s">
        <v>13</v>
      </c>
      <c r="F53" s="1" t="s">
        <v>17</v>
      </c>
      <c r="G53" s="1" t="s">
        <v>175</v>
      </c>
      <c r="H53" s="5">
        <f t="shared" si="2"/>
        <v>61.9945</v>
      </c>
      <c r="I53" s="1" t="s">
        <v>176</v>
      </c>
      <c r="J53" s="5">
        <f t="shared" si="3"/>
        <v>5267.687694</v>
      </c>
      <c r="K53" s="1" t="s">
        <v>177</v>
      </c>
      <c r="L53" s="5">
        <f t="shared" si="4"/>
        <v>21.6982</v>
      </c>
      <c r="M53" s="6" t="s">
        <v>696</v>
      </c>
      <c r="N53" s="5">
        <f t="shared" si="5"/>
        <v>771</v>
      </c>
    </row>
    <row r="54">
      <c r="A54" s="6" t="s">
        <v>183</v>
      </c>
      <c r="B54" s="6" t="s">
        <v>397</v>
      </c>
      <c r="C54" s="5">
        <f t="shared" si="1"/>
        <v>2</v>
      </c>
      <c r="D54" s="1" t="s">
        <v>12</v>
      </c>
      <c r="E54" s="1" t="s">
        <v>13</v>
      </c>
      <c r="F54" s="1" t="s">
        <v>21</v>
      </c>
      <c r="G54" s="1" t="s">
        <v>178</v>
      </c>
      <c r="H54" s="5">
        <f t="shared" si="2"/>
        <v>52.0653</v>
      </c>
      <c r="I54" s="1" t="s">
        <v>179</v>
      </c>
      <c r="J54" s="5">
        <f t="shared" si="3"/>
        <v>5737.79897</v>
      </c>
      <c r="K54" s="1" t="s">
        <v>180</v>
      </c>
      <c r="L54" s="5">
        <f t="shared" si="4"/>
        <v>26.0328</v>
      </c>
      <c r="M54" s="6" t="s">
        <v>704</v>
      </c>
      <c r="N54" s="5">
        <f t="shared" si="5"/>
        <v>648</v>
      </c>
    </row>
    <row r="55">
      <c r="A55" s="6" t="s">
        <v>183</v>
      </c>
      <c r="B55" s="6" t="s">
        <v>397</v>
      </c>
      <c r="C55" s="5">
        <f t="shared" si="1"/>
        <v>2</v>
      </c>
      <c r="D55" s="1" t="s">
        <v>12</v>
      </c>
      <c r="E55" s="1" t="s">
        <v>13</v>
      </c>
      <c r="F55" s="1" t="s">
        <v>25</v>
      </c>
      <c r="G55" s="1" t="s">
        <v>182</v>
      </c>
      <c r="H55" s="5">
        <f t="shared" si="2"/>
        <v>0.327</v>
      </c>
      <c r="I55" s="1" t="s">
        <v>184</v>
      </c>
      <c r="J55" s="5">
        <f t="shared" si="3"/>
        <v>61.337886</v>
      </c>
      <c r="K55" s="1" t="s">
        <v>185</v>
      </c>
      <c r="L55" s="5">
        <f t="shared" si="4"/>
        <v>0.2453</v>
      </c>
      <c r="M55" s="6" t="s">
        <v>711</v>
      </c>
      <c r="N55" s="5">
        <f t="shared" si="5"/>
        <v>23</v>
      </c>
    </row>
    <row r="56">
      <c r="A56" s="6" t="s">
        <v>183</v>
      </c>
      <c r="B56" s="6" t="s">
        <v>397</v>
      </c>
      <c r="C56" s="5">
        <f t="shared" si="1"/>
        <v>2</v>
      </c>
      <c r="D56" s="1" t="s">
        <v>12</v>
      </c>
      <c r="E56" s="1" t="s">
        <v>29</v>
      </c>
      <c r="F56" s="1" t="s">
        <v>21</v>
      </c>
      <c r="G56" s="1" t="s">
        <v>187</v>
      </c>
      <c r="H56" s="5">
        <f t="shared" si="2"/>
        <v>15.7978</v>
      </c>
      <c r="I56" s="1" t="s">
        <v>188</v>
      </c>
      <c r="J56" s="5">
        <f t="shared" si="3"/>
        <v>3177.907308</v>
      </c>
      <c r="K56" s="1" t="s">
        <v>189</v>
      </c>
      <c r="L56" s="5">
        <f t="shared" si="4"/>
        <v>6.319</v>
      </c>
      <c r="M56" s="6" t="s">
        <v>718</v>
      </c>
      <c r="N56" s="5">
        <f t="shared" si="5"/>
        <v>668</v>
      </c>
    </row>
    <row r="57">
      <c r="A57" s="6" t="s">
        <v>183</v>
      </c>
      <c r="B57" s="6" t="s">
        <v>397</v>
      </c>
      <c r="C57" s="5">
        <f t="shared" si="1"/>
        <v>2</v>
      </c>
      <c r="D57" s="1" t="s">
        <v>12</v>
      </c>
      <c r="E57" s="1" t="s">
        <v>32</v>
      </c>
      <c r="F57" s="1" t="s">
        <v>14</v>
      </c>
      <c r="G57" s="1" t="s">
        <v>190</v>
      </c>
      <c r="H57" s="5">
        <f t="shared" si="2"/>
        <v>16.1499</v>
      </c>
      <c r="I57" s="1" t="s">
        <v>191</v>
      </c>
      <c r="J57" s="5">
        <f t="shared" si="3"/>
        <v>874.324135</v>
      </c>
      <c r="K57" s="6" t="s">
        <v>726</v>
      </c>
      <c r="L57" s="5">
        <f t="shared" si="4"/>
        <v>3.7145</v>
      </c>
      <c r="M57" s="6" t="s">
        <v>728</v>
      </c>
      <c r="N57" s="5">
        <f t="shared" si="5"/>
        <v>525</v>
      </c>
    </row>
    <row r="58">
      <c r="A58" s="6" t="s">
        <v>183</v>
      </c>
      <c r="B58" s="6" t="s">
        <v>397</v>
      </c>
      <c r="C58" s="5">
        <f t="shared" si="1"/>
        <v>2</v>
      </c>
      <c r="D58" s="1" t="s">
        <v>12</v>
      </c>
      <c r="E58" s="1" t="s">
        <v>32</v>
      </c>
      <c r="F58" s="1" t="s">
        <v>21</v>
      </c>
      <c r="G58" s="6" t="s">
        <v>733</v>
      </c>
      <c r="H58" s="5">
        <f t="shared" si="2"/>
        <v>3.4374</v>
      </c>
      <c r="I58" s="1" t="s">
        <v>192</v>
      </c>
      <c r="J58" s="5">
        <f t="shared" si="3"/>
        <v>443.556823</v>
      </c>
      <c r="K58" s="6" t="s">
        <v>737</v>
      </c>
      <c r="L58" s="5">
        <f t="shared" si="4"/>
        <v>1.5468</v>
      </c>
      <c r="M58" s="6" t="s">
        <v>739</v>
      </c>
      <c r="N58" s="5">
        <f t="shared" si="5"/>
        <v>319</v>
      </c>
    </row>
    <row r="59">
      <c r="A59" s="6" t="s">
        <v>183</v>
      </c>
      <c r="B59" s="6" t="s">
        <v>397</v>
      </c>
      <c r="C59" s="5">
        <f t="shared" si="1"/>
        <v>2</v>
      </c>
      <c r="D59" s="1" t="s">
        <v>12</v>
      </c>
      <c r="E59" s="1" t="s">
        <v>38</v>
      </c>
      <c r="F59" s="1" t="s">
        <v>39</v>
      </c>
      <c r="G59" s="6" t="s">
        <v>193</v>
      </c>
      <c r="H59" s="5">
        <f t="shared" si="2"/>
        <v>3.1436</v>
      </c>
      <c r="I59" s="1" t="s">
        <v>194</v>
      </c>
      <c r="J59" s="5">
        <f t="shared" si="3"/>
        <v>306.878801</v>
      </c>
      <c r="K59" s="1" t="s">
        <v>195</v>
      </c>
      <c r="L59" s="5">
        <f t="shared" si="4"/>
        <v>0.5659</v>
      </c>
      <c r="M59" s="6" t="s">
        <v>746</v>
      </c>
      <c r="N59" s="5">
        <f t="shared" si="5"/>
        <v>89</v>
      </c>
    </row>
    <row r="60">
      <c r="A60" s="6" t="s">
        <v>183</v>
      </c>
      <c r="B60" s="6" t="s">
        <v>397</v>
      </c>
      <c r="C60" s="5">
        <f t="shared" si="1"/>
        <v>2</v>
      </c>
      <c r="D60" s="1" t="s">
        <v>12</v>
      </c>
      <c r="E60" s="1" t="s">
        <v>42</v>
      </c>
      <c r="F60" s="1" t="s">
        <v>17</v>
      </c>
      <c r="G60" s="6" t="s">
        <v>750</v>
      </c>
      <c r="H60" s="5">
        <f t="shared" si="2"/>
        <v>1.8528</v>
      </c>
      <c r="I60" s="1" t="s">
        <v>196</v>
      </c>
      <c r="J60" s="5">
        <f t="shared" si="3"/>
        <v>281.485434</v>
      </c>
      <c r="K60" s="1" t="s">
        <v>197</v>
      </c>
      <c r="L60" s="5">
        <f t="shared" si="4"/>
        <v>0.6855</v>
      </c>
      <c r="M60" s="6" t="s">
        <v>756</v>
      </c>
      <c r="N60" s="5">
        <f t="shared" si="5"/>
        <v>93</v>
      </c>
    </row>
    <row r="61">
      <c r="A61" s="6" t="s">
        <v>183</v>
      </c>
      <c r="B61" s="6" t="s">
        <v>397</v>
      </c>
      <c r="C61" s="5">
        <f t="shared" si="1"/>
        <v>2</v>
      </c>
      <c r="D61" s="1" t="s">
        <v>12</v>
      </c>
      <c r="E61" s="1" t="s">
        <v>45</v>
      </c>
      <c r="F61" s="1" t="s">
        <v>17</v>
      </c>
      <c r="G61" s="1" t="s">
        <v>203</v>
      </c>
      <c r="H61" s="5">
        <f t="shared" si="2"/>
        <v>2.481</v>
      </c>
      <c r="I61" s="1" t="s">
        <v>204</v>
      </c>
      <c r="J61" s="5">
        <f t="shared" si="3"/>
        <v>184.941745</v>
      </c>
      <c r="K61" s="1" t="s">
        <v>206</v>
      </c>
      <c r="L61" s="5">
        <f t="shared" si="4"/>
        <v>0.8931</v>
      </c>
      <c r="M61" s="6" t="s">
        <v>765</v>
      </c>
      <c r="N61" s="5">
        <f t="shared" si="5"/>
        <v>168</v>
      </c>
    </row>
    <row r="62">
      <c r="A62" s="6" t="s">
        <v>183</v>
      </c>
      <c r="B62" s="6" t="s">
        <v>397</v>
      </c>
      <c r="C62" s="5">
        <f t="shared" si="1"/>
        <v>2</v>
      </c>
      <c r="D62" s="1" t="s">
        <v>12</v>
      </c>
      <c r="E62" s="1" t="s">
        <v>48</v>
      </c>
      <c r="F62" s="1" t="s">
        <v>49</v>
      </c>
      <c r="G62" s="1" t="s">
        <v>207</v>
      </c>
      <c r="H62" s="5">
        <f t="shared" si="2"/>
        <v>0.0062</v>
      </c>
      <c r="I62" s="1" t="s">
        <v>208</v>
      </c>
      <c r="J62" s="5">
        <f t="shared" si="3"/>
        <v>2.004698</v>
      </c>
      <c r="K62" s="1" t="s">
        <v>144</v>
      </c>
      <c r="L62" s="5">
        <f t="shared" si="4"/>
        <v>0.0017</v>
      </c>
      <c r="M62" s="6" t="s">
        <v>273</v>
      </c>
      <c r="N62" s="5">
        <f t="shared" si="5"/>
        <v>4</v>
      </c>
    </row>
    <row r="63">
      <c r="A63" s="6" t="s">
        <v>183</v>
      </c>
      <c r="B63" s="6" t="s">
        <v>397</v>
      </c>
      <c r="C63" s="5">
        <f t="shared" si="1"/>
        <v>2</v>
      </c>
      <c r="D63" s="1" t="s">
        <v>12</v>
      </c>
      <c r="E63" s="1" t="s">
        <v>48</v>
      </c>
      <c r="F63" s="1" t="s">
        <v>21</v>
      </c>
      <c r="G63" s="1" t="s">
        <v>209</v>
      </c>
      <c r="H63" s="5">
        <f t="shared" si="2"/>
        <v>0.8744</v>
      </c>
      <c r="I63" s="1" t="s">
        <v>210</v>
      </c>
      <c r="J63" s="5">
        <f t="shared" si="3"/>
        <v>106.299765</v>
      </c>
      <c r="K63" s="1" t="s">
        <v>212</v>
      </c>
      <c r="L63" s="5">
        <f t="shared" si="4"/>
        <v>0.3498</v>
      </c>
      <c r="M63" s="6" t="s">
        <v>1510</v>
      </c>
      <c r="N63" s="5">
        <f t="shared" si="5"/>
        <v>108</v>
      </c>
    </row>
    <row r="64">
      <c r="A64" s="6" t="s">
        <v>183</v>
      </c>
      <c r="B64" s="6" t="s">
        <v>397</v>
      </c>
      <c r="C64" s="5">
        <f t="shared" si="1"/>
        <v>2</v>
      </c>
      <c r="D64" s="1" t="s">
        <v>12</v>
      </c>
      <c r="E64" s="1" t="s">
        <v>56</v>
      </c>
      <c r="F64" s="1" t="s">
        <v>21</v>
      </c>
      <c r="G64" s="1" t="s">
        <v>213</v>
      </c>
      <c r="H64" s="5">
        <f t="shared" si="2"/>
        <v>0.2345</v>
      </c>
      <c r="I64" s="1" t="s">
        <v>214</v>
      </c>
      <c r="J64" s="5">
        <f t="shared" si="3"/>
        <v>57.967151</v>
      </c>
      <c r="K64" s="1" t="s">
        <v>215</v>
      </c>
      <c r="L64" s="5">
        <f t="shared" si="4"/>
        <v>0.0938</v>
      </c>
      <c r="M64" s="6" t="s">
        <v>756</v>
      </c>
      <c r="N64" s="5">
        <f t="shared" si="5"/>
        <v>93</v>
      </c>
    </row>
    <row r="65">
      <c r="A65" s="6" t="s">
        <v>183</v>
      </c>
      <c r="B65" s="6" t="s">
        <v>397</v>
      </c>
      <c r="C65" s="5">
        <f t="shared" si="1"/>
        <v>2</v>
      </c>
      <c r="D65" s="1" t="s">
        <v>12</v>
      </c>
      <c r="E65" s="1" t="s">
        <v>60</v>
      </c>
      <c r="F65" s="1" t="s">
        <v>39</v>
      </c>
      <c r="G65" s="1" t="s">
        <v>216</v>
      </c>
      <c r="H65" s="5">
        <f t="shared" si="2"/>
        <v>0.3319</v>
      </c>
      <c r="I65" s="1" t="s">
        <v>217</v>
      </c>
      <c r="J65" s="5">
        <f t="shared" si="3"/>
        <v>50.762267</v>
      </c>
      <c r="K65" s="1" t="s">
        <v>219</v>
      </c>
      <c r="L65" s="5">
        <f t="shared" si="4"/>
        <v>0.0631</v>
      </c>
      <c r="M65" s="6" t="s">
        <v>291</v>
      </c>
      <c r="N65" s="5">
        <f t="shared" si="5"/>
        <v>0</v>
      </c>
    </row>
    <row r="66">
      <c r="A66" s="6" t="s">
        <v>183</v>
      </c>
      <c r="B66" s="6" t="s">
        <v>397</v>
      </c>
      <c r="C66" s="5">
        <f t="shared" si="1"/>
        <v>2</v>
      </c>
      <c r="D66" s="1" t="s">
        <v>12</v>
      </c>
      <c r="E66" s="1" t="s">
        <v>64</v>
      </c>
      <c r="F66" s="1" t="s">
        <v>21</v>
      </c>
      <c r="G66" s="1" t="s">
        <v>221</v>
      </c>
      <c r="H66" s="5">
        <f t="shared" si="2"/>
        <v>0.2888</v>
      </c>
      <c r="I66" s="1" t="s">
        <v>222</v>
      </c>
      <c r="J66" s="5">
        <f t="shared" si="3"/>
        <v>46.506611</v>
      </c>
      <c r="K66" s="1" t="s">
        <v>223</v>
      </c>
      <c r="L66" s="5">
        <f t="shared" si="4"/>
        <v>0.1155</v>
      </c>
      <c r="M66" s="6" t="s">
        <v>1533</v>
      </c>
      <c r="N66" s="5">
        <f t="shared" si="5"/>
        <v>70</v>
      </c>
    </row>
    <row r="67">
      <c r="A67" s="6" t="s">
        <v>183</v>
      </c>
      <c r="B67" s="6" t="s">
        <v>397</v>
      </c>
      <c r="C67" s="5">
        <f t="shared" si="1"/>
        <v>2</v>
      </c>
      <c r="D67" s="1" t="s">
        <v>68</v>
      </c>
      <c r="E67" s="1" t="s">
        <v>13</v>
      </c>
      <c r="F67" s="1" t="s">
        <v>14</v>
      </c>
      <c r="G67" s="1" t="s">
        <v>224</v>
      </c>
      <c r="H67" s="5">
        <f t="shared" si="2"/>
        <v>67.5195</v>
      </c>
      <c r="I67" s="1" t="s">
        <v>225</v>
      </c>
      <c r="J67" s="5">
        <f t="shared" si="3"/>
        <v>3973.243146</v>
      </c>
      <c r="K67" s="1" t="s">
        <v>226</v>
      </c>
      <c r="L67" s="5">
        <f t="shared" si="4"/>
        <v>14.1791</v>
      </c>
      <c r="M67" s="6" t="s">
        <v>1628</v>
      </c>
      <c r="N67" s="5">
        <f t="shared" si="5"/>
        <v>8031</v>
      </c>
    </row>
    <row r="68">
      <c r="A68" s="6" t="s">
        <v>183</v>
      </c>
      <c r="B68" s="6" t="s">
        <v>397</v>
      </c>
      <c r="C68" s="5">
        <f t="shared" si="1"/>
        <v>2</v>
      </c>
      <c r="D68" s="1" t="s">
        <v>68</v>
      </c>
      <c r="E68" s="1" t="s">
        <v>13</v>
      </c>
      <c r="F68" s="1" t="s">
        <v>72</v>
      </c>
      <c r="G68" s="1" t="s">
        <v>227</v>
      </c>
      <c r="H68" s="5">
        <f t="shared" si="2"/>
        <v>0.0326</v>
      </c>
      <c r="I68" s="1" t="s">
        <v>229</v>
      </c>
      <c r="J68" s="5">
        <f t="shared" si="3"/>
        <v>2.724914</v>
      </c>
      <c r="K68" s="1" t="s">
        <v>230</v>
      </c>
      <c r="L68" s="5">
        <f t="shared" si="4"/>
        <v>0.0104</v>
      </c>
      <c r="M68" s="6" t="s">
        <v>1638</v>
      </c>
      <c r="N68" s="5">
        <f t="shared" si="5"/>
        <v>16</v>
      </c>
    </row>
    <row r="69">
      <c r="A69" s="6" t="s">
        <v>183</v>
      </c>
      <c r="B69" s="6" t="s">
        <v>397</v>
      </c>
      <c r="C69" s="5">
        <f t="shared" si="1"/>
        <v>2</v>
      </c>
      <c r="D69" s="1" t="s">
        <v>68</v>
      </c>
      <c r="E69" s="1" t="s">
        <v>13</v>
      </c>
      <c r="F69" s="1" t="s">
        <v>17</v>
      </c>
      <c r="G69" s="1" t="s">
        <v>232</v>
      </c>
      <c r="H69" s="5">
        <f t="shared" si="2"/>
        <v>74.3137</v>
      </c>
      <c r="I69" s="1" t="s">
        <v>233</v>
      </c>
      <c r="J69" s="5">
        <f t="shared" si="3"/>
        <v>6994.827867</v>
      </c>
      <c r="K69" s="1" t="s">
        <v>234</v>
      </c>
      <c r="L69" s="5">
        <f t="shared" si="4"/>
        <v>26.0097</v>
      </c>
      <c r="M69" s="6" t="s">
        <v>1646</v>
      </c>
      <c r="N69" s="5">
        <f t="shared" si="5"/>
        <v>9400</v>
      </c>
    </row>
    <row r="70">
      <c r="A70" s="6" t="s">
        <v>183</v>
      </c>
      <c r="B70" s="6" t="s">
        <v>397</v>
      </c>
      <c r="C70" s="5">
        <f t="shared" si="1"/>
        <v>2</v>
      </c>
      <c r="D70" s="1" t="s">
        <v>68</v>
      </c>
      <c r="E70" s="1" t="s">
        <v>13</v>
      </c>
      <c r="F70" s="1" t="s">
        <v>21</v>
      </c>
      <c r="G70" s="6" t="s">
        <v>235</v>
      </c>
      <c r="H70" s="5">
        <f t="shared" si="2"/>
        <v>6.0307</v>
      </c>
      <c r="I70" s="1" t="s">
        <v>236</v>
      </c>
      <c r="J70" s="5">
        <f t="shared" si="3"/>
        <v>839.264868</v>
      </c>
      <c r="K70" s="6" t="s">
        <v>237</v>
      </c>
      <c r="L70" s="5">
        <f t="shared" si="4"/>
        <v>3.0153</v>
      </c>
      <c r="M70" s="6" t="s">
        <v>1659</v>
      </c>
      <c r="N70" s="5">
        <f t="shared" si="5"/>
        <v>1291</v>
      </c>
    </row>
    <row r="71">
      <c r="A71" s="6" t="s">
        <v>183</v>
      </c>
      <c r="B71" s="6" t="s">
        <v>397</v>
      </c>
      <c r="C71" s="5">
        <f t="shared" si="1"/>
        <v>2</v>
      </c>
      <c r="D71" s="1" t="s">
        <v>68</v>
      </c>
      <c r="E71" s="1" t="s">
        <v>13</v>
      </c>
      <c r="F71" s="1" t="s">
        <v>25</v>
      </c>
      <c r="G71" s="1" t="s">
        <v>239</v>
      </c>
      <c r="H71" s="5">
        <f t="shared" si="2"/>
        <v>0.4328</v>
      </c>
      <c r="I71" s="1" t="s">
        <v>240</v>
      </c>
      <c r="J71" s="5">
        <f t="shared" si="3"/>
        <v>79.266848</v>
      </c>
      <c r="K71" s="1" t="s">
        <v>241</v>
      </c>
      <c r="L71" s="5">
        <f t="shared" si="4"/>
        <v>0.3246</v>
      </c>
      <c r="M71" s="6" t="s">
        <v>1665</v>
      </c>
      <c r="N71" s="5">
        <f t="shared" si="5"/>
        <v>279</v>
      </c>
    </row>
    <row r="72">
      <c r="A72" s="6" t="s">
        <v>183</v>
      </c>
      <c r="B72" s="6" t="s">
        <v>397</v>
      </c>
      <c r="C72" s="5">
        <f t="shared" si="1"/>
        <v>2</v>
      </c>
      <c r="D72" s="1" t="s">
        <v>68</v>
      </c>
      <c r="E72" s="1" t="s">
        <v>45</v>
      </c>
      <c r="F72" s="1" t="s">
        <v>17</v>
      </c>
      <c r="G72" s="1" t="s">
        <v>243</v>
      </c>
      <c r="H72" s="5">
        <f t="shared" si="2"/>
        <v>39.9546</v>
      </c>
      <c r="I72" s="1" t="s">
        <v>244</v>
      </c>
      <c r="J72" s="5">
        <f t="shared" si="3"/>
        <v>2210.363738</v>
      </c>
      <c r="K72" s="1" t="s">
        <v>245</v>
      </c>
      <c r="L72" s="5">
        <f t="shared" si="4"/>
        <v>14.3836</v>
      </c>
      <c r="M72" s="6" t="s">
        <v>1673</v>
      </c>
      <c r="N72" s="5">
        <f t="shared" si="5"/>
        <v>5524</v>
      </c>
    </row>
    <row r="73">
      <c r="A73" s="6" t="s">
        <v>183</v>
      </c>
      <c r="B73" s="6" t="s">
        <v>397</v>
      </c>
      <c r="C73" s="5">
        <f t="shared" si="1"/>
        <v>2</v>
      </c>
      <c r="D73" s="1" t="s">
        <v>68</v>
      </c>
      <c r="E73" s="1" t="s">
        <v>29</v>
      </c>
      <c r="F73" s="1" t="s">
        <v>21</v>
      </c>
      <c r="G73" s="1" t="s">
        <v>246</v>
      </c>
      <c r="H73" s="5">
        <f t="shared" si="2"/>
        <v>11.616</v>
      </c>
      <c r="I73" s="1" t="s">
        <v>247</v>
      </c>
      <c r="J73" s="5">
        <f t="shared" si="3"/>
        <v>1969.556878</v>
      </c>
      <c r="K73" s="6" t="s">
        <v>1675</v>
      </c>
      <c r="L73" s="5">
        <f t="shared" si="4"/>
        <v>4.6465</v>
      </c>
      <c r="M73" s="6" t="s">
        <v>1676</v>
      </c>
      <c r="N73" s="5">
        <f t="shared" si="5"/>
        <v>1919</v>
      </c>
    </row>
    <row r="74">
      <c r="A74" s="6" t="s">
        <v>183</v>
      </c>
      <c r="B74" s="6" t="s">
        <v>397</v>
      </c>
      <c r="C74" s="5">
        <f t="shared" si="1"/>
        <v>2</v>
      </c>
      <c r="D74" s="1" t="s">
        <v>68</v>
      </c>
      <c r="E74" s="1" t="s">
        <v>32</v>
      </c>
      <c r="F74" s="1" t="s">
        <v>14</v>
      </c>
      <c r="G74" s="6" t="s">
        <v>1678</v>
      </c>
      <c r="H74" s="5">
        <f t="shared" si="2"/>
        <v>2.6972</v>
      </c>
      <c r="I74" s="1" t="s">
        <v>249</v>
      </c>
      <c r="J74" s="5">
        <f t="shared" si="3"/>
        <v>195.339862</v>
      </c>
      <c r="K74" s="1" t="s">
        <v>250</v>
      </c>
      <c r="L74" s="5">
        <f t="shared" si="4"/>
        <v>0.6204</v>
      </c>
      <c r="M74" s="6" t="s">
        <v>1681</v>
      </c>
      <c r="N74" s="5">
        <f t="shared" si="5"/>
        <v>1549</v>
      </c>
    </row>
    <row r="75">
      <c r="A75" s="6" t="s">
        <v>183</v>
      </c>
      <c r="B75" s="6" t="s">
        <v>397</v>
      </c>
      <c r="C75" s="5">
        <f t="shared" si="1"/>
        <v>2</v>
      </c>
      <c r="D75" s="1" t="s">
        <v>68</v>
      </c>
      <c r="E75" s="1" t="s">
        <v>32</v>
      </c>
      <c r="F75" s="1" t="s">
        <v>21</v>
      </c>
      <c r="G75" s="6" t="s">
        <v>252</v>
      </c>
      <c r="H75" s="5">
        <f t="shared" si="2"/>
        <v>1.1557</v>
      </c>
      <c r="I75" s="1" t="s">
        <v>253</v>
      </c>
      <c r="J75" s="5">
        <f t="shared" si="3"/>
        <v>203.567716</v>
      </c>
      <c r="K75" s="1" t="s">
        <v>254</v>
      </c>
      <c r="L75" s="5">
        <f t="shared" si="4"/>
        <v>0.5201</v>
      </c>
      <c r="M75" s="6" t="s">
        <v>1686</v>
      </c>
      <c r="N75" s="5">
        <f t="shared" si="5"/>
        <v>518</v>
      </c>
    </row>
    <row r="76">
      <c r="A76" s="6" t="s">
        <v>183</v>
      </c>
      <c r="B76" s="6" t="s">
        <v>397</v>
      </c>
      <c r="C76" s="5">
        <f t="shared" si="1"/>
        <v>2</v>
      </c>
      <c r="D76" s="1" t="s">
        <v>68</v>
      </c>
      <c r="E76" s="1" t="s">
        <v>42</v>
      </c>
      <c r="F76" s="1" t="s">
        <v>17</v>
      </c>
      <c r="G76" s="1" t="s">
        <v>255</v>
      </c>
      <c r="H76" s="5">
        <f t="shared" si="2"/>
        <v>1.045</v>
      </c>
      <c r="I76" s="1" t="s">
        <v>256</v>
      </c>
      <c r="J76" s="5">
        <f t="shared" si="3"/>
        <v>178.409536</v>
      </c>
      <c r="K76" s="1" t="s">
        <v>257</v>
      </c>
      <c r="L76" s="5">
        <f t="shared" si="4"/>
        <v>0.3866</v>
      </c>
      <c r="M76" s="6" t="s">
        <v>1694</v>
      </c>
      <c r="N76" s="5">
        <f t="shared" si="5"/>
        <v>253</v>
      </c>
    </row>
    <row r="77">
      <c r="A77" s="6" t="s">
        <v>183</v>
      </c>
      <c r="B77" s="6" t="s">
        <v>397</v>
      </c>
      <c r="C77" s="5">
        <f t="shared" si="1"/>
        <v>2</v>
      </c>
      <c r="D77" s="1" t="s">
        <v>68</v>
      </c>
      <c r="E77" s="1" t="s">
        <v>102</v>
      </c>
      <c r="F77" s="1" t="s">
        <v>39</v>
      </c>
      <c r="G77" s="1" t="s">
        <v>259</v>
      </c>
      <c r="H77" s="5">
        <f t="shared" si="2"/>
        <v>0.067</v>
      </c>
      <c r="I77" s="1" t="s">
        <v>260</v>
      </c>
      <c r="J77" s="5">
        <f t="shared" si="3"/>
        <v>22.854508</v>
      </c>
      <c r="K77" s="1" t="s">
        <v>261</v>
      </c>
      <c r="L77" s="5">
        <f t="shared" si="4"/>
        <v>0.0127</v>
      </c>
      <c r="M77" s="6" t="s">
        <v>1699</v>
      </c>
      <c r="N77" s="5">
        <f t="shared" si="5"/>
        <v>51</v>
      </c>
    </row>
    <row r="78">
      <c r="A78" s="6" t="s">
        <v>183</v>
      </c>
      <c r="B78" s="6" t="s">
        <v>397</v>
      </c>
      <c r="C78" s="5">
        <f t="shared" si="1"/>
        <v>2</v>
      </c>
      <c r="D78" s="1" t="s">
        <v>68</v>
      </c>
      <c r="E78" s="1" t="s">
        <v>102</v>
      </c>
      <c r="F78" s="1" t="s">
        <v>21</v>
      </c>
      <c r="G78" s="1" t="s">
        <v>263</v>
      </c>
      <c r="H78" s="5">
        <f t="shared" si="2"/>
        <v>0.4186</v>
      </c>
      <c r="I78" s="1" t="s">
        <v>264</v>
      </c>
      <c r="J78" s="5">
        <f t="shared" si="3"/>
        <v>131.38103</v>
      </c>
      <c r="K78" s="1" t="s">
        <v>265</v>
      </c>
      <c r="L78" s="5">
        <f t="shared" si="4"/>
        <v>0.1674</v>
      </c>
      <c r="M78" s="6" t="s">
        <v>2217</v>
      </c>
      <c r="N78" s="5">
        <f t="shared" si="5"/>
        <v>84</v>
      </c>
    </row>
    <row r="79">
      <c r="A79" s="6" t="s">
        <v>183</v>
      </c>
      <c r="B79" s="6" t="s">
        <v>397</v>
      </c>
      <c r="C79" s="5">
        <f t="shared" si="1"/>
        <v>2</v>
      </c>
      <c r="D79" s="1" t="s">
        <v>68</v>
      </c>
      <c r="E79" s="1" t="s">
        <v>38</v>
      </c>
      <c r="F79" s="1" t="s">
        <v>39</v>
      </c>
      <c r="G79" s="6" t="s">
        <v>267</v>
      </c>
      <c r="H79" s="5">
        <f t="shared" si="2"/>
        <v>1.0259</v>
      </c>
      <c r="I79" s="1" t="s">
        <v>268</v>
      </c>
      <c r="J79" s="5">
        <f t="shared" si="3"/>
        <v>91.413191</v>
      </c>
      <c r="K79" s="1" t="s">
        <v>269</v>
      </c>
      <c r="L79" s="5">
        <f t="shared" si="4"/>
        <v>0.1847</v>
      </c>
      <c r="M79" s="6" t="s">
        <v>2229</v>
      </c>
      <c r="N79" s="5">
        <f t="shared" si="5"/>
        <v>233</v>
      </c>
    </row>
    <row r="80">
      <c r="A80" s="6" t="s">
        <v>183</v>
      </c>
      <c r="B80" s="6" t="s">
        <v>397</v>
      </c>
      <c r="C80" s="5">
        <f t="shared" si="1"/>
        <v>2</v>
      </c>
      <c r="D80" s="1" t="s">
        <v>68</v>
      </c>
      <c r="E80" s="1" t="s">
        <v>48</v>
      </c>
      <c r="F80" s="1" t="s">
        <v>21</v>
      </c>
      <c r="G80" s="1" t="s">
        <v>270</v>
      </c>
      <c r="H80" s="5">
        <f t="shared" si="2"/>
        <v>0.3508</v>
      </c>
      <c r="I80" s="1" t="s">
        <v>271</v>
      </c>
      <c r="J80" s="5">
        <f t="shared" si="3"/>
        <v>40.453398</v>
      </c>
      <c r="K80" s="1" t="s">
        <v>272</v>
      </c>
      <c r="L80" s="5">
        <f t="shared" si="4"/>
        <v>0.1403</v>
      </c>
      <c r="M80" s="6" t="s">
        <v>2236</v>
      </c>
      <c r="N80" s="5">
        <f t="shared" si="5"/>
        <v>282</v>
      </c>
    </row>
    <row r="81">
      <c r="A81" s="6" t="s">
        <v>183</v>
      </c>
      <c r="B81" s="6" t="s">
        <v>397</v>
      </c>
      <c r="C81" s="5">
        <f t="shared" si="1"/>
        <v>2</v>
      </c>
      <c r="D81" s="1" t="s">
        <v>68</v>
      </c>
      <c r="E81" s="1" t="s">
        <v>165</v>
      </c>
      <c r="F81" s="1" t="s">
        <v>39</v>
      </c>
      <c r="G81" s="1" t="s">
        <v>274</v>
      </c>
      <c r="H81" s="5">
        <f t="shared" si="2"/>
        <v>0.0227</v>
      </c>
      <c r="I81" s="1" t="s">
        <v>275</v>
      </c>
      <c r="J81" s="5">
        <f t="shared" si="3"/>
        <v>3.238388</v>
      </c>
      <c r="K81" s="1" t="s">
        <v>276</v>
      </c>
      <c r="L81" s="5">
        <f t="shared" si="4"/>
        <v>0.0041</v>
      </c>
      <c r="M81" s="6" t="s">
        <v>291</v>
      </c>
      <c r="N81" s="5">
        <f t="shared" si="5"/>
        <v>0</v>
      </c>
    </row>
    <row r="82">
      <c r="A82" s="6" t="s">
        <v>183</v>
      </c>
      <c r="B82" s="6" t="s">
        <v>397</v>
      </c>
      <c r="C82" s="5">
        <f t="shared" si="1"/>
        <v>2</v>
      </c>
      <c r="D82" s="1" t="s">
        <v>68</v>
      </c>
      <c r="E82" s="1" t="s">
        <v>165</v>
      </c>
      <c r="F82" s="1" t="s">
        <v>17</v>
      </c>
      <c r="G82" s="1" t="s">
        <v>278</v>
      </c>
      <c r="H82" s="5">
        <f t="shared" si="2"/>
        <v>0.1831</v>
      </c>
      <c r="I82" s="1" t="s">
        <v>279</v>
      </c>
      <c r="J82" s="5">
        <f t="shared" si="3"/>
        <v>36.294018</v>
      </c>
      <c r="K82" s="1" t="s">
        <v>280</v>
      </c>
      <c r="L82" s="5">
        <f t="shared" si="4"/>
        <v>0.0641</v>
      </c>
      <c r="M82" s="6" t="s">
        <v>291</v>
      </c>
      <c r="N82" s="5">
        <f t="shared" si="5"/>
        <v>0</v>
      </c>
    </row>
    <row r="83">
      <c r="A83" s="6" t="s">
        <v>183</v>
      </c>
      <c r="B83" s="6" t="s">
        <v>397</v>
      </c>
      <c r="C83" s="5">
        <f t="shared" si="1"/>
        <v>2</v>
      </c>
      <c r="D83" s="1" t="s">
        <v>68</v>
      </c>
      <c r="E83" s="1" t="s">
        <v>281</v>
      </c>
      <c r="F83" s="1" t="s">
        <v>72</v>
      </c>
      <c r="G83" s="1" t="s">
        <v>282</v>
      </c>
      <c r="H83" s="5">
        <f t="shared" si="2"/>
        <v>0.1532</v>
      </c>
      <c r="I83" s="1" t="s">
        <v>283</v>
      </c>
      <c r="J83" s="5">
        <f t="shared" si="3"/>
        <v>27.976055</v>
      </c>
      <c r="K83" s="1" t="s">
        <v>284</v>
      </c>
      <c r="L83" s="5">
        <f t="shared" si="4"/>
        <v>0.0491</v>
      </c>
      <c r="M83" s="6" t="s">
        <v>291</v>
      </c>
      <c r="N83" s="5">
        <f t="shared" si="5"/>
        <v>0</v>
      </c>
    </row>
    <row r="84">
      <c r="A84" s="6" t="s">
        <v>183</v>
      </c>
      <c r="B84" s="6" t="s">
        <v>397</v>
      </c>
      <c r="C84" s="5">
        <f t="shared" si="1"/>
        <v>2</v>
      </c>
      <c r="D84" s="1" t="s">
        <v>68</v>
      </c>
      <c r="E84" s="1" t="s">
        <v>281</v>
      </c>
      <c r="F84" s="1" t="s">
        <v>21</v>
      </c>
      <c r="G84" s="1" t="s">
        <v>285</v>
      </c>
      <c r="H84" s="5">
        <f t="shared" si="2"/>
        <v>0.0295</v>
      </c>
      <c r="I84" s="1" t="s">
        <v>286</v>
      </c>
      <c r="J84" s="5">
        <f t="shared" si="3"/>
        <v>2.716891</v>
      </c>
      <c r="K84" s="1" t="s">
        <v>287</v>
      </c>
      <c r="L84" s="5">
        <f t="shared" si="4"/>
        <v>0.0118</v>
      </c>
      <c r="M84" s="6" t="s">
        <v>291</v>
      </c>
      <c r="N84" s="5">
        <f t="shared" si="5"/>
        <v>0</v>
      </c>
    </row>
    <row r="85">
      <c r="A85" s="6" t="s">
        <v>183</v>
      </c>
      <c r="B85" s="6" t="s">
        <v>397</v>
      </c>
      <c r="C85" s="5">
        <f t="shared" si="1"/>
        <v>2</v>
      </c>
      <c r="D85" s="1" t="s">
        <v>116</v>
      </c>
      <c r="E85" s="1" t="s">
        <v>13</v>
      </c>
      <c r="F85" s="1" t="s">
        <v>14</v>
      </c>
      <c r="G85" s="1" t="s">
        <v>288</v>
      </c>
      <c r="H85" s="5">
        <f t="shared" si="2"/>
        <v>124.2706</v>
      </c>
      <c r="I85" s="1" t="s">
        <v>289</v>
      </c>
      <c r="J85" s="5">
        <f t="shared" si="3"/>
        <v>6261.83286</v>
      </c>
      <c r="K85" s="1" t="s">
        <v>290</v>
      </c>
      <c r="L85" s="5">
        <f t="shared" si="4"/>
        <v>26.0969</v>
      </c>
      <c r="M85" s="6" t="s">
        <v>2253</v>
      </c>
      <c r="N85" s="5">
        <f t="shared" si="5"/>
        <v>9957</v>
      </c>
    </row>
    <row r="86">
      <c r="A86" s="6" t="s">
        <v>183</v>
      </c>
      <c r="B86" s="6" t="s">
        <v>397</v>
      </c>
      <c r="C86" s="5">
        <f t="shared" si="1"/>
        <v>2</v>
      </c>
      <c r="D86" s="1" t="s">
        <v>116</v>
      </c>
      <c r="E86" s="1" t="s">
        <v>13</v>
      </c>
      <c r="F86" s="1" t="s">
        <v>17</v>
      </c>
      <c r="G86" s="1" t="s">
        <v>292</v>
      </c>
      <c r="H86" s="5">
        <f t="shared" si="2"/>
        <v>112.8185</v>
      </c>
      <c r="I86" s="1" t="s">
        <v>293</v>
      </c>
      <c r="J86" s="5">
        <f t="shared" si="3"/>
        <v>10193.82932</v>
      </c>
      <c r="K86" s="1" t="s">
        <v>294</v>
      </c>
      <c r="L86" s="5">
        <f t="shared" si="4"/>
        <v>39.4865</v>
      </c>
      <c r="M86" s="6" t="s">
        <v>2254</v>
      </c>
      <c r="N86" s="5">
        <f t="shared" si="5"/>
        <v>8768</v>
      </c>
    </row>
    <row r="87">
      <c r="A87" s="6" t="s">
        <v>183</v>
      </c>
      <c r="B87" s="6" t="s">
        <v>397</v>
      </c>
      <c r="C87" s="5">
        <f t="shared" si="1"/>
        <v>2</v>
      </c>
      <c r="D87" s="1" t="s">
        <v>116</v>
      </c>
      <c r="E87" s="1" t="s">
        <v>13</v>
      </c>
      <c r="F87" s="1" t="s">
        <v>21</v>
      </c>
      <c r="G87" s="1" t="s">
        <v>295</v>
      </c>
      <c r="H87" s="5">
        <f t="shared" si="2"/>
        <v>25.1908</v>
      </c>
      <c r="I87" s="1" t="s">
        <v>296</v>
      </c>
      <c r="J87" s="5">
        <f t="shared" si="3"/>
        <v>3303.863573</v>
      </c>
      <c r="K87" s="6" t="s">
        <v>2255</v>
      </c>
      <c r="L87" s="5">
        <f t="shared" si="4"/>
        <v>12.5954</v>
      </c>
      <c r="M87" s="6" t="s">
        <v>2256</v>
      </c>
      <c r="N87" s="5">
        <f t="shared" si="5"/>
        <v>2630</v>
      </c>
    </row>
    <row r="88">
      <c r="A88" s="6" t="s">
        <v>183</v>
      </c>
      <c r="B88" s="6" t="s">
        <v>397</v>
      </c>
      <c r="C88" s="5">
        <f t="shared" si="1"/>
        <v>2</v>
      </c>
      <c r="D88" s="1" t="s">
        <v>116</v>
      </c>
      <c r="E88" s="1" t="s">
        <v>13</v>
      </c>
      <c r="F88" s="1" t="s">
        <v>25</v>
      </c>
      <c r="G88" s="1" t="s">
        <v>297</v>
      </c>
      <c r="H88" s="5">
        <f t="shared" si="2"/>
        <v>0.0843</v>
      </c>
      <c r="I88" s="1" t="s">
        <v>298</v>
      </c>
      <c r="J88" s="5">
        <f t="shared" si="3"/>
        <v>16.051771</v>
      </c>
      <c r="K88" s="1" t="s">
        <v>299</v>
      </c>
      <c r="L88" s="5">
        <f t="shared" si="4"/>
        <v>0.0633</v>
      </c>
      <c r="M88" s="6" t="s">
        <v>482</v>
      </c>
      <c r="N88" s="5">
        <f t="shared" si="5"/>
        <v>53</v>
      </c>
    </row>
    <row r="89">
      <c r="A89" s="6" t="s">
        <v>183</v>
      </c>
      <c r="B89" s="6" t="s">
        <v>397</v>
      </c>
      <c r="C89" s="5">
        <f t="shared" si="1"/>
        <v>2</v>
      </c>
      <c r="D89" s="1" t="s">
        <v>116</v>
      </c>
      <c r="E89" s="1" t="s">
        <v>29</v>
      </c>
      <c r="F89" s="1" t="s">
        <v>21</v>
      </c>
      <c r="G89" s="1" t="s">
        <v>301</v>
      </c>
      <c r="H89" s="5">
        <f t="shared" si="2"/>
        <v>30.8669</v>
      </c>
      <c r="I89" s="1" t="s">
        <v>302</v>
      </c>
      <c r="J89" s="5">
        <f t="shared" si="3"/>
        <v>5580.485107</v>
      </c>
      <c r="K89" s="6" t="s">
        <v>2257</v>
      </c>
      <c r="L89" s="5">
        <f t="shared" si="4"/>
        <v>12.3467</v>
      </c>
      <c r="M89" s="6" t="s">
        <v>2258</v>
      </c>
      <c r="N89" s="5">
        <f t="shared" si="5"/>
        <v>3891</v>
      </c>
    </row>
    <row r="90">
      <c r="A90" s="6" t="s">
        <v>183</v>
      </c>
      <c r="B90" s="6" t="s">
        <v>397</v>
      </c>
      <c r="C90" s="5">
        <f t="shared" si="1"/>
        <v>2</v>
      </c>
      <c r="D90" s="1" t="s">
        <v>116</v>
      </c>
      <c r="E90" s="1" t="s">
        <v>45</v>
      </c>
      <c r="F90" s="1" t="s">
        <v>17</v>
      </c>
      <c r="G90" s="1" t="s">
        <v>303</v>
      </c>
      <c r="H90" s="5">
        <f t="shared" si="2"/>
        <v>43.3914</v>
      </c>
      <c r="I90" s="1" t="s">
        <v>304</v>
      </c>
      <c r="J90" s="5">
        <f t="shared" si="3"/>
        <v>2388.342617</v>
      </c>
      <c r="K90" s="1" t="s">
        <v>305</v>
      </c>
      <c r="L90" s="5">
        <f t="shared" si="4"/>
        <v>15.6209</v>
      </c>
      <c r="M90" s="6" t="s">
        <v>2259</v>
      </c>
      <c r="N90" s="5">
        <f t="shared" si="5"/>
        <v>6043</v>
      </c>
    </row>
    <row r="91">
      <c r="A91" s="6" t="s">
        <v>183</v>
      </c>
      <c r="B91" s="6" t="s">
        <v>397</v>
      </c>
      <c r="C91" s="5">
        <f t="shared" si="1"/>
        <v>2</v>
      </c>
      <c r="D91" s="1" t="s">
        <v>116</v>
      </c>
      <c r="E91" s="1" t="s">
        <v>32</v>
      </c>
      <c r="F91" s="1" t="s">
        <v>14</v>
      </c>
      <c r="G91" s="1" t="s">
        <v>306</v>
      </c>
      <c r="H91" s="5">
        <f t="shared" si="2"/>
        <v>9.44</v>
      </c>
      <c r="I91" s="1" t="s">
        <v>307</v>
      </c>
      <c r="J91" s="5">
        <f t="shared" si="3"/>
        <v>564.161924</v>
      </c>
      <c r="K91" s="6" t="s">
        <v>308</v>
      </c>
      <c r="L91" s="5">
        <f t="shared" si="4"/>
        <v>2.1712</v>
      </c>
      <c r="M91" s="6" t="s">
        <v>2472</v>
      </c>
      <c r="N91" s="5">
        <f t="shared" si="5"/>
        <v>2546</v>
      </c>
    </row>
    <row r="92">
      <c r="A92" s="6" t="s">
        <v>183</v>
      </c>
      <c r="B92" s="6" t="s">
        <v>397</v>
      </c>
      <c r="C92" s="5">
        <f t="shared" si="1"/>
        <v>2</v>
      </c>
      <c r="D92" s="1" t="s">
        <v>116</v>
      </c>
      <c r="E92" s="1" t="s">
        <v>32</v>
      </c>
      <c r="F92" s="1" t="s">
        <v>21</v>
      </c>
      <c r="G92" s="6" t="s">
        <v>2477</v>
      </c>
      <c r="H92" s="5">
        <f t="shared" si="2"/>
        <v>5.2153</v>
      </c>
      <c r="I92" s="1" t="s">
        <v>309</v>
      </c>
      <c r="J92" s="5">
        <f t="shared" si="3"/>
        <v>824.082768</v>
      </c>
      <c r="K92" s="6" t="s">
        <v>2665</v>
      </c>
      <c r="L92" s="5">
        <f t="shared" si="4"/>
        <v>2.3468</v>
      </c>
      <c r="M92" s="6" t="s">
        <v>2666</v>
      </c>
      <c r="N92" s="5">
        <f t="shared" si="5"/>
        <v>1093</v>
      </c>
    </row>
    <row r="93">
      <c r="A93" s="6" t="s">
        <v>183</v>
      </c>
      <c r="B93" s="6" t="s">
        <v>397</v>
      </c>
      <c r="C93" s="5">
        <f t="shared" si="1"/>
        <v>2</v>
      </c>
      <c r="D93" s="1" t="s">
        <v>116</v>
      </c>
      <c r="E93" s="1" t="s">
        <v>42</v>
      </c>
      <c r="F93" s="1" t="s">
        <v>17</v>
      </c>
      <c r="G93" s="6" t="s">
        <v>2667</v>
      </c>
      <c r="H93" s="5">
        <f t="shared" si="2"/>
        <v>10.9837</v>
      </c>
      <c r="I93" s="1" t="s">
        <v>310</v>
      </c>
      <c r="J93" s="5">
        <f t="shared" si="3"/>
        <v>1386.735499</v>
      </c>
      <c r="K93" s="1" t="s">
        <v>312</v>
      </c>
      <c r="L93" s="5">
        <f t="shared" si="4"/>
        <v>4.064</v>
      </c>
      <c r="M93" s="6" t="s">
        <v>2668</v>
      </c>
      <c r="N93" s="5">
        <f t="shared" si="5"/>
        <v>919</v>
      </c>
    </row>
    <row r="94">
      <c r="A94" s="6" t="s">
        <v>183</v>
      </c>
      <c r="B94" s="6" t="s">
        <v>397</v>
      </c>
      <c r="C94" s="5">
        <f t="shared" si="1"/>
        <v>2</v>
      </c>
      <c r="D94" s="1" t="s">
        <v>116</v>
      </c>
      <c r="E94" s="1" t="s">
        <v>102</v>
      </c>
      <c r="F94" s="1" t="s">
        <v>39</v>
      </c>
      <c r="G94" s="1" t="s">
        <v>313</v>
      </c>
      <c r="H94" s="5">
        <f t="shared" si="2"/>
        <v>0.0175</v>
      </c>
      <c r="I94" s="1" t="s">
        <v>314</v>
      </c>
      <c r="J94" s="5">
        <f t="shared" si="3"/>
        <v>6.433346</v>
      </c>
      <c r="K94" s="1" t="s">
        <v>315</v>
      </c>
      <c r="L94" s="5">
        <f t="shared" si="4"/>
        <v>0.0033</v>
      </c>
      <c r="M94" s="6" t="s">
        <v>2669</v>
      </c>
      <c r="N94" s="5">
        <f t="shared" si="5"/>
        <v>13</v>
      </c>
    </row>
    <row r="95">
      <c r="A95" s="6" t="s">
        <v>183</v>
      </c>
      <c r="B95" s="6" t="s">
        <v>397</v>
      </c>
      <c r="C95" s="5">
        <f t="shared" si="1"/>
        <v>2</v>
      </c>
      <c r="D95" s="1" t="s">
        <v>116</v>
      </c>
      <c r="E95" s="1" t="s">
        <v>102</v>
      </c>
      <c r="F95" s="1" t="s">
        <v>21</v>
      </c>
      <c r="G95" s="1" t="s">
        <v>317</v>
      </c>
      <c r="H95" s="5">
        <f t="shared" si="2"/>
        <v>1.803</v>
      </c>
      <c r="I95" s="1" t="s">
        <v>318</v>
      </c>
      <c r="J95" s="5">
        <f t="shared" si="3"/>
        <v>520.283287</v>
      </c>
      <c r="K95" s="1" t="s">
        <v>320</v>
      </c>
      <c r="L95" s="5">
        <f t="shared" si="4"/>
        <v>0.7211</v>
      </c>
      <c r="M95" s="6" t="s">
        <v>2670</v>
      </c>
      <c r="N95" s="5">
        <f t="shared" si="5"/>
        <v>238</v>
      </c>
    </row>
    <row r="96">
      <c r="A96" s="6" t="s">
        <v>183</v>
      </c>
      <c r="B96" s="6" t="s">
        <v>397</v>
      </c>
      <c r="C96" s="5">
        <f t="shared" si="1"/>
        <v>2</v>
      </c>
      <c r="D96" s="1" t="s">
        <v>116</v>
      </c>
      <c r="E96" s="1" t="s">
        <v>147</v>
      </c>
      <c r="F96" s="1" t="s">
        <v>39</v>
      </c>
      <c r="G96" s="6" t="s">
        <v>2671</v>
      </c>
      <c r="H96" s="5">
        <f t="shared" si="2"/>
        <v>1.7385</v>
      </c>
      <c r="I96" s="1" t="s">
        <v>321</v>
      </c>
      <c r="J96" s="5">
        <f t="shared" si="3"/>
        <v>457.743868</v>
      </c>
      <c r="K96" s="1" t="s">
        <v>322</v>
      </c>
      <c r="L96" s="5">
        <f t="shared" si="4"/>
        <v>0.3303</v>
      </c>
      <c r="M96" s="6" t="s">
        <v>1510</v>
      </c>
      <c r="N96" s="5">
        <f t="shared" si="5"/>
        <v>108</v>
      </c>
    </row>
    <row r="97">
      <c r="A97" s="6" t="s">
        <v>183</v>
      </c>
      <c r="B97" s="6" t="s">
        <v>397</v>
      </c>
      <c r="C97" s="5">
        <f t="shared" si="1"/>
        <v>2</v>
      </c>
      <c r="D97" s="1" t="s">
        <v>116</v>
      </c>
      <c r="E97" s="1" t="s">
        <v>147</v>
      </c>
      <c r="F97" s="1" t="s">
        <v>17</v>
      </c>
      <c r="G97" s="1" t="s">
        <v>323</v>
      </c>
      <c r="H97" s="5">
        <f t="shared" si="2"/>
        <v>0.0397</v>
      </c>
      <c r="I97" s="1" t="s">
        <v>324</v>
      </c>
      <c r="J97" s="5">
        <f t="shared" si="3"/>
        <v>13.110632</v>
      </c>
      <c r="K97" s="1" t="s">
        <v>325</v>
      </c>
      <c r="L97" s="5">
        <f t="shared" si="4"/>
        <v>0.014</v>
      </c>
      <c r="M97" s="6" t="s">
        <v>2672</v>
      </c>
      <c r="N97" s="5">
        <f t="shared" si="5"/>
        <v>8</v>
      </c>
    </row>
    <row r="98">
      <c r="A98" s="6" t="s">
        <v>183</v>
      </c>
      <c r="B98" s="6" t="s">
        <v>397</v>
      </c>
      <c r="C98" s="5">
        <f t="shared" si="1"/>
        <v>2</v>
      </c>
      <c r="D98" s="1" t="s">
        <v>116</v>
      </c>
      <c r="E98" s="1" t="s">
        <v>147</v>
      </c>
      <c r="F98" s="1" t="s">
        <v>21</v>
      </c>
      <c r="G98" s="1" t="s">
        <v>327</v>
      </c>
      <c r="H98" s="5">
        <f t="shared" si="2"/>
        <v>0.0685</v>
      </c>
      <c r="I98" s="1" t="s">
        <v>328</v>
      </c>
      <c r="J98" s="5">
        <f t="shared" si="3"/>
        <v>33.706557</v>
      </c>
      <c r="K98" s="1" t="s">
        <v>329</v>
      </c>
      <c r="L98" s="5">
        <f t="shared" si="4"/>
        <v>0.0342</v>
      </c>
      <c r="M98" s="6" t="s">
        <v>2673</v>
      </c>
      <c r="N98" s="5">
        <f t="shared" si="5"/>
        <v>40</v>
      </c>
    </row>
    <row r="99">
      <c r="A99" s="6" t="s">
        <v>183</v>
      </c>
      <c r="B99" s="6" t="s">
        <v>397</v>
      </c>
      <c r="C99" s="5">
        <f t="shared" si="1"/>
        <v>2</v>
      </c>
      <c r="D99" s="1" t="s">
        <v>116</v>
      </c>
      <c r="E99" s="1" t="s">
        <v>330</v>
      </c>
      <c r="F99" s="1" t="s">
        <v>39</v>
      </c>
      <c r="G99" s="1" t="s">
        <v>331</v>
      </c>
      <c r="H99" s="5">
        <f t="shared" si="2"/>
        <v>0.0016</v>
      </c>
      <c r="I99" s="1" t="s">
        <v>332</v>
      </c>
      <c r="J99" s="5">
        <f t="shared" si="3"/>
        <v>0.21092</v>
      </c>
      <c r="K99" s="1" t="s">
        <v>333</v>
      </c>
      <c r="L99" s="5">
        <f t="shared" si="4"/>
        <v>0.0003</v>
      </c>
      <c r="M99" s="6" t="s">
        <v>273</v>
      </c>
      <c r="N99" s="5">
        <f t="shared" si="5"/>
        <v>4</v>
      </c>
    </row>
    <row r="100">
      <c r="A100" s="6" t="s">
        <v>183</v>
      </c>
      <c r="B100" s="6" t="s">
        <v>397</v>
      </c>
      <c r="C100" s="5">
        <f t="shared" si="1"/>
        <v>2</v>
      </c>
      <c r="D100" s="1" t="s">
        <v>116</v>
      </c>
      <c r="E100" s="1" t="s">
        <v>330</v>
      </c>
      <c r="F100" s="1" t="s">
        <v>17</v>
      </c>
      <c r="G100" s="6" t="s">
        <v>2674</v>
      </c>
      <c r="H100" s="5">
        <f t="shared" si="2"/>
        <v>2.2326</v>
      </c>
      <c r="I100" s="1" t="s">
        <v>335</v>
      </c>
      <c r="J100" s="5">
        <f t="shared" si="3"/>
        <v>287.868454</v>
      </c>
      <c r="K100" s="1" t="s">
        <v>336</v>
      </c>
      <c r="L100" s="5">
        <f t="shared" si="4"/>
        <v>0.7815</v>
      </c>
      <c r="M100" s="6" t="s">
        <v>2675</v>
      </c>
      <c r="N100" s="5">
        <f t="shared" si="5"/>
        <v>150</v>
      </c>
    </row>
    <row r="101">
      <c r="A101" s="6" t="s">
        <v>183</v>
      </c>
      <c r="B101" s="6" t="s">
        <v>397</v>
      </c>
      <c r="C101" s="5">
        <f t="shared" si="1"/>
        <v>2</v>
      </c>
      <c r="D101" s="1" t="s">
        <v>116</v>
      </c>
      <c r="E101" s="1" t="s">
        <v>158</v>
      </c>
      <c r="F101" s="1" t="s">
        <v>17</v>
      </c>
      <c r="G101" s="1" t="s">
        <v>337</v>
      </c>
      <c r="H101" s="5">
        <f t="shared" si="2"/>
        <v>0.0526</v>
      </c>
      <c r="I101" s="1" t="s">
        <v>338</v>
      </c>
      <c r="J101" s="5">
        <f t="shared" si="3"/>
        <v>24.106433</v>
      </c>
      <c r="K101" s="1" t="s">
        <v>339</v>
      </c>
      <c r="L101" s="5">
        <f t="shared" si="4"/>
        <v>0.0184</v>
      </c>
      <c r="M101" s="6" t="s">
        <v>291</v>
      </c>
      <c r="N101" s="5">
        <f t="shared" si="5"/>
        <v>0</v>
      </c>
    </row>
    <row r="102">
      <c r="A102" s="6" t="s">
        <v>183</v>
      </c>
      <c r="B102" s="6" t="s">
        <v>397</v>
      </c>
      <c r="C102" s="5">
        <f t="shared" si="1"/>
        <v>2</v>
      </c>
      <c r="D102" s="1" t="s">
        <v>116</v>
      </c>
      <c r="E102" s="1" t="s">
        <v>158</v>
      </c>
      <c r="F102" s="1" t="s">
        <v>21</v>
      </c>
      <c r="G102" s="1" t="s">
        <v>340</v>
      </c>
      <c r="H102" s="5">
        <f t="shared" si="2"/>
        <v>0.3976</v>
      </c>
      <c r="I102" s="1" t="s">
        <v>342</v>
      </c>
      <c r="J102" s="5">
        <f t="shared" si="3"/>
        <v>205.549007</v>
      </c>
      <c r="K102" s="1" t="s">
        <v>343</v>
      </c>
      <c r="L102" s="5">
        <f t="shared" si="4"/>
        <v>0.167</v>
      </c>
      <c r="M102" s="6" t="s">
        <v>291</v>
      </c>
      <c r="N102" s="5">
        <f t="shared" si="5"/>
        <v>0</v>
      </c>
    </row>
    <row r="103">
      <c r="A103" s="6" t="s">
        <v>183</v>
      </c>
      <c r="B103" s="6" t="s">
        <v>397</v>
      </c>
      <c r="C103" s="5">
        <f t="shared" si="1"/>
        <v>2</v>
      </c>
      <c r="D103" s="1" t="s">
        <v>116</v>
      </c>
      <c r="E103" s="1" t="s">
        <v>345</v>
      </c>
      <c r="F103" s="1" t="s">
        <v>72</v>
      </c>
      <c r="G103" s="1" t="s">
        <v>346</v>
      </c>
      <c r="H103" s="5">
        <f t="shared" si="2"/>
        <v>0.1842</v>
      </c>
      <c r="I103" s="1" t="s">
        <v>347</v>
      </c>
      <c r="J103" s="5">
        <f t="shared" si="3"/>
        <v>34.832102</v>
      </c>
      <c r="K103" s="1" t="s">
        <v>348</v>
      </c>
      <c r="L103" s="5">
        <f t="shared" si="4"/>
        <v>0.0608</v>
      </c>
      <c r="M103" s="6" t="s">
        <v>291</v>
      </c>
      <c r="N103" s="5">
        <f t="shared" si="5"/>
        <v>0</v>
      </c>
    </row>
    <row r="104">
      <c r="A104" s="6" t="s">
        <v>183</v>
      </c>
      <c r="B104" s="6" t="s">
        <v>397</v>
      </c>
      <c r="C104" s="5">
        <f t="shared" si="1"/>
        <v>2</v>
      </c>
      <c r="D104" s="1" t="s">
        <v>116</v>
      </c>
      <c r="E104" s="1" t="s">
        <v>345</v>
      </c>
      <c r="F104" s="1" t="s">
        <v>21</v>
      </c>
      <c r="G104" s="1" t="s">
        <v>350</v>
      </c>
      <c r="H104" s="5">
        <f t="shared" si="2"/>
        <v>0.3193</v>
      </c>
      <c r="I104" s="1" t="s">
        <v>351</v>
      </c>
      <c r="J104" s="5">
        <f t="shared" si="3"/>
        <v>146.807534</v>
      </c>
      <c r="K104" s="1" t="s">
        <v>352</v>
      </c>
      <c r="L104" s="5">
        <f t="shared" si="4"/>
        <v>0.1597</v>
      </c>
      <c r="M104" s="6" t="s">
        <v>291</v>
      </c>
      <c r="N104" s="5">
        <f t="shared" si="5"/>
        <v>0</v>
      </c>
    </row>
    <row r="105">
      <c r="A105" s="6" t="s">
        <v>183</v>
      </c>
      <c r="B105" s="6" t="s">
        <v>2677</v>
      </c>
      <c r="C105" s="5">
        <f t="shared" si="1"/>
        <v>3</v>
      </c>
      <c r="D105" s="1" t="s">
        <v>12</v>
      </c>
      <c r="E105" s="1" t="s">
        <v>13</v>
      </c>
      <c r="F105" s="1" t="s">
        <v>14</v>
      </c>
      <c r="G105" s="1" t="s">
        <v>353</v>
      </c>
      <c r="H105" s="5">
        <f t="shared" si="2"/>
        <v>15.7516</v>
      </c>
      <c r="I105" s="1" t="s">
        <v>354</v>
      </c>
      <c r="J105" s="5">
        <f t="shared" si="3"/>
        <v>928.92665</v>
      </c>
      <c r="K105" s="6" t="s">
        <v>2679</v>
      </c>
      <c r="L105" s="5">
        <f t="shared" si="4"/>
        <v>3.3079</v>
      </c>
      <c r="M105" s="6" t="s">
        <v>2680</v>
      </c>
      <c r="N105" s="5">
        <f t="shared" si="5"/>
        <v>480</v>
      </c>
    </row>
    <row r="106">
      <c r="A106" s="6" t="s">
        <v>183</v>
      </c>
      <c r="B106" s="6" t="s">
        <v>2677</v>
      </c>
      <c r="C106" s="5">
        <f t="shared" si="1"/>
        <v>3</v>
      </c>
      <c r="D106" s="1" t="s">
        <v>12</v>
      </c>
      <c r="E106" s="1" t="s">
        <v>13</v>
      </c>
      <c r="F106" s="1" t="s">
        <v>17</v>
      </c>
      <c r="G106" s="1" t="s">
        <v>356</v>
      </c>
      <c r="H106" s="5">
        <f t="shared" si="2"/>
        <v>116.7506</v>
      </c>
      <c r="I106" s="1" t="s">
        <v>357</v>
      </c>
      <c r="J106" s="5">
        <f t="shared" si="3"/>
        <v>9105.207427</v>
      </c>
      <c r="K106" s="1" t="s">
        <v>358</v>
      </c>
      <c r="L106" s="5">
        <f t="shared" si="4"/>
        <v>40.8628</v>
      </c>
      <c r="M106" s="6" t="s">
        <v>2682</v>
      </c>
      <c r="N106" s="5">
        <f t="shared" si="5"/>
        <v>776</v>
      </c>
    </row>
    <row r="107">
      <c r="A107" s="6" t="s">
        <v>183</v>
      </c>
      <c r="B107" s="6" t="s">
        <v>2677</v>
      </c>
      <c r="C107" s="5">
        <f t="shared" si="1"/>
        <v>3</v>
      </c>
      <c r="D107" s="1" t="s">
        <v>12</v>
      </c>
      <c r="E107" s="1" t="s">
        <v>13</v>
      </c>
      <c r="F107" s="1" t="s">
        <v>21</v>
      </c>
      <c r="G107" s="1" t="s">
        <v>360</v>
      </c>
      <c r="H107" s="5">
        <f t="shared" si="2"/>
        <v>44.6502</v>
      </c>
      <c r="I107" s="1" t="s">
        <v>361</v>
      </c>
      <c r="J107" s="5">
        <f t="shared" si="3"/>
        <v>5049.820876</v>
      </c>
      <c r="K107" s="1" t="s">
        <v>362</v>
      </c>
      <c r="L107" s="5">
        <f t="shared" si="4"/>
        <v>22.3251</v>
      </c>
      <c r="M107" s="6" t="s">
        <v>2685</v>
      </c>
      <c r="N107" s="5">
        <f t="shared" si="5"/>
        <v>664</v>
      </c>
    </row>
    <row r="108">
      <c r="A108" s="6" t="s">
        <v>183</v>
      </c>
      <c r="B108" s="6" t="s">
        <v>2677</v>
      </c>
      <c r="C108" s="5">
        <f t="shared" si="1"/>
        <v>3</v>
      </c>
      <c r="D108" s="1" t="s">
        <v>12</v>
      </c>
      <c r="E108" s="1" t="s">
        <v>13</v>
      </c>
      <c r="F108" s="1" t="s">
        <v>25</v>
      </c>
      <c r="G108" s="1" t="s">
        <v>364</v>
      </c>
      <c r="H108" s="5">
        <f t="shared" si="2"/>
        <v>0.3076</v>
      </c>
      <c r="I108" s="1" t="s">
        <v>365</v>
      </c>
      <c r="J108" s="5">
        <f t="shared" si="3"/>
        <v>58.307367</v>
      </c>
      <c r="K108" s="1" t="s">
        <v>367</v>
      </c>
      <c r="L108" s="5">
        <f t="shared" si="4"/>
        <v>0.2307</v>
      </c>
      <c r="M108" s="6" t="s">
        <v>711</v>
      </c>
      <c r="N108" s="5">
        <f t="shared" si="5"/>
        <v>23</v>
      </c>
    </row>
    <row r="109">
      <c r="A109" s="6" t="s">
        <v>183</v>
      </c>
      <c r="B109" s="6" t="s">
        <v>2677</v>
      </c>
      <c r="C109" s="5">
        <f t="shared" si="1"/>
        <v>3</v>
      </c>
      <c r="D109" s="1" t="s">
        <v>12</v>
      </c>
      <c r="E109" s="1" t="s">
        <v>29</v>
      </c>
      <c r="F109" s="1" t="s">
        <v>21</v>
      </c>
      <c r="G109" s="1" t="s">
        <v>369</v>
      </c>
      <c r="H109" s="5">
        <f t="shared" si="2"/>
        <v>17.3306</v>
      </c>
      <c r="I109" s="1" t="s">
        <v>370</v>
      </c>
      <c r="J109" s="5">
        <f t="shared" si="3"/>
        <v>3529.609076</v>
      </c>
      <c r="K109" s="6" t="s">
        <v>2687</v>
      </c>
      <c r="L109" s="5">
        <f t="shared" si="4"/>
        <v>6.9322</v>
      </c>
      <c r="M109" s="6" t="s">
        <v>718</v>
      </c>
      <c r="N109" s="5">
        <f t="shared" si="5"/>
        <v>668</v>
      </c>
    </row>
    <row r="110">
      <c r="A110" s="6" t="s">
        <v>183</v>
      </c>
      <c r="B110" s="6" t="s">
        <v>2677</v>
      </c>
      <c r="C110" s="5">
        <f t="shared" si="1"/>
        <v>3</v>
      </c>
      <c r="D110" s="1" t="s">
        <v>12</v>
      </c>
      <c r="E110" s="1" t="s">
        <v>32</v>
      </c>
      <c r="F110" s="1" t="s">
        <v>14</v>
      </c>
      <c r="G110" s="6" t="s">
        <v>2689</v>
      </c>
      <c r="H110" s="5">
        <f t="shared" si="2"/>
        <v>11.6185</v>
      </c>
      <c r="I110" s="1" t="s">
        <v>371</v>
      </c>
      <c r="J110" s="5">
        <f t="shared" si="3"/>
        <v>677.017966</v>
      </c>
      <c r="K110" s="6" t="s">
        <v>2690</v>
      </c>
      <c r="L110" s="5">
        <f t="shared" si="4"/>
        <v>2.6723</v>
      </c>
      <c r="M110" s="6" t="s">
        <v>2691</v>
      </c>
      <c r="N110" s="5">
        <f t="shared" si="5"/>
        <v>503</v>
      </c>
    </row>
    <row r="111">
      <c r="A111" s="6" t="s">
        <v>183</v>
      </c>
      <c r="B111" s="6" t="s">
        <v>2677</v>
      </c>
      <c r="C111" s="5">
        <f t="shared" si="1"/>
        <v>3</v>
      </c>
      <c r="D111" s="1" t="s">
        <v>12</v>
      </c>
      <c r="E111" s="1" t="s">
        <v>32</v>
      </c>
      <c r="F111" s="1" t="s">
        <v>72</v>
      </c>
      <c r="G111" s="1" t="s">
        <v>373</v>
      </c>
      <c r="H111" s="5">
        <f t="shared" si="2"/>
        <v>0.0006</v>
      </c>
      <c r="I111" s="1" t="s">
        <v>374</v>
      </c>
      <c r="J111" s="5">
        <f t="shared" si="3"/>
        <v>0.042303</v>
      </c>
      <c r="K111" s="1" t="s">
        <v>376</v>
      </c>
      <c r="L111" s="5">
        <f t="shared" si="4"/>
        <v>0.0002</v>
      </c>
      <c r="M111" s="6" t="s">
        <v>397</v>
      </c>
      <c r="N111" s="5">
        <f t="shared" si="5"/>
        <v>2</v>
      </c>
    </row>
    <row r="112">
      <c r="A112" s="6" t="s">
        <v>183</v>
      </c>
      <c r="B112" s="6" t="s">
        <v>2677</v>
      </c>
      <c r="C112" s="5">
        <f t="shared" si="1"/>
        <v>3</v>
      </c>
      <c r="D112" s="1" t="s">
        <v>12</v>
      </c>
      <c r="E112" s="1" t="s">
        <v>32</v>
      </c>
      <c r="F112" s="1" t="s">
        <v>21</v>
      </c>
      <c r="G112" s="6" t="s">
        <v>2695</v>
      </c>
      <c r="H112" s="5">
        <f t="shared" si="2"/>
        <v>2.8369</v>
      </c>
      <c r="I112" s="1" t="s">
        <v>377</v>
      </c>
      <c r="J112" s="5">
        <f t="shared" si="3"/>
        <v>433.006136</v>
      </c>
      <c r="K112" s="6" t="s">
        <v>2697</v>
      </c>
      <c r="L112" s="5">
        <f t="shared" si="4"/>
        <v>1.2766</v>
      </c>
      <c r="M112" s="6" t="s">
        <v>2698</v>
      </c>
      <c r="N112" s="5">
        <f t="shared" si="5"/>
        <v>301</v>
      </c>
    </row>
    <row r="113">
      <c r="A113" s="6" t="s">
        <v>183</v>
      </c>
      <c r="B113" s="6" t="s">
        <v>2677</v>
      </c>
      <c r="C113" s="5">
        <f t="shared" si="1"/>
        <v>3</v>
      </c>
      <c r="D113" s="1" t="s">
        <v>12</v>
      </c>
      <c r="E113" s="1" t="s">
        <v>32</v>
      </c>
      <c r="F113" s="1" t="s">
        <v>25</v>
      </c>
      <c r="G113" s="1" t="s">
        <v>373</v>
      </c>
      <c r="H113" s="5">
        <f t="shared" si="2"/>
        <v>0.0006</v>
      </c>
      <c r="I113" s="1" t="s">
        <v>379</v>
      </c>
      <c r="J113" s="5">
        <f t="shared" si="3"/>
        <v>0.096674</v>
      </c>
      <c r="K113" s="1" t="s">
        <v>333</v>
      </c>
      <c r="L113" s="5">
        <f t="shared" si="4"/>
        <v>0.0003</v>
      </c>
      <c r="M113" s="6" t="s">
        <v>186</v>
      </c>
      <c r="N113" s="5">
        <f t="shared" si="5"/>
        <v>1</v>
      </c>
    </row>
    <row r="114">
      <c r="A114" s="6" t="s">
        <v>183</v>
      </c>
      <c r="B114" s="6" t="s">
        <v>2677</v>
      </c>
      <c r="C114" s="5">
        <f t="shared" si="1"/>
        <v>3</v>
      </c>
      <c r="D114" s="1" t="s">
        <v>12</v>
      </c>
      <c r="E114" s="1" t="s">
        <v>38</v>
      </c>
      <c r="F114" s="1" t="s">
        <v>39</v>
      </c>
      <c r="G114" s="6" t="s">
        <v>2702</v>
      </c>
      <c r="H114" s="5">
        <f t="shared" si="2"/>
        <v>3.3968</v>
      </c>
      <c r="I114" s="1" t="s">
        <v>380</v>
      </c>
      <c r="J114" s="5">
        <f t="shared" si="3"/>
        <v>329.873082</v>
      </c>
      <c r="K114" s="1" t="s">
        <v>381</v>
      </c>
      <c r="L114" s="5">
        <f t="shared" si="4"/>
        <v>0.6114</v>
      </c>
      <c r="M114" s="6" t="s">
        <v>756</v>
      </c>
      <c r="N114" s="5">
        <f t="shared" si="5"/>
        <v>93</v>
      </c>
    </row>
    <row r="115">
      <c r="A115" s="6" t="s">
        <v>183</v>
      </c>
      <c r="B115" s="6" t="s">
        <v>2677</v>
      </c>
      <c r="C115" s="5">
        <f t="shared" si="1"/>
        <v>3</v>
      </c>
      <c r="D115" s="1" t="s">
        <v>12</v>
      </c>
      <c r="E115" s="1" t="s">
        <v>42</v>
      </c>
      <c r="F115" s="1" t="s">
        <v>17</v>
      </c>
      <c r="G115" s="6" t="s">
        <v>382</v>
      </c>
      <c r="H115" s="5">
        <f t="shared" si="2"/>
        <v>2.1223</v>
      </c>
      <c r="I115" s="1" t="s">
        <v>383</v>
      </c>
      <c r="J115" s="5">
        <f t="shared" si="3"/>
        <v>317.591342</v>
      </c>
      <c r="K115" s="1" t="s">
        <v>384</v>
      </c>
      <c r="L115" s="5">
        <f t="shared" si="4"/>
        <v>0.7853</v>
      </c>
      <c r="M115" s="6" t="s">
        <v>258</v>
      </c>
      <c r="N115" s="5">
        <f t="shared" si="5"/>
        <v>95</v>
      </c>
    </row>
    <row r="116">
      <c r="A116" s="6" t="s">
        <v>183</v>
      </c>
      <c r="B116" s="6" t="s">
        <v>2677</v>
      </c>
      <c r="C116" s="5">
        <f t="shared" si="1"/>
        <v>3</v>
      </c>
      <c r="D116" s="1" t="s">
        <v>12</v>
      </c>
      <c r="E116" s="1" t="s">
        <v>45</v>
      </c>
      <c r="F116" s="1" t="s">
        <v>17</v>
      </c>
      <c r="G116" s="6" t="s">
        <v>2703</v>
      </c>
      <c r="H116" s="5">
        <f t="shared" si="2"/>
        <v>2.6176</v>
      </c>
      <c r="I116" s="1" t="s">
        <v>388</v>
      </c>
      <c r="J116" s="5">
        <f t="shared" si="3"/>
        <v>197.90962</v>
      </c>
      <c r="K116" s="1" t="s">
        <v>390</v>
      </c>
      <c r="L116" s="5">
        <f t="shared" si="4"/>
        <v>0.9423</v>
      </c>
      <c r="M116" s="6" t="s">
        <v>2705</v>
      </c>
      <c r="N116" s="5">
        <f t="shared" si="5"/>
        <v>128</v>
      </c>
    </row>
    <row r="117">
      <c r="A117" s="6" t="s">
        <v>183</v>
      </c>
      <c r="B117" s="6" t="s">
        <v>2677</v>
      </c>
      <c r="C117" s="5">
        <f t="shared" si="1"/>
        <v>3</v>
      </c>
      <c r="D117" s="1" t="s">
        <v>12</v>
      </c>
      <c r="E117" s="1" t="s">
        <v>48</v>
      </c>
      <c r="F117" s="1" t="s">
        <v>49</v>
      </c>
      <c r="G117" s="1" t="s">
        <v>393</v>
      </c>
      <c r="H117" s="5">
        <f t="shared" si="2"/>
        <v>0.0099</v>
      </c>
      <c r="I117" s="1" t="s">
        <v>394</v>
      </c>
      <c r="J117" s="5">
        <f t="shared" si="3"/>
        <v>3.203644</v>
      </c>
      <c r="K117" s="1" t="s">
        <v>396</v>
      </c>
      <c r="L117" s="5">
        <f t="shared" si="4"/>
        <v>0.0027</v>
      </c>
      <c r="M117" s="6" t="s">
        <v>397</v>
      </c>
      <c r="N117" s="5">
        <f t="shared" si="5"/>
        <v>2</v>
      </c>
    </row>
    <row r="118">
      <c r="A118" s="6" t="s">
        <v>183</v>
      </c>
      <c r="B118" s="6" t="s">
        <v>2677</v>
      </c>
      <c r="C118" s="5">
        <f t="shared" si="1"/>
        <v>3</v>
      </c>
      <c r="D118" s="1" t="s">
        <v>12</v>
      </c>
      <c r="E118" s="1" t="s">
        <v>48</v>
      </c>
      <c r="F118" s="1" t="s">
        <v>21</v>
      </c>
      <c r="G118" s="6" t="s">
        <v>2707</v>
      </c>
      <c r="H118" s="5">
        <f t="shared" si="2"/>
        <v>1.0074</v>
      </c>
      <c r="I118" s="1" t="s">
        <v>399</v>
      </c>
      <c r="J118" s="5">
        <f t="shared" si="3"/>
        <v>121.778651</v>
      </c>
      <c r="K118" s="1" t="s">
        <v>400</v>
      </c>
      <c r="L118" s="5">
        <f t="shared" si="4"/>
        <v>0.4029</v>
      </c>
      <c r="M118" s="6" t="s">
        <v>2709</v>
      </c>
      <c r="N118" s="5">
        <f t="shared" si="5"/>
        <v>114</v>
      </c>
    </row>
    <row r="119">
      <c r="A119" s="6" t="s">
        <v>183</v>
      </c>
      <c r="B119" s="6" t="s">
        <v>2677</v>
      </c>
      <c r="C119" s="5">
        <f t="shared" si="1"/>
        <v>3</v>
      </c>
      <c r="D119" s="1" t="s">
        <v>12</v>
      </c>
      <c r="E119" s="1" t="s">
        <v>56</v>
      </c>
      <c r="F119" s="1" t="s">
        <v>21</v>
      </c>
      <c r="G119" s="1" t="s">
        <v>401</v>
      </c>
      <c r="H119" s="5">
        <f t="shared" si="2"/>
        <v>0.3357</v>
      </c>
      <c r="I119" s="1" t="s">
        <v>404</v>
      </c>
      <c r="J119" s="5">
        <f t="shared" si="3"/>
        <v>78.294403</v>
      </c>
      <c r="K119" s="1" t="s">
        <v>405</v>
      </c>
      <c r="L119" s="5">
        <f t="shared" si="4"/>
        <v>0.1343</v>
      </c>
      <c r="M119" s="6" t="s">
        <v>248</v>
      </c>
      <c r="N119" s="5">
        <f t="shared" si="5"/>
        <v>96</v>
      </c>
    </row>
    <row r="120">
      <c r="A120" s="6" t="s">
        <v>183</v>
      </c>
      <c r="B120" s="6" t="s">
        <v>2677</v>
      </c>
      <c r="C120" s="5">
        <f t="shared" si="1"/>
        <v>3</v>
      </c>
      <c r="D120" s="1" t="s">
        <v>12</v>
      </c>
      <c r="E120" s="1" t="s">
        <v>60</v>
      </c>
      <c r="F120" s="1" t="s">
        <v>39</v>
      </c>
      <c r="G120" s="1" t="s">
        <v>407</v>
      </c>
      <c r="H120" s="5">
        <f t="shared" si="2"/>
        <v>0.3775</v>
      </c>
      <c r="I120" s="1" t="s">
        <v>409</v>
      </c>
      <c r="J120" s="5">
        <f t="shared" si="3"/>
        <v>58.161958</v>
      </c>
      <c r="K120" s="1" t="s">
        <v>412</v>
      </c>
      <c r="L120" s="5">
        <f t="shared" si="4"/>
        <v>0.0717</v>
      </c>
      <c r="M120" s="6" t="s">
        <v>291</v>
      </c>
      <c r="N120" s="5">
        <f t="shared" si="5"/>
        <v>0</v>
      </c>
    </row>
    <row r="121">
      <c r="A121" s="6" t="s">
        <v>183</v>
      </c>
      <c r="B121" s="6" t="s">
        <v>2677</v>
      </c>
      <c r="C121" s="5">
        <f t="shared" si="1"/>
        <v>3</v>
      </c>
      <c r="D121" s="1" t="s">
        <v>12</v>
      </c>
      <c r="E121" s="1" t="s">
        <v>60</v>
      </c>
      <c r="F121" s="1" t="s">
        <v>17</v>
      </c>
      <c r="G121" s="1" t="s">
        <v>414</v>
      </c>
      <c r="H121" s="5">
        <f t="shared" si="2"/>
        <v>0.0007</v>
      </c>
      <c r="I121" s="1" t="s">
        <v>415</v>
      </c>
      <c r="J121" s="5">
        <f t="shared" si="3"/>
        <v>0.094486</v>
      </c>
      <c r="K121" s="1" t="s">
        <v>333</v>
      </c>
      <c r="L121" s="5">
        <f t="shared" si="4"/>
        <v>0.0003</v>
      </c>
      <c r="M121" s="6" t="s">
        <v>291</v>
      </c>
      <c r="N121" s="5">
        <f t="shared" si="5"/>
        <v>0</v>
      </c>
    </row>
    <row r="122">
      <c r="A122" s="6" t="s">
        <v>183</v>
      </c>
      <c r="B122" s="6" t="s">
        <v>2677</v>
      </c>
      <c r="C122" s="5">
        <f t="shared" si="1"/>
        <v>3</v>
      </c>
      <c r="D122" s="1" t="s">
        <v>12</v>
      </c>
      <c r="E122" s="1" t="s">
        <v>64</v>
      </c>
      <c r="F122" s="1" t="s">
        <v>21</v>
      </c>
      <c r="G122" s="1" t="s">
        <v>417</v>
      </c>
      <c r="H122" s="5">
        <f t="shared" si="2"/>
        <v>0.2882</v>
      </c>
      <c r="I122" s="1" t="s">
        <v>419</v>
      </c>
      <c r="J122" s="5">
        <f t="shared" si="3"/>
        <v>45.010945</v>
      </c>
      <c r="K122" s="1" t="s">
        <v>420</v>
      </c>
      <c r="L122" s="5">
        <f t="shared" si="4"/>
        <v>0.1152</v>
      </c>
      <c r="M122" s="6" t="s">
        <v>291</v>
      </c>
      <c r="N122" s="5">
        <f t="shared" si="5"/>
        <v>0</v>
      </c>
    </row>
    <row r="123">
      <c r="A123" s="6" t="s">
        <v>183</v>
      </c>
      <c r="B123" s="6" t="s">
        <v>2677</v>
      </c>
      <c r="C123" s="5">
        <f t="shared" si="1"/>
        <v>3</v>
      </c>
      <c r="D123" s="1" t="s">
        <v>68</v>
      </c>
      <c r="E123" s="1" t="s">
        <v>13</v>
      </c>
      <c r="F123" s="1" t="s">
        <v>14</v>
      </c>
      <c r="G123" s="1" t="s">
        <v>423</v>
      </c>
      <c r="H123" s="5">
        <f t="shared" si="2"/>
        <v>59.9181</v>
      </c>
      <c r="I123" s="1" t="s">
        <v>424</v>
      </c>
      <c r="J123" s="5">
        <f t="shared" si="3"/>
        <v>3925.894315</v>
      </c>
      <c r="K123" s="6" t="s">
        <v>2711</v>
      </c>
      <c r="L123" s="5">
        <f t="shared" si="4"/>
        <v>12.5828</v>
      </c>
      <c r="M123" s="6" t="s">
        <v>2712</v>
      </c>
      <c r="N123" s="5">
        <f t="shared" si="5"/>
        <v>7797</v>
      </c>
    </row>
    <row r="124">
      <c r="A124" s="6" t="s">
        <v>183</v>
      </c>
      <c r="B124" s="6" t="s">
        <v>2677</v>
      </c>
      <c r="C124" s="5">
        <f t="shared" si="1"/>
        <v>3</v>
      </c>
      <c r="D124" s="1" t="s">
        <v>68</v>
      </c>
      <c r="E124" s="1" t="s">
        <v>13</v>
      </c>
      <c r="F124" s="1" t="s">
        <v>72</v>
      </c>
      <c r="G124" s="1" t="s">
        <v>426</v>
      </c>
      <c r="H124" s="5">
        <f t="shared" si="2"/>
        <v>0.0025</v>
      </c>
      <c r="I124" s="1" t="s">
        <v>428</v>
      </c>
      <c r="J124" s="5">
        <f t="shared" si="3"/>
        <v>0.239033</v>
      </c>
      <c r="K124" s="1" t="s">
        <v>429</v>
      </c>
      <c r="L124" s="5">
        <f t="shared" si="4"/>
        <v>0.0008</v>
      </c>
      <c r="M124" s="6" t="s">
        <v>2677</v>
      </c>
      <c r="N124" s="5">
        <f t="shared" si="5"/>
        <v>3</v>
      </c>
    </row>
    <row r="125">
      <c r="A125" s="6" t="s">
        <v>183</v>
      </c>
      <c r="B125" s="6" t="s">
        <v>2677</v>
      </c>
      <c r="C125" s="5">
        <f t="shared" si="1"/>
        <v>3</v>
      </c>
      <c r="D125" s="1" t="s">
        <v>68</v>
      </c>
      <c r="E125" s="1" t="s">
        <v>13</v>
      </c>
      <c r="F125" s="1" t="s">
        <v>17</v>
      </c>
      <c r="G125" s="1" t="s">
        <v>430</v>
      </c>
      <c r="H125" s="5">
        <f t="shared" si="2"/>
        <v>69.8611</v>
      </c>
      <c r="I125" s="1" t="s">
        <v>431</v>
      </c>
      <c r="J125" s="5">
        <f t="shared" si="3"/>
        <v>6958.625881</v>
      </c>
      <c r="K125" s="1" t="s">
        <v>434</v>
      </c>
      <c r="L125" s="5">
        <f t="shared" si="4"/>
        <v>24.4513</v>
      </c>
      <c r="M125" s="6" t="s">
        <v>2713</v>
      </c>
      <c r="N125" s="5">
        <f t="shared" si="5"/>
        <v>8564</v>
      </c>
    </row>
    <row r="126">
      <c r="A126" s="6" t="s">
        <v>183</v>
      </c>
      <c r="B126" s="6" t="s">
        <v>2677</v>
      </c>
      <c r="C126" s="5">
        <f t="shared" si="1"/>
        <v>3</v>
      </c>
      <c r="D126" s="1" t="s">
        <v>68</v>
      </c>
      <c r="E126" s="1" t="s">
        <v>13</v>
      </c>
      <c r="F126" s="1" t="s">
        <v>21</v>
      </c>
      <c r="G126" s="6" t="s">
        <v>2714</v>
      </c>
      <c r="H126" s="5">
        <f t="shared" si="2"/>
        <v>8.2565</v>
      </c>
      <c r="I126" s="1" t="s">
        <v>436</v>
      </c>
      <c r="J126" s="5">
        <f t="shared" si="3"/>
        <v>1088.468861</v>
      </c>
      <c r="K126" s="6" t="s">
        <v>438</v>
      </c>
      <c r="L126" s="5">
        <f t="shared" si="4"/>
        <v>4.1283</v>
      </c>
      <c r="M126" s="6" t="s">
        <v>2717</v>
      </c>
      <c r="N126" s="5">
        <f t="shared" si="5"/>
        <v>1297</v>
      </c>
    </row>
    <row r="127">
      <c r="A127" s="6" t="s">
        <v>183</v>
      </c>
      <c r="B127" s="6" t="s">
        <v>2677</v>
      </c>
      <c r="C127" s="5">
        <f t="shared" si="1"/>
        <v>3</v>
      </c>
      <c r="D127" s="1" t="s">
        <v>68</v>
      </c>
      <c r="E127" s="1" t="s">
        <v>13</v>
      </c>
      <c r="F127" s="1" t="s">
        <v>25</v>
      </c>
      <c r="G127" s="1" t="s">
        <v>441</v>
      </c>
      <c r="H127" s="5">
        <f t="shared" si="2"/>
        <v>0.3656</v>
      </c>
      <c r="I127" s="1" t="s">
        <v>442</v>
      </c>
      <c r="J127" s="5">
        <f t="shared" si="3"/>
        <v>62.655918</v>
      </c>
      <c r="K127" s="1" t="s">
        <v>444</v>
      </c>
      <c r="L127" s="5">
        <f t="shared" si="4"/>
        <v>0.2742</v>
      </c>
      <c r="M127" s="6" t="s">
        <v>2761</v>
      </c>
      <c r="N127" s="5">
        <f t="shared" si="5"/>
        <v>283</v>
      </c>
    </row>
    <row r="128">
      <c r="A128" s="6" t="s">
        <v>183</v>
      </c>
      <c r="B128" s="6" t="s">
        <v>2677</v>
      </c>
      <c r="C128" s="5">
        <f t="shared" si="1"/>
        <v>3</v>
      </c>
      <c r="D128" s="1" t="s">
        <v>68</v>
      </c>
      <c r="E128" s="1" t="s">
        <v>29</v>
      </c>
      <c r="F128" s="1" t="s">
        <v>21</v>
      </c>
      <c r="G128" s="6" t="s">
        <v>2765</v>
      </c>
      <c r="H128" s="5">
        <f t="shared" si="2"/>
        <v>10.6065</v>
      </c>
      <c r="I128" s="1" t="s">
        <v>447</v>
      </c>
      <c r="J128" s="5">
        <f t="shared" si="3"/>
        <v>1949.093433</v>
      </c>
      <c r="K128" s="6" t="s">
        <v>2971</v>
      </c>
      <c r="L128" s="5">
        <f t="shared" si="4"/>
        <v>4.2427</v>
      </c>
      <c r="M128" s="6" t="s">
        <v>2972</v>
      </c>
      <c r="N128" s="5">
        <f t="shared" si="5"/>
        <v>1612</v>
      </c>
    </row>
    <row r="129">
      <c r="A129" s="6" t="s">
        <v>183</v>
      </c>
      <c r="B129" s="6" t="s">
        <v>2677</v>
      </c>
      <c r="C129" s="5">
        <f t="shared" si="1"/>
        <v>3</v>
      </c>
      <c r="D129" s="1" t="s">
        <v>68</v>
      </c>
      <c r="E129" s="1" t="s">
        <v>45</v>
      </c>
      <c r="F129" s="1" t="s">
        <v>17</v>
      </c>
      <c r="G129" s="1" t="s">
        <v>449</v>
      </c>
      <c r="H129" s="5">
        <f t="shared" si="2"/>
        <v>15.8856</v>
      </c>
      <c r="I129" s="1" t="s">
        <v>451</v>
      </c>
      <c r="J129" s="5">
        <f t="shared" si="3"/>
        <v>1072.220825</v>
      </c>
      <c r="K129" s="6" t="s">
        <v>2973</v>
      </c>
      <c r="L129" s="5">
        <f t="shared" si="4"/>
        <v>5.7188</v>
      </c>
      <c r="M129" s="6" t="s">
        <v>2974</v>
      </c>
      <c r="N129" s="5">
        <f t="shared" si="5"/>
        <v>3521</v>
      </c>
    </row>
    <row r="130">
      <c r="A130" s="6" t="s">
        <v>183</v>
      </c>
      <c r="B130" s="6" t="s">
        <v>2677</v>
      </c>
      <c r="C130" s="5">
        <f t="shared" si="1"/>
        <v>3</v>
      </c>
      <c r="D130" s="1" t="s">
        <v>68</v>
      </c>
      <c r="E130" s="1" t="s">
        <v>32</v>
      </c>
      <c r="F130" s="1" t="s">
        <v>14</v>
      </c>
      <c r="G130" s="6" t="s">
        <v>2975</v>
      </c>
      <c r="H130" s="5">
        <f t="shared" si="2"/>
        <v>4.2058</v>
      </c>
      <c r="I130" s="1" t="s">
        <v>455</v>
      </c>
      <c r="J130" s="5">
        <f t="shared" si="3"/>
        <v>285.332048</v>
      </c>
      <c r="K130" s="1" t="s">
        <v>457</v>
      </c>
      <c r="L130" s="5">
        <f t="shared" si="4"/>
        <v>0.9673</v>
      </c>
      <c r="M130" s="6" t="s">
        <v>2976</v>
      </c>
      <c r="N130" s="5">
        <f t="shared" si="5"/>
        <v>1440</v>
      </c>
    </row>
    <row r="131">
      <c r="A131" s="6" t="s">
        <v>183</v>
      </c>
      <c r="B131" s="6" t="s">
        <v>2677</v>
      </c>
      <c r="C131" s="5">
        <f t="shared" si="1"/>
        <v>3</v>
      </c>
      <c r="D131" s="1" t="s">
        <v>68</v>
      </c>
      <c r="E131" s="1" t="s">
        <v>32</v>
      </c>
      <c r="F131" s="1" t="s">
        <v>21</v>
      </c>
      <c r="G131" s="6" t="s">
        <v>459</v>
      </c>
      <c r="H131" s="5">
        <f t="shared" si="2"/>
        <v>1.0539</v>
      </c>
      <c r="I131" s="1" t="s">
        <v>461</v>
      </c>
      <c r="J131" s="5">
        <f t="shared" si="3"/>
        <v>177.547756</v>
      </c>
      <c r="K131" s="1" t="s">
        <v>463</v>
      </c>
      <c r="L131" s="5">
        <f t="shared" si="4"/>
        <v>0.4744</v>
      </c>
      <c r="M131" s="6" t="s">
        <v>2977</v>
      </c>
      <c r="N131" s="5">
        <f t="shared" si="5"/>
        <v>434</v>
      </c>
    </row>
    <row r="132">
      <c r="A132" s="6" t="s">
        <v>183</v>
      </c>
      <c r="B132" s="6" t="s">
        <v>2677</v>
      </c>
      <c r="C132" s="5">
        <f t="shared" si="1"/>
        <v>3</v>
      </c>
      <c r="D132" s="1" t="s">
        <v>68</v>
      </c>
      <c r="E132" s="1" t="s">
        <v>465</v>
      </c>
      <c r="F132" s="1" t="s">
        <v>21</v>
      </c>
      <c r="G132" s="6" t="s">
        <v>2978</v>
      </c>
      <c r="H132" s="5">
        <f t="shared" si="2"/>
        <v>2.5053</v>
      </c>
      <c r="I132" s="1" t="s">
        <v>466</v>
      </c>
      <c r="J132" s="5">
        <f t="shared" si="3"/>
        <v>321.675</v>
      </c>
      <c r="K132" s="6" t="s">
        <v>2979</v>
      </c>
      <c r="L132" s="5">
        <f t="shared" si="4"/>
        <v>1.2527</v>
      </c>
      <c r="M132" s="6" t="s">
        <v>2980</v>
      </c>
      <c r="N132" s="5">
        <f t="shared" si="5"/>
        <v>976</v>
      </c>
    </row>
    <row r="133">
      <c r="A133" s="6" t="s">
        <v>183</v>
      </c>
      <c r="B133" s="6" t="s">
        <v>2677</v>
      </c>
      <c r="C133" s="5">
        <f t="shared" si="1"/>
        <v>3</v>
      </c>
      <c r="D133" s="1" t="s">
        <v>68</v>
      </c>
      <c r="E133" s="1" t="s">
        <v>42</v>
      </c>
      <c r="F133" s="1" t="s">
        <v>17</v>
      </c>
      <c r="G133" s="1" t="s">
        <v>471</v>
      </c>
      <c r="H133" s="5">
        <f t="shared" si="2"/>
        <v>0.7486</v>
      </c>
      <c r="I133" s="1" t="s">
        <v>472</v>
      </c>
      <c r="J133" s="5">
        <f t="shared" si="3"/>
        <v>124.803203</v>
      </c>
      <c r="K133" s="1" t="s">
        <v>475</v>
      </c>
      <c r="L133" s="5">
        <f t="shared" si="4"/>
        <v>0.277</v>
      </c>
      <c r="M133" s="6" t="s">
        <v>1694</v>
      </c>
      <c r="N133" s="5">
        <f t="shared" si="5"/>
        <v>253</v>
      </c>
    </row>
    <row r="134">
      <c r="A134" s="6" t="s">
        <v>183</v>
      </c>
      <c r="B134" s="6" t="s">
        <v>2677</v>
      </c>
      <c r="C134" s="5">
        <f t="shared" si="1"/>
        <v>3</v>
      </c>
      <c r="D134" s="1" t="s">
        <v>68</v>
      </c>
      <c r="E134" s="1" t="s">
        <v>98</v>
      </c>
      <c r="F134" s="1" t="s">
        <v>17</v>
      </c>
      <c r="G134" s="1" t="s">
        <v>477</v>
      </c>
      <c r="H134" s="5">
        <f t="shared" si="2"/>
        <v>0.5124</v>
      </c>
      <c r="I134" s="1" t="s">
        <v>478</v>
      </c>
      <c r="J134" s="5">
        <f t="shared" si="3"/>
        <v>123.330744</v>
      </c>
      <c r="K134" s="1" t="s">
        <v>481</v>
      </c>
      <c r="L134" s="5">
        <f t="shared" si="4"/>
        <v>0.1794</v>
      </c>
      <c r="M134" s="6" t="s">
        <v>2981</v>
      </c>
      <c r="N134" s="5">
        <f t="shared" si="5"/>
        <v>72</v>
      </c>
    </row>
    <row r="135">
      <c r="A135" s="6" t="s">
        <v>183</v>
      </c>
      <c r="B135" s="6" t="s">
        <v>2677</v>
      </c>
      <c r="C135" s="5">
        <f t="shared" si="1"/>
        <v>3</v>
      </c>
      <c r="D135" s="1" t="s">
        <v>68</v>
      </c>
      <c r="E135" s="1" t="s">
        <v>38</v>
      </c>
      <c r="F135" s="1" t="s">
        <v>39</v>
      </c>
      <c r="G135" s="6" t="s">
        <v>2982</v>
      </c>
      <c r="H135" s="5">
        <f t="shared" si="2"/>
        <v>1.1978</v>
      </c>
      <c r="I135" s="1" t="s">
        <v>483</v>
      </c>
      <c r="J135" s="5">
        <f t="shared" si="3"/>
        <v>108.865611</v>
      </c>
      <c r="K135" s="1" t="s">
        <v>484</v>
      </c>
      <c r="L135" s="5">
        <f t="shared" si="4"/>
        <v>0.2156</v>
      </c>
      <c r="M135" s="6" t="s">
        <v>2983</v>
      </c>
      <c r="N135" s="5">
        <f t="shared" si="5"/>
        <v>239</v>
      </c>
    </row>
    <row r="136">
      <c r="A136" s="6" t="s">
        <v>183</v>
      </c>
      <c r="B136" s="6" t="s">
        <v>2677</v>
      </c>
      <c r="C136" s="5">
        <f t="shared" si="1"/>
        <v>3</v>
      </c>
      <c r="D136" s="1" t="s">
        <v>68</v>
      </c>
      <c r="E136" s="1" t="s">
        <v>102</v>
      </c>
      <c r="F136" s="1" t="s">
        <v>39</v>
      </c>
      <c r="G136" s="1" t="s">
        <v>487</v>
      </c>
      <c r="H136" s="5">
        <f t="shared" si="2"/>
        <v>0.0058</v>
      </c>
      <c r="I136" s="1" t="s">
        <v>488</v>
      </c>
      <c r="J136" s="5">
        <f t="shared" si="3"/>
        <v>1.605336</v>
      </c>
      <c r="K136" s="1" t="s">
        <v>479</v>
      </c>
      <c r="L136" s="5">
        <f t="shared" si="4"/>
        <v>0.0011</v>
      </c>
      <c r="M136" s="6" t="s">
        <v>291</v>
      </c>
      <c r="N136" s="5">
        <f t="shared" si="5"/>
        <v>0</v>
      </c>
    </row>
    <row r="137">
      <c r="A137" s="6" t="s">
        <v>183</v>
      </c>
      <c r="B137" s="6" t="s">
        <v>2677</v>
      </c>
      <c r="C137" s="5">
        <f t="shared" si="1"/>
        <v>3</v>
      </c>
      <c r="D137" s="1" t="s">
        <v>68</v>
      </c>
      <c r="E137" s="1" t="s">
        <v>102</v>
      </c>
      <c r="F137" s="1" t="s">
        <v>21</v>
      </c>
      <c r="G137" s="1" t="s">
        <v>491</v>
      </c>
      <c r="H137" s="5">
        <f t="shared" si="2"/>
        <v>0.3065</v>
      </c>
      <c r="I137" s="1" t="s">
        <v>492</v>
      </c>
      <c r="J137" s="5">
        <f t="shared" si="3"/>
        <v>93.23621</v>
      </c>
      <c r="K137" s="1" t="s">
        <v>495</v>
      </c>
      <c r="L137" s="5">
        <f t="shared" si="4"/>
        <v>0.1226</v>
      </c>
      <c r="M137" s="6" t="s">
        <v>291</v>
      </c>
      <c r="N137" s="5">
        <f t="shared" si="5"/>
        <v>0</v>
      </c>
    </row>
    <row r="138">
      <c r="A138" s="6" t="s">
        <v>183</v>
      </c>
      <c r="B138" s="6" t="s">
        <v>2677</v>
      </c>
      <c r="C138" s="5">
        <f t="shared" si="1"/>
        <v>3</v>
      </c>
      <c r="D138" s="1" t="s">
        <v>68</v>
      </c>
      <c r="E138" s="1" t="s">
        <v>48</v>
      </c>
      <c r="F138" s="1" t="s">
        <v>21</v>
      </c>
      <c r="G138" s="1" t="s">
        <v>497</v>
      </c>
      <c r="H138" s="5">
        <f t="shared" si="2"/>
        <v>0.42</v>
      </c>
      <c r="I138" s="1" t="s">
        <v>498</v>
      </c>
      <c r="J138" s="5">
        <f t="shared" si="3"/>
        <v>48.423851</v>
      </c>
      <c r="K138" s="1" t="s">
        <v>499</v>
      </c>
      <c r="L138" s="5">
        <f t="shared" si="4"/>
        <v>0.168</v>
      </c>
      <c r="M138" s="6" t="s">
        <v>2984</v>
      </c>
      <c r="N138" s="5">
        <f t="shared" si="5"/>
        <v>292</v>
      </c>
    </row>
    <row r="139">
      <c r="A139" s="6" t="s">
        <v>183</v>
      </c>
      <c r="B139" s="6" t="s">
        <v>2677</v>
      </c>
      <c r="C139" s="5">
        <f t="shared" si="1"/>
        <v>3</v>
      </c>
      <c r="D139" s="1" t="s">
        <v>116</v>
      </c>
      <c r="E139" s="1" t="s">
        <v>13</v>
      </c>
      <c r="F139" s="1" t="s">
        <v>14</v>
      </c>
      <c r="G139" s="1" t="s">
        <v>502</v>
      </c>
      <c r="H139" s="5">
        <f t="shared" si="2"/>
        <v>80.8349</v>
      </c>
      <c r="I139" s="1" t="s">
        <v>503</v>
      </c>
      <c r="J139" s="5">
        <f t="shared" si="3"/>
        <v>4860.261843</v>
      </c>
      <c r="K139" s="1" t="s">
        <v>505</v>
      </c>
      <c r="L139" s="5">
        <f t="shared" si="4"/>
        <v>16.9753</v>
      </c>
      <c r="M139" s="6" t="s">
        <v>2985</v>
      </c>
      <c r="N139" s="5">
        <f t="shared" si="5"/>
        <v>10268</v>
      </c>
    </row>
    <row r="140">
      <c r="A140" s="6" t="s">
        <v>183</v>
      </c>
      <c r="B140" s="6" t="s">
        <v>2677</v>
      </c>
      <c r="C140" s="5">
        <f t="shared" si="1"/>
        <v>3</v>
      </c>
      <c r="D140" s="1" t="s">
        <v>116</v>
      </c>
      <c r="E140" s="1" t="s">
        <v>13</v>
      </c>
      <c r="F140" s="1" t="s">
        <v>17</v>
      </c>
      <c r="G140" s="1" t="s">
        <v>509</v>
      </c>
      <c r="H140" s="5">
        <f t="shared" si="2"/>
        <v>98.0553</v>
      </c>
      <c r="I140" s="1" t="s">
        <v>510</v>
      </c>
      <c r="J140" s="5">
        <f t="shared" si="3"/>
        <v>9525.273204</v>
      </c>
      <c r="K140" s="1" t="s">
        <v>511</v>
      </c>
      <c r="L140" s="5">
        <f t="shared" si="4"/>
        <v>34.3194</v>
      </c>
      <c r="M140" s="6" t="s">
        <v>2986</v>
      </c>
      <c r="N140" s="5">
        <f t="shared" si="5"/>
        <v>8169</v>
      </c>
    </row>
    <row r="141">
      <c r="A141" s="6" t="s">
        <v>183</v>
      </c>
      <c r="B141" s="6" t="s">
        <v>2677</v>
      </c>
      <c r="C141" s="5">
        <f t="shared" si="1"/>
        <v>3</v>
      </c>
      <c r="D141" s="1" t="s">
        <v>116</v>
      </c>
      <c r="E141" s="1" t="s">
        <v>13</v>
      </c>
      <c r="F141" s="1" t="s">
        <v>21</v>
      </c>
      <c r="G141" s="1" t="s">
        <v>514</v>
      </c>
      <c r="H141" s="5">
        <f t="shared" si="2"/>
        <v>41.2775</v>
      </c>
      <c r="I141" s="1" t="s">
        <v>515</v>
      </c>
      <c r="J141" s="5">
        <f t="shared" si="3"/>
        <v>5053.812038</v>
      </c>
      <c r="K141" s="1" t="s">
        <v>516</v>
      </c>
      <c r="L141" s="5">
        <f t="shared" si="4"/>
        <v>20.6387</v>
      </c>
      <c r="M141" s="6" t="s">
        <v>2987</v>
      </c>
      <c r="N141" s="5">
        <f t="shared" si="5"/>
        <v>2632</v>
      </c>
    </row>
    <row r="142">
      <c r="A142" s="6" t="s">
        <v>183</v>
      </c>
      <c r="B142" s="6" t="s">
        <v>2677</v>
      </c>
      <c r="C142" s="5">
        <f t="shared" si="1"/>
        <v>3</v>
      </c>
      <c r="D142" s="1" t="s">
        <v>116</v>
      </c>
      <c r="E142" s="1" t="s">
        <v>13</v>
      </c>
      <c r="F142" s="1" t="s">
        <v>25</v>
      </c>
      <c r="G142" s="1" t="s">
        <v>520</v>
      </c>
      <c r="H142" s="5">
        <f t="shared" si="2"/>
        <v>0.0844</v>
      </c>
      <c r="I142" s="1" t="s">
        <v>522</v>
      </c>
      <c r="J142" s="5">
        <f t="shared" si="3"/>
        <v>13.352451</v>
      </c>
      <c r="K142" s="1" t="s">
        <v>299</v>
      </c>
      <c r="L142" s="5">
        <f t="shared" si="4"/>
        <v>0.0633</v>
      </c>
      <c r="M142" s="6" t="s">
        <v>2988</v>
      </c>
      <c r="N142" s="5">
        <f t="shared" si="5"/>
        <v>65</v>
      </c>
    </row>
    <row r="143">
      <c r="A143" s="6" t="s">
        <v>183</v>
      </c>
      <c r="B143" s="6" t="s">
        <v>2677</v>
      </c>
      <c r="C143" s="5">
        <f t="shared" si="1"/>
        <v>3</v>
      </c>
      <c r="D143" s="1" t="s">
        <v>116</v>
      </c>
      <c r="E143" s="1" t="s">
        <v>29</v>
      </c>
      <c r="F143" s="1" t="s">
        <v>21</v>
      </c>
      <c r="G143" s="1" t="s">
        <v>524</v>
      </c>
      <c r="H143" s="5">
        <f t="shared" si="2"/>
        <v>22.7859</v>
      </c>
      <c r="I143" s="1" t="s">
        <v>526</v>
      </c>
      <c r="J143" s="5">
        <f t="shared" si="3"/>
        <v>4874.68381</v>
      </c>
      <c r="K143" s="6" t="s">
        <v>528</v>
      </c>
      <c r="L143" s="5">
        <f t="shared" si="4"/>
        <v>9.1144</v>
      </c>
      <c r="M143" s="6" t="s">
        <v>2989</v>
      </c>
      <c r="N143" s="5">
        <f t="shared" si="5"/>
        <v>2764</v>
      </c>
    </row>
    <row r="144">
      <c r="A144" s="6" t="s">
        <v>183</v>
      </c>
      <c r="B144" s="6" t="s">
        <v>2677</v>
      </c>
      <c r="C144" s="5">
        <f t="shared" si="1"/>
        <v>3</v>
      </c>
      <c r="D144" s="1" t="s">
        <v>116</v>
      </c>
      <c r="E144" s="1" t="s">
        <v>32</v>
      </c>
      <c r="F144" s="1" t="s">
        <v>14</v>
      </c>
      <c r="G144" s="6" t="s">
        <v>2990</v>
      </c>
      <c r="H144" s="5">
        <f t="shared" si="2"/>
        <v>8.6386</v>
      </c>
      <c r="I144" s="1" t="s">
        <v>530</v>
      </c>
      <c r="J144" s="5">
        <f t="shared" si="3"/>
        <v>518.473264</v>
      </c>
      <c r="K144" s="6" t="s">
        <v>2991</v>
      </c>
      <c r="L144" s="5">
        <f t="shared" si="4"/>
        <v>1.9869</v>
      </c>
      <c r="M144" s="6" t="s">
        <v>2992</v>
      </c>
      <c r="N144" s="5">
        <f t="shared" si="5"/>
        <v>1801</v>
      </c>
    </row>
    <row r="145">
      <c r="A145" s="6" t="s">
        <v>183</v>
      </c>
      <c r="B145" s="6" t="s">
        <v>2677</v>
      </c>
      <c r="C145" s="5">
        <f t="shared" si="1"/>
        <v>3</v>
      </c>
      <c r="D145" s="1" t="s">
        <v>116</v>
      </c>
      <c r="E145" s="1" t="s">
        <v>32</v>
      </c>
      <c r="F145" s="1" t="s">
        <v>21</v>
      </c>
      <c r="G145" s="6" t="s">
        <v>2993</v>
      </c>
      <c r="H145" s="5">
        <f t="shared" si="2"/>
        <v>4.9757</v>
      </c>
      <c r="I145" s="1" t="s">
        <v>533</v>
      </c>
      <c r="J145" s="5">
        <f t="shared" si="3"/>
        <v>855.17176</v>
      </c>
      <c r="K145" s="6" t="s">
        <v>2994</v>
      </c>
      <c r="L145" s="5">
        <f t="shared" si="4"/>
        <v>2.2391</v>
      </c>
      <c r="M145" s="6" t="s">
        <v>2995</v>
      </c>
      <c r="N145" s="5">
        <f t="shared" si="5"/>
        <v>1471</v>
      </c>
    </row>
    <row r="146">
      <c r="A146" s="6" t="s">
        <v>183</v>
      </c>
      <c r="B146" s="6" t="s">
        <v>2677</v>
      </c>
      <c r="C146" s="5">
        <f t="shared" si="1"/>
        <v>3</v>
      </c>
      <c r="D146" s="1" t="s">
        <v>116</v>
      </c>
      <c r="E146" s="1" t="s">
        <v>45</v>
      </c>
      <c r="F146" s="1" t="s">
        <v>17</v>
      </c>
      <c r="G146" s="1" t="s">
        <v>537</v>
      </c>
      <c r="H146" s="5">
        <f t="shared" si="2"/>
        <v>20.996</v>
      </c>
      <c r="I146" s="1" t="s">
        <v>538</v>
      </c>
      <c r="J146" s="5">
        <f t="shared" si="3"/>
        <v>1306.620265</v>
      </c>
      <c r="K146" s="6" t="s">
        <v>2996</v>
      </c>
      <c r="L146" s="5">
        <f t="shared" si="4"/>
        <v>7.5586</v>
      </c>
      <c r="M146" s="6" t="s">
        <v>2997</v>
      </c>
      <c r="N146" s="5">
        <f t="shared" si="5"/>
        <v>3778</v>
      </c>
    </row>
    <row r="147">
      <c r="A147" s="6" t="s">
        <v>183</v>
      </c>
      <c r="B147" s="6" t="s">
        <v>2677</v>
      </c>
      <c r="C147" s="5">
        <f t="shared" si="1"/>
        <v>3</v>
      </c>
      <c r="D147" s="1" t="s">
        <v>116</v>
      </c>
      <c r="E147" s="1" t="s">
        <v>42</v>
      </c>
      <c r="F147" s="1" t="s">
        <v>17</v>
      </c>
      <c r="G147" s="6" t="s">
        <v>2998</v>
      </c>
      <c r="H147" s="5">
        <f t="shared" si="2"/>
        <v>8.5074</v>
      </c>
      <c r="I147" s="1" t="s">
        <v>543</v>
      </c>
      <c r="J147" s="5">
        <f t="shared" si="3"/>
        <v>1124.589953</v>
      </c>
      <c r="K147" s="6" t="s">
        <v>547</v>
      </c>
      <c r="L147" s="5">
        <f t="shared" si="4"/>
        <v>3.1477</v>
      </c>
      <c r="M147" s="6" t="s">
        <v>2999</v>
      </c>
      <c r="N147" s="5">
        <f t="shared" si="5"/>
        <v>869</v>
      </c>
    </row>
    <row r="148">
      <c r="A148" s="6" t="s">
        <v>183</v>
      </c>
      <c r="B148" s="6" t="s">
        <v>2677</v>
      </c>
      <c r="C148" s="5">
        <f t="shared" si="1"/>
        <v>3</v>
      </c>
      <c r="D148" s="1" t="s">
        <v>116</v>
      </c>
      <c r="E148" s="1" t="s">
        <v>465</v>
      </c>
      <c r="F148" s="1" t="s">
        <v>21</v>
      </c>
      <c r="G148" s="6" t="s">
        <v>3000</v>
      </c>
      <c r="H148" s="5">
        <f t="shared" si="2"/>
        <v>6.3937</v>
      </c>
      <c r="I148" s="1" t="s">
        <v>550</v>
      </c>
      <c r="J148" s="5">
        <f t="shared" si="3"/>
        <v>811.186105</v>
      </c>
      <c r="K148" s="6" t="s">
        <v>3001</v>
      </c>
      <c r="L148" s="5">
        <f t="shared" si="4"/>
        <v>3.1969</v>
      </c>
      <c r="M148" s="6" t="s">
        <v>3002</v>
      </c>
      <c r="N148" s="5">
        <f t="shared" si="5"/>
        <v>2485</v>
      </c>
    </row>
    <row r="149">
      <c r="A149" s="6" t="s">
        <v>183</v>
      </c>
      <c r="B149" s="6" t="s">
        <v>2677</v>
      </c>
      <c r="C149" s="5">
        <f t="shared" si="1"/>
        <v>3</v>
      </c>
      <c r="D149" s="1" t="s">
        <v>116</v>
      </c>
      <c r="E149" s="1" t="s">
        <v>147</v>
      </c>
      <c r="F149" s="1" t="s">
        <v>39</v>
      </c>
      <c r="G149" s="6" t="s">
        <v>3003</v>
      </c>
      <c r="H149" s="5">
        <f t="shared" si="2"/>
        <v>2.5576</v>
      </c>
      <c r="I149" s="1" t="s">
        <v>552</v>
      </c>
      <c r="J149" s="5">
        <f t="shared" si="3"/>
        <v>700.968116</v>
      </c>
      <c r="K149" s="1" t="s">
        <v>554</v>
      </c>
      <c r="L149" s="5">
        <f t="shared" si="4"/>
        <v>0.4859</v>
      </c>
      <c r="M149" s="6" t="s">
        <v>3004</v>
      </c>
      <c r="N149" s="5">
        <f t="shared" si="5"/>
        <v>111</v>
      </c>
    </row>
    <row r="150">
      <c r="A150" s="6" t="s">
        <v>183</v>
      </c>
      <c r="B150" s="6" t="s">
        <v>2677</v>
      </c>
      <c r="C150" s="5">
        <f t="shared" si="1"/>
        <v>3</v>
      </c>
      <c r="D150" s="1" t="s">
        <v>116</v>
      </c>
      <c r="E150" s="1" t="s">
        <v>147</v>
      </c>
      <c r="F150" s="1" t="s">
        <v>17</v>
      </c>
      <c r="G150" s="1" t="s">
        <v>556</v>
      </c>
      <c r="H150" s="5">
        <f t="shared" si="2"/>
        <v>0.0412</v>
      </c>
      <c r="I150" s="1" t="s">
        <v>559</v>
      </c>
      <c r="J150" s="5">
        <f t="shared" si="3"/>
        <v>13.251864</v>
      </c>
      <c r="K150" s="1" t="s">
        <v>560</v>
      </c>
      <c r="L150" s="5">
        <f t="shared" si="4"/>
        <v>0.0145</v>
      </c>
      <c r="M150" s="6" t="s">
        <v>2521</v>
      </c>
      <c r="N150" s="5">
        <f t="shared" si="5"/>
        <v>6</v>
      </c>
    </row>
    <row r="151">
      <c r="A151" s="6" t="s">
        <v>183</v>
      </c>
      <c r="B151" s="6" t="s">
        <v>2677</v>
      </c>
      <c r="C151" s="5">
        <f t="shared" si="1"/>
        <v>3</v>
      </c>
      <c r="D151" s="1" t="s">
        <v>116</v>
      </c>
      <c r="E151" s="1" t="s">
        <v>147</v>
      </c>
      <c r="F151" s="1" t="s">
        <v>21</v>
      </c>
      <c r="G151" s="1" t="s">
        <v>562</v>
      </c>
      <c r="H151" s="5">
        <f t="shared" si="2"/>
        <v>0.0818</v>
      </c>
      <c r="I151" s="1" t="s">
        <v>563</v>
      </c>
      <c r="J151" s="5">
        <f t="shared" si="3"/>
        <v>39.988526</v>
      </c>
      <c r="K151" s="1" t="s">
        <v>567</v>
      </c>
      <c r="L151" s="5">
        <f t="shared" si="4"/>
        <v>0.0408</v>
      </c>
      <c r="M151" s="6" t="s">
        <v>3440</v>
      </c>
      <c r="N151" s="5">
        <f t="shared" si="5"/>
        <v>47</v>
      </c>
    </row>
    <row r="152">
      <c r="A152" s="6" t="s">
        <v>183</v>
      </c>
      <c r="B152" s="6" t="s">
        <v>2677</v>
      </c>
      <c r="C152" s="5">
        <f t="shared" si="1"/>
        <v>3</v>
      </c>
      <c r="D152" s="1" t="s">
        <v>116</v>
      </c>
      <c r="E152" s="1" t="s">
        <v>102</v>
      </c>
      <c r="F152" s="1" t="s">
        <v>39</v>
      </c>
      <c r="G152" s="1" t="s">
        <v>569</v>
      </c>
      <c r="H152" s="5">
        <f t="shared" si="2"/>
        <v>0.0322</v>
      </c>
      <c r="I152" s="1" t="s">
        <v>570</v>
      </c>
      <c r="J152" s="5">
        <f t="shared" si="3"/>
        <v>7.884587</v>
      </c>
      <c r="K152" s="1" t="s">
        <v>572</v>
      </c>
      <c r="L152" s="5">
        <f t="shared" si="4"/>
        <v>0.0061</v>
      </c>
      <c r="M152" s="6" t="s">
        <v>3449</v>
      </c>
      <c r="N152" s="5">
        <f t="shared" si="5"/>
        <v>21</v>
      </c>
    </row>
    <row r="153">
      <c r="A153" s="6" t="s">
        <v>183</v>
      </c>
      <c r="B153" s="6" t="s">
        <v>2677</v>
      </c>
      <c r="C153" s="5">
        <f t="shared" si="1"/>
        <v>3</v>
      </c>
      <c r="D153" s="1" t="s">
        <v>116</v>
      </c>
      <c r="E153" s="1" t="s">
        <v>102</v>
      </c>
      <c r="F153" s="1" t="s">
        <v>21</v>
      </c>
      <c r="G153" s="6" t="s">
        <v>575</v>
      </c>
      <c r="H153" s="5">
        <f t="shared" si="2"/>
        <v>2.1445</v>
      </c>
      <c r="I153" s="1" t="s">
        <v>576</v>
      </c>
      <c r="J153" s="5">
        <f t="shared" si="3"/>
        <v>603.625107</v>
      </c>
      <c r="K153" s="1" t="s">
        <v>577</v>
      </c>
      <c r="L153" s="5">
        <f t="shared" si="4"/>
        <v>0.8577</v>
      </c>
      <c r="M153" s="6" t="s">
        <v>3458</v>
      </c>
      <c r="N153" s="5">
        <f t="shared" si="5"/>
        <v>257</v>
      </c>
    </row>
    <row r="154">
      <c r="A154" s="6" t="s">
        <v>183</v>
      </c>
      <c r="B154" s="6" t="s">
        <v>2677</v>
      </c>
      <c r="C154" s="5">
        <f t="shared" si="1"/>
        <v>3</v>
      </c>
      <c r="D154" s="1" t="s">
        <v>116</v>
      </c>
      <c r="E154" s="1" t="s">
        <v>158</v>
      </c>
      <c r="F154" s="1" t="s">
        <v>17</v>
      </c>
      <c r="G154" s="1" t="s">
        <v>582</v>
      </c>
      <c r="H154" s="5">
        <f t="shared" si="2"/>
        <v>0.0577</v>
      </c>
      <c r="I154" s="1" t="s">
        <v>583</v>
      </c>
      <c r="J154" s="5">
        <f t="shared" si="3"/>
        <v>25.981502</v>
      </c>
      <c r="K154" s="1" t="s">
        <v>585</v>
      </c>
      <c r="L154" s="5">
        <f t="shared" si="4"/>
        <v>0.0202</v>
      </c>
      <c r="M154" s="6" t="s">
        <v>291</v>
      </c>
      <c r="N154" s="5">
        <f t="shared" si="5"/>
        <v>0</v>
      </c>
    </row>
    <row r="155">
      <c r="A155" s="6" t="s">
        <v>183</v>
      </c>
      <c r="B155" s="6" t="s">
        <v>2677</v>
      </c>
      <c r="C155" s="5">
        <f t="shared" si="1"/>
        <v>3</v>
      </c>
      <c r="D155" s="1" t="s">
        <v>116</v>
      </c>
      <c r="E155" s="1" t="s">
        <v>158</v>
      </c>
      <c r="F155" s="1" t="s">
        <v>21</v>
      </c>
      <c r="G155" s="1" t="s">
        <v>589</v>
      </c>
      <c r="H155" s="5">
        <f t="shared" si="2"/>
        <v>0.5458</v>
      </c>
      <c r="I155" s="1" t="s">
        <v>590</v>
      </c>
      <c r="J155" s="5">
        <f t="shared" si="3"/>
        <v>290.24294</v>
      </c>
      <c r="K155" s="1" t="s">
        <v>592</v>
      </c>
      <c r="L155" s="5">
        <f t="shared" si="4"/>
        <v>0.2292</v>
      </c>
      <c r="M155" s="6" t="s">
        <v>291</v>
      </c>
      <c r="N155" s="5">
        <f t="shared" si="5"/>
        <v>0</v>
      </c>
    </row>
    <row r="156">
      <c r="A156" s="6" t="s">
        <v>183</v>
      </c>
      <c r="B156" s="6" t="s">
        <v>2677</v>
      </c>
      <c r="C156" s="5">
        <f t="shared" si="1"/>
        <v>3</v>
      </c>
      <c r="D156" s="1" t="s">
        <v>116</v>
      </c>
      <c r="E156" s="1" t="s">
        <v>330</v>
      </c>
      <c r="F156" s="1" t="s">
        <v>39</v>
      </c>
      <c r="G156" s="1" t="s">
        <v>75</v>
      </c>
      <c r="H156" s="5">
        <f t="shared" si="2"/>
        <v>0.0004</v>
      </c>
      <c r="I156" s="1" t="s">
        <v>595</v>
      </c>
      <c r="J156" s="5">
        <f t="shared" si="3"/>
        <v>0.049663</v>
      </c>
      <c r="K156" s="1" t="s">
        <v>596</v>
      </c>
      <c r="L156" s="5">
        <f t="shared" si="4"/>
        <v>0.0001</v>
      </c>
      <c r="M156" s="6" t="s">
        <v>186</v>
      </c>
      <c r="N156" s="5">
        <f t="shared" si="5"/>
        <v>1</v>
      </c>
    </row>
    <row r="157">
      <c r="A157" s="6" t="s">
        <v>183</v>
      </c>
      <c r="B157" s="6" t="s">
        <v>2677</v>
      </c>
      <c r="C157" s="5">
        <f t="shared" si="1"/>
        <v>3</v>
      </c>
      <c r="D157" s="1" t="s">
        <v>116</v>
      </c>
      <c r="E157" s="1" t="s">
        <v>330</v>
      </c>
      <c r="F157" s="1" t="s">
        <v>17</v>
      </c>
      <c r="G157" s="6" t="s">
        <v>3477</v>
      </c>
      <c r="H157" s="5">
        <f t="shared" si="2"/>
        <v>1.3841</v>
      </c>
      <c r="I157" s="1" t="s">
        <v>599</v>
      </c>
      <c r="J157" s="5">
        <f t="shared" si="3"/>
        <v>238.904142</v>
      </c>
      <c r="K157" s="1" t="s">
        <v>601</v>
      </c>
      <c r="L157" s="5">
        <f t="shared" si="4"/>
        <v>0.4844</v>
      </c>
      <c r="M157" s="6" t="s">
        <v>3481</v>
      </c>
      <c r="N157" s="5">
        <f t="shared" si="5"/>
        <v>158</v>
      </c>
    </row>
    <row r="158">
      <c r="A158" s="6" t="s">
        <v>183</v>
      </c>
      <c r="B158" s="6" t="s">
        <v>273</v>
      </c>
      <c r="C158" s="5">
        <f t="shared" si="1"/>
        <v>4</v>
      </c>
      <c r="D158" s="1" t="s">
        <v>12</v>
      </c>
      <c r="E158" s="1" t="s">
        <v>13</v>
      </c>
      <c r="F158" s="1" t="s">
        <v>14</v>
      </c>
      <c r="G158" s="1" t="s">
        <v>604</v>
      </c>
      <c r="H158" s="5">
        <f t="shared" si="2"/>
        <v>13.1809</v>
      </c>
      <c r="I158" s="1" t="s">
        <v>606</v>
      </c>
      <c r="J158" s="5">
        <f t="shared" si="3"/>
        <v>819.698677</v>
      </c>
      <c r="K158" s="1" t="s">
        <v>607</v>
      </c>
      <c r="L158" s="5">
        <f t="shared" si="4"/>
        <v>2.768</v>
      </c>
      <c r="M158" s="6" t="s">
        <v>3487</v>
      </c>
      <c r="N158" s="5">
        <f t="shared" si="5"/>
        <v>478</v>
      </c>
    </row>
    <row r="159">
      <c r="A159" s="6" t="s">
        <v>183</v>
      </c>
      <c r="B159" s="6" t="s">
        <v>273</v>
      </c>
      <c r="C159" s="5">
        <f t="shared" si="1"/>
        <v>4</v>
      </c>
      <c r="D159" s="1" t="s">
        <v>12</v>
      </c>
      <c r="E159" s="1" t="s">
        <v>13</v>
      </c>
      <c r="F159" s="1" t="s">
        <v>17</v>
      </c>
      <c r="G159" s="1" t="s">
        <v>610</v>
      </c>
      <c r="H159" s="5">
        <f t="shared" si="2"/>
        <v>54.8537</v>
      </c>
      <c r="I159" s="1" t="s">
        <v>611</v>
      </c>
      <c r="J159" s="5">
        <f t="shared" si="3"/>
        <v>4806.202042</v>
      </c>
      <c r="K159" s="1" t="s">
        <v>613</v>
      </c>
      <c r="L159" s="5">
        <f t="shared" si="4"/>
        <v>19.1989</v>
      </c>
      <c r="M159" s="6" t="s">
        <v>3491</v>
      </c>
      <c r="N159" s="5">
        <f t="shared" si="5"/>
        <v>786</v>
      </c>
    </row>
    <row r="160">
      <c r="A160" s="6" t="s">
        <v>183</v>
      </c>
      <c r="B160" s="6" t="s">
        <v>273</v>
      </c>
      <c r="C160" s="5">
        <f t="shared" si="1"/>
        <v>4</v>
      </c>
      <c r="D160" s="1" t="s">
        <v>12</v>
      </c>
      <c r="E160" s="1" t="s">
        <v>13</v>
      </c>
      <c r="F160" s="1" t="s">
        <v>21</v>
      </c>
      <c r="G160" s="1" t="s">
        <v>616</v>
      </c>
      <c r="H160" s="5">
        <f t="shared" si="2"/>
        <v>48.5498</v>
      </c>
      <c r="I160" s="1" t="s">
        <v>618</v>
      </c>
      <c r="J160" s="5">
        <f t="shared" si="3"/>
        <v>5104.909681</v>
      </c>
      <c r="K160" s="1" t="s">
        <v>620</v>
      </c>
      <c r="L160" s="5">
        <f t="shared" si="4"/>
        <v>24.2748</v>
      </c>
      <c r="M160" s="6" t="s">
        <v>220</v>
      </c>
      <c r="N160" s="5">
        <f t="shared" si="5"/>
        <v>663</v>
      </c>
    </row>
    <row r="161">
      <c r="A161" s="6" t="s">
        <v>183</v>
      </c>
      <c r="B161" s="6" t="s">
        <v>273</v>
      </c>
      <c r="C161" s="5">
        <f t="shared" si="1"/>
        <v>4</v>
      </c>
      <c r="D161" s="1" t="s">
        <v>12</v>
      </c>
      <c r="E161" s="1" t="s">
        <v>13</v>
      </c>
      <c r="F161" s="1" t="s">
        <v>25</v>
      </c>
      <c r="G161" s="1" t="s">
        <v>624</v>
      </c>
      <c r="H161" s="5">
        <f t="shared" si="2"/>
        <v>1.082</v>
      </c>
      <c r="I161" s="1" t="s">
        <v>625</v>
      </c>
      <c r="J161" s="5">
        <f t="shared" si="3"/>
        <v>129.175226</v>
      </c>
      <c r="K161" s="1" t="s">
        <v>627</v>
      </c>
      <c r="L161" s="5">
        <f t="shared" si="4"/>
        <v>0.8115</v>
      </c>
      <c r="M161" s="6" t="s">
        <v>711</v>
      </c>
      <c r="N161" s="5">
        <f t="shared" si="5"/>
        <v>23</v>
      </c>
    </row>
    <row r="162">
      <c r="A162" s="6" t="s">
        <v>183</v>
      </c>
      <c r="B162" s="6" t="s">
        <v>273</v>
      </c>
      <c r="C162" s="5">
        <f t="shared" si="1"/>
        <v>4</v>
      </c>
      <c r="D162" s="1" t="s">
        <v>12</v>
      </c>
      <c r="E162" s="1" t="s">
        <v>29</v>
      </c>
      <c r="F162" s="1" t="s">
        <v>21</v>
      </c>
      <c r="G162" s="1" t="s">
        <v>630</v>
      </c>
      <c r="H162" s="5">
        <f t="shared" si="2"/>
        <v>14.6887</v>
      </c>
      <c r="I162" s="1" t="s">
        <v>631</v>
      </c>
      <c r="J162" s="5">
        <f t="shared" si="3"/>
        <v>3008.328546</v>
      </c>
      <c r="K162" s="6" t="s">
        <v>3492</v>
      </c>
      <c r="L162" s="5">
        <f t="shared" si="4"/>
        <v>5.8755</v>
      </c>
      <c r="M162" s="6" t="s">
        <v>3493</v>
      </c>
      <c r="N162" s="5">
        <f t="shared" si="5"/>
        <v>671</v>
      </c>
    </row>
    <row r="163">
      <c r="A163" s="6" t="s">
        <v>183</v>
      </c>
      <c r="B163" s="6" t="s">
        <v>273</v>
      </c>
      <c r="C163" s="5">
        <f t="shared" si="1"/>
        <v>4</v>
      </c>
      <c r="D163" s="1" t="s">
        <v>12</v>
      </c>
      <c r="E163" s="1" t="s">
        <v>32</v>
      </c>
      <c r="F163" s="1" t="s">
        <v>14</v>
      </c>
      <c r="G163" s="6" t="s">
        <v>3494</v>
      </c>
      <c r="H163" s="5">
        <f t="shared" si="2"/>
        <v>10.8278</v>
      </c>
      <c r="I163" s="1" t="s">
        <v>633</v>
      </c>
      <c r="J163" s="5">
        <f t="shared" si="3"/>
        <v>634.098977</v>
      </c>
      <c r="K163" s="6" t="s">
        <v>3495</v>
      </c>
      <c r="L163" s="5">
        <f t="shared" si="4"/>
        <v>2.4904</v>
      </c>
      <c r="M163" s="6" t="s">
        <v>3496</v>
      </c>
      <c r="N163" s="5">
        <f t="shared" si="5"/>
        <v>482</v>
      </c>
    </row>
    <row r="164">
      <c r="A164" s="6" t="s">
        <v>183</v>
      </c>
      <c r="B164" s="6" t="s">
        <v>273</v>
      </c>
      <c r="C164" s="5">
        <f t="shared" si="1"/>
        <v>4</v>
      </c>
      <c r="D164" s="1" t="s">
        <v>12</v>
      </c>
      <c r="E164" s="1" t="s">
        <v>32</v>
      </c>
      <c r="F164" s="1" t="s">
        <v>72</v>
      </c>
      <c r="G164" s="1" t="s">
        <v>596</v>
      </c>
      <c r="H164" s="5">
        <f t="shared" si="2"/>
        <v>0.0001</v>
      </c>
      <c r="I164" s="1" t="s">
        <v>636</v>
      </c>
      <c r="J164" s="5">
        <f t="shared" si="3"/>
        <v>0.007028</v>
      </c>
      <c r="K164" s="6" t="s">
        <v>291</v>
      </c>
      <c r="L164" s="5">
        <f t="shared" si="4"/>
        <v>0</v>
      </c>
      <c r="M164" s="6" t="s">
        <v>291</v>
      </c>
      <c r="N164" s="5">
        <f t="shared" si="5"/>
        <v>0</v>
      </c>
    </row>
    <row r="165">
      <c r="A165" s="6" t="s">
        <v>183</v>
      </c>
      <c r="B165" s="6" t="s">
        <v>273</v>
      </c>
      <c r="C165" s="5">
        <f t="shared" si="1"/>
        <v>4</v>
      </c>
      <c r="D165" s="1" t="s">
        <v>12</v>
      </c>
      <c r="E165" s="1" t="s">
        <v>32</v>
      </c>
      <c r="F165" s="1" t="s">
        <v>21</v>
      </c>
      <c r="G165" s="6" t="s">
        <v>640</v>
      </c>
      <c r="H165" s="5">
        <f t="shared" si="2"/>
        <v>2.0152</v>
      </c>
      <c r="I165" s="1" t="s">
        <v>642</v>
      </c>
      <c r="J165" s="5">
        <f t="shared" si="3"/>
        <v>337.342593</v>
      </c>
      <c r="K165" s="1" t="s">
        <v>644</v>
      </c>
      <c r="L165" s="5">
        <f t="shared" si="4"/>
        <v>0.9069</v>
      </c>
      <c r="M165" s="6" t="s">
        <v>3497</v>
      </c>
      <c r="N165" s="5">
        <f t="shared" si="5"/>
        <v>302</v>
      </c>
    </row>
    <row r="166">
      <c r="A166" s="6" t="s">
        <v>183</v>
      </c>
      <c r="B166" s="6" t="s">
        <v>273</v>
      </c>
      <c r="C166" s="5">
        <f t="shared" si="1"/>
        <v>4</v>
      </c>
      <c r="D166" s="1" t="s">
        <v>12</v>
      </c>
      <c r="E166" s="1" t="s">
        <v>32</v>
      </c>
      <c r="F166" s="1" t="s">
        <v>25</v>
      </c>
      <c r="G166" s="1" t="s">
        <v>596</v>
      </c>
      <c r="H166" s="5">
        <f t="shared" si="2"/>
        <v>0.0001</v>
      </c>
      <c r="I166" s="1" t="s">
        <v>646</v>
      </c>
      <c r="J166" s="5">
        <f t="shared" si="3"/>
        <v>0.016112</v>
      </c>
      <c r="K166" s="1" t="s">
        <v>596</v>
      </c>
      <c r="L166" s="5">
        <f t="shared" si="4"/>
        <v>0.0001</v>
      </c>
      <c r="M166" s="6" t="s">
        <v>397</v>
      </c>
      <c r="N166" s="5">
        <f t="shared" si="5"/>
        <v>2</v>
      </c>
    </row>
    <row r="167">
      <c r="A167" s="6" t="s">
        <v>183</v>
      </c>
      <c r="B167" s="6" t="s">
        <v>273</v>
      </c>
      <c r="C167" s="5">
        <f t="shared" si="1"/>
        <v>4</v>
      </c>
      <c r="D167" s="1" t="s">
        <v>12</v>
      </c>
      <c r="E167" s="1" t="s">
        <v>38</v>
      </c>
      <c r="F167" s="1" t="s">
        <v>39</v>
      </c>
      <c r="G167" s="6" t="s">
        <v>3498</v>
      </c>
      <c r="H167" s="5">
        <f t="shared" si="2"/>
        <v>2.9288</v>
      </c>
      <c r="I167" s="1" t="s">
        <v>650</v>
      </c>
      <c r="J167" s="5">
        <f t="shared" si="3"/>
        <v>285.831332</v>
      </c>
      <c r="K167" s="1" t="s">
        <v>651</v>
      </c>
      <c r="L167" s="5">
        <f t="shared" si="4"/>
        <v>0.5272</v>
      </c>
      <c r="M167" s="6" t="s">
        <v>3499</v>
      </c>
      <c r="N167" s="5">
        <f t="shared" si="5"/>
        <v>94</v>
      </c>
    </row>
    <row r="168">
      <c r="A168" s="6" t="s">
        <v>183</v>
      </c>
      <c r="B168" s="6" t="s">
        <v>273</v>
      </c>
      <c r="C168" s="5">
        <f t="shared" si="1"/>
        <v>4</v>
      </c>
      <c r="D168" s="1" t="s">
        <v>12</v>
      </c>
      <c r="E168" s="1" t="s">
        <v>42</v>
      </c>
      <c r="F168" s="1" t="s">
        <v>17</v>
      </c>
      <c r="G168" s="6" t="s">
        <v>3500</v>
      </c>
      <c r="H168" s="5">
        <f t="shared" si="2"/>
        <v>1.8156</v>
      </c>
      <c r="I168" s="1" t="s">
        <v>655</v>
      </c>
      <c r="J168" s="5">
        <f t="shared" si="3"/>
        <v>283.721208</v>
      </c>
      <c r="K168" s="1" t="s">
        <v>656</v>
      </c>
      <c r="L168" s="5">
        <f t="shared" si="4"/>
        <v>0.6717</v>
      </c>
      <c r="M168" s="6" t="s">
        <v>3501</v>
      </c>
      <c r="N168" s="5">
        <f t="shared" si="5"/>
        <v>115</v>
      </c>
    </row>
    <row r="169">
      <c r="A169" s="6" t="s">
        <v>183</v>
      </c>
      <c r="B169" s="6" t="s">
        <v>273</v>
      </c>
      <c r="C169" s="5">
        <f t="shared" si="1"/>
        <v>4</v>
      </c>
      <c r="D169" s="1" t="s">
        <v>12</v>
      </c>
      <c r="E169" s="1" t="s">
        <v>45</v>
      </c>
      <c r="F169" s="1" t="s">
        <v>17</v>
      </c>
      <c r="G169" s="6" t="s">
        <v>3502</v>
      </c>
      <c r="H169" s="5">
        <f t="shared" si="2"/>
        <v>2.3171</v>
      </c>
      <c r="I169" s="1" t="s">
        <v>660</v>
      </c>
      <c r="J169" s="5">
        <f t="shared" si="3"/>
        <v>172.71895</v>
      </c>
      <c r="K169" s="1" t="s">
        <v>662</v>
      </c>
      <c r="L169" s="5">
        <f t="shared" si="4"/>
        <v>0.8341</v>
      </c>
      <c r="M169" s="6" t="s">
        <v>3503</v>
      </c>
      <c r="N169" s="5">
        <f t="shared" si="5"/>
        <v>119</v>
      </c>
    </row>
    <row r="170">
      <c r="A170" s="6" t="s">
        <v>183</v>
      </c>
      <c r="B170" s="6" t="s">
        <v>273</v>
      </c>
      <c r="C170" s="5">
        <f t="shared" si="1"/>
        <v>4</v>
      </c>
      <c r="D170" s="1" t="s">
        <v>12</v>
      </c>
      <c r="E170" s="1" t="s">
        <v>48</v>
      </c>
      <c r="F170" s="1" t="s">
        <v>49</v>
      </c>
      <c r="G170" s="1" t="s">
        <v>664</v>
      </c>
      <c r="H170" s="5">
        <f t="shared" si="2"/>
        <v>0.0111</v>
      </c>
      <c r="I170" s="1" t="s">
        <v>665</v>
      </c>
      <c r="J170" s="5">
        <f t="shared" si="3"/>
        <v>3.648823</v>
      </c>
      <c r="K170" s="1" t="s">
        <v>666</v>
      </c>
      <c r="L170" s="5">
        <f t="shared" si="4"/>
        <v>0.0031</v>
      </c>
      <c r="M170" s="6" t="s">
        <v>273</v>
      </c>
      <c r="N170" s="5">
        <f t="shared" si="5"/>
        <v>4</v>
      </c>
    </row>
    <row r="171">
      <c r="A171" s="6" t="s">
        <v>183</v>
      </c>
      <c r="B171" s="6" t="s">
        <v>273</v>
      </c>
      <c r="C171" s="5">
        <f t="shared" si="1"/>
        <v>4</v>
      </c>
      <c r="D171" s="1" t="s">
        <v>12</v>
      </c>
      <c r="E171" s="1" t="s">
        <v>48</v>
      </c>
      <c r="F171" s="1" t="s">
        <v>21</v>
      </c>
      <c r="G171" s="1" t="s">
        <v>668</v>
      </c>
      <c r="H171" s="5">
        <f t="shared" si="2"/>
        <v>0.8561</v>
      </c>
      <c r="I171" s="1" t="s">
        <v>669</v>
      </c>
      <c r="J171" s="5">
        <f t="shared" si="3"/>
        <v>102.900452</v>
      </c>
      <c r="K171" s="1" t="s">
        <v>671</v>
      </c>
      <c r="L171" s="5">
        <f t="shared" si="4"/>
        <v>0.3424</v>
      </c>
      <c r="M171" s="6" t="s">
        <v>3504</v>
      </c>
      <c r="N171" s="5">
        <f t="shared" si="5"/>
        <v>113</v>
      </c>
    </row>
    <row r="172">
      <c r="A172" s="6" t="s">
        <v>183</v>
      </c>
      <c r="B172" s="6" t="s">
        <v>273</v>
      </c>
      <c r="C172" s="5">
        <f t="shared" si="1"/>
        <v>4</v>
      </c>
      <c r="D172" s="1" t="s">
        <v>12</v>
      </c>
      <c r="E172" s="1" t="s">
        <v>56</v>
      </c>
      <c r="F172" s="1" t="s">
        <v>21</v>
      </c>
      <c r="G172" s="1" t="s">
        <v>673</v>
      </c>
      <c r="H172" s="5">
        <f t="shared" si="2"/>
        <v>0.3016</v>
      </c>
      <c r="I172" s="1" t="s">
        <v>675</v>
      </c>
      <c r="J172" s="5">
        <f t="shared" si="3"/>
        <v>68.126832</v>
      </c>
      <c r="K172" s="1" t="s">
        <v>676</v>
      </c>
      <c r="L172" s="5">
        <f t="shared" si="4"/>
        <v>0.1206</v>
      </c>
      <c r="M172" s="6" t="s">
        <v>2744</v>
      </c>
      <c r="N172" s="5">
        <f t="shared" si="5"/>
        <v>105</v>
      </c>
    </row>
    <row r="173">
      <c r="A173" s="6" t="s">
        <v>183</v>
      </c>
      <c r="B173" s="6" t="s">
        <v>273</v>
      </c>
      <c r="C173" s="5">
        <f t="shared" si="1"/>
        <v>4</v>
      </c>
      <c r="D173" s="1" t="s">
        <v>12</v>
      </c>
      <c r="E173" s="1" t="s">
        <v>60</v>
      </c>
      <c r="F173" s="1" t="s">
        <v>39</v>
      </c>
      <c r="G173" s="1" t="s">
        <v>679</v>
      </c>
      <c r="H173" s="5">
        <f t="shared" si="2"/>
        <v>0.2712</v>
      </c>
      <c r="I173" s="1" t="s">
        <v>680</v>
      </c>
      <c r="J173" s="5">
        <f t="shared" si="3"/>
        <v>41.763937</v>
      </c>
      <c r="K173" s="1" t="s">
        <v>682</v>
      </c>
      <c r="L173" s="5">
        <f t="shared" si="4"/>
        <v>0.0515</v>
      </c>
      <c r="M173" s="6" t="s">
        <v>291</v>
      </c>
      <c r="N173" s="5">
        <f t="shared" si="5"/>
        <v>0</v>
      </c>
    </row>
    <row r="174">
      <c r="A174" s="6" t="s">
        <v>183</v>
      </c>
      <c r="B174" s="6" t="s">
        <v>273</v>
      </c>
      <c r="C174" s="5">
        <f t="shared" si="1"/>
        <v>4</v>
      </c>
      <c r="D174" s="1" t="s">
        <v>12</v>
      </c>
      <c r="E174" s="1" t="s">
        <v>64</v>
      </c>
      <c r="F174" s="1" t="s">
        <v>21</v>
      </c>
      <c r="G174" s="1" t="s">
        <v>684</v>
      </c>
      <c r="H174" s="5">
        <f t="shared" si="2"/>
        <v>0.2237</v>
      </c>
      <c r="I174" s="1" t="s">
        <v>685</v>
      </c>
      <c r="J174" s="5">
        <f t="shared" si="3"/>
        <v>30.341988</v>
      </c>
      <c r="K174" s="1" t="s">
        <v>688</v>
      </c>
      <c r="L174" s="5">
        <f t="shared" si="4"/>
        <v>0.0895</v>
      </c>
      <c r="M174" s="6" t="s">
        <v>291</v>
      </c>
      <c r="N174" s="5">
        <f t="shared" si="5"/>
        <v>0</v>
      </c>
    </row>
    <row r="175">
      <c r="A175" s="6" t="s">
        <v>183</v>
      </c>
      <c r="B175" s="6" t="s">
        <v>273</v>
      </c>
      <c r="C175" s="5">
        <f t="shared" si="1"/>
        <v>4</v>
      </c>
      <c r="D175" s="1" t="s">
        <v>68</v>
      </c>
      <c r="E175" s="1" t="s">
        <v>13</v>
      </c>
      <c r="F175" s="1" t="s">
        <v>14</v>
      </c>
      <c r="G175" s="1" t="s">
        <v>689</v>
      </c>
      <c r="H175" s="5">
        <f t="shared" si="2"/>
        <v>65.925</v>
      </c>
      <c r="I175" s="1" t="s">
        <v>690</v>
      </c>
      <c r="J175" s="5">
        <f t="shared" si="3"/>
        <v>4037.903364</v>
      </c>
      <c r="K175" s="1" t="s">
        <v>692</v>
      </c>
      <c r="L175" s="5">
        <f t="shared" si="4"/>
        <v>13.8442</v>
      </c>
      <c r="M175" s="6" t="s">
        <v>3505</v>
      </c>
      <c r="N175" s="5">
        <f t="shared" si="5"/>
        <v>8093</v>
      </c>
    </row>
    <row r="176">
      <c r="A176" s="6" t="s">
        <v>183</v>
      </c>
      <c r="B176" s="6" t="s">
        <v>273</v>
      </c>
      <c r="C176" s="5">
        <f t="shared" si="1"/>
        <v>4</v>
      </c>
      <c r="D176" s="1" t="s">
        <v>68</v>
      </c>
      <c r="E176" s="1" t="s">
        <v>13</v>
      </c>
      <c r="F176" s="1" t="s">
        <v>72</v>
      </c>
      <c r="G176" s="1" t="s">
        <v>693</v>
      </c>
      <c r="H176" s="5">
        <f t="shared" si="2"/>
        <v>0.0015</v>
      </c>
      <c r="I176" s="1" t="s">
        <v>694</v>
      </c>
      <c r="J176" s="5">
        <f t="shared" si="3"/>
        <v>0.171467</v>
      </c>
      <c r="K176" s="1" t="s">
        <v>674</v>
      </c>
      <c r="L176" s="5">
        <f t="shared" si="4"/>
        <v>0.0005</v>
      </c>
      <c r="M176" s="6" t="s">
        <v>397</v>
      </c>
      <c r="N176" s="5">
        <f t="shared" si="5"/>
        <v>2</v>
      </c>
    </row>
    <row r="177">
      <c r="A177" s="6" t="s">
        <v>183</v>
      </c>
      <c r="B177" s="6" t="s">
        <v>273</v>
      </c>
      <c r="C177" s="5">
        <f t="shared" si="1"/>
        <v>4</v>
      </c>
      <c r="D177" s="1" t="s">
        <v>68</v>
      </c>
      <c r="E177" s="1" t="s">
        <v>13</v>
      </c>
      <c r="F177" s="1" t="s">
        <v>17</v>
      </c>
      <c r="G177" s="1" t="s">
        <v>698</v>
      </c>
      <c r="H177" s="5">
        <f t="shared" si="2"/>
        <v>62.98</v>
      </c>
      <c r="I177" s="1" t="s">
        <v>699</v>
      </c>
      <c r="J177" s="5">
        <f t="shared" si="3"/>
        <v>6338.200409</v>
      </c>
      <c r="K177" s="1" t="s">
        <v>701</v>
      </c>
      <c r="L177" s="5">
        <f t="shared" si="4"/>
        <v>22.043</v>
      </c>
      <c r="M177" s="6" t="s">
        <v>3506</v>
      </c>
      <c r="N177" s="5">
        <f t="shared" si="5"/>
        <v>8792</v>
      </c>
    </row>
    <row r="178">
      <c r="A178" s="6" t="s">
        <v>183</v>
      </c>
      <c r="B178" s="6" t="s">
        <v>273</v>
      </c>
      <c r="C178" s="5">
        <f t="shared" si="1"/>
        <v>4</v>
      </c>
      <c r="D178" s="1" t="s">
        <v>68</v>
      </c>
      <c r="E178" s="1" t="s">
        <v>13</v>
      </c>
      <c r="F178" s="1" t="s">
        <v>21</v>
      </c>
      <c r="G178" s="6" t="s">
        <v>3507</v>
      </c>
      <c r="H178" s="5">
        <f t="shared" si="2"/>
        <v>6.1918</v>
      </c>
      <c r="I178" s="1" t="s">
        <v>702</v>
      </c>
      <c r="J178" s="5">
        <f t="shared" si="3"/>
        <v>880.140635</v>
      </c>
      <c r="K178" s="6" t="s">
        <v>703</v>
      </c>
      <c r="L178" s="5">
        <f t="shared" si="4"/>
        <v>3.0959</v>
      </c>
      <c r="M178" s="6" t="s">
        <v>3508</v>
      </c>
      <c r="N178" s="5">
        <f t="shared" si="5"/>
        <v>1462</v>
      </c>
    </row>
    <row r="179">
      <c r="A179" s="6" t="s">
        <v>183</v>
      </c>
      <c r="B179" s="6" t="s">
        <v>273</v>
      </c>
      <c r="C179" s="5">
        <f t="shared" si="1"/>
        <v>4</v>
      </c>
      <c r="D179" s="1" t="s">
        <v>68</v>
      </c>
      <c r="E179" s="1" t="s">
        <v>13</v>
      </c>
      <c r="F179" s="1" t="s">
        <v>25</v>
      </c>
      <c r="G179" s="1" t="s">
        <v>705</v>
      </c>
      <c r="H179" s="5">
        <f t="shared" si="2"/>
        <v>0.5044</v>
      </c>
      <c r="I179" s="1" t="s">
        <v>706</v>
      </c>
      <c r="J179" s="5">
        <f t="shared" si="3"/>
        <v>80.219931</v>
      </c>
      <c r="K179" s="1" t="s">
        <v>707</v>
      </c>
      <c r="L179" s="5">
        <f t="shared" si="4"/>
        <v>0.3783</v>
      </c>
      <c r="M179" s="6" t="s">
        <v>3509</v>
      </c>
      <c r="N179" s="5">
        <f t="shared" si="5"/>
        <v>323</v>
      </c>
    </row>
    <row r="180">
      <c r="A180" s="6" t="s">
        <v>183</v>
      </c>
      <c r="B180" s="6" t="s">
        <v>273</v>
      </c>
      <c r="C180" s="5">
        <f t="shared" si="1"/>
        <v>4</v>
      </c>
      <c r="D180" s="1" t="s">
        <v>68</v>
      </c>
      <c r="E180" s="1" t="s">
        <v>29</v>
      </c>
      <c r="F180" s="1" t="s">
        <v>21</v>
      </c>
      <c r="G180" s="6" t="s">
        <v>3510</v>
      </c>
      <c r="H180" s="5">
        <f t="shared" si="2"/>
        <v>8.3434</v>
      </c>
      <c r="I180" s="1" t="s">
        <v>708</v>
      </c>
      <c r="J180" s="5">
        <f t="shared" si="3"/>
        <v>1553.383466</v>
      </c>
      <c r="K180" s="6" t="s">
        <v>3511</v>
      </c>
      <c r="L180" s="5">
        <f t="shared" si="4"/>
        <v>3.3374</v>
      </c>
      <c r="M180" s="6" t="s">
        <v>3512</v>
      </c>
      <c r="N180" s="5">
        <f t="shared" si="5"/>
        <v>1496</v>
      </c>
    </row>
    <row r="181">
      <c r="A181" s="6" t="s">
        <v>183</v>
      </c>
      <c r="B181" s="6" t="s">
        <v>273</v>
      </c>
      <c r="C181" s="5">
        <f t="shared" si="1"/>
        <v>4</v>
      </c>
      <c r="D181" s="1" t="s">
        <v>68</v>
      </c>
      <c r="E181" s="1" t="s">
        <v>45</v>
      </c>
      <c r="F181" s="1" t="s">
        <v>17</v>
      </c>
      <c r="G181" s="1" t="s">
        <v>709</v>
      </c>
      <c r="H181" s="5">
        <f t="shared" si="2"/>
        <v>17.1067</v>
      </c>
      <c r="I181" s="1" t="s">
        <v>710</v>
      </c>
      <c r="J181" s="5">
        <f t="shared" si="3"/>
        <v>1076.441935</v>
      </c>
      <c r="K181" s="6" t="s">
        <v>712</v>
      </c>
      <c r="L181" s="5">
        <f t="shared" si="4"/>
        <v>6.1584</v>
      </c>
      <c r="M181" s="6" t="s">
        <v>3514</v>
      </c>
      <c r="N181" s="5">
        <f t="shared" si="5"/>
        <v>2626</v>
      </c>
    </row>
    <row r="182">
      <c r="A182" s="6" t="s">
        <v>183</v>
      </c>
      <c r="B182" s="6" t="s">
        <v>273</v>
      </c>
      <c r="C182" s="5">
        <f t="shared" si="1"/>
        <v>4</v>
      </c>
      <c r="D182" s="1" t="s">
        <v>68</v>
      </c>
      <c r="E182" s="1" t="s">
        <v>32</v>
      </c>
      <c r="F182" s="1" t="s">
        <v>14</v>
      </c>
      <c r="G182" s="6" t="s">
        <v>713</v>
      </c>
      <c r="H182" s="5">
        <f t="shared" si="2"/>
        <v>3.1584</v>
      </c>
      <c r="I182" s="1" t="s">
        <v>714</v>
      </c>
      <c r="J182" s="5">
        <f t="shared" si="3"/>
        <v>225.61309</v>
      </c>
      <c r="K182" s="1" t="s">
        <v>715</v>
      </c>
      <c r="L182" s="5">
        <f t="shared" si="4"/>
        <v>0.7264</v>
      </c>
      <c r="M182" s="6" t="s">
        <v>3515</v>
      </c>
      <c r="N182" s="5">
        <f t="shared" si="5"/>
        <v>1774</v>
      </c>
    </row>
    <row r="183">
      <c r="A183" s="6" t="s">
        <v>183</v>
      </c>
      <c r="B183" s="6" t="s">
        <v>273</v>
      </c>
      <c r="C183" s="5">
        <f t="shared" si="1"/>
        <v>4</v>
      </c>
      <c r="D183" s="1" t="s">
        <v>68</v>
      </c>
      <c r="E183" s="1" t="s">
        <v>32</v>
      </c>
      <c r="F183" s="1" t="s">
        <v>21</v>
      </c>
      <c r="G183" s="6" t="s">
        <v>3516</v>
      </c>
      <c r="H183" s="5">
        <f t="shared" si="2"/>
        <v>1.2491</v>
      </c>
      <c r="I183" s="1" t="s">
        <v>716</v>
      </c>
      <c r="J183" s="5">
        <f t="shared" si="3"/>
        <v>242.389454</v>
      </c>
      <c r="K183" s="1" t="s">
        <v>717</v>
      </c>
      <c r="L183" s="5">
        <f t="shared" si="4"/>
        <v>0.5621</v>
      </c>
      <c r="M183" s="6" t="s">
        <v>2956</v>
      </c>
      <c r="N183" s="5">
        <f t="shared" si="5"/>
        <v>580</v>
      </c>
    </row>
    <row r="184">
      <c r="A184" s="6" t="s">
        <v>183</v>
      </c>
      <c r="B184" s="6" t="s">
        <v>273</v>
      </c>
      <c r="C184" s="5">
        <f t="shared" si="1"/>
        <v>4</v>
      </c>
      <c r="D184" s="1" t="s">
        <v>68</v>
      </c>
      <c r="E184" s="1" t="s">
        <v>465</v>
      </c>
      <c r="F184" s="1" t="s">
        <v>21</v>
      </c>
      <c r="G184" s="6" t="s">
        <v>3517</v>
      </c>
      <c r="H184" s="5">
        <f t="shared" si="2"/>
        <v>2.3394</v>
      </c>
      <c r="I184" s="1" t="s">
        <v>719</v>
      </c>
      <c r="J184" s="5">
        <f t="shared" si="3"/>
        <v>258.553945</v>
      </c>
      <c r="K184" s="6" t="s">
        <v>720</v>
      </c>
      <c r="L184" s="5">
        <f t="shared" si="4"/>
        <v>1.1697</v>
      </c>
      <c r="M184" s="6" t="s">
        <v>3519</v>
      </c>
      <c r="N184" s="5">
        <f t="shared" si="5"/>
        <v>996</v>
      </c>
    </row>
    <row r="185">
      <c r="A185" s="6" t="s">
        <v>183</v>
      </c>
      <c r="B185" s="6" t="s">
        <v>273</v>
      </c>
      <c r="C185" s="5">
        <f t="shared" si="1"/>
        <v>4</v>
      </c>
      <c r="D185" s="1" t="s">
        <v>68</v>
      </c>
      <c r="E185" s="1" t="s">
        <v>42</v>
      </c>
      <c r="F185" s="1" t="s">
        <v>17</v>
      </c>
      <c r="G185" s="6" t="s">
        <v>721</v>
      </c>
      <c r="H185" s="5">
        <f t="shared" si="2"/>
        <v>1.1033</v>
      </c>
      <c r="I185" s="1" t="s">
        <v>722</v>
      </c>
      <c r="J185" s="5">
        <f t="shared" si="3"/>
        <v>186.019152</v>
      </c>
      <c r="K185" s="1" t="s">
        <v>723</v>
      </c>
      <c r="L185" s="5">
        <f t="shared" si="4"/>
        <v>0.4082</v>
      </c>
      <c r="M185" s="6" t="s">
        <v>3521</v>
      </c>
      <c r="N185" s="5">
        <f t="shared" si="5"/>
        <v>406</v>
      </c>
    </row>
    <row r="186">
      <c r="A186" s="6" t="s">
        <v>183</v>
      </c>
      <c r="B186" s="6" t="s">
        <v>273</v>
      </c>
      <c r="C186" s="5">
        <f t="shared" si="1"/>
        <v>4</v>
      </c>
      <c r="D186" s="1" t="s">
        <v>68</v>
      </c>
      <c r="E186" s="1" t="s">
        <v>38</v>
      </c>
      <c r="F186" s="1" t="s">
        <v>39</v>
      </c>
      <c r="G186" s="6" t="s">
        <v>724</v>
      </c>
      <c r="H186" s="5">
        <f t="shared" si="2"/>
        <v>1.1104</v>
      </c>
      <c r="I186" s="1" t="s">
        <v>725</v>
      </c>
      <c r="J186" s="5">
        <f t="shared" si="3"/>
        <v>98.75062</v>
      </c>
      <c r="K186" s="1" t="s">
        <v>727</v>
      </c>
      <c r="L186" s="5">
        <f t="shared" si="4"/>
        <v>0.1999</v>
      </c>
      <c r="M186" s="6" t="s">
        <v>3525</v>
      </c>
      <c r="N186" s="5">
        <f t="shared" si="5"/>
        <v>243</v>
      </c>
    </row>
    <row r="187">
      <c r="A187" s="6" t="s">
        <v>183</v>
      </c>
      <c r="B187" s="6" t="s">
        <v>273</v>
      </c>
      <c r="C187" s="5">
        <f t="shared" si="1"/>
        <v>4</v>
      </c>
      <c r="D187" s="1" t="s">
        <v>68</v>
      </c>
      <c r="E187" s="1" t="s">
        <v>729</v>
      </c>
      <c r="F187" s="1" t="s">
        <v>21</v>
      </c>
      <c r="G187" s="1" t="s">
        <v>730</v>
      </c>
      <c r="H187" s="5">
        <f t="shared" si="2"/>
        <v>0.3346</v>
      </c>
      <c r="I187" s="1" t="s">
        <v>731</v>
      </c>
      <c r="J187" s="5">
        <f t="shared" si="3"/>
        <v>58.388659</v>
      </c>
      <c r="K187" s="1" t="s">
        <v>732</v>
      </c>
      <c r="L187" s="5">
        <f t="shared" si="4"/>
        <v>0.1673</v>
      </c>
      <c r="M187" s="6" t="s">
        <v>291</v>
      </c>
      <c r="N187" s="5">
        <f t="shared" si="5"/>
        <v>0</v>
      </c>
    </row>
    <row r="188">
      <c r="A188" s="6" t="s">
        <v>183</v>
      </c>
      <c r="B188" s="6" t="s">
        <v>273</v>
      </c>
      <c r="C188" s="5">
        <f t="shared" si="1"/>
        <v>4</v>
      </c>
      <c r="D188" s="1" t="s">
        <v>68</v>
      </c>
      <c r="E188" s="1" t="s">
        <v>56</v>
      </c>
      <c r="F188" s="1" t="s">
        <v>21</v>
      </c>
      <c r="G188" s="1" t="s">
        <v>734</v>
      </c>
      <c r="H188" s="5">
        <f t="shared" si="2"/>
        <v>0.2126</v>
      </c>
      <c r="I188" s="1" t="s">
        <v>735</v>
      </c>
      <c r="J188" s="5">
        <f t="shared" si="3"/>
        <v>55.786411</v>
      </c>
      <c r="K188" s="1" t="s">
        <v>736</v>
      </c>
      <c r="L188" s="5">
        <f t="shared" si="4"/>
        <v>0.0851</v>
      </c>
      <c r="M188" s="6" t="s">
        <v>3526</v>
      </c>
      <c r="N188" s="5">
        <f t="shared" si="5"/>
        <v>104</v>
      </c>
    </row>
    <row r="189">
      <c r="A189" s="6" t="s">
        <v>183</v>
      </c>
      <c r="B189" s="6" t="s">
        <v>273</v>
      </c>
      <c r="C189" s="5">
        <f t="shared" si="1"/>
        <v>4</v>
      </c>
      <c r="D189" s="1" t="s">
        <v>68</v>
      </c>
      <c r="E189" s="1" t="s">
        <v>48</v>
      </c>
      <c r="F189" s="1" t="s">
        <v>49</v>
      </c>
      <c r="G189" s="1" t="s">
        <v>414</v>
      </c>
      <c r="H189" s="5">
        <f t="shared" si="2"/>
        <v>0.0007</v>
      </c>
      <c r="I189" s="1" t="s">
        <v>738</v>
      </c>
      <c r="J189" s="5">
        <f t="shared" si="3"/>
        <v>0.259456</v>
      </c>
      <c r="K189" s="1" t="s">
        <v>376</v>
      </c>
      <c r="L189" s="5">
        <f t="shared" si="4"/>
        <v>0.0002</v>
      </c>
      <c r="M189" s="6" t="s">
        <v>397</v>
      </c>
      <c r="N189" s="5">
        <f t="shared" si="5"/>
        <v>2</v>
      </c>
    </row>
    <row r="190">
      <c r="A190" s="6" t="s">
        <v>183</v>
      </c>
      <c r="B190" s="6" t="s">
        <v>273</v>
      </c>
      <c r="C190" s="5">
        <f t="shared" si="1"/>
        <v>4</v>
      </c>
      <c r="D190" s="1" t="s">
        <v>68</v>
      </c>
      <c r="E190" s="1" t="s">
        <v>48</v>
      </c>
      <c r="F190" s="1" t="s">
        <v>21</v>
      </c>
      <c r="G190" s="1" t="s">
        <v>740</v>
      </c>
      <c r="H190" s="5">
        <f t="shared" si="2"/>
        <v>0.4675</v>
      </c>
      <c r="I190" s="1" t="s">
        <v>741</v>
      </c>
      <c r="J190" s="5">
        <f t="shared" si="3"/>
        <v>50.164253</v>
      </c>
      <c r="K190" s="1" t="s">
        <v>742</v>
      </c>
      <c r="L190" s="5">
        <f t="shared" si="4"/>
        <v>0.187</v>
      </c>
      <c r="M190" s="6" t="s">
        <v>3531</v>
      </c>
      <c r="N190" s="5">
        <f t="shared" si="5"/>
        <v>307</v>
      </c>
    </row>
    <row r="191">
      <c r="A191" s="6" t="s">
        <v>183</v>
      </c>
      <c r="B191" s="6" t="s">
        <v>273</v>
      </c>
      <c r="C191" s="5">
        <f t="shared" si="1"/>
        <v>4</v>
      </c>
      <c r="D191" s="1" t="s">
        <v>116</v>
      </c>
      <c r="E191" s="1" t="s">
        <v>13</v>
      </c>
      <c r="F191" s="1" t="s">
        <v>14</v>
      </c>
      <c r="G191" s="1" t="s">
        <v>743</v>
      </c>
      <c r="H191" s="5">
        <f t="shared" si="2"/>
        <v>156.6125</v>
      </c>
      <c r="I191" s="1" t="s">
        <v>744</v>
      </c>
      <c r="J191" s="5">
        <f t="shared" si="3"/>
        <v>8413.267214</v>
      </c>
      <c r="K191" s="1" t="s">
        <v>745</v>
      </c>
      <c r="L191" s="5">
        <f t="shared" si="4"/>
        <v>32.8887</v>
      </c>
      <c r="M191" s="6" t="s">
        <v>3532</v>
      </c>
      <c r="N191" s="5">
        <f t="shared" si="5"/>
        <v>11160</v>
      </c>
    </row>
    <row r="192">
      <c r="A192" s="6" t="s">
        <v>183</v>
      </c>
      <c r="B192" s="6" t="s">
        <v>273</v>
      </c>
      <c r="C192" s="5">
        <f t="shared" si="1"/>
        <v>4</v>
      </c>
      <c r="D192" s="1" t="s">
        <v>116</v>
      </c>
      <c r="E192" s="1" t="s">
        <v>13</v>
      </c>
      <c r="F192" s="1" t="s">
        <v>17</v>
      </c>
      <c r="G192" s="1" t="s">
        <v>747</v>
      </c>
      <c r="H192" s="5">
        <f t="shared" si="2"/>
        <v>95.5966</v>
      </c>
      <c r="I192" s="1" t="s">
        <v>748</v>
      </c>
      <c r="J192" s="5">
        <f t="shared" si="3"/>
        <v>8971.843249</v>
      </c>
      <c r="K192" s="1" t="s">
        <v>749</v>
      </c>
      <c r="L192" s="5">
        <f t="shared" si="4"/>
        <v>33.4589</v>
      </c>
      <c r="M192" s="6" t="s">
        <v>3533</v>
      </c>
      <c r="N192" s="5">
        <f t="shared" si="5"/>
        <v>8304</v>
      </c>
    </row>
    <row r="193">
      <c r="A193" s="6" t="s">
        <v>183</v>
      </c>
      <c r="B193" s="6" t="s">
        <v>273</v>
      </c>
      <c r="C193" s="5">
        <f t="shared" si="1"/>
        <v>4</v>
      </c>
      <c r="D193" s="1" t="s">
        <v>116</v>
      </c>
      <c r="E193" s="1" t="s">
        <v>13</v>
      </c>
      <c r="F193" s="1" t="s">
        <v>21</v>
      </c>
      <c r="G193" s="1" t="s">
        <v>751</v>
      </c>
      <c r="H193" s="5">
        <f t="shared" si="2"/>
        <v>20.3404</v>
      </c>
      <c r="I193" s="1" t="s">
        <v>752</v>
      </c>
      <c r="J193" s="5">
        <f t="shared" si="3"/>
        <v>2762.443039</v>
      </c>
      <c r="K193" s="6" t="s">
        <v>753</v>
      </c>
      <c r="L193" s="5">
        <f t="shared" si="4"/>
        <v>10.1702</v>
      </c>
      <c r="M193" s="6" t="s">
        <v>3534</v>
      </c>
      <c r="N193" s="5">
        <f t="shared" si="5"/>
        <v>2421</v>
      </c>
    </row>
    <row r="194">
      <c r="A194" s="6" t="s">
        <v>183</v>
      </c>
      <c r="B194" s="6" t="s">
        <v>273</v>
      </c>
      <c r="C194" s="5">
        <f t="shared" si="1"/>
        <v>4</v>
      </c>
      <c r="D194" s="1" t="s">
        <v>116</v>
      </c>
      <c r="E194" s="1" t="s">
        <v>13</v>
      </c>
      <c r="F194" s="1" t="s">
        <v>25</v>
      </c>
      <c r="G194" s="1" t="s">
        <v>754</v>
      </c>
      <c r="H194" s="5">
        <f t="shared" si="2"/>
        <v>0.2203</v>
      </c>
      <c r="I194" s="1" t="s">
        <v>755</v>
      </c>
      <c r="J194" s="5">
        <f t="shared" si="3"/>
        <v>33.022278</v>
      </c>
      <c r="K194" s="1" t="s">
        <v>757</v>
      </c>
      <c r="L194" s="5">
        <f t="shared" si="4"/>
        <v>0.1653</v>
      </c>
      <c r="M194" s="6" t="s">
        <v>2988</v>
      </c>
      <c r="N194" s="5">
        <f t="shared" si="5"/>
        <v>65</v>
      </c>
    </row>
    <row r="195">
      <c r="A195" s="6" t="s">
        <v>183</v>
      </c>
      <c r="B195" s="6" t="s">
        <v>273</v>
      </c>
      <c r="C195" s="5">
        <f t="shared" si="1"/>
        <v>4</v>
      </c>
      <c r="D195" s="1" t="s">
        <v>116</v>
      </c>
      <c r="E195" s="1" t="s">
        <v>29</v>
      </c>
      <c r="F195" s="1" t="s">
        <v>21</v>
      </c>
      <c r="G195" s="1" t="s">
        <v>758</v>
      </c>
      <c r="H195" s="5">
        <f t="shared" si="2"/>
        <v>32.7492</v>
      </c>
      <c r="I195" s="1" t="s">
        <v>759</v>
      </c>
      <c r="J195" s="5">
        <f t="shared" si="3"/>
        <v>5927.9104</v>
      </c>
      <c r="K195" s="1" t="s">
        <v>760</v>
      </c>
      <c r="L195" s="5">
        <f t="shared" si="4"/>
        <v>13.0998</v>
      </c>
      <c r="M195" s="6" t="s">
        <v>3535</v>
      </c>
      <c r="N195" s="5">
        <f t="shared" si="5"/>
        <v>2316</v>
      </c>
    </row>
    <row r="196">
      <c r="A196" s="6" t="s">
        <v>183</v>
      </c>
      <c r="B196" s="6" t="s">
        <v>273</v>
      </c>
      <c r="C196" s="5">
        <f t="shared" si="1"/>
        <v>4</v>
      </c>
      <c r="D196" s="1" t="s">
        <v>116</v>
      </c>
      <c r="E196" s="1" t="s">
        <v>45</v>
      </c>
      <c r="F196" s="1" t="s">
        <v>17</v>
      </c>
      <c r="G196" s="1" t="s">
        <v>761</v>
      </c>
      <c r="H196" s="5">
        <f t="shared" si="2"/>
        <v>18.3218</v>
      </c>
      <c r="I196" s="1" t="s">
        <v>762</v>
      </c>
      <c r="J196" s="5">
        <f t="shared" si="3"/>
        <v>1168.584361</v>
      </c>
      <c r="K196" s="6" t="s">
        <v>3536</v>
      </c>
      <c r="L196" s="5">
        <f t="shared" si="4"/>
        <v>6.5958</v>
      </c>
      <c r="M196" s="6" t="s">
        <v>3537</v>
      </c>
      <c r="N196" s="5">
        <f t="shared" si="5"/>
        <v>2651</v>
      </c>
    </row>
    <row r="197">
      <c r="A197" s="6" t="s">
        <v>183</v>
      </c>
      <c r="B197" s="6" t="s">
        <v>273</v>
      </c>
      <c r="C197" s="5">
        <f t="shared" si="1"/>
        <v>4</v>
      </c>
      <c r="D197" s="1" t="s">
        <v>116</v>
      </c>
      <c r="E197" s="1" t="s">
        <v>32</v>
      </c>
      <c r="F197" s="1" t="s">
        <v>14</v>
      </c>
      <c r="G197" s="6" t="s">
        <v>3538</v>
      </c>
      <c r="H197" s="5">
        <f t="shared" si="2"/>
        <v>4.8246</v>
      </c>
      <c r="I197" s="1" t="s">
        <v>764</v>
      </c>
      <c r="J197" s="5">
        <f t="shared" si="3"/>
        <v>343.430485</v>
      </c>
      <c r="K197" s="6" t="s">
        <v>767</v>
      </c>
      <c r="L197" s="5">
        <f t="shared" si="4"/>
        <v>1.1096</v>
      </c>
      <c r="M197" s="6" t="s">
        <v>3539</v>
      </c>
      <c r="N197" s="5">
        <f t="shared" si="5"/>
        <v>1399</v>
      </c>
    </row>
    <row r="198">
      <c r="A198" s="6" t="s">
        <v>183</v>
      </c>
      <c r="B198" s="6" t="s">
        <v>273</v>
      </c>
      <c r="C198" s="5">
        <f t="shared" si="1"/>
        <v>4</v>
      </c>
      <c r="D198" s="1" t="s">
        <v>116</v>
      </c>
      <c r="E198" s="1" t="s">
        <v>32</v>
      </c>
      <c r="F198" s="1" t="s">
        <v>21</v>
      </c>
      <c r="G198" s="6" t="s">
        <v>3540</v>
      </c>
      <c r="H198" s="5">
        <f t="shared" si="2"/>
        <v>3.4998</v>
      </c>
      <c r="I198" s="1" t="s">
        <v>768</v>
      </c>
      <c r="J198" s="5">
        <f t="shared" si="3"/>
        <v>654.637547</v>
      </c>
      <c r="K198" s="6" t="s">
        <v>3541</v>
      </c>
      <c r="L198" s="5">
        <f t="shared" si="4"/>
        <v>1.5748</v>
      </c>
      <c r="M198" s="6" t="s">
        <v>3542</v>
      </c>
      <c r="N198" s="5">
        <f t="shared" si="5"/>
        <v>1473</v>
      </c>
    </row>
    <row r="199">
      <c r="A199" s="6" t="s">
        <v>183</v>
      </c>
      <c r="B199" s="6" t="s">
        <v>273</v>
      </c>
      <c r="C199" s="5">
        <f t="shared" si="1"/>
        <v>4</v>
      </c>
      <c r="D199" s="1" t="s">
        <v>116</v>
      </c>
      <c r="E199" s="1" t="s">
        <v>42</v>
      </c>
      <c r="F199" s="1" t="s">
        <v>17</v>
      </c>
      <c r="G199" s="6" t="s">
        <v>3543</v>
      </c>
      <c r="H199" s="5">
        <f t="shared" si="2"/>
        <v>4.6311</v>
      </c>
      <c r="I199" s="1" t="s">
        <v>770</v>
      </c>
      <c r="J199" s="5">
        <f t="shared" si="3"/>
        <v>722.763649</v>
      </c>
      <c r="K199" s="6" t="s">
        <v>3544</v>
      </c>
      <c r="L199" s="5">
        <f t="shared" si="4"/>
        <v>1.7135</v>
      </c>
      <c r="M199" s="6" t="s">
        <v>3545</v>
      </c>
      <c r="N199" s="5">
        <f t="shared" si="5"/>
        <v>743</v>
      </c>
    </row>
    <row r="200">
      <c r="A200" s="6" t="s">
        <v>183</v>
      </c>
      <c r="B200" s="6" t="s">
        <v>273</v>
      </c>
      <c r="C200" s="5">
        <f t="shared" si="1"/>
        <v>4</v>
      </c>
      <c r="D200" s="1" t="s">
        <v>116</v>
      </c>
      <c r="E200" s="1" t="s">
        <v>465</v>
      </c>
      <c r="F200" s="1" t="s">
        <v>21</v>
      </c>
      <c r="G200" s="6" t="s">
        <v>3546</v>
      </c>
      <c r="H200" s="5">
        <f t="shared" si="2"/>
        <v>5.7053</v>
      </c>
      <c r="I200" s="1" t="s">
        <v>773</v>
      </c>
      <c r="J200" s="5">
        <f t="shared" si="3"/>
        <v>649.040983</v>
      </c>
      <c r="K200" s="6" t="s">
        <v>3547</v>
      </c>
      <c r="L200" s="5">
        <f t="shared" si="4"/>
        <v>2.8527</v>
      </c>
      <c r="M200" s="6" t="s">
        <v>3548</v>
      </c>
      <c r="N200" s="5">
        <f t="shared" si="5"/>
        <v>2566</v>
      </c>
    </row>
    <row r="201">
      <c r="A201" s="6" t="s">
        <v>183</v>
      </c>
      <c r="B201" s="6" t="s">
        <v>273</v>
      </c>
      <c r="C201" s="5">
        <f t="shared" si="1"/>
        <v>4</v>
      </c>
      <c r="D201" s="1" t="s">
        <v>116</v>
      </c>
      <c r="E201" s="1" t="s">
        <v>147</v>
      </c>
      <c r="F201" s="1" t="s">
        <v>39</v>
      </c>
      <c r="G201" s="1" t="s">
        <v>776</v>
      </c>
      <c r="H201" s="5">
        <f t="shared" si="2"/>
        <v>1.692</v>
      </c>
      <c r="I201" s="1" t="s">
        <v>777</v>
      </c>
      <c r="J201" s="5">
        <f t="shared" si="3"/>
        <v>457.457559</v>
      </c>
      <c r="K201" s="1" t="s">
        <v>779</v>
      </c>
      <c r="L201" s="5">
        <f t="shared" si="4"/>
        <v>0.3215</v>
      </c>
      <c r="M201" s="6" t="s">
        <v>3501</v>
      </c>
      <c r="N201" s="5">
        <f t="shared" si="5"/>
        <v>115</v>
      </c>
    </row>
    <row r="202">
      <c r="A202" s="6" t="s">
        <v>183</v>
      </c>
      <c r="B202" s="6" t="s">
        <v>273</v>
      </c>
      <c r="C202" s="5">
        <f t="shared" si="1"/>
        <v>4</v>
      </c>
      <c r="D202" s="1" t="s">
        <v>116</v>
      </c>
      <c r="E202" s="1" t="s">
        <v>147</v>
      </c>
      <c r="F202" s="1" t="s">
        <v>17</v>
      </c>
      <c r="G202" s="1" t="s">
        <v>782</v>
      </c>
      <c r="H202" s="5">
        <f t="shared" si="2"/>
        <v>0.0232</v>
      </c>
      <c r="I202" s="1" t="s">
        <v>783</v>
      </c>
      <c r="J202" s="5">
        <f t="shared" si="3"/>
        <v>7.416068</v>
      </c>
      <c r="K202" s="1" t="s">
        <v>785</v>
      </c>
      <c r="L202" s="5">
        <f t="shared" si="4"/>
        <v>0.0082</v>
      </c>
      <c r="M202" s="6" t="s">
        <v>2521</v>
      </c>
      <c r="N202" s="5">
        <f t="shared" si="5"/>
        <v>6</v>
      </c>
    </row>
    <row r="203">
      <c r="A203" s="6" t="s">
        <v>183</v>
      </c>
      <c r="B203" s="6" t="s">
        <v>273</v>
      </c>
      <c r="C203" s="5">
        <f t="shared" si="1"/>
        <v>4</v>
      </c>
      <c r="D203" s="1" t="s">
        <v>116</v>
      </c>
      <c r="E203" s="1" t="s">
        <v>147</v>
      </c>
      <c r="F203" s="1" t="s">
        <v>21</v>
      </c>
      <c r="G203" s="1" t="s">
        <v>788</v>
      </c>
      <c r="H203" s="5">
        <f t="shared" si="2"/>
        <v>0.0639</v>
      </c>
      <c r="I203" s="1" t="s">
        <v>789</v>
      </c>
      <c r="J203" s="5">
        <f t="shared" si="3"/>
        <v>31.154171</v>
      </c>
      <c r="K203" s="1" t="s">
        <v>791</v>
      </c>
      <c r="L203" s="5">
        <f t="shared" si="4"/>
        <v>0.0319</v>
      </c>
      <c r="M203" s="6" t="s">
        <v>2898</v>
      </c>
      <c r="N203" s="5">
        <f t="shared" si="5"/>
        <v>54</v>
      </c>
    </row>
    <row r="204">
      <c r="A204" s="6" t="s">
        <v>183</v>
      </c>
      <c r="B204" s="6" t="s">
        <v>273</v>
      </c>
      <c r="C204" s="5">
        <f t="shared" si="1"/>
        <v>4</v>
      </c>
      <c r="D204" s="1" t="s">
        <v>116</v>
      </c>
      <c r="E204" s="1" t="s">
        <v>102</v>
      </c>
      <c r="F204" s="1" t="s">
        <v>39</v>
      </c>
      <c r="G204" s="1" t="s">
        <v>793</v>
      </c>
      <c r="H204" s="5">
        <f t="shared" si="2"/>
        <v>0.0877</v>
      </c>
      <c r="I204" s="1" t="s">
        <v>795</v>
      </c>
      <c r="J204" s="5">
        <f t="shared" si="3"/>
        <v>10.94554</v>
      </c>
      <c r="K204" s="1" t="s">
        <v>796</v>
      </c>
      <c r="L204" s="5">
        <f t="shared" si="4"/>
        <v>0.0166</v>
      </c>
      <c r="M204" s="6" t="s">
        <v>3549</v>
      </c>
      <c r="N204" s="5">
        <f t="shared" si="5"/>
        <v>28</v>
      </c>
    </row>
    <row r="205">
      <c r="A205" s="6" t="s">
        <v>183</v>
      </c>
      <c r="B205" s="6" t="s">
        <v>273</v>
      </c>
      <c r="C205" s="5">
        <f t="shared" si="1"/>
        <v>4</v>
      </c>
      <c r="D205" s="1" t="s">
        <v>116</v>
      </c>
      <c r="E205" s="1" t="s">
        <v>102</v>
      </c>
      <c r="F205" s="1" t="s">
        <v>17</v>
      </c>
      <c r="G205" s="1" t="s">
        <v>414</v>
      </c>
      <c r="H205" s="5">
        <f t="shared" si="2"/>
        <v>0.0007</v>
      </c>
      <c r="I205" s="1" t="s">
        <v>797</v>
      </c>
      <c r="J205" s="5">
        <f t="shared" si="3"/>
        <v>0.250637</v>
      </c>
      <c r="K205" s="1" t="s">
        <v>376</v>
      </c>
      <c r="L205" s="5">
        <f t="shared" si="4"/>
        <v>0.0002</v>
      </c>
      <c r="M205" s="6" t="s">
        <v>186</v>
      </c>
      <c r="N205" s="5">
        <f t="shared" si="5"/>
        <v>1</v>
      </c>
    </row>
    <row r="206">
      <c r="A206" s="6" t="s">
        <v>183</v>
      </c>
      <c r="B206" s="6" t="s">
        <v>273</v>
      </c>
      <c r="C206" s="5">
        <f t="shared" si="1"/>
        <v>4</v>
      </c>
      <c r="D206" s="1" t="s">
        <v>116</v>
      </c>
      <c r="E206" s="1" t="s">
        <v>102</v>
      </c>
      <c r="F206" s="1" t="s">
        <v>21</v>
      </c>
      <c r="G206" s="6" t="s">
        <v>3550</v>
      </c>
      <c r="H206" s="5">
        <f t="shared" si="2"/>
        <v>1.7914</v>
      </c>
      <c r="I206" s="1" t="s">
        <v>800</v>
      </c>
      <c r="J206" s="5">
        <f t="shared" si="3"/>
        <v>455.096599</v>
      </c>
      <c r="K206" s="1" t="s">
        <v>802</v>
      </c>
      <c r="L206" s="5">
        <f t="shared" si="4"/>
        <v>0.7166</v>
      </c>
      <c r="M206" s="6" t="s">
        <v>3551</v>
      </c>
      <c r="N206" s="5">
        <f t="shared" si="5"/>
        <v>262</v>
      </c>
    </row>
    <row r="207">
      <c r="A207" s="6" t="s">
        <v>183</v>
      </c>
      <c r="B207" s="6" t="s">
        <v>273</v>
      </c>
      <c r="C207" s="5">
        <f t="shared" si="1"/>
        <v>4</v>
      </c>
      <c r="D207" s="1" t="s">
        <v>116</v>
      </c>
      <c r="E207" s="1" t="s">
        <v>158</v>
      </c>
      <c r="F207" s="1" t="s">
        <v>17</v>
      </c>
      <c r="G207" s="1" t="s">
        <v>804</v>
      </c>
      <c r="H207" s="5">
        <f t="shared" si="2"/>
        <v>0.0597</v>
      </c>
      <c r="I207" s="1" t="s">
        <v>805</v>
      </c>
      <c r="J207" s="5">
        <f t="shared" si="3"/>
        <v>27.19477</v>
      </c>
      <c r="K207" s="1" t="s">
        <v>806</v>
      </c>
      <c r="L207" s="5">
        <f t="shared" si="4"/>
        <v>0.0209</v>
      </c>
      <c r="M207" s="6" t="s">
        <v>291</v>
      </c>
      <c r="N207" s="5">
        <f t="shared" si="5"/>
        <v>0</v>
      </c>
    </row>
    <row r="208">
      <c r="A208" s="6" t="s">
        <v>183</v>
      </c>
      <c r="B208" s="6" t="s">
        <v>273</v>
      </c>
      <c r="C208" s="5">
        <f t="shared" si="1"/>
        <v>4</v>
      </c>
      <c r="D208" s="1" t="s">
        <v>116</v>
      </c>
      <c r="E208" s="1" t="s">
        <v>158</v>
      </c>
      <c r="F208" s="1" t="s">
        <v>21</v>
      </c>
      <c r="G208" s="1" t="s">
        <v>809</v>
      </c>
      <c r="H208" s="5">
        <f t="shared" si="2"/>
        <v>0.7026</v>
      </c>
      <c r="I208" s="1" t="s">
        <v>810</v>
      </c>
      <c r="J208" s="5">
        <f t="shared" si="3"/>
        <v>360.11203</v>
      </c>
      <c r="K208" s="1" t="s">
        <v>812</v>
      </c>
      <c r="L208" s="5">
        <f t="shared" si="4"/>
        <v>0.2951</v>
      </c>
      <c r="M208" s="6" t="s">
        <v>291</v>
      </c>
      <c r="N208" s="5">
        <f t="shared" si="5"/>
        <v>0</v>
      </c>
    </row>
    <row r="209">
      <c r="A209" s="6" t="s">
        <v>183</v>
      </c>
      <c r="B209" s="6" t="s">
        <v>273</v>
      </c>
      <c r="C209" s="5">
        <f t="shared" si="1"/>
        <v>4</v>
      </c>
      <c r="D209" s="1" t="s">
        <v>116</v>
      </c>
      <c r="E209" s="1" t="s">
        <v>165</v>
      </c>
      <c r="F209" s="1" t="s">
        <v>39</v>
      </c>
      <c r="G209" s="1" t="s">
        <v>814</v>
      </c>
      <c r="H209" s="5">
        <f t="shared" si="2"/>
        <v>0.3512</v>
      </c>
      <c r="I209" s="1" t="s">
        <v>816</v>
      </c>
      <c r="J209" s="5">
        <f t="shared" si="3"/>
        <v>54.916409</v>
      </c>
      <c r="K209" s="1" t="s">
        <v>817</v>
      </c>
      <c r="L209" s="5">
        <f t="shared" si="4"/>
        <v>0.0632</v>
      </c>
      <c r="M209" s="6" t="s">
        <v>291</v>
      </c>
      <c r="N209" s="5">
        <f t="shared" si="5"/>
        <v>0</v>
      </c>
    </row>
    <row r="210">
      <c r="A210" s="6" t="s">
        <v>183</v>
      </c>
      <c r="B210" s="6" t="s">
        <v>273</v>
      </c>
      <c r="C210" s="5">
        <f t="shared" si="1"/>
        <v>4</v>
      </c>
      <c r="D210" s="1" t="s">
        <v>116</v>
      </c>
      <c r="E210" s="1" t="s">
        <v>165</v>
      </c>
      <c r="F210" s="1" t="s">
        <v>17</v>
      </c>
      <c r="G210" s="1" t="s">
        <v>819</v>
      </c>
      <c r="H210" s="5">
        <f t="shared" si="2"/>
        <v>0.6254</v>
      </c>
      <c r="I210" s="1" t="s">
        <v>820</v>
      </c>
      <c r="J210" s="5">
        <f t="shared" si="3"/>
        <v>129.905255</v>
      </c>
      <c r="K210" s="1" t="s">
        <v>822</v>
      </c>
      <c r="L210" s="5">
        <f t="shared" si="4"/>
        <v>0.2188</v>
      </c>
      <c r="M210" s="6" t="s">
        <v>291</v>
      </c>
      <c r="N210" s="5">
        <f t="shared" si="5"/>
        <v>0</v>
      </c>
    </row>
    <row r="211">
      <c r="A211" s="6" t="s">
        <v>183</v>
      </c>
      <c r="B211" s="6" t="s">
        <v>3552</v>
      </c>
      <c r="C211" s="5">
        <f t="shared" si="1"/>
        <v>5</v>
      </c>
      <c r="D211" s="1" t="s">
        <v>12</v>
      </c>
      <c r="E211" s="1" t="s">
        <v>13</v>
      </c>
      <c r="F211" s="1" t="s">
        <v>14</v>
      </c>
      <c r="G211" s="1" t="s">
        <v>823</v>
      </c>
      <c r="H211" s="5">
        <f t="shared" si="2"/>
        <v>22.3576</v>
      </c>
      <c r="I211" s="1" t="s">
        <v>824</v>
      </c>
      <c r="J211" s="5">
        <f t="shared" si="3"/>
        <v>1261.464109</v>
      </c>
      <c r="K211" s="6" t="s">
        <v>3553</v>
      </c>
      <c r="L211" s="5">
        <f t="shared" si="4"/>
        <v>4.6951</v>
      </c>
      <c r="M211" s="6" t="s">
        <v>3554</v>
      </c>
      <c r="N211" s="5">
        <f t="shared" si="5"/>
        <v>572</v>
      </c>
    </row>
    <row r="212">
      <c r="A212" s="6" t="s">
        <v>183</v>
      </c>
      <c r="B212" s="6" t="s">
        <v>3552</v>
      </c>
      <c r="C212" s="5">
        <f t="shared" si="1"/>
        <v>5</v>
      </c>
      <c r="D212" s="1" t="s">
        <v>12</v>
      </c>
      <c r="E212" s="1" t="s">
        <v>13</v>
      </c>
      <c r="F212" s="1" t="s">
        <v>17</v>
      </c>
      <c r="G212" s="1" t="s">
        <v>827</v>
      </c>
      <c r="H212" s="5">
        <f t="shared" si="2"/>
        <v>57.154</v>
      </c>
      <c r="I212" s="1" t="s">
        <v>828</v>
      </c>
      <c r="J212" s="5">
        <f t="shared" si="3"/>
        <v>5056.081495</v>
      </c>
      <c r="K212" s="1" t="s">
        <v>830</v>
      </c>
      <c r="L212" s="5">
        <f t="shared" si="4"/>
        <v>20.0039</v>
      </c>
      <c r="M212" s="6" t="s">
        <v>3555</v>
      </c>
      <c r="N212" s="5">
        <f t="shared" si="5"/>
        <v>778</v>
      </c>
    </row>
    <row r="213">
      <c r="A213" s="6" t="s">
        <v>183</v>
      </c>
      <c r="B213" s="6" t="s">
        <v>3552</v>
      </c>
      <c r="C213" s="5">
        <f t="shared" si="1"/>
        <v>5</v>
      </c>
      <c r="D213" s="1" t="s">
        <v>12</v>
      </c>
      <c r="E213" s="1" t="s">
        <v>13</v>
      </c>
      <c r="F213" s="1" t="s">
        <v>21</v>
      </c>
      <c r="G213" s="1" t="s">
        <v>833</v>
      </c>
      <c r="H213" s="5">
        <f t="shared" si="2"/>
        <v>29.5413</v>
      </c>
      <c r="I213" s="1" t="s">
        <v>834</v>
      </c>
      <c r="J213" s="5">
        <f t="shared" si="3"/>
        <v>3514.288662</v>
      </c>
      <c r="K213" s="1" t="s">
        <v>836</v>
      </c>
      <c r="L213" s="5">
        <f t="shared" si="4"/>
        <v>14.7706</v>
      </c>
      <c r="M213" s="6" t="s">
        <v>3556</v>
      </c>
      <c r="N213" s="5">
        <f t="shared" si="5"/>
        <v>640</v>
      </c>
    </row>
    <row r="214">
      <c r="A214" s="6" t="s">
        <v>183</v>
      </c>
      <c r="B214" s="6" t="s">
        <v>3552</v>
      </c>
      <c r="C214" s="5">
        <f t="shared" si="1"/>
        <v>5</v>
      </c>
      <c r="D214" s="1" t="s">
        <v>12</v>
      </c>
      <c r="E214" s="1" t="s">
        <v>13</v>
      </c>
      <c r="F214" s="1" t="s">
        <v>25</v>
      </c>
      <c r="G214" s="1" t="s">
        <v>839</v>
      </c>
      <c r="H214" s="5">
        <f t="shared" si="2"/>
        <v>0.3545</v>
      </c>
      <c r="I214" s="1" t="s">
        <v>840</v>
      </c>
      <c r="J214" s="5">
        <f t="shared" si="3"/>
        <v>67.328507</v>
      </c>
      <c r="K214" s="1" t="s">
        <v>842</v>
      </c>
      <c r="L214" s="5">
        <f t="shared" si="4"/>
        <v>0.2658</v>
      </c>
      <c r="M214" s="6" t="s">
        <v>3557</v>
      </c>
      <c r="N214" s="5">
        <f t="shared" si="5"/>
        <v>22</v>
      </c>
    </row>
    <row r="215">
      <c r="A215" s="6" t="s">
        <v>183</v>
      </c>
      <c r="B215" s="6" t="s">
        <v>3552</v>
      </c>
      <c r="C215" s="5">
        <f t="shared" si="1"/>
        <v>5</v>
      </c>
      <c r="D215" s="1" t="s">
        <v>12</v>
      </c>
      <c r="E215" s="1" t="s">
        <v>29</v>
      </c>
      <c r="F215" s="1" t="s">
        <v>21</v>
      </c>
      <c r="G215" s="1" t="s">
        <v>843</v>
      </c>
      <c r="H215" s="5">
        <f t="shared" si="2"/>
        <v>17.0951</v>
      </c>
      <c r="I215" s="1" t="s">
        <v>844</v>
      </c>
      <c r="J215" s="5">
        <f t="shared" si="3"/>
        <v>3209.643513</v>
      </c>
      <c r="K215" s="6" t="s">
        <v>3558</v>
      </c>
      <c r="L215" s="5">
        <f t="shared" si="4"/>
        <v>6.8381</v>
      </c>
      <c r="M215" s="6" t="s">
        <v>3559</v>
      </c>
      <c r="N215" s="5">
        <f t="shared" si="5"/>
        <v>633</v>
      </c>
    </row>
    <row r="216">
      <c r="A216" s="6" t="s">
        <v>183</v>
      </c>
      <c r="B216" s="6" t="s">
        <v>3552</v>
      </c>
      <c r="C216" s="5">
        <f t="shared" si="1"/>
        <v>5</v>
      </c>
      <c r="D216" s="1" t="s">
        <v>12</v>
      </c>
      <c r="E216" s="1" t="s">
        <v>32</v>
      </c>
      <c r="F216" s="1" t="s">
        <v>14</v>
      </c>
      <c r="G216" s="6" t="s">
        <v>849</v>
      </c>
      <c r="H216" s="5">
        <f t="shared" si="2"/>
        <v>12.0351</v>
      </c>
      <c r="I216" s="1" t="s">
        <v>850</v>
      </c>
      <c r="J216" s="5">
        <f t="shared" si="3"/>
        <v>665.216812</v>
      </c>
      <c r="K216" s="6" t="s">
        <v>3560</v>
      </c>
      <c r="L216" s="5">
        <f t="shared" si="4"/>
        <v>2.7681</v>
      </c>
      <c r="M216" s="6" t="s">
        <v>3487</v>
      </c>
      <c r="N216" s="5">
        <f t="shared" si="5"/>
        <v>478</v>
      </c>
    </row>
    <row r="217">
      <c r="A217" s="6" t="s">
        <v>183</v>
      </c>
      <c r="B217" s="6" t="s">
        <v>3552</v>
      </c>
      <c r="C217" s="5">
        <f t="shared" si="1"/>
        <v>5</v>
      </c>
      <c r="D217" s="1" t="s">
        <v>12</v>
      </c>
      <c r="E217" s="1" t="s">
        <v>32</v>
      </c>
      <c r="F217" s="1" t="s">
        <v>21</v>
      </c>
      <c r="G217" s="6" t="s">
        <v>3561</v>
      </c>
      <c r="H217" s="5">
        <f t="shared" si="2"/>
        <v>1.8037</v>
      </c>
      <c r="I217" s="1" t="s">
        <v>854</v>
      </c>
      <c r="J217" s="5">
        <f t="shared" si="3"/>
        <v>280.366585</v>
      </c>
      <c r="K217" s="1" t="s">
        <v>855</v>
      </c>
      <c r="L217" s="5">
        <f t="shared" si="4"/>
        <v>0.8117</v>
      </c>
      <c r="M217" s="6" t="s">
        <v>3562</v>
      </c>
      <c r="N217" s="5">
        <f t="shared" si="5"/>
        <v>285</v>
      </c>
    </row>
    <row r="218">
      <c r="A218" s="6" t="s">
        <v>183</v>
      </c>
      <c r="B218" s="6" t="s">
        <v>3552</v>
      </c>
      <c r="C218" s="5">
        <f t="shared" si="1"/>
        <v>5</v>
      </c>
      <c r="D218" s="1" t="s">
        <v>12</v>
      </c>
      <c r="E218" s="1" t="s">
        <v>42</v>
      </c>
      <c r="F218" s="1" t="s">
        <v>17</v>
      </c>
      <c r="G218" s="6" t="s">
        <v>857</v>
      </c>
      <c r="H218" s="5">
        <f t="shared" si="2"/>
        <v>2.1726</v>
      </c>
      <c r="I218" s="1" t="s">
        <v>859</v>
      </c>
      <c r="J218" s="5">
        <f t="shared" si="3"/>
        <v>330.982913</v>
      </c>
      <c r="K218" s="1" t="s">
        <v>860</v>
      </c>
      <c r="L218" s="5">
        <f t="shared" si="4"/>
        <v>0.8038</v>
      </c>
      <c r="M218" s="6" t="s">
        <v>3563</v>
      </c>
      <c r="N218" s="5">
        <f t="shared" si="5"/>
        <v>138</v>
      </c>
    </row>
    <row r="219">
      <c r="A219" s="6" t="s">
        <v>183</v>
      </c>
      <c r="B219" s="6" t="s">
        <v>3552</v>
      </c>
      <c r="C219" s="5">
        <f t="shared" si="1"/>
        <v>5</v>
      </c>
      <c r="D219" s="1" t="s">
        <v>12</v>
      </c>
      <c r="E219" s="1" t="s">
        <v>38</v>
      </c>
      <c r="F219" s="1" t="s">
        <v>39</v>
      </c>
      <c r="G219" s="6" t="s">
        <v>3564</v>
      </c>
      <c r="H219" s="5">
        <f t="shared" si="2"/>
        <v>3.2213</v>
      </c>
      <c r="I219" s="1" t="s">
        <v>863</v>
      </c>
      <c r="J219" s="5">
        <f t="shared" si="3"/>
        <v>305.898532</v>
      </c>
      <c r="K219" s="1" t="s">
        <v>865</v>
      </c>
      <c r="L219" s="5">
        <f t="shared" si="4"/>
        <v>0.5798</v>
      </c>
      <c r="M219" s="6" t="s">
        <v>258</v>
      </c>
      <c r="N219" s="5">
        <f t="shared" si="5"/>
        <v>95</v>
      </c>
    </row>
    <row r="220">
      <c r="A220" s="6" t="s">
        <v>183</v>
      </c>
      <c r="B220" s="6" t="s">
        <v>3552</v>
      </c>
      <c r="C220" s="5">
        <f t="shared" si="1"/>
        <v>5</v>
      </c>
      <c r="D220" s="1" t="s">
        <v>12</v>
      </c>
      <c r="E220" s="1" t="s">
        <v>45</v>
      </c>
      <c r="F220" s="1" t="s">
        <v>17</v>
      </c>
      <c r="G220" s="6" t="s">
        <v>3565</v>
      </c>
      <c r="H220" s="5">
        <f t="shared" si="2"/>
        <v>1.8592</v>
      </c>
      <c r="I220" s="1" t="s">
        <v>867</v>
      </c>
      <c r="J220" s="5">
        <f t="shared" si="3"/>
        <v>140.871749</v>
      </c>
      <c r="K220" s="1" t="s">
        <v>869</v>
      </c>
      <c r="L220" s="5">
        <f t="shared" si="4"/>
        <v>0.6692</v>
      </c>
      <c r="M220" s="6" t="s">
        <v>2744</v>
      </c>
      <c r="N220" s="5">
        <f t="shared" si="5"/>
        <v>105</v>
      </c>
    </row>
    <row r="221">
      <c r="A221" s="6" t="s">
        <v>183</v>
      </c>
      <c r="B221" s="6" t="s">
        <v>3552</v>
      </c>
      <c r="C221" s="5">
        <f t="shared" si="1"/>
        <v>5</v>
      </c>
      <c r="D221" s="1" t="s">
        <v>12</v>
      </c>
      <c r="E221" s="1" t="s">
        <v>56</v>
      </c>
      <c r="F221" s="1" t="s">
        <v>21</v>
      </c>
      <c r="G221" s="1" t="s">
        <v>870</v>
      </c>
      <c r="H221" s="5">
        <f t="shared" si="2"/>
        <v>0.6509</v>
      </c>
      <c r="I221" s="1" t="s">
        <v>872</v>
      </c>
      <c r="J221" s="5">
        <f t="shared" si="3"/>
        <v>126.123622</v>
      </c>
      <c r="K221" s="1" t="s">
        <v>874</v>
      </c>
      <c r="L221" s="5">
        <f t="shared" si="4"/>
        <v>0.2604</v>
      </c>
      <c r="M221" s="6" t="s">
        <v>3563</v>
      </c>
      <c r="N221" s="5">
        <f t="shared" si="5"/>
        <v>138</v>
      </c>
    </row>
    <row r="222">
      <c r="A222" s="6" t="s">
        <v>183</v>
      </c>
      <c r="B222" s="6" t="s">
        <v>3552</v>
      </c>
      <c r="C222" s="5">
        <f t="shared" si="1"/>
        <v>5</v>
      </c>
      <c r="D222" s="1" t="s">
        <v>12</v>
      </c>
      <c r="E222" s="1" t="s">
        <v>48</v>
      </c>
      <c r="F222" s="1" t="s">
        <v>49</v>
      </c>
      <c r="G222" s="1" t="s">
        <v>876</v>
      </c>
      <c r="H222" s="5">
        <f t="shared" si="2"/>
        <v>0.0081</v>
      </c>
      <c r="I222" s="1" t="s">
        <v>877</v>
      </c>
      <c r="J222" s="5">
        <f t="shared" si="3"/>
        <v>2.613454</v>
      </c>
      <c r="K222" s="1" t="s">
        <v>880</v>
      </c>
      <c r="L222" s="5">
        <f t="shared" si="4"/>
        <v>0.0023</v>
      </c>
      <c r="M222" s="6" t="s">
        <v>2677</v>
      </c>
      <c r="N222" s="5">
        <f t="shared" si="5"/>
        <v>3</v>
      </c>
    </row>
    <row r="223">
      <c r="A223" s="6" t="s">
        <v>183</v>
      </c>
      <c r="B223" s="6" t="s">
        <v>3552</v>
      </c>
      <c r="C223" s="5">
        <f t="shared" si="1"/>
        <v>5</v>
      </c>
      <c r="D223" s="1" t="s">
        <v>12</v>
      </c>
      <c r="E223" s="1" t="s">
        <v>48</v>
      </c>
      <c r="F223" s="1" t="s">
        <v>21</v>
      </c>
      <c r="G223" s="1" t="s">
        <v>881</v>
      </c>
      <c r="H223" s="5">
        <f t="shared" si="2"/>
        <v>0.7626</v>
      </c>
      <c r="I223" s="1" t="s">
        <v>882</v>
      </c>
      <c r="J223" s="5">
        <f t="shared" si="3"/>
        <v>92.107813</v>
      </c>
      <c r="K223" s="1" t="s">
        <v>883</v>
      </c>
      <c r="L223" s="5">
        <f t="shared" si="4"/>
        <v>0.305</v>
      </c>
      <c r="M223" s="6" t="s">
        <v>3501</v>
      </c>
      <c r="N223" s="5">
        <f t="shared" si="5"/>
        <v>115</v>
      </c>
    </row>
    <row r="224">
      <c r="A224" s="6" t="s">
        <v>183</v>
      </c>
      <c r="B224" s="6" t="s">
        <v>3552</v>
      </c>
      <c r="C224" s="5">
        <f t="shared" si="1"/>
        <v>5</v>
      </c>
      <c r="D224" s="1" t="s">
        <v>12</v>
      </c>
      <c r="E224" s="1" t="s">
        <v>60</v>
      </c>
      <c r="F224" s="1" t="s">
        <v>39</v>
      </c>
      <c r="G224" s="1" t="s">
        <v>885</v>
      </c>
      <c r="H224" s="5">
        <f t="shared" si="2"/>
        <v>0.2396</v>
      </c>
      <c r="I224" s="1" t="s">
        <v>886</v>
      </c>
      <c r="J224" s="5">
        <f t="shared" si="3"/>
        <v>37.023186</v>
      </c>
      <c r="K224" s="1" t="s">
        <v>889</v>
      </c>
      <c r="L224" s="5">
        <f t="shared" si="4"/>
        <v>0.0455</v>
      </c>
      <c r="M224" s="6" t="s">
        <v>291</v>
      </c>
      <c r="N224" s="5">
        <f t="shared" si="5"/>
        <v>0</v>
      </c>
    </row>
    <row r="225">
      <c r="A225" s="6" t="s">
        <v>183</v>
      </c>
      <c r="B225" s="6" t="s">
        <v>3552</v>
      </c>
      <c r="C225" s="5">
        <f t="shared" si="1"/>
        <v>5</v>
      </c>
      <c r="D225" s="1" t="s">
        <v>12</v>
      </c>
      <c r="E225" s="1" t="s">
        <v>60</v>
      </c>
      <c r="F225" s="1" t="s">
        <v>17</v>
      </c>
      <c r="G225" s="1" t="s">
        <v>479</v>
      </c>
      <c r="H225" s="5">
        <f t="shared" si="2"/>
        <v>0.0011</v>
      </c>
      <c r="I225" s="1" t="s">
        <v>890</v>
      </c>
      <c r="J225" s="5">
        <f t="shared" si="3"/>
        <v>0.119351</v>
      </c>
      <c r="K225" s="1" t="s">
        <v>75</v>
      </c>
      <c r="L225" s="5">
        <f t="shared" si="4"/>
        <v>0.0004</v>
      </c>
      <c r="M225" s="6" t="s">
        <v>291</v>
      </c>
      <c r="N225" s="5">
        <f t="shared" si="5"/>
        <v>0</v>
      </c>
    </row>
    <row r="226">
      <c r="A226" s="6" t="s">
        <v>183</v>
      </c>
      <c r="B226" s="6" t="s">
        <v>3552</v>
      </c>
      <c r="C226" s="5">
        <f t="shared" si="1"/>
        <v>5</v>
      </c>
      <c r="D226" s="1" t="s">
        <v>12</v>
      </c>
      <c r="E226" s="1" t="s">
        <v>848</v>
      </c>
      <c r="F226" s="1" t="s">
        <v>21</v>
      </c>
      <c r="G226" s="1" t="s">
        <v>894</v>
      </c>
      <c r="H226" s="5">
        <f t="shared" si="2"/>
        <v>0.1731</v>
      </c>
      <c r="I226" s="1" t="s">
        <v>895</v>
      </c>
      <c r="J226" s="5">
        <f t="shared" si="3"/>
        <v>35.477459</v>
      </c>
      <c r="K226" s="1" t="s">
        <v>896</v>
      </c>
      <c r="L226" s="5">
        <f t="shared" si="4"/>
        <v>0.0693</v>
      </c>
      <c r="M226" s="6" t="s">
        <v>3566</v>
      </c>
      <c r="N226" s="5">
        <f t="shared" si="5"/>
        <v>46</v>
      </c>
    </row>
    <row r="227">
      <c r="A227" s="6" t="s">
        <v>183</v>
      </c>
      <c r="B227" s="6" t="s">
        <v>3552</v>
      </c>
      <c r="C227" s="5">
        <f t="shared" si="1"/>
        <v>5</v>
      </c>
      <c r="D227" s="1" t="s">
        <v>68</v>
      </c>
      <c r="E227" s="1" t="s">
        <v>13</v>
      </c>
      <c r="F227" s="1" t="s">
        <v>14</v>
      </c>
      <c r="G227" s="1" t="s">
        <v>900</v>
      </c>
      <c r="H227" s="5">
        <f t="shared" si="2"/>
        <v>62.2945</v>
      </c>
      <c r="I227" s="1" t="s">
        <v>901</v>
      </c>
      <c r="J227" s="5">
        <f t="shared" si="3"/>
        <v>3886.490741</v>
      </c>
      <c r="K227" s="1" t="s">
        <v>902</v>
      </c>
      <c r="L227" s="5">
        <f t="shared" si="4"/>
        <v>13.0819</v>
      </c>
      <c r="M227" s="6" t="s">
        <v>3567</v>
      </c>
      <c r="N227" s="5">
        <f t="shared" si="5"/>
        <v>7742</v>
      </c>
    </row>
    <row r="228">
      <c r="A228" s="6" t="s">
        <v>183</v>
      </c>
      <c r="B228" s="6" t="s">
        <v>3552</v>
      </c>
      <c r="C228" s="5">
        <f t="shared" si="1"/>
        <v>5</v>
      </c>
      <c r="D228" s="1" t="s">
        <v>68</v>
      </c>
      <c r="E228" s="1" t="s">
        <v>13</v>
      </c>
      <c r="F228" s="1" t="s">
        <v>72</v>
      </c>
      <c r="G228" s="1" t="s">
        <v>414</v>
      </c>
      <c r="H228" s="5">
        <f t="shared" si="2"/>
        <v>0.0007</v>
      </c>
      <c r="I228" s="1" t="s">
        <v>905</v>
      </c>
      <c r="J228" s="5">
        <f t="shared" si="3"/>
        <v>0.07665</v>
      </c>
      <c r="K228" s="1" t="s">
        <v>376</v>
      </c>
      <c r="L228" s="5">
        <f t="shared" si="4"/>
        <v>0.0002</v>
      </c>
      <c r="M228" s="6" t="s">
        <v>186</v>
      </c>
      <c r="N228" s="5">
        <f t="shared" si="5"/>
        <v>1</v>
      </c>
    </row>
    <row r="229">
      <c r="A229" s="6" t="s">
        <v>183</v>
      </c>
      <c r="B229" s="6" t="s">
        <v>3552</v>
      </c>
      <c r="C229" s="5">
        <f t="shared" si="1"/>
        <v>5</v>
      </c>
      <c r="D229" s="1" t="s">
        <v>68</v>
      </c>
      <c r="E229" s="1" t="s">
        <v>13</v>
      </c>
      <c r="F229" s="1" t="s">
        <v>17</v>
      </c>
      <c r="G229" s="1" t="s">
        <v>908</v>
      </c>
      <c r="H229" s="5">
        <f t="shared" si="2"/>
        <v>65.0353</v>
      </c>
      <c r="I229" s="1" t="s">
        <v>910</v>
      </c>
      <c r="J229" s="5">
        <f t="shared" si="3"/>
        <v>6461.604885</v>
      </c>
      <c r="K229" s="1" t="s">
        <v>911</v>
      </c>
      <c r="L229" s="5">
        <f t="shared" si="4"/>
        <v>22.7624</v>
      </c>
      <c r="M229" s="6" t="s">
        <v>3568</v>
      </c>
      <c r="N229" s="5">
        <f t="shared" si="5"/>
        <v>8213</v>
      </c>
    </row>
    <row r="230">
      <c r="A230" s="6" t="s">
        <v>183</v>
      </c>
      <c r="B230" s="6" t="s">
        <v>3552</v>
      </c>
      <c r="C230" s="5">
        <f t="shared" si="1"/>
        <v>5</v>
      </c>
      <c r="D230" s="1" t="s">
        <v>68</v>
      </c>
      <c r="E230" s="1" t="s">
        <v>13</v>
      </c>
      <c r="F230" s="1" t="s">
        <v>21</v>
      </c>
      <c r="G230" s="1" t="s">
        <v>914</v>
      </c>
      <c r="H230" s="5">
        <f t="shared" si="2"/>
        <v>7.079</v>
      </c>
      <c r="I230" s="1" t="s">
        <v>915</v>
      </c>
      <c r="J230" s="5">
        <f t="shared" si="3"/>
        <v>978.03047</v>
      </c>
      <c r="K230" s="6" t="s">
        <v>3569</v>
      </c>
      <c r="L230" s="5">
        <f t="shared" si="4"/>
        <v>3.5394</v>
      </c>
      <c r="M230" s="6" t="s">
        <v>3570</v>
      </c>
      <c r="N230" s="5">
        <f t="shared" si="5"/>
        <v>1256</v>
      </c>
    </row>
    <row r="231">
      <c r="A231" s="6" t="s">
        <v>183</v>
      </c>
      <c r="B231" s="6" t="s">
        <v>3552</v>
      </c>
      <c r="C231" s="5">
        <f t="shared" si="1"/>
        <v>5</v>
      </c>
      <c r="D231" s="1" t="s">
        <v>68</v>
      </c>
      <c r="E231" s="1" t="s">
        <v>13</v>
      </c>
      <c r="F231" s="1" t="s">
        <v>25</v>
      </c>
      <c r="G231" s="1" t="s">
        <v>918</v>
      </c>
      <c r="H231" s="5">
        <f t="shared" si="2"/>
        <v>0.4188</v>
      </c>
      <c r="I231" s="1" t="s">
        <v>919</v>
      </c>
      <c r="J231" s="5">
        <f t="shared" si="3"/>
        <v>71.137857</v>
      </c>
      <c r="K231" s="1" t="s">
        <v>920</v>
      </c>
      <c r="L231" s="5">
        <f t="shared" si="4"/>
        <v>0.3141</v>
      </c>
      <c r="M231" s="6" t="s">
        <v>3571</v>
      </c>
      <c r="N231" s="5">
        <f t="shared" si="5"/>
        <v>337</v>
      </c>
    </row>
    <row r="232">
      <c r="A232" s="6" t="s">
        <v>183</v>
      </c>
      <c r="B232" s="6" t="s">
        <v>3552</v>
      </c>
      <c r="C232" s="5">
        <f t="shared" si="1"/>
        <v>5</v>
      </c>
      <c r="D232" s="1" t="s">
        <v>68</v>
      </c>
      <c r="E232" s="1" t="s">
        <v>29</v>
      </c>
      <c r="F232" s="1" t="s">
        <v>21</v>
      </c>
      <c r="G232" s="6" t="s">
        <v>3572</v>
      </c>
      <c r="H232" s="5">
        <f t="shared" si="2"/>
        <v>9.4711</v>
      </c>
      <c r="I232" s="1" t="s">
        <v>923</v>
      </c>
      <c r="J232" s="5">
        <f t="shared" si="3"/>
        <v>1704.141979</v>
      </c>
      <c r="K232" s="6" t="s">
        <v>3573</v>
      </c>
      <c r="L232" s="5">
        <f t="shared" si="4"/>
        <v>3.7885</v>
      </c>
      <c r="M232" s="6" t="s">
        <v>3574</v>
      </c>
      <c r="N232" s="5">
        <f t="shared" si="5"/>
        <v>1342</v>
      </c>
    </row>
    <row r="233">
      <c r="A233" s="6" t="s">
        <v>183</v>
      </c>
      <c r="B233" s="6" t="s">
        <v>3552</v>
      </c>
      <c r="C233" s="5">
        <f t="shared" si="1"/>
        <v>5</v>
      </c>
      <c r="D233" s="1" t="s">
        <v>68</v>
      </c>
      <c r="E233" s="1" t="s">
        <v>45</v>
      </c>
      <c r="F233" s="1" t="s">
        <v>17</v>
      </c>
      <c r="G233" s="1" t="s">
        <v>926</v>
      </c>
      <c r="H233" s="5">
        <f t="shared" si="2"/>
        <v>14.6881</v>
      </c>
      <c r="I233" s="1" t="s">
        <v>927</v>
      </c>
      <c r="J233" s="5">
        <f t="shared" si="3"/>
        <v>881.70831</v>
      </c>
      <c r="K233" s="6" t="s">
        <v>3575</v>
      </c>
      <c r="L233" s="5">
        <f t="shared" si="4"/>
        <v>5.2878</v>
      </c>
      <c r="M233" s="6" t="s">
        <v>3576</v>
      </c>
      <c r="N233" s="5">
        <f t="shared" si="5"/>
        <v>2350</v>
      </c>
    </row>
    <row r="234">
      <c r="A234" s="6" t="s">
        <v>183</v>
      </c>
      <c r="B234" s="6" t="s">
        <v>3552</v>
      </c>
      <c r="C234" s="5">
        <f t="shared" si="1"/>
        <v>5</v>
      </c>
      <c r="D234" s="1" t="s">
        <v>68</v>
      </c>
      <c r="E234" s="1" t="s">
        <v>32</v>
      </c>
      <c r="F234" s="1" t="s">
        <v>14</v>
      </c>
      <c r="G234" s="6" t="s">
        <v>3577</v>
      </c>
      <c r="H234" s="5">
        <f t="shared" si="2"/>
        <v>3.7982</v>
      </c>
      <c r="I234" s="1" t="s">
        <v>930</v>
      </c>
      <c r="J234" s="5">
        <f t="shared" si="3"/>
        <v>283.989748</v>
      </c>
      <c r="K234" s="1" t="s">
        <v>932</v>
      </c>
      <c r="L234" s="5">
        <f t="shared" si="4"/>
        <v>0.8736</v>
      </c>
      <c r="M234" s="6" t="s">
        <v>3578</v>
      </c>
      <c r="N234" s="5">
        <f t="shared" si="5"/>
        <v>1569</v>
      </c>
    </row>
    <row r="235">
      <c r="A235" s="6" t="s">
        <v>183</v>
      </c>
      <c r="B235" s="6" t="s">
        <v>3552</v>
      </c>
      <c r="C235" s="5">
        <f t="shared" si="1"/>
        <v>5</v>
      </c>
      <c r="D235" s="1" t="s">
        <v>68</v>
      </c>
      <c r="E235" s="1" t="s">
        <v>32</v>
      </c>
      <c r="F235" s="1" t="s">
        <v>21</v>
      </c>
      <c r="G235" s="1" t="s">
        <v>935</v>
      </c>
      <c r="H235" s="5">
        <f t="shared" si="2"/>
        <v>0.6053</v>
      </c>
      <c r="I235" s="1" t="s">
        <v>936</v>
      </c>
      <c r="J235" s="5">
        <f t="shared" si="3"/>
        <v>112.811286</v>
      </c>
      <c r="K235" s="1" t="s">
        <v>938</v>
      </c>
      <c r="L235" s="5">
        <f t="shared" si="4"/>
        <v>0.2724</v>
      </c>
      <c r="M235" s="6" t="s">
        <v>3579</v>
      </c>
      <c r="N235" s="5">
        <f t="shared" si="5"/>
        <v>330</v>
      </c>
    </row>
    <row r="236">
      <c r="A236" s="6" t="s">
        <v>183</v>
      </c>
      <c r="B236" s="6" t="s">
        <v>3552</v>
      </c>
      <c r="C236" s="5">
        <f t="shared" si="1"/>
        <v>5</v>
      </c>
      <c r="D236" s="1" t="s">
        <v>68</v>
      </c>
      <c r="E236" s="1" t="s">
        <v>42</v>
      </c>
      <c r="F236" s="1" t="s">
        <v>17</v>
      </c>
      <c r="G236" s="1" t="s">
        <v>939</v>
      </c>
      <c r="H236" s="5">
        <f t="shared" si="2"/>
        <v>1.528</v>
      </c>
      <c r="I236" s="1" t="s">
        <v>941</v>
      </c>
      <c r="J236" s="5">
        <f t="shared" si="3"/>
        <v>224.946184</v>
      </c>
      <c r="K236" s="1" t="s">
        <v>942</v>
      </c>
      <c r="L236" s="5">
        <f t="shared" si="4"/>
        <v>0.5654</v>
      </c>
      <c r="M236" s="6" t="s">
        <v>3580</v>
      </c>
      <c r="N236" s="5">
        <f t="shared" si="5"/>
        <v>327</v>
      </c>
    </row>
    <row r="237">
      <c r="A237" s="6" t="s">
        <v>183</v>
      </c>
      <c r="B237" s="6" t="s">
        <v>3552</v>
      </c>
      <c r="C237" s="5">
        <f t="shared" si="1"/>
        <v>5</v>
      </c>
      <c r="D237" s="1" t="s">
        <v>68</v>
      </c>
      <c r="E237" s="1" t="s">
        <v>465</v>
      </c>
      <c r="F237" s="1" t="s">
        <v>21</v>
      </c>
      <c r="G237" s="1" t="s">
        <v>944</v>
      </c>
      <c r="H237" s="5">
        <f t="shared" si="2"/>
        <v>1.291</v>
      </c>
      <c r="I237" s="1" t="s">
        <v>946</v>
      </c>
      <c r="J237" s="5">
        <f t="shared" si="3"/>
        <v>137.342741</v>
      </c>
      <c r="K237" s="1" t="s">
        <v>948</v>
      </c>
      <c r="L237" s="5">
        <f t="shared" si="4"/>
        <v>0.6456</v>
      </c>
      <c r="M237" s="6" t="s">
        <v>2791</v>
      </c>
      <c r="N237" s="5">
        <f t="shared" si="5"/>
        <v>780</v>
      </c>
    </row>
    <row r="238">
      <c r="A238" s="6" t="s">
        <v>183</v>
      </c>
      <c r="B238" s="6" t="s">
        <v>3552</v>
      </c>
      <c r="C238" s="5">
        <f t="shared" si="1"/>
        <v>5</v>
      </c>
      <c r="D238" s="1" t="s">
        <v>68</v>
      </c>
      <c r="E238" s="1" t="s">
        <v>38</v>
      </c>
      <c r="F238" s="1" t="s">
        <v>39</v>
      </c>
      <c r="G238" s="6" t="s">
        <v>3581</v>
      </c>
      <c r="H238" s="5">
        <f t="shared" si="2"/>
        <v>1.3652</v>
      </c>
      <c r="I238" s="1" t="s">
        <v>950</v>
      </c>
      <c r="J238" s="5">
        <f t="shared" si="3"/>
        <v>128.123744</v>
      </c>
      <c r="K238" s="1" t="s">
        <v>953</v>
      </c>
      <c r="L238" s="5">
        <f t="shared" si="4"/>
        <v>0.2457</v>
      </c>
      <c r="M238" s="6" t="s">
        <v>3582</v>
      </c>
      <c r="N238" s="5">
        <f t="shared" si="5"/>
        <v>245</v>
      </c>
    </row>
    <row r="239">
      <c r="A239" s="6" t="s">
        <v>183</v>
      </c>
      <c r="B239" s="6" t="s">
        <v>3552</v>
      </c>
      <c r="C239" s="5">
        <f t="shared" si="1"/>
        <v>5</v>
      </c>
      <c r="D239" s="1" t="s">
        <v>68</v>
      </c>
      <c r="E239" s="1" t="s">
        <v>48</v>
      </c>
      <c r="F239" s="1" t="s">
        <v>49</v>
      </c>
      <c r="G239" s="1" t="s">
        <v>73</v>
      </c>
      <c r="H239" s="5">
        <f t="shared" si="2"/>
        <v>0.0013</v>
      </c>
      <c r="I239" s="1" t="s">
        <v>957</v>
      </c>
      <c r="J239" s="5">
        <f t="shared" si="3"/>
        <v>0.429929</v>
      </c>
      <c r="K239" s="1" t="s">
        <v>333</v>
      </c>
      <c r="L239" s="5">
        <f t="shared" si="4"/>
        <v>0.0003</v>
      </c>
      <c r="M239" s="6" t="s">
        <v>397</v>
      </c>
      <c r="N239" s="5">
        <f t="shared" si="5"/>
        <v>2</v>
      </c>
    </row>
    <row r="240">
      <c r="A240" s="6" t="s">
        <v>183</v>
      </c>
      <c r="B240" s="6" t="s">
        <v>3552</v>
      </c>
      <c r="C240" s="5">
        <f t="shared" si="1"/>
        <v>5</v>
      </c>
      <c r="D240" s="1" t="s">
        <v>68</v>
      </c>
      <c r="E240" s="1" t="s">
        <v>48</v>
      </c>
      <c r="F240" s="1" t="s">
        <v>21</v>
      </c>
      <c r="G240" s="1" t="s">
        <v>959</v>
      </c>
      <c r="H240" s="5">
        <f t="shared" si="2"/>
        <v>0.5541</v>
      </c>
      <c r="I240" s="1" t="s">
        <v>960</v>
      </c>
      <c r="J240" s="5">
        <f t="shared" si="3"/>
        <v>65.790073</v>
      </c>
      <c r="K240" s="1" t="s">
        <v>961</v>
      </c>
      <c r="L240" s="5">
        <f t="shared" si="4"/>
        <v>0.2217</v>
      </c>
      <c r="M240" s="6" t="s">
        <v>3583</v>
      </c>
      <c r="N240" s="5">
        <f t="shared" si="5"/>
        <v>334</v>
      </c>
    </row>
    <row r="241">
      <c r="A241" s="6" t="s">
        <v>183</v>
      </c>
      <c r="B241" s="6" t="s">
        <v>3552</v>
      </c>
      <c r="C241" s="5">
        <f t="shared" si="1"/>
        <v>5</v>
      </c>
      <c r="D241" s="1" t="s">
        <v>68</v>
      </c>
      <c r="E241" s="1" t="s">
        <v>962</v>
      </c>
      <c r="F241" s="1" t="s">
        <v>17</v>
      </c>
      <c r="G241" s="1" t="s">
        <v>963</v>
      </c>
      <c r="H241" s="5">
        <f t="shared" si="2"/>
        <v>0.7088</v>
      </c>
      <c r="I241" s="1" t="s">
        <v>964</v>
      </c>
      <c r="J241" s="5">
        <f t="shared" si="3"/>
        <v>42.52785</v>
      </c>
      <c r="K241" s="1" t="s">
        <v>965</v>
      </c>
      <c r="L241" s="5">
        <f t="shared" si="4"/>
        <v>0.2481</v>
      </c>
      <c r="M241" s="6" t="s">
        <v>3584</v>
      </c>
      <c r="N241" s="5">
        <f t="shared" si="5"/>
        <v>188</v>
      </c>
    </row>
    <row r="242">
      <c r="A242" s="6" t="s">
        <v>183</v>
      </c>
      <c r="B242" s="6" t="s">
        <v>3552</v>
      </c>
      <c r="C242" s="5">
        <f t="shared" si="1"/>
        <v>5</v>
      </c>
      <c r="D242" s="1" t="s">
        <v>68</v>
      </c>
      <c r="E242" s="1" t="s">
        <v>56</v>
      </c>
      <c r="F242" s="1" t="s">
        <v>21</v>
      </c>
      <c r="G242" s="1" t="s">
        <v>966</v>
      </c>
      <c r="H242" s="5">
        <f t="shared" si="2"/>
        <v>0.1453</v>
      </c>
      <c r="I242" s="1" t="s">
        <v>967</v>
      </c>
      <c r="J242" s="5">
        <f t="shared" si="3"/>
        <v>41.459526</v>
      </c>
      <c r="K242" s="1" t="s">
        <v>968</v>
      </c>
      <c r="L242" s="5">
        <f t="shared" si="4"/>
        <v>0.0581</v>
      </c>
      <c r="M242" s="6" t="s">
        <v>291</v>
      </c>
      <c r="N242" s="5">
        <f t="shared" si="5"/>
        <v>0</v>
      </c>
    </row>
    <row r="243">
      <c r="A243" s="6" t="s">
        <v>183</v>
      </c>
      <c r="B243" s="6" t="s">
        <v>3552</v>
      </c>
      <c r="C243" s="5">
        <f t="shared" si="1"/>
        <v>5</v>
      </c>
      <c r="D243" s="1" t="s">
        <v>116</v>
      </c>
      <c r="E243" s="1" t="s">
        <v>13</v>
      </c>
      <c r="F243" s="1" t="s">
        <v>14</v>
      </c>
      <c r="G243" s="1" t="s">
        <v>970</v>
      </c>
      <c r="H243" s="5">
        <f t="shared" si="2"/>
        <v>126.6888</v>
      </c>
      <c r="I243" s="1" t="s">
        <v>971</v>
      </c>
      <c r="J243" s="5">
        <f t="shared" si="3"/>
        <v>6964.641234</v>
      </c>
      <c r="K243" s="1" t="s">
        <v>973</v>
      </c>
      <c r="L243" s="5">
        <f t="shared" si="4"/>
        <v>26.6046</v>
      </c>
      <c r="M243" s="6" t="s">
        <v>3585</v>
      </c>
      <c r="N243" s="5">
        <f t="shared" si="5"/>
        <v>11236</v>
      </c>
    </row>
    <row r="244">
      <c r="A244" s="6" t="s">
        <v>183</v>
      </c>
      <c r="B244" s="6" t="s">
        <v>3552</v>
      </c>
      <c r="C244" s="5">
        <f t="shared" si="1"/>
        <v>5</v>
      </c>
      <c r="D244" s="1" t="s">
        <v>116</v>
      </c>
      <c r="E244" s="1" t="s">
        <v>13</v>
      </c>
      <c r="F244" s="1" t="s">
        <v>17</v>
      </c>
      <c r="G244" s="1" t="s">
        <v>976</v>
      </c>
      <c r="H244" s="5">
        <f t="shared" si="2"/>
        <v>87.3889</v>
      </c>
      <c r="I244" s="1" t="s">
        <v>977</v>
      </c>
      <c r="J244" s="5">
        <f t="shared" si="3"/>
        <v>7894.581306</v>
      </c>
      <c r="K244" s="1" t="s">
        <v>978</v>
      </c>
      <c r="L244" s="5">
        <f t="shared" si="4"/>
        <v>30.5861</v>
      </c>
      <c r="M244" s="6" t="s">
        <v>3586</v>
      </c>
      <c r="N244" s="5">
        <f t="shared" si="5"/>
        <v>7935</v>
      </c>
    </row>
    <row r="245">
      <c r="A245" s="6" t="s">
        <v>183</v>
      </c>
      <c r="B245" s="6" t="s">
        <v>3552</v>
      </c>
      <c r="C245" s="5">
        <f t="shared" si="1"/>
        <v>5</v>
      </c>
      <c r="D245" s="1" t="s">
        <v>116</v>
      </c>
      <c r="E245" s="1" t="s">
        <v>13</v>
      </c>
      <c r="F245" s="1" t="s">
        <v>21</v>
      </c>
      <c r="G245" s="1" t="s">
        <v>984</v>
      </c>
      <c r="H245" s="5">
        <f t="shared" si="2"/>
        <v>17.5314</v>
      </c>
      <c r="I245" s="1" t="s">
        <v>986</v>
      </c>
      <c r="J245" s="5">
        <f t="shared" si="3"/>
        <v>2313.44746</v>
      </c>
      <c r="K245" s="6" t="s">
        <v>3587</v>
      </c>
      <c r="L245" s="5">
        <f t="shared" si="4"/>
        <v>8.7657</v>
      </c>
      <c r="M245" s="6" t="s">
        <v>3588</v>
      </c>
      <c r="N245" s="5">
        <f t="shared" si="5"/>
        <v>2129</v>
      </c>
    </row>
    <row r="246">
      <c r="A246" s="6" t="s">
        <v>183</v>
      </c>
      <c r="B246" s="6" t="s">
        <v>3552</v>
      </c>
      <c r="C246" s="5">
        <f t="shared" si="1"/>
        <v>5</v>
      </c>
      <c r="D246" s="1" t="s">
        <v>116</v>
      </c>
      <c r="E246" s="1" t="s">
        <v>13</v>
      </c>
      <c r="F246" s="1" t="s">
        <v>25</v>
      </c>
      <c r="G246" s="1" t="s">
        <v>989</v>
      </c>
      <c r="H246" s="5">
        <f t="shared" si="2"/>
        <v>0.0754</v>
      </c>
      <c r="I246" s="1" t="s">
        <v>991</v>
      </c>
      <c r="J246" s="5">
        <f t="shared" si="3"/>
        <v>10.34063</v>
      </c>
      <c r="K246" s="1" t="s">
        <v>992</v>
      </c>
      <c r="L246" s="5">
        <f t="shared" si="4"/>
        <v>0.0566</v>
      </c>
      <c r="M246" s="6" t="s">
        <v>2686</v>
      </c>
      <c r="N246" s="5">
        <f t="shared" si="5"/>
        <v>34</v>
      </c>
    </row>
    <row r="247">
      <c r="A247" s="6" t="s">
        <v>183</v>
      </c>
      <c r="B247" s="6" t="s">
        <v>3552</v>
      </c>
      <c r="C247" s="5">
        <f t="shared" si="1"/>
        <v>5</v>
      </c>
      <c r="D247" s="1" t="s">
        <v>116</v>
      </c>
      <c r="E247" s="1" t="s">
        <v>29</v>
      </c>
      <c r="F247" s="1" t="s">
        <v>21</v>
      </c>
      <c r="G247" s="1" t="s">
        <v>993</v>
      </c>
      <c r="H247" s="5">
        <f t="shared" si="2"/>
        <v>23.8464</v>
      </c>
      <c r="I247" s="1" t="s">
        <v>994</v>
      </c>
      <c r="J247" s="5">
        <f t="shared" si="3"/>
        <v>4815.378802</v>
      </c>
      <c r="K247" s="6" t="s">
        <v>3589</v>
      </c>
      <c r="L247" s="5">
        <f t="shared" si="4"/>
        <v>9.5385</v>
      </c>
      <c r="M247" s="6" t="s">
        <v>3590</v>
      </c>
      <c r="N247" s="5">
        <f t="shared" si="5"/>
        <v>2262</v>
      </c>
    </row>
    <row r="248">
      <c r="A248" s="6" t="s">
        <v>183</v>
      </c>
      <c r="B248" s="6" t="s">
        <v>3552</v>
      </c>
      <c r="C248" s="5">
        <f t="shared" si="1"/>
        <v>5</v>
      </c>
      <c r="D248" s="1" t="s">
        <v>116</v>
      </c>
      <c r="E248" s="1" t="s">
        <v>32</v>
      </c>
      <c r="F248" s="1" t="s">
        <v>14</v>
      </c>
      <c r="G248" s="6" t="s">
        <v>3591</v>
      </c>
      <c r="H248" s="5">
        <f t="shared" si="2"/>
        <v>8.3302</v>
      </c>
      <c r="I248" s="1" t="s">
        <v>995</v>
      </c>
      <c r="J248" s="5">
        <f t="shared" si="3"/>
        <v>493.352945</v>
      </c>
      <c r="K248" s="6" t="s">
        <v>3592</v>
      </c>
      <c r="L248" s="5">
        <f t="shared" si="4"/>
        <v>1.9159</v>
      </c>
      <c r="M248" s="6" t="s">
        <v>3593</v>
      </c>
      <c r="N248" s="5">
        <f t="shared" si="5"/>
        <v>1621</v>
      </c>
    </row>
    <row r="249">
      <c r="A249" s="6" t="s">
        <v>183</v>
      </c>
      <c r="B249" s="6" t="s">
        <v>3552</v>
      </c>
      <c r="C249" s="5">
        <f t="shared" si="1"/>
        <v>5</v>
      </c>
      <c r="D249" s="1" t="s">
        <v>116</v>
      </c>
      <c r="E249" s="1" t="s">
        <v>32</v>
      </c>
      <c r="F249" s="1" t="s">
        <v>21</v>
      </c>
      <c r="G249" s="6" t="s">
        <v>3594</v>
      </c>
      <c r="H249" s="5">
        <f t="shared" si="2"/>
        <v>3.6336</v>
      </c>
      <c r="I249" s="1" t="s">
        <v>996</v>
      </c>
      <c r="J249" s="5">
        <f t="shared" si="3"/>
        <v>655.264603</v>
      </c>
      <c r="K249" s="6" t="s">
        <v>3595</v>
      </c>
      <c r="L249" s="5">
        <f t="shared" si="4"/>
        <v>1.6351</v>
      </c>
      <c r="M249" s="6" t="s">
        <v>3596</v>
      </c>
      <c r="N249" s="5">
        <f t="shared" si="5"/>
        <v>1225</v>
      </c>
    </row>
    <row r="250">
      <c r="A250" s="6" t="s">
        <v>183</v>
      </c>
      <c r="B250" s="6" t="s">
        <v>3552</v>
      </c>
      <c r="C250" s="5">
        <f t="shared" si="1"/>
        <v>5</v>
      </c>
      <c r="D250" s="1" t="s">
        <v>116</v>
      </c>
      <c r="E250" s="1" t="s">
        <v>45</v>
      </c>
      <c r="F250" s="1" t="s">
        <v>17</v>
      </c>
      <c r="G250" s="1" t="s">
        <v>997</v>
      </c>
      <c r="H250" s="5">
        <f t="shared" si="2"/>
        <v>16.1501</v>
      </c>
      <c r="I250" s="1" t="s">
        <v>998</v>
      </c>
      <c r="J250" s="5">
        <f t="shared" si="3"/>
        <v>985.101548</v>
      </c>
      <c r="K250" s="1" t="s">
        <v>999</v>
      </c>
      <c r="L250" s="5">
        <f t="shared" si="4"/>
        <v>5.814</v>
      </c>
      <c r="M250" s="6" t="s">
        <v>3597</v>
      </c>
      <c r="N250" s="5">
        <f t="shared" si="5"/>
        <v>2207</v>
      </c>
    </row>
    <row r="251">
      <c r="A251" s="6" t="s">
        <v>183</v>
      </c>
      <c r="B251" s="6" t="s">
        <v>3552</v>
      </c>
      <c r="C251" s="5">
        <f t="shared" si="1"/>
        <v>5</v>
      </c>
      <c r="D251" s="1" t="s">
        <v>116</v>
      </c>
      <c r="E251" s="1" t="s">
        <v>42</v>
      </c>
      <c r="F251" s="1" t="s">
        <v>17</v>
      </c>
      <c r="G251" s="6" t="s">
        <v>3598</v>
      </c>
      <c r="H251" s="5">
        <f t="shared" si="2"/>
        <v>6.3243</v>
      </c>
      <c r="I251" s="1" t="s">
        <v>1000</v>
      </c>
      <c r="J251" s="5">
        <f t="shared" si="3"/>
        <v>868.844336</v>
      </c>
      <c r="K251" s="1" t="s">
        <v>1001</v>
      </c>
      <c r="L251" s="5">
        <f t="shared" si="4"/>
        <v>2.34</v>
      </c>
      <c r="M251" s="6" t="s">
        <v>3599</v>
      </c>
      <c r="N251" s="5">
        <f t="shared" si="5"/>
        <v>827</v>
      </c>
    </row>
    <row r="252">
      <c r="A252" s="6" t="s">
        <v>183</v>
      </c>
      <c r="B252" s="6" t="s">
        <v>3552</v>
      </c>
      <c r="C252" s="5">
        <f t="shared" si="1"/>
        <v>5</v>
      </c>
      <c r="D252" s="1" t="s">
        <v>116</v>
      </c>
      <c r="E252" s="1" t="s">
        <v>147</v>
      </c>
      <c r="F252" s="1" t="s">
        <v>39</v>
      </c>
      <c r="G252" s="1" t="s">
        <v>1002</v>
      </c>
      <c r="H252" s="5">
        <f t="shared" si="2"/>
        <v>1.477</v>
      </c>
      <c r="I252" s="1" t="s">
        <v>1003</v>
      </c>
      <c r="J252" s="5">
        <f t="shared" si="3"/>
        <v>390.842837</v>
      </c>
      <c r="K252" s="1" t="s">
        <v>1004</v>
      </c>
      <c r="L252" s="5">
        <f t="shared" si="4"/>
        <v>0.2805</v>
      </c>
      <c r="M252" s="6" t="s">
        <v>3600</v>
      </c>
      <c r="N252" s="5">
        <f t="shared" si="5"/>
        <v>106</v>
      </c>
    </row>
    <row r="253">
      <c r="A253" s="6" t="s">
        <v>183</v>
      </c>
      <c r="B253" s="6" t="s">
        <v>3552</v>
      </c>
      <c r="C253" s="5">
        <f t="shared" si="1"/>
        <v>5</v>
      </c>
      <c r="D253" s="1" t="s">
        <v>116</v>
      </c>
      <c r="E253" s="1" t="s">
        <v>147</v>
      </c>
      <c r="F253" s="1" t="s">
        <v>17</v>
      </c>
      <c r="G253" s="1" t="s">
        <v>1005</v>
      </c>
      <c r="H253" s="5">
        <f t="shared" si="2"/>
        <v>0.0267</v>
      </c>
      <c r="I253" s="1" t="s">
        <v>1006</v>
      </c>
      <c r="J253" s="5">
        <f t="shared" si="3"/>
        <v>8.962127</v>
      </c>
      <c r="K253" s="1" t="s">
        <v>1007</v>
      </c>
      <c r="L253" s="5">
        <f t="shared" si="4"/>
        <v>0.0093</v>
      </c>
      <c r="M253" s="6" t="s">
        <v>3552</v>
      </c>
      <c r="N253" s="5">
        <f t="shared" si="5"/>
        <v>5</v>
      </c>
    </row>
    <row r="254">
      <c r="A254" s="6" t="s">
        <v>183</v>
      </c>
      <c r="B254" s="6" t="s">
        <v>3552</v>
      </c>
      <c r="C254" s="5">
        <f t="shared" si="1"/>
        <v>5</v>
      </c>
      <c r="D254" s="1" t="s">
        <v>116</v>
      </c>
      <c r="E254" s="1" t="s">
        <v>147</v>
      </c>
      <c r="F254" s="1" t="s">
        <v>21</v>
      </c>
      <c r="G254" s="1" t="s">
        <v>1008</v>
      </c>
      <c r="H254" s="5">
        <f t="shared" si="2"/>
        <v>0.079</v>
      </c>
      <c r="I254" s="1" t="s">
        <v>1009</v>
      </c>
      <c r="J254" s="5">
        <f t="shared" si="3"/>
        <v>38.584694</v>
      </c>
      <c r="K254" s="1" t="s">
        <v>1010</v>
      </c>
      <c r="L254" s="5">
        <f t="shared" si="4"/>
        <v>0.0395</v>
      </c>
      <c r="M254" s="6" t="s">
        <v>2704</v>
      </c>
      <c r="N254" s="5">
        <f t="shared" si="5"/>
        <v>48</v>
      </c>
    </row>
    <row r="255">
      <c r="A255" s="6" t="s">
        <v>183</v>
      </c>
      <c r="B255" s="6" t="s">
        <v>3552</v>
      </c>
      <c r="C255" s="5">
        <f t="shared" si="1"/>
        <v>5</v>
      </c>
      <c r="D255" s="1" t="s">
        <v>116</v>
      </c>
      <c r="E255" s="1" t="s">
        <v>102</v>
      </c>
      <c r="F255" s="1" t="s">
        <v>39</v>
      </c>
      <c r="G255" s="1" t="s">
        <v>1011</v>
      </c>
      <c r="H255" s="5">
        <f t="shared" si="2"/>
        <v>0.0357</v>
      </c>
      <c r="I255" s="1" t="s">
        <v>1012</v>
      </c>
      <c r="J255" s="5">
        <f t="shared" si="3"/>
        <v>5.718368</v>
      </c>
      <c r="K255" s="1" t="s">
        <v>50</v>
      </c>
      <c r="L255" s="5">
        <f t="shared" si="4"/>
        <v>0.0068</v>
      </c>
      <c r="M255" s="6" t="s">
        <v>3601</v>
      </c>
      <c r="N255" s="5">
        <f t="shared" si="5"/>
        <v>14</v>
      </c>
    </row>
    <row r="256">
      <c r="A256" s="6" t="s">
        <v>183</v>
      </c>
      <c r="B256" s="6" t="s">
        <v>3552</v>
      </c>
      <c r="C256" s="5">
        <f t="shared" si="1"/>
        <v>5</v>
      </c>
      <c r="D256" s="1" t="s">
        <v>116</v>
      </c>
      <c r="E256" s="1" t="s">
        <v>102</v>
      </c>
      <c r="F256" s="1" t="s">
        <v>21</v>
      </c>
      <c r="G256" s="6" t="s">
        <v>3602</v>
      </c>
      <c r="H256" s="5">
        <f t="shared" si="2"/>
        <v>1.3731</v>
      </c>
      <c r="I256" s="1" t="s">
        <v>1013</v>
      </c>
      <c r="J256" s="5">
        <f t="shared" si="3"/>
        <v>365.607411</v>
      </c>
      <c r="K256" s="1" t="s">
        <v>1014</v>
      </c>
      <c r="L256" s="5">
        <f t="shared" si="4"/>
        <v>0.5491</v>
      </c>
      <c r="M256" s="6" t="s">
        <v>3603</v>
      </c>
      <c r="N256" s="5">
        <f t="shared" si="5"/>
        <v>202</v>
      </c>
    </row>
    <row r="257">
      <c r="A257" s="6" t="s">
        <v>183</v>
      </c>
      <c r="B257" s="6" t="s">
        <v>3552</v>
      </c>
      <c r="C257" s="5">
        <f t="shared" si="1"/>
        <v>5</v>
      </c>
      <c r="D257" s="1" t="s">
        <v>116</v>
      </c>
      <c r="E257" s="1" t="s">
        <v>465</v>
      </c>
      <c r="F257" s="1" t="s">
        <v>21</v>
      </c>
      <c r="G257" s="6" t="s">
        <v>3604</v>
      </c>
      <c r="H257" s="5">
        <f t="shared" si="2"/>
        <v>3.2629</v>
      </c>
      <c r="I257" s="1" t="s">
        <v>1015</v>
      </c>
      <c r="J257" s="5">
        <f t="shared" si="3"/>
        <v>358.536068</v>
      </c>
      <c r="K257" s="6" t="s">
        <v>3605</v>
      </c>
      <c r="L257" s="5">
        <f t="shared" si="4"/>
        <v>1.6315</v>
      </c>
      <c r="M257" s="6" t="s">
        <v>3606</v>
      </c>
      <c r="N257" s="5">
        <f t="shared" si="5"/>
        <v>1966</v>
      </c>
    </row>
    <row r="258">
      <c r="A258" s="6" t="s">
        <v>183</v>
      </c>
      <c r="B258" s="6" t="s">
        <v>3552</v>
      </c>
      <c r="C258" s="5">
        <f t="shared" si="1"/>
        <v>5</v>
      </c>
      <c r="D258" s="1" t="s">
        <v>116</v>
      </c>
      <c r="E258" s="1" t="s">
        <v>345</v>
      </c>
      <c r="F258" s="1" t="s">
        <v>72</v>
      </c>
      <c r="G258" s="1" t="s">
        <v>1016</v>
      </c>
      <c r="H258" s="5">
        <f t="shared" si="2"/>
        <v>0.2498</v>
      </c>
      <c r="I258" s="1" t="s">
        <v>1017</v>
      </c>
      <c r="J258" s="5">
        <f t="shared" si="3"/>
        <v>46.870565</v>
      </c>
      <c r="K258" s="1" t="s">
        <v>1018</v>
      </c>
      <c r="L258" s="5">
        <f t="shared" si="4"/>
        <v>0.0825</v>
      </c>
      <c r="M258" s="6" t="s">
        <v>291</v>
      </c>
      <c r="N258" s="5">
        <f t="shared" si="5"/>
        <v>0</v>
      </c>
    </row>
    <row r="259">
      <c r="A259" s="6" t="s">
        <v>183</v>
      </c>
      <c r="B259" s="6" t="s">
        <v>3552</v>
      </c>
      <c r="C259" s="5">
        <f t="shared" si="1"/>
        <v>5</v>
      </c>
      <c r="D259" s="1" t="s">
        <v>116</v>
      </c>
      <c r="E259" s="1" t="s">
        <v>345</v>
      </c>
      <c r="F259" s="1" t="s">
        <v>21</v>
      </c>
      <c r="G259" s="1" t="s">
        <v>1019</v>
      </c>
      <c r="H259" s="5">
        <f t="shared" si="2"/>
        <v>0.4852</v>
      </c>
      <c r="I259" s="1" t="s">
        <v>1020</v>
      </c>
      <c r="J259" s="5">
        <f t="shared" si="3"/>
        <v>215.208807</v>
      </c>
      <c r="K259" s="1" t="s">
        <v>1021</v>
      </c>
      <c r="L259" s="5">
        <f t="shared" si="4"/>
        <v>0.2426</v>
      </c>
      <c r="M259" s="6" t="s">
        <v>291</v>
      </c>
      <c r="N259" s="5">
        <f t="shared" si="5"/>
        <v>0</v>
      </c>
    </row>
    <row r="260">
      <c r="A260" s="6" t="s">
        <v>183</v>
      </c>
      <c r="B260" s="6" t="s">
        <v>3552</v>
      </c>
      <c r="C260" s="5">
        <f t="shared" si="1"/>
        <v>5</v>
      </c>
      <c r="D260" s="1" t="s">
        <v>116</v>
      </c>
      <c r="E260" s="1" t="s">
        <v>158</v>
      </c>
      <c r="F260" s="1" t="s">
        <v>17</v>
      </c>
      <c r="G260" s="1" t="s">
        <v>1022</v>
      </c>
      <c r="H260" s="5">
        <f t="shared" si="2"/>
        <v>0.0654</v>
      </c>
      <c r="I260" s="1" t="s">
        <v>1023</v>
      </c>
      <c r="J260" s="5">
        <f t="shared" si="3"/>
        <v>29.755378</v>
      </c>
      <c r="K260" s="1" t="s">
        <v>1024</v>
      </c>
      <c r="L260" s="5">
        <f t="shared" si="4"/>
        <v>0.0229</v>
      </c>
      <c r="M260" s="6" t="s">
        <v>291</v>
      </c>
      <c r="N260" s="5">
        <f t="shared" si="5"/>
        <v>0</v>
      </c>
    </row>
    <row r="261">
      <c r="A261" s="6" t="s">
        <v>183</v>
      </c>
      <c r="B261" s="6" t="s">
        <v>3552</v>
      </c>
      <c r="C261" s="5">
        <f t="shared" si="1"/>
        <v>5</v>
      </c>
      <c r="D261" s="1" t="s">
        <v>116</v>
      </c>
      <c r="E261" s="1" t="s">
        <v>158</v>
      </c>
      <c r="F261" s="1" t="s">
        <v>21</v>
      </c>
      <c r="G261" s="1" t="s">
        <v>1025</v>
      </c>
      <c r="H261" s="5">
        <f t="shared" si="2"/>
        <v>0.313</v>
      </c>
      <c r="I261" s="1" t="s">
        <v>1026</v>
      </c>
      <c r="J261" s="5">
        <f t="shared" si="3"/>
        <v>173.026412</v>
      </c>
      <c r="K261" s="1" t="s">
        <v>1027</v>
      </c>
      <c r="L261" s="5">
        <f t="shared" si="4"/>
        <v>0.1314</v>
      </c>
      <c r="M261" s="6" t="s">
        <v>291</v>
      </c>
      <c r="N261" s="5">
        <f t="shared" si="5"/>
        <v>0</v>
      </c>
    </row>
    <row r="262">
      <c r="A262" s="6" t="s">
        <v>183</v>
      </c>
      <c r="B262" s="6" t="s">
        <v>2521</v>
      </c>
      <c r="C262" s="5">
        <f t="shared" si="1"/>
        <v>6</v>
      </c>
      <c r="D262" s="1" t="s">
        <v>12</v>
      </c>
      <c r="E262" s="1" t="s">
        <v>13</v>
      </c>
      <c r="F262" s="1" t="s">
        <v>14</v>
      </c>
      <c r="G262" s="1" t="s">
        <v>1028</v>
      </c>
      <c r="H262" s="5">
        <f t="shared" si="2"/>
        <v>17.4455</v>
      </c>
      <c r="I262" s="1" t="s">
        <v>1029</v>
      </c>
      <c r="J262" s="5">
        <f t="shared" si="3"/>
        <v>1029.598821</v>
      </c>
      <c r="K262" s="6" t="s">
        <v>3612</v>
      </c>
      <c r="L262" s="5">
        <f t="shared" si="4"/>
        <v>3.6635</v>
      </c>
      <c r="M262" s="6" t="s">
        <v>3613</v>
      </c>
      <c r="N262" s="5">
        <f t="shared" si="5"/>
        <v>598</v>
      </c>
    </row>
    <row r="263">
      <c r="A263" s="6" t="s">
        <v>183</v>
      </c>
      <c r="B263" s="6" t="s">
        <v>2521</v>
      </c>
      <c r="C263" s="5">
        <f t="shared" si="1"/>
        <v>6</v>
      </c>
      <c r="D263" s="1" t="s">
        <v>12</v>
      </c>
      <c r="E263" s="1" t="s">
        <v>13</v>
      </c>
      <c r="F263" s="1" t="s">
        <v>17</v>
      </c>
      <c r="G263" s="1" t="s">
        <v>1030</v>
      </c>
      <c r="H263" s="5">
        <f t="shared" si="2"/>
        <v>45.0632</v>
      </c>
      <c r="I263" s="1" t="s">
        <v>1031</v>
      </c>
      <c r="J263" s="5">
        <f t="shared" si="3"/>
        <v>4036.583675</v>
      </c>
      <c r="K263" s="1" t="s">
        <v>1032</v>
      </c>
      <c r="L263" s="5">
        <f t="shared" si="4"/>
        <v>15.7722</v>
      </c>
      <c r="M263" s="6" t="s">
        <v>3614</v>
      </c>
      <c r="N263" s="5">
        <f t="shared" si="5"/>
        <v>719</v>
      </c>
    </row>
    <row r="264">
      <c r="A264" s="6" t="s">
        <v>183</v>
      </c>
      <c r="B264" s="6" t="s">
        <v>2521</v>
      </c>
      <c r="C264" s="5">
        <f t="shared" si="1"/>
        <v>6</v>
      </c>
      <c r="D264" s="1" t="s">
        <v>12</v>
      </c>
      <c r="E264" s="1" t="s">
        <v>13</v>
      </c>
      <c r="F264" s="1" t="s">
        <v>21</v>
      </c>
      <c r="G264" s="1" t="s">
        <v>1033</v>
      </c>
      <c r="H264" s="5">
        <f t="shared" si="2"/>
        <v>50.0413</v>
      </c>
      <c r="I264" s="1" t="s">
        <v>1034</v>
      </c>
      <c r="J264" s="5">
        <f t="shared" si="3"/>
        <v>5268.299434</v>
      </c>
      <c r="K264" s="1" t="s">
        <v>1035</v>
      </c>
      <c r="L264" s="5">
        <f t="shared" si="4"/>
        <v>25.0206</v>
      </c>
      <c r="M264" s="6" t="s">
        <v>3615</v>
      </c>
      <c r="N264" s="5">
        <f t="shared" si="5"/>
        <v>620</v>
      </c>
    </row>
    <row r="265">
      <c r="A265" s="6" t="s">
        <v>183</v>
      </c>
      <c r="B265" s="6" t="s">
        <v>2521</v>
      </c>
      <c r="C265" s="5">
        <f t="shared" si="1"/>
        <v>6</v>
      </c>
      <c r="D265" s="1" t="s">
        <v>12</v>
      </c>
      <c r="E265" s="1" t="s">
        <v>13</v>
      </c>
      <c r="F265" s="1" t="s">
        <v>25</v>
      </c>
      <c r="G265" s="1" t="s">
        <v>1036</v>
      </c>
      <c r="H265" s="5">
        <f t="shared" si="2"/>
        <v>2.063</v>
      </c>
      <c r="I265" s="1" t="s">
        <v>1037</v>
      </c>
      <c r="J265" s="5">
        <f t="shared" si="3"/>
        <v>213.294153</v>
      </c>
      <c r="K265" s="6" t="s">
        <v>3616</v>
      </c>
      <c r="L265" s="5">
        <f t="shared" si="4"/>
        <v>1.5473</v>
      </c>
      <c r="M265" s="6" t="s">
        <v>3557</v>
      </c>
      <c r="N265" s="5">
        <f t="shared" si="5"/>
        <v>22</v>
      </c>
    </row>
    <row r="266">
      <c r="A266" s="6" t="s">
        <v>183</v>
      </c>
      <c r="B266" s="6" t="s">
        <v>2521</v>
      </c>
      <c r="C266" s="5">
        <f t="shared" si="1"/>
        <v>6</v>
      </c>
      <c r="D266" s="1" t="s">
        <v>12</v>
      </c>
      <c r="E266" s="1" t="s">
        <v>29</v>
      </c>
      <c r="F266" s="1" t="s">
        <v>21</v>
      </c>
      <c r="G266" s="1" t="s">
        <v>1038</v>
      </c>
      <c r="H266" s="5">
        <f t="shared" si="2"/>
        <v>13.2913</v>
      </c>
      <c r="I266" s="1" t="s">
        <v>1039</v>
      </c>
      <c r="J266" s="5">
        <f t="shared" si="3"/>
        <v>2643.416951</v>
      </c>
      <c r="K266" s="6" t="s">
        <v>3617</v>
      </c>
      <c r="L266" s="5">
        <f t="shared" si="4"/>
        <v>5.3166</v>
      </c>
      <c r="M266" s="6" t="s">
        <v>2956</v>
      </c>
      <c r="N266" s="5">
        <f t="shared" si="5"/>
        <v>580</v>
      </c>
    </row>
    <row r="267">
      <c r="A267" s="6" t="s">
        <v>183</v>
      </c>
      <c r="B267" s="6" t="s">
        <v>2521</v>
      </c>
      <c r="C267" s="5">
        <f t="shared" si="1"/>
        <v>6</v>
      </c>
      <c r="D267" s="1" t="s">
        <v>12</v>
      </c>
      <c r="E267" s="1" t="s">
        <v>32</v>
      </c>
      <c r="F267" s="1" t="s">
        <v>14</v>
      </c>
      <c r="G267" s="6" t="s">
        <v>3618</v>
      </c>
      <c r="H267" s="5">
        <f t="shared" si="2"/>
        <v>10.7218</v>
      </c>
      <c r="I267" s="1" t="s">
        <v>1040</v>
      </c>
      <c r="J267" s="5">
        <f t="shared" si="3"/>
        <v>622.228998</v>
      </c>
      <c r="K267" s="6" t="s">
        <v>3619</v>
      </c>
      <c r="L267" s="5">
        <f t="shared" si="4"/>
        <v>2.4661</v>
      </c>
      <c r="M267" s="6" t="s">
        <v>3620</v>
      </c>
      <c r="N267" s="5">
        <f t="shared" si="5"/>
        <v>490</v>
      </c>
    </row>
    <row r="268">
      <c r="A268" s="6" t="s">
        <v>183</v>
      </c>
      <c r="B268" s="6" t="s">
        <v>2521</v>
      </c>
      <c r="C268" s="5">
        <f t="shared" si="1"/>
        <v>6</v>
      </c>
      <c r="D268" s="1" t="s">
        <v>12</v>
      </c>
      <c r="E268" s="1" t="s">
        <v>32</v>
      </c>
      <c r="F268" s="1" t="s">
        <v>21</v>
      </c>
      <c r="G268" s="6" t="s">
        <v>1041</v>
      </c>
      <c r="H268" s="5">
        <f t="shared" si="2"/>
        <v>1.0215</v>
      </c>
      <c r="I268" s="1" t="s">
        <v>1042</v>
      </c>
      <c r="J268" s="5">
        <f t="shared" si="3"/>
        <v>160.392984</v>
      </c>
      <c r="K268" s="1" t="s">
        <v>1043</v>
      </c>
      <c r="L268" s="5">
        <f t="shared" si="4"/>
        <v>0.4597</v>
      </c>
      <c r="M268" s="6" t="s">
        <v>2663</v>
      </c>
      <c r="N268" s="5">
        <f t="shared" si="5"/>
        <v>222</v>
      </c>
    </row>
    <row r="269">
      <c r="A269" s="6" t="s">
        <v>183</v>
      </c>
      <c r="B269" s="6" t="s">
        <v>2521</v>
      </c>
      <c r="C269" s="5">
        <f t="shared" si="1"/>
        <v>6</v>
      </c>
      <c r="D269" s="1" t="s">
        <v>12</v>
      </c>
      <c r="E269" s="1" t="s">
        <v>42</v>
      </c>
      <c r="F269" s="1" t="s">
        <v>17</v>
      </c>
      <c r="G269" s="6" t="s">
        <v>3622</v>
      </c>
      <c r="H269" s="5">
        <f t="shared" si="2"/>
        <v>2.7663</v>
      </c>
      <c r="I269" s="1" t="s">
        <v>1044</v>
      </c>
      <c r="J269" s="5">
        <f t="shared" si="3"/>
        <v>391.482226</v>
      </c>
      <c r="K269" s="6" t="s">
        <v>1045</v>
      </c>
      <c r="L269" s="5">
        <f t="shared" si="4"/>
        <v>1.0235</v>
      </c>
      <c r="M269" s="6" t="s">
        <v>2675</v>
      </c>
      <c r="N269" s="5">
        <f t="shared" si="5"/>
        <v>150</v>
      </c>
    </row>
    <row r="270">
      <c r="A270" s="6" t="s">
        <v>183</v>
      </c>
      <c r="B270" s="6" t="s">
        <v>2521</v>
      </c>
      <c r="C270" s="5">
        <f t="shared" si="1"/>
        <v>6</v>
      </c>
      <c r="D270" s="1" t="s">
        <v>12</v>
      </c>
      <c r="E270" s="1" t="s">
        <v>38</v>
      </c>
      <c r="F270" s="1" t="s">
        <v>39</v>
      </c>
      <c r="G270" s="1" t="s">
        <v>1046</v>
      </c>
      <c r="H270" s="5">
        <f t="shared" si="2"/>
        <v>3.937</v>
      </c>
      <c r="I270" s="1" t="s">
        <v>1047</v>
      </c>
      <c r="J270" s="5">
        <f t="shared" si="3"/>
        <v>360.477244</v>
      </c>
      <c r="K270" s="1" t="s">
        <v>1048</v>
      </c>
      <c r="L270" s="5">
        <f t="shared" si="4"/>
        <v>0.7087</v>
      </c>
      <c r="M270" s="6" t="s">
        <v>3624</v>
      </c>
      <c r="N270" s="5">
        <f t="shared" si="5"/>
        <v>98</v>
      </c>
    </row>
    <row r="271">
      <c r="A271" s="6" t="s">
        <v>183</v>
      </c>
      <c r="B271" s="6" t="s">
        <v>2521</v>
      </c>
      <c r="C271" s="5">
        <f t="shared" si="1"/>
        <v>6</v>
      </c>
      <c r="D271" s="1" t="s">
        <v>12</v>
      </c>
      <c r="E271" s="1" t="s">
        <v>45</v>
      </c>
      <c r="F271" s="1" t="s">
        <v>17</v>
      </c>
      <c r="G271" s="6" t="s">
        <v>1049</v>
      </c>
      <c r="H271" s="5">
        <f t="shared" si="2"/>
        <v>2.1413</v>
      </c>
      <c r="I271" s="1" t="s">
        <v>1050</v>
      </c>
      <c r="J271" s="5">
        <f t="shared" si="3"/>
        <v>156.110209</v>
      </c>
      <c r="K271" s="1" t="s">
        <v>1051</v>
      </c>
      <c r="L271" s="5">
        <f t="shared" si="4"/>
        <v>0.7709</v>
      </c>
      <c r="M271" s="6" t="s">
        <v>587</v>
      </c>
      <c r="N271" s="5">
        <f t="shared" si="5"/>
        <v>100</v>
      </c>
    </row>
    <row r="272">
      <c r="A272" s="6" t="s">
        <v>183</v>
      </c>
      <c r="B272" s="6" t="s">
        <v>2521</v>
      </c>
      <c r="C272" s="5">
        <f t="shared" si="1"/>
        <v>6</v>
      </c>
      <c r="D272" s="1" t="s">
        <v>12</v>
      </c>
      <c r="E272" s="1" t="s">
        <v>56</v>
      </c>
      <c r="F272" s="1" t="s">
        <v>21</v>
      </c>
      <c r="G272" s="1" t="s">
        <v>1052</v>
      </c>
      <c r="H272" s="5">
        <f t="shared" si="2"/>
        <v>0.5585</v>
      </c>
      <c r="I272" s="1" t="s">
        <v>1053</v>
      </c>
      <c r="J272" s="5">
        <f t="shared" si="3"/>
        <v>117.64838</v>
      </c>
      <c r="K272" s="1" t="s">
        <v>1054</v>
      </c>
      <c r="L272" s="5">
        <f t="shared" si="4"/>
        <v>0.2234</v>
      </c>
      <c r="M272" s="6" t="s">
        <v>3626</v>
      </c>
      <c r="N272" s="5">
        <f t="shared" si="5"/>
        <v>164</v>
      </c>
    </row>
    <row r="273">
      <c r="A273" s="6" t="s">
        <v>183</v>
      </c>
      <c r="B273" s="6" t="s">
        <v>2521</v>
      </c>
      <c r="C273" s="5">
        <f t="shared" si="1"/>
        <v>6</v>
      </c>
      <c r="D273" s="1" t="s">
        <v>12</v>
      </c>
      <c r="E273" s="1" t="s">
        <v>48</v>
      </c>
      <c r="F273" s="1" t="s">
        <v>49</v>
      </c>
      <c r="G273" s="1" t="s">
        <v>931</v>
      </c>
      <c r="H273" s="5">
        <f t="shared" si="2"/>
        <v>0.0048</v>
      </c>
      <c r="I273" s="1" t="s">
        <v>1055</v>
      </c>
      <c r="J273" s="5">
        <f t="shared" si="3"/>
        <v>1.560646</v>
      </c>
      <c r="K273" s="1" t="s">
        <v>1056</v>
      </c>
      <c r="L273" s="5">
        <f t="shared" si="4"/>
        <v>0.0014</v>
      </c>
      <c r="M273" s="6" t="s">
        <v>273</v>
      </c>
      <c r="N273" s="5">
        <f t="shared" si="5"/>
        <v>4</v>
      </c>
    </row>
    <row r="274">
      <c r="A274" s="6" t="s">
        <v>183</v>
      </c>
      <c r="B274" s="6" t="s">
        <v>2521</v>
      </c>
      <c r="C274" s="5">
        <f t="shared" si="1"/>
        <v>6</v>
      </c>
      <c r="D274" s="1" t="s">
        <v>12</v>
      </c>
      <c r="E274" s="1" t="s">
        <v>48</v>
      </c>
      <c r="F274" s="1" t="s">
        <v>21</v>
      </c>
      <c r="G274" s="1" t="s">
        <v>1057</v>
      </c>
      <c r="H274" s="5">
        <f t="shared" si="2"/>
        <v>0.7672</v>
      </c>
      <c r="I274" s="1" t="s">
        <v>1058</v>
      </c>
      <c r="J274" s="5">
        <f t="shared" si="3"/>
        <v>92.905343</v>
      </c>
      <c r="K274" s="1" t="s">
        <v>1059</v>
      </c>
      <c r="L274" s="5">
        <f t="shared" si="4"/>
        <v>0.3069</v>
      </c>
      <c r="M274" s="6" t="s">
        <v>2932</v>
      </c>
      <c r="N274" s="5">
        <f t="shared" si="5"/>
        <v>117</v>
      </c>
    </row>
    <row r="275">
      <c r="A275" s="6" t="s">
        <v>183</v>
      </c>
      <c r="B275" s="6" t="s">
        <v>2521</v>
      </c>
      <c r="C275" s="5">
        <f t="shared" si="1"/>
        <v>6</v>
      </c>
      <c r="D275" s="1" t="s">
        <v>12</v>
      </c>
      <c r="E275" s="1" t="s">
        <v>147</v>
      </c>
      <c r="F275" s="1" t="s">
        <v>39</v>
      </c>
      <c r="G275" s="6" t="s">
        <v>1060</v>
      </c>
      <c r="H275" s="5">
        <f t="shared" si="2"/>
        <v>1.1305</v>
      </c>
      <c r="I275" s="1" t="s">
        <v>1061</v>
      </c>
      <c r="J275" s="5">
        <f t="shared" si="3"/>
        <v>55.474507</v>
      </c>
      <c r="K275" s="1" t="s">
        <v>1062</v>
      </c>
      <c r="L275" s="5">
        <f t="shared" si="4"/>
        <v>0.2148</v>
      </c>
      <c r="M275" s="6" t="s">
        <v>3629</v>
      </c>
      <c r="N275" s="5">
        <f t="shared" si="5"/>
        <v>82</v>
      </c>
    </row>
    <row r="276">
      <c r="A276" s="6" t="s">
        <v>183</v>
      </c>
      <c r="B276" s="6" t="s">
        <v>2521</v>
      </c>
      <c r="C276" s="5">
        <f t="shared" si="1"/>
        <v>6</v>
      </c>
      <c r="D276" s="1" t="s">
        <v>12</v>
      </c>
      <c r="E276" s="1" t="s">
        <v>147</v>
      </c>
      <c r="F276" s="1" t="s">
        <v>17</v>
      </c>
      <c r="G276" s="1" t="s">
        <v>73</v>
      </c>
      <c r="H276" s="5">
        <f t="shared" si="2"/>
        <v>0.0013</v>
      </c>
      <c r="I276" s="1" t="s">
        <v>1063</v>
      </c>
      <c r="J276" s="5">
        <f t="shared" si="3"/>
        <v>0.425287</v>
      </c>
      <c r="K276" s="1" t="s">
        <v>674</v>
      </c>
      <c r="L276" s="5">
        <f t="shared" si="4"/>
        <v>0.0005</v>
      </c>
      <c r="M276" s="6" t="s">
        <v>186</v>
      </c>
      <c r="N276" s="5">
        <f t="shared" si="5"/>
        <v>1</v>
      </c>
    </row>
    <row r="277">
      <c r="A277" s="6" t="s">
        <v>183</v>
      </c>
      <c r="B277" s="6" t="s">
        <v>2521</v>
      </c>
      <c r="C277" s="5">
        <f t="shared" si="1"/>
        <v>6</v>
      </c>
      <c r="D277" s="1" t="s">
        <v>12</v>
      </c>
      <c r="E277" s="1" t="s">
        <v>848</v>
      </c>
      <c r="F277" s="1" t="s">
        <v>21</v>
      </c>
      <c r="G277" s="1" t="s">
        <v>1064</v>
      </c>
      <c r="H277" s="5">
        <f t="shared" si="2"/>
        <v>0.211</v>
      </c>
      <c r="I277" s="1" t="s">
        <v>1065</v>
      </c>
      <c r="J277" s="5">
        <f t="shared" si="3"/>
        <v>44.131594</v>
      </c>
      <c r="K277" s="1" t="s">
        <v>297</v>
      </c>
      <c r="L277" s="5">
        <f t="shared" si="4"/>
        <v>0.0843</v>
      </c>
      <c r="M277" s="6" t="s">
        <v>291</v>
      </c>
      <c r="N277" s="5">
        <f t="shared" si="5"/>
        <v>0</v>
      </c>
    </row>
    <row r="278">
      <c r="A278" s="6" t="s">
        <v>183</v>
      </c>
      <c r="B278" s="6" t="s">
        <v>2521</v>
      </c>
      <c r="C278" s="5">
        <f t="shared" si="1"/>
        <v>6</v>
      </c>
      <c r="D278" s="1" t="s">
        <v>68</v>
      </c>
      <c r="E278" s="1" t="s">
        <v>13</v>
      </c>
      <c r="F278" s="1" t="s">
        <v>14</v>
      </c>
      <c r="G278" s="1" t="s">
        <v>1066</v>
      </c>
      <c r="H278" s="5">
        <f t="shared" si="2"/>
        <v>45.3431</v>
      </c>
      <c r="I278" s="1" t="s">
        <v>1067</v>
      </c>
      <c r="J278" s="5">
        <f t="shared" si="3"/>
        <v>3056.350782</v>
      </c>
      <c r="K278" s="1" t="s">
        <v>1068</v>
      </c>
      <c r="L278" s="5">
        <f t="shared" si="4"/>
        <v>9.522</v>
      </c>
      <c r="M278" s="6" t="s">
        <v>3631</v>
      </c>
      <c r="N278" s="5">
        <f t="shared" si="5"/>
        <v>7767</v>
      </c>
    </row>
    <row r="279">
      <c r="A279" s="6" t="s">
        <v>183</v>
      </c>
      <c r="B279" s="6" t="s">
        <v>2521</v>
      </c>
      <c r="C279" s="5">
        <f t="shared" si="1"/>
        <v>6</v>
      </c>
      <c r="D279" s="1" t="s">
        <v>68</v>
      </c>
      <c r="E279" s="1" t="s">
        <v>13</v>
      </c>
      <c r="F279" s="1" t="s">
        <v>72</v>
      </c>
      <c r="G279" s="1" t="s">
        <v>73</v>
      </c>
      <c r="H279" s="5">
        <f t="shared" si="2"/>
        <v>0.0013</v>
      </c>
      <c r="I279" s="1" t="s">
        <v>1069</v>
      </c>
      <c r="J279" s="5">
        <f t="shared" si="3"/>
        <v>0.142293</v>
      </c>
      <c r="K279" s="1" t="s">
        <v>75</v>
      </c>
      <c r="L279" s="5">
        <f t="shared" si="4"/>
        <v>0.0004</v>
      </c>
      <c r="M279" s="6" t="s">
        <v>397</v>
      </c>
      <c r="N279" s="5">
        <f t="shared" si="5"/>
        <v>2</v>
      </c>
    </row>
    <row r="280">
      <c r="A280" s="6" t="s">
        <v>183</v>
      </c>
      <c r="B280" s="6" t="s">
        <v>2521</v>
      </c>
      <c r="C280" s="5">
        <f t="shared" si="1"/>
        <v>6</v>
      </c>
      <c r="D280" s="1" t="s">
        <v>68</v>
      </c>
      <c r="E280" s="1" t="s">
        <v>13</v>
      </c>
      <c r="F280" s="1" t="s">
        <v>17</v>
      </c>
      <c r="G280" s="1" t="s">
        <v>1070</v>
      </c>
      <c r="H280" s="5">
        <f t="shared" si="2"/>
        <v>76.6523</v>
      </c>
      <c r="I280" s="1" t="s">
        <v>1071</v>
      </c>
      <c r="J280" s="5">
        <f t="shared" si="3"/>
        <v>6777.613965</v>
      </c>
      <c r="K280" s="1" t="s">
        <v>1072</v>
      </c>
      <c r="L280" s="5">
        <f t="shared" si="4"/>
        <v>26.8282</v>
      </c>
      <c r="M280" s="6" t="s">
        <v>3633</v>
      </c>
      <c r="N280" s="5">
        <f t="shared" si="5"/>
        <v>8911</v>
      </c>
    </row>
    <row r="281">
      <c r="A281" s="6" t="s">
        <v>183</v>
      </c>
      <c r="B281" s="6" t="s">
        <v>2521</v>
      </c>
      <c r="C281" s="5">
        <f t="shared" si="1"/>
        <v>6</v>
      </c>
      <c r="D281" s="1" t="s">
        <v>68</v>
      </c>
      <c r="E281" s="1" t="s">
        <v>13</v>
      </c>
      <c r="F281" s="1" t="s">
        <v>21</v>
      </c>
      <c r="G281" s="6" t="s">
        <v>3634</v>
      </c>
      <c r="H281" s="5">
        <f t="shared" si="2"/>
        <v>5.9658</v>
      </c>
      <c r="I281" s="1" t="s">
        <v>1073</v>
      </c>
      <c r="J281" s="5">
        <f t="shared" si="3"/>
        <v>822.030462</v>
      </c>
      <c r="K281" s="6" t="s">
        <v>3635</v>
      </c>
      <c r="L281" s="5">
        <f t="shared" si="4"/>
        <v>2.9829</v>
      </c>
      <c r="M281" s="6" t="s">
        <v>3636</v>
      </c>
      <c r="N281" s="5">
        <f t="shared" si="5"/>
        <v>1480</v>
      </c>
    </row>
    <row r="282">
      <c r="A282" s="6" t="s">
        <v>183</v>
      </c>
      <c r="B282" s="6" t="s">
        <v>2521</v>
      </c>
      <c r="C282" s="5">
        <f t="shared" si="1"/>
        <v>6</v>
      </c>
      <c r="D282" s="1" t="s">
        <v>68</v>
      </c>
      <c r="E282" s="1" t="s">
        <v>13</v>
      </c>
      <c r="F282" s="1" t="s">
        <v>25</v>
      </c>
      <c r="G282" s="1" t="s">
        <v>1074</v>
      </c>
      <c r="H282" s="5">
        <f t="shared" si="2"/>
        <v>0.4157</v>
      </c>
      <c r="I282" s="1" t="s">
        <v>1075</v>
      </c>
      <c r="J282" s="5">
        <f t="shared" si="3"/>
        <v>66.62911</v>
      </c>
      <c r="K282" s="1" t="s">
        <v>1076</v>
      </c>
      <c r="L282" s="5">
        <f t="shared" si="4"/>
        <v>0.3118</v>
      </c>
      <c r="M282" s="6" t="s">
        <v>3638</v>
      </c>
      <c r="N282" s="5">
        <f t="shared" si="5"/>
        <v>308</v>
      </c>
    </row>
    <row r="283">
      <c r="A283" s="6" t="s">
        <v>183</v>
      </c>
      <c r="B283" s="6" t="s">
        <v>2521</v>
      </c>
      <c r="C283" s="5">
        <f t="shared" si="1"/>
        <v>6</v>
      </c>
      <c r="D283" s="1" t="s">
        <v>68</v>
      </c>
      <c r="E283" s="1" t="s">
        <v>29</v>
      </c>
      <c r="F283" s="1" t="s">
        <v>21</v>
      </c>
      <c r="G283" s="6" t="s">
        <v>3640</v>
      </c>
      <c r="H283" s="5">
        <f t="shared" si="2"/>
        <v>5.8056</v>
      </c>
      <c r="I283" s="1" t="s">
        <v>1077</v>
      </c>
      <c r="J283" s="5">
        <f t="shared" si="3"/>
        <v>1161.256081</v>
      </c>
      <c r="K283" s="6" t="s">
        <v>3641</v>
      </c>
      <c r="L283" s="5">
        <f t="shared" si="4"/>
        <v>2.3222</v>
      </c>
      <c r="M283" s="6" t="s">
        <v>3642</v>
      </c>
      <c r="N283" s="5">
        <f t="shared" si="5"/>
        <v>1295</v>
      </c>
    </row>
    <row r="284">
      <c r="A284" s="6" t="s">
        <v>183</v>
      </c>
      <c r="B284" s="6" t="s">
        <v>2521</v>
      </c>
      <c r="C284" s="5">
        <f t="shared" si="1"/>
        <v>6</v>
      </c>
      <c r="D284" s="1" t="s">
        <v>68</v>
      </c>
      <c r="E284" s="1" t="s">
        <v>45</v>
      </c>
      <c r="F284" s="1" t="s">
        <v>17</v>
      </c>
      <c r="G284" s="1" t="s">
        <v>1078</v>
      </c>
      <c r="H284" s="5">
        <f t="shared" si="2"/>
        <v>18.7903</v>
      </c>
      <c r="I284" s="1" t="s">
        <v>1079</v>
      </c>
      <c r="J284" s="5">
        <f t="shared" si="3"/>
        <v>1016.720657</v>
      </c>
      <c r="K284" s="6" t="s">
        <v>3643</v>
      </c>
      <c r="L284" s="5">
        <f t="shared" si="4"/>
        <v>6.7645</v>
      </c>
      <c r="M284" s="6" t="s">
        <v>3644</v>
      </c>
      <c r="N284" s="5">
        <f t="shared" si="5"/>
        <v>2074</v>
      </c>
    </row>
    <row r="285">
      <c r="A285" s="6" t="s">
        <v>183</v>
      </c>
      <c r="B285" s="6" t="s">
        <v>2521</v>
      </c>
      <c r="C285" s="5">
        <f t="shared" si="1"/>
        <v>6</v>
      </c>
      <c r="D285" s="1" t="s">
        <v>68</v>
      </c>
      <c r="E285" s="1" t="s">
        <v>32</v>
      </c>
      <c r="F285" s="1" t="s">
        <v>14</v>
      </c>
      <c r="G285" s="6" t="s">
        <v>3645</v>
      </c>
      <c r="H285" s="5">
        <f t="shared" si="2"/>
        <v>3.3244</v>
      </c>
      <c r="I285" s="1" t="s">
        <v>1080</v>
      </c>
      <c r="J285" s="5">
        <f t="shared" si="3"/>
        <v>262.774193</v>
      </c>
      <c r="K285" s="1" t="s">
        <v>1081</v>
      </c>
      <c r="L285" s="5">
        <f t="shared" si="4"/>
        <v>0.7646</v>
      </c>
      <c r="M285" s="6" t="s">
        <v>3646</v>
      </c>
      <c r="N285" s="5">
        <f t="shared" si="5"/>
        <v>1783</v>
      </c>
    </row>
    <row r="286">
      <c r="A286" s="6" t="s">
        <v>183</v>
      </c>
      <c r="B286" s="6" t="s">
        <v>2521</v>
      </c>
      <c r="C286" s="5">
        <f t="shared" si="1"/>
        <v>6</v>
      </c>
      <c r="D286" s="1" t="s">
        <v>68</v>
      </c>
      <c r="E286" s="1" t="s">
        <v>32</v>
      </c>
      <c r="F286" s="1" t="s">
        <v>21</v>
      </c>
      <c r="G286" s="1" t="s">
        <v>1082</v>
      </c>
      <c r="H286" s="5">
        <f t="shared" si="2"/>
        <v>0.5825</v>
      </c>
      <c r="I286" s="1" t="s">
        <v>1083</v>
      </c>
      <c r="J286" s="5">
        <f t="shared" si="3"/>
        <v>119.821694</v>
      </c>
      <c r="K286" s="1" t="s">
        <v>1084</v>
      </c>
      <c r="L286" s="5">
        <f t="shared" si="4"/>
        <v>0.2621</v>
      </c>
      <c r="M286" s="6" t="s">
        <v>3648</v>
      </c>
      <c r="N286" s="5">
        <f t="shared" si="5"/>
        <v>235</v>
      </c>
    </row>
    <row r="287">
      <c r="A287" s="6" t="s">
        <v>183</v>
      </c>
      <c r="B287" s="6" t="s">
        <v>2521</v>
      </c>
      <c r="C287" s="5">
        <f t="shared" si="1"/>
        <v>6</v>
      </c>
      <c r="D287" s="1" t="s">
        <v>68</v>
      </c>
      <c r="E287" s="1" t="s">
        <v>42</v>
      </c>
      <c r="F287" s="1" t="s">
        <v>17</v>
      </c>
      <c r="G287" s="6" t="s">
        <v>3649</v>
      </c>
      <c r="H287" s="5">
        <f t="shared" si="2"/>
        <v>1.3844</v>
      </c>
      <c r="I287" s="1" t="s">
        <v>1085</v>
      </c>
      <c r="J287" s="5">
        <f t="shared" si="3"/>
        <v>236.517256</v>
      </c>
      <c r="K287" s="1" t="s">
        <v>1086</v>
      </c>
      <c r="L287" s="5">
        <f t="shared" si="4"/>
        <v>0.5123</v>
      </c>
      <c r="M287" s="6" t="s">
        <v>3650</v>
      </c>
      <c r="N287" s="5">
        <f t="shared" si="5"/>
        <v>320</v>
      </c>
    </row>
    <row r="288">
      <c r="A288" s="6" t="s">
        <v>183</v>
      </c>
      <c r="B288" s="6" t="s">
        <v>2521</v>
      </c>
      <c r="C288" s="5">
        <f t="shared" si="1"/>
        <v>6</v>
      </c>
      <c r="D288" s="1" t="s">
        <v>68</v>
      </c>
      <c r="E288" s="1" t="s">
        <v>38</v>
      </c>
      <c r="F288" s="1" t="s">
        <v>39</v>
      </c>
      <c r="G288" s="1" t="s">
        <v>1087</v>
      </c>
      <c r="H288" s="5">
        <f t="shared" si="2"/>
        <v>1.34</v>
      </c>
      <c r="I288" s="1" t="s">
        <v>1088</v>
      </c>
      <c r="J288" s="5">
        <f t="shared" si="3"/>
        <v>120.12206</v>
      </c>
      <c r="K288" s="1" t="s">
        <v>1089</v>
      </c>
      <c r="L288" s="5">
        <f t="shared" si="4"/>
        <v>0.2412</v>
      </c>
      <c r="M288" s="6" t="s">
        <v>3651</v>
      </c>
      <c r="N288" s="5">
        <f t="shared" si="5"/>
        <v>367</v>
      </c>
    </row>
    <row r="289">
      <c r="A289" s="6" t="s">
        <v>183</v>
      </c>
      <c r="B289" s="6" t="s">
        <v>2521</v>
      </c>
      <c r="C289" s="5">
        <f t="shared" si="1"/>
        <v>6</v>
      </c>
      <c r="D289" s="1" t="s">
        <v>68</v>
      </c>
      <c r="E289" s="1" t="s">
        <v>465</v>
      </c>
      <c r="F289" s="1" t="s">
        <v>21</v>
      </c>
      <c r="G289" s="1" t="s">
        <v>1090</v>
      </c>
      <c r="H289" s="5">
        <f t="shared" si="2"/>
        <v>0.8894</v>
      </c>
      <c r="I289" s="1" t="s">
        <v>1091</v>
      </c>
      <c r="J289" s="5">
        <f t="shared" si="3"/>
        <v>92.652783</v>
      </c>
      <c r="K289" s="1" t="s">
        <v>1092</v>
      </c>
      <c r="L289" s="5">
        <f t="shared" si="4"/>
        <v>0.4446</v>
      </c>
      <c r="M289" s="6" t="s">
        <v>3652</v>
      </c>
      <c r="N289" s="5">
        <f t="shared" si="5"/>
        <v>608</v>
      </c>
    </row>
    <row r="290">
      <c r="A290" s="6" t="s">
        <v>183</v>
      </c>
      <c r="B290" s="6" t="s">
        <v>2521</v>
      </c>
      <c r="C290" s="5">
        <f t="shared" si="1"/>
        <v>6</v>
      </c>
      <c r="D290" s="1" t="s">
        <v>68</v>
      </c>
      <c r="E290" s="1" t="s">
        <v>48</v>
      </c>
      <c r="F290" s="1" t="s">
        <v>49</v>
      </c>
      <c r="G290" s="1" t="s">
        <v>396</v>
      </c>
      <c r="H290" s="5">
        <f t="shared" si="2"/>
        <v>0.0027</v>
      </c>
      <c r="I290" s="1" t="s">
        <v>1093</v>
      </c>
      <c r="J290" s="5">
        <f t="shared" si="3"/>
        <v>1.081717</v>
      </c>
      <c r="K290" s="1" t="s">
        <v>414</v>
      </c>
      <c r="L290" s="5">
        <f t="shared" si="4"/>
        <v>0.0007</v>
      </c>
      <c r="M290" s="6" t="s">
        <v>397</v>
      </c>
      <c r="N290" s="5">
        <f t="shared" si="5"/>
        <v>2</v>
      </c>
    </row>
    <row r="291">
      <c r="A291" s="6" t="s">
        <v>183</v>
      </c>
      <c r="B291" s="6" t="s">
        <v>2521</v>
      </c>
      <c r="C291" s="5">
        <f t="shared" si="1"/>
        <v>6</v>
      </c>
      <c r="D291" s="1" t="s">
        <v>68</v>
      </c>
      <c r="E291" s="1" t="s">
        <v>48</v>
      </c>
      <c r="F291" s="1" t="s">
        <v>21</v>
      </c>
      <c r="G291" s="1" t="s">
        <v>1094</v>
      </c>
      <c r="H291" s="5">
        <f t="shared" si="2"/>
        <v>0.5157</v>
      </c>
      <c r="I291" s="1" t="s">
        <v>1095</v>
      </c>
      <c r="J291" s="5">
        <f t="shared" si="3"/>
        <v>56.30877</v>
      </c>
      <c r="K291" s="1" t="s">
        <v>1096</v>
      </c>
      <c r="L291" s="5">
        <f t="shared" si="4"/>
        <v>0.2063</v>
      </c>
      <c r="M291" s="6" t="s">
        <v>3653</v>
      </c>
      <c r="N291" s="5">
        <f t="shared" si="5"/>
        <v>338</v>
      </c>
    </row>
    <row r="292">
      <c r="A292" s="6" t="s">
        <v>183</v>
      </c>
      <c r="B292" s="6" t="s">
        <v>2521</v>
      </c>
      <c r="C292" s="5">
        <f t="shared" si="1"/>
        <v>6</v>
      </c>
      <c r="D292" s="1" t="s">
        <v>68</v>
      </c>
      <c r="E292" s="1" t="s">
        <v>108</v>
      </c>
      <c r="F292" s="1" t="s">
        <v>49</v>
      </c>
      <c r="G292" s="6" t="s">
        <v>1097</v>
      </c>
      <c r="H292" s="5">
        <f t="shared" si="2"/>
        <v>1.0837</v>
      </c>
      <c r="I292" s="1" t="s">
        <v>1098</v>
      </c>
      <c r="J292" s="5">
        <f t="shared" si="3"/>
        <v>49.519426</v>
      </c>
      <c r="K292" s="1" t="s">
        <v>1099</v>
      </c>
      <c r="L292" s="5">
        <f t="shared" si="4"/>
        <v>0.3034</v>
      </c>
      <c r="M292" s="6" t="s">
        <v>3654</v>
      </c>
      <c r="N292" s="5">
        <f t="shared" si="5"/>
        <v>701</v>
      </c>
    </row>
    <row r="293">
      <c r="A293" s="6" t="s">
        <v>183</v>
      </c>
      <c r="B293" s="6" t="s">
        <v>2521</v>
      </c>
      <c r="C293" s="5">
        <f t="shared" si="1"/>
        <v>6</v>
      </c>
      <c r="D293" s="1" t="s">
        <v>68</v>
      </c>
      <c r="E293" s="1" t="s">
        <v>112</v>
      </c>
      <c r="F293" s="1" t="s">
        <v>21</v>
      </c>
      <c r="G293" s="1" t="s">
        <v>1100</v>
      </c>
      <c r="H293" s="5">
        <f t="shared" si="2"/>
        <v>0.5387</v>
      </c>
      <c r="I293" s="1" t="s">
        <v>1101</v>
      </c>
      <c r="J293" s="5">
        <f t="shared" si="3"/>
        <v>47.024197</v>
      </c>
      <c r="K293" s="1" t="s">
        <v>1102</v>
      </c>
      <c r="L293" s="5">
        <f t="shared" si="4"/>
        <v>0.2693</v>
      </c>
      <c r="M293" s="6" t="s">
        <v>2664</v>
      </c>
      <c r="N293" s="5">
        <f t="shared" si="5"/>
        <v>121</v>
      </c>
    </row>
    <row r="294">
      <c r="A294" s="6" t="s">
        <v>183</v>
      </c>
      <c r="B294" s="6" t="s">
        <v>2521</v>
      </c>
      <c r="C294" s="5">
        <f t="shared" si="1"/>
        <v>6</v>
      </c>
      <c r="D294" s="1" t="s">
        <v>116</v>
      </c>
      <c r="E294" s="1" t="s">
        <v>13</v>
      </c>
      <c r="F294" s="1" t="s">
        <v>14</v>
      </c>
      <c r="G294" s="1" t="s">
        <v>1103</v>
      </c>
      <c r="H294" s="5">
        <f t="shared" si="2"/>
        <v>75.9334</v>
      </c>
      <c r="I294" s="1" t="s">
        <v>1104</v>
      </c>
      <c r="J294" s="5">
        <f t="shared" si="3"/>
        <v>4901.720639</v>
      </c>
      <c r="K294" s="1" t="s">
        <v>1105</v>
      </c>
      <c r="L294" s="5">
        <f t="shared" si="4"/>
        <v>15.946</v>
      </c>
      <c r="M294" s="6" t="s">
        <v>3655</v>
      </c>
      <c r="N294" s="5">
        <f t="shared" si="5"/>
        <v>10036</v>
      </c>
    </row>
    <row r="295">
      <c r="A295" s="6" t="s">
        <v>183</v>
      </c>
      <c r="B295" s="6" t="s">
        <v>2521</v>
      </c>
      <c r="C295" s="5">
        <f t="shared" si="1"/>
        <v>6</v>
      </c>
      <c r="D295" s="1" t="s">
        <v>116</v>
      </c>
      <c r="E295" s="1" t="s">
        <v>13</v>
      </c>
      <c r="F295" s="1" t="s">
        <v>17</v>
      </c>
      <c r="G295" s="1" t="s">
        <v>1106</v>
      </c>
      <c r="H295" s="5">
        <f t="shared" si="2"/>
        <v>96.8199</v>
      </c>
      <c r="I295" s="1" t="s">
        <v>1107</v>
      </c>
      <c r="J295" s="5">
        <f t="shared" si="3"/>
        <v>7862.024497</v>
      </c>
      <c r="K295" s="1" t="s">
        <v>1108</v>
      </c>
      <c r="L295" s="5">
        <f t="shared" si="4"/>
        <v>33.887</v>
      </c>
      <c r="M295" s="6" t="s">
        <v>3656</v>
      </c>
      <c r="N295" s="5">
        <f t="shared" si="5"/>
        <v>8203</v>
      </c>
    </row>
    <row r="296">
      <c r="A296" s="6" t="s">
        <v>183</v>
      </c>
      <c r="B296" s="6" t="s">
        <v>2521</v>
      </c>
      <c r="C296" s="5">
        <f t="shared" si="1"/>
        <v>6</v>
      </c>
      <c r="D296" s="1" t="s">
        <v>116</v>
      </c>
      <c r="E296" s="1" t="s">
        <v>13</v>
      </c>
      <c r="F296" s="1" t="s">
        <v>21</v>
      </c>
      <c r="G296" s="1" t="s">
        <v>1109</v>
      </c>
      <c r="H296" s="5">
        <f t="shared" si="2"/>
        <v>14.8417</v>
      </c>
      <c r="I296" s="1" t="s">
        <v>1110</v>
      </c>
      <c r="J296" s="5">
        <f t="shared" si="3"/>
        <v>1864.033093</v>
      </c>
      <c r="K296" s="6" t="s">
        <v>3657</v>
      </c>
      <c r="L296" s="5">
        <f t="shared" si="4"/>
        <v>7.4208</v>
      </c>
      <c r="M296" s="6" t="s">
        <v>3658</v>
      </c>
      <c r="N296" s="5">
        <f t="shared" si="5"/>
        <v>1810</v>
      </c>
    </row>
    <row r="297">
      <c r="A297" s="6" t="s">
        <v>183</v>
      </c>
      <c r="B297" s="6" t="s">
        <v>2521</v>
      </c>
      <c r="C297" s="5">
        <f t="shared" si="1"/>
        <v>6</v>
      </c>
      <c r="D297" s="1" t="s">
        <v>116</v>
      </c>
      <c r="E297" s="1" t="s">
        <v>13</v>
      </c>
      <c r="F297" s="1" t="s">
        <v>25</v>
      </c>
      <c r="G297" s="1" t="s">
        <v>1111</v>
      </c>
      <c r="H297" s="5">
        <f t="shared" si="2"/>
        <v>0.1094</v>
      </c>
      <c r="I297" s="1" t="s">
        <v>1112</v>
      </c>
      <c r="J297" s="5">
        <f t="shared" si="3"/>
        <v>15.912793</v>
      </c>
      <c r="K297" s="1" t="s">
        <v>568</v>
      </c>
      <c r="L297" s="5">
        <f t="shared" si="4"/>
        <v>0.082</v>
      </c>
      <c r="M297" s="6" t="s">
        <v>386</v>
      </c>
      <c r="N297" s="5">
        <f t="shared" si="5"/>
        <v>71</v>
      </c>
    </row>
    <row r="298">
      <c r="A298" s="6" t="s">
        <v>183</v>
      </c>
      <c r="B298" s="6" t="s">
        <v>2521</v>
      </c>
      <c r="C298" s="5">
        <f t="shared" si="1"/>
        <v>6</v>
      </c>
      <c r="D298" s="1" t="s">
        <v>116</v>
      </c>
      <c r="E298" s="1" t="s">
        <v>29</v>
      </c>
      <c r="F298" s="1" t="s">
        <v>21</v>
      </c>
      <c r="G298" s="1" t="s">
        <v>1113</v>
      </c>
      <c r="H298" s="5">
        <f t="shared" si="2"/>
        <v>20.4412</v>
      </c>
      <c r="I298" s="1" t="s">
        <v>1114</v>
      </c>
      <c r="J298" s="5">
        <f t="shared" si="3"/>
        <v>4241.478373</v>
      </c>
      <c r="K298" s="6" t="s">
        <v>1115</v>
      </c>
      <c r="L298" s="5">
        <f t="shared" si="4"/>
        <v>8.1765</v>
      </c>
      <c r="M298" s="6" t="s">
        <v>3659</v>
      </c>
      <c r="N298" s="5">
        <f t="shared" si="5"/>
        <v>2246</v>
      </c>
    </row>
    <row r="299">
      <c r="A299" s="6" t="s">
        <v>183</v>
      </c>
      <c r="B299" s="6" t="s">
        <v>2521</v>
      </c>
      <c r="C299" s="5">
        <f t="shared" si="1"/>
        <v>6</v>
      </c>
      <c r="D299" s="1" t="s">
        <v>116</v>
      </c>
      <c r="E299" s="1" t="s">
        <v>45</v>
      </c>
      <c r="F299" s="1" t="s">
        <v>17</v>
      </c>
      <c r="G299" s="1" t="s">
        <v>1116</v>
      </c>
      <c r="H299" s="5">
        <f t="shared" si="2"/>
        <v>31.2794</v>
      </c>
      <c r="I299" s="1" t="s">
        <v>1117</v>
      </c>
      <c r="J299" s="5">
        <f t="shared" si="3"/>
        <v>1824.296596</v>
      </c>
      <c r="K299" s="6" t="s">
        <v>3660</v>
      </c>
      <c r="L299" s="5">
        <f t="shared" si="4"/>
        <v>11.2606</v>
      </c>
      <c r="M299" s="6" t="s">
        <v>3661</v>
      </c>
      <c r="N299" s="5">
        <f t="shared" si="5"/>
        <v>2090</v>
      </c>
    </row>
    <row r="300">
      <c r="A300" s="6" t="s">
        <v>183</v>
      </c>
      <c r="B300" s="6" t="s">
        <v>2521</v>
      </c>
      <c r="C300" s="5">
        <f t="shared" si="1"/>
        <v>6</v>
      </c>
      <c r="D300" s="1" t="s">
        <v>116</v>
      </c>
      <c r="E300" s="1" t="s">
        <v>42</v>
      </c>
      <c r="F300" s="1" t="s">
        <v>17</v>
      </c>
      <c r="G300" s="6" t="s">
        <v>1118</v>
      </c>
      <c r="H300" s="5">
        <f t="shared" si="2"/>
        <v>8.0562</v>
      </c>
      <c r="I300" s="1" t="s">
        <v>1119</v>
      </c>
      <c r="J300" s="5">
        <f t="shared" si="3"/>
        <v>1209.394551</v>
      </c>
      <c r="K300" s="6" t="s">
        <v>3662</v>
      </c>
      <c r="L300" s="5">
        <f t="shared" si="4"/>
        <v>2.9808</v>
      </c>
      <c r="M300" s="6" t="s">
        <v>3663</v>
      </c>
      <c r="N300" s="5">
        <f t="shared" si="5"/>
        <v>630</v>
      </c>
    </row>
    <row r="301">
      <c r="A301" s="6" t="s">
        <v>183</v>
      </c>
      <c r="B301" s="6" t="s">
        <v>2521</v>
      </c>
      <c r="C301" s="5">
        <f t="shared" si="1"/>
        <v>6</v>
      </c>
      <c r="D301" s="1" t="s">
        <v>116</v>
      </c>
      <c r="E301" s="1" t="s">
        <v>32</v>
      </c>
      <c r="F301" s="1" t="s">
        <v>14</v>
      </c>
      <c r="G301" s="6" t="s">
        <v>3664</v>
      </c>
      <c r="H301" s="5">
        <f t="shared" si="2"/>
        <v>4.3128</v>
      </c>
      <c r="I301" s="1" t="s">
        <v>1120</v>
      </c>
      <c r="J301" s="5">
        <f t="shared" si="3"/>
        <v>302.101449</v>
      </c>
      <c r="K301" s="1" t="s">
        <v>1121</v>
      </c>
      <c r="L301" s="5">
        <f t="shared" si="4"/>
        <v>0.9919</v>
      </c>
      <c r="M301" s="6" t="s">
        <v>3665</v>
      </c>
      <c r="N301" s="5">
        <f t="shared" si="5"/>
        <v>1587</v>
      </c>
    </row>
    <row r="302">
      <c r="A302" s="6" t="s">
        <v>183</v>
      </c>
      <c r="B302" s="6" t="s">
        <v>2521</v>
      </c>
      <c r="C302" s="5">
        <f t="shared" si="1"/>
        <v>6</v>
      </c>
      <c r="D302" s="1" t="s">
        <v>116</v>
      </c>
      <c r="E302" s="1" t="s">
        <v>32</v>
      </c>
      <c r="F302" s="1" t="s">
        <v>21</v>
      </c>
      <c r="G302" s="6" t="s">
        <v>1122</v>
      </c>
      <c r="H302" s="5">
        <f t="shared" si="2"/>
        <v>3.1105</v>
      </c>
      <c r="I302" s="1" t="s">
        <v>1123</v>
      </c>
      <c r="J302" s="5">
        <f t="shared" si="3"/>
        <v>565.056658</v>
      </c>
      <c r="K302" s="6" t="s">
        <v>3666</v>
      </c>
      <c r="L302" s="5">
        <f t="shared" si="4"/>
        <v>1.3997</v>
      </c>
      <c r="M302" s="6" t="s">
        <v>3667</v>
      </c>
      <c r="N302" s="5">
        <f t="shared" si="5"/>
        <v>1088</v>
      </c>
    </row>
    <row r="303">
      <c r="A303" s="6" t="s">
        <v>183</v>
      </c>
      <c r="B303" s="6" t="s">
        <v>2521</v>
      </c>
      <c r="C303" s="5">
        <f t="shared" si="1"/>
        <v>6</v>
      </c>
      <c r="D303" s="1" t="s">
        <v>116</v>
      </c>
      <c r="E303" s="1" t="s">
        <v>147</v>
      </c>
      <c r="F303" s="1" t="s">
        <v>39</v>
      </c>
      <c r="G303" s="6" t="s">
        <v>3668</v>
      </c>
      <c r="H303" s="5">
        <f t="shared" si="2"/>
        <v>1.7589</v>
      </c>
      <c r="I303" s="1" t="s">
        <v>1124</v>
      </c>
      <c r="J303" s="5">
        <f t="shared" si="3"/>
        <v>476.183387</v>
      </c>
      <c r="K303" s="1" t="s">
        <v>1125</v>
      </c>
      <c r="L303" s="5">
        <f t="shared" si="4"/>
        <v>0.3342</v>
      </c>
      <c r="M303" s="6" t="s">
        <v>3669</v>
      </c>
      <c r="N303" s="5">
        <f t="shared" si="5"/>
        <v>97</v>
      </c>
    </row>
    <row r="304">
      <c r="A304" s="6" t="s">
        <v>183</v>
      </c>
      <c r="B304" s="6" t="s">
        <v>2521</v>
      </c>
      <c r="C304" s="5">
        <f t="shared" si="1"/>
        <v>6</v>
      </c>
      <c r="D304" s="1" t="s">
        <v>116</v>
      </c>
      <c r="E304" s="1" t="s">
        <v>147</v>
      </c>
      <c r="F304" s="1" t="s">
        <v>17</v>
      </c>
      <c r="G304" s="1" t="s">
        <v>1126</v>
      </c>
      <c r="H304" s="5">
        <f t="shared" si="2"/>
        <v>0.0245</v>
      </c>
      <c r="I304" s="1" t="s">
        <v>1127</v>
      </c>
      <c r="J304" s="5">
        <f t="shared" si="3"/>
        <v>7.848517</v>
      </c>
      <c r="K304" s="1" t="s">
        <v>1128</v>
      </c>
      <c r="L304" s="5">
        <f t="shared" si="4"/>
        <v>0.0087</v>
      </c>
      <c r="M304" s="6" t="s">
        <v>2521</v>
      </c>
      <c r="N304" s="5">
        <f t="shared" si="5"/>
        <v>6</v>
      </c>
    </row>
    <row r="305">
      <c r="A305" s="6" t="s">
        <v>183</v>
      </c>
      <c r="B305" s="6" t="s">
        <v>2521</v>
      </c>
      <c r="C305" s="5">
        <f t="shared" si="1"/>
        <v>6</v>
      </c>
      <c r="D305" s="1" t="s">
        <v>116</v>
      </c>
      <c r="E305" s="1" t="s">
        <v>147</v>
      </c>
      <c r="F305" s="1" t="s">
        <v>21</v>
      </c>
      <c r="G305" s="1" t="s">
        <v>1129</v>
      </c>
      <c r="H305" s="5">
        <f t="shared" si="2"/>
        <v>0.0558</v>
      </c>
      <c r="I305" s="1" t="s">
        <v>1130</v>
      </c>
      <c r="J305" s="5">
        <f t="shared" si="3"/>
        <v>27.373598</v>
      </c>
      <c r="K305" s="1" t="s">
        <v>1131</v>
      </c>
      <c r="L305" s="5">
        <f t="shared" si="4"/>
        <v>0.0279</v>
      </c>
      <c r="M305" s="6" t="s">
        <v>3670</v>
      </c>
      <c r="N305" s="5">
        <f t="shared" si="5"/>
        <v>43</v>
      </c>
    </row>
    <row r="306">
      <c r="A306" s="6" t="s">
        <v>183</v>
      </c>
      <c r="B306" s="6" t="s">
        <v>2521</v>
      </c>
      <c r="C306" s="5">
        <f t="shared" si="1"/>
        <v>6</v>
      </c>
      <c r="D306" s="1" t="s">
        <v>116</v>
      </c>
      <c r="E306" s="1" t="s">
        <v>102</v>
      </c>
      <c r="F306" s="1" t="s">
        <v>39</v>
      </c>
      <c r="G306" s="1" t="s">
        <v>1132</v>
      </c>
      <c r="H306" s="5">
        <f t="shared" si="2"/>
        <v>0.0135</v>
      </c>
      <c r="I306" s="1" t="s">
        <v>1133</v>
      </c>
      <c r="J306" s="5">
        <f t="shared" si="3"/>
        <v>3.280559</v>
      </c>
      <c r="K306" s="1" t="s">
        <v>1134</v>
      </c>
      <c r="L306" s="5">
        <f t="shared" si="4"/>
        <v>0.0026</v>
      </c>
      <c r="M306" s="6" t="s">
        <v>600</v>
      </c>
      <c r="N306" s="5">
        <f t="shared" si="5"/>
        <v>7</v>
      </c>
    </row>
    <row r="307">
      <c r="A307" s="6" t="s">
        <v>183</v>
      </c>
      <c r="B307" s="6" t="s">
        <v>2521</v>
      </c>
      <c r="C307" s="5">
        <f t="shared" si="1"/>
        <v>6</v>
      </c>
      <c r="D307" s="1" t="s">
        <v>116</v>
      </c>
      <c r="E307" s="1" t="s">
        <v>102</v>
      </c>
      <c r="F307" s="1" t="s">
        <v>21</v>
      </c>
      <c r="G307" s="6" t="s">
        <v>3671</v>
      </c>
      <c r="H307" s="5">
        <f t="shared" si="2"/>
        <v>1.3282</v>
      </c>
      <c r="I307" s="1" t="s">
        <v>1135</v>
      </c>
      <c r="J307" s="5">
        <f t="shared" si="3"/>
        <v>371.495588</v>
      </c>
      <c r="K307" s="1" t="s">
        <v>837</v>
      </c>
      <c r="L307" s="5">
        <f t="shared" si="4"/>
        <v>0.5313</v>
      </c>
      <c r="M307" s="6" t="s">
        <v>3672</v>
      </c>
      <c r="N307" s="5">
        <f t="shared" si="5"/>
        <v>220</v>
      </c>
    </row>
    <row r="308">
      <c r="A308" s="6" t="s">
        <v>183</v>
      </c>
      <c r="B308" s="6" t="s">
        <v>2521</v>
      </c>
      <c r="C308" s="5">
        <f t="shared" si="1"/>
        <v>6</v>
      </c>
      <c r="D308" s="1" t="s">
        <v>116</v>
      </c>
      <c r="E308" s="1" t="s">
        <v>465</v>
      </c>
      <c r="F308" s="1" t="s">
        <v>21</v>
      </c>
      <c r="G308" s="6" t="s">
        <v>1136</v>
      </c>
      <c r="H308" s="5">
        <f t="shared" si="2"/>
        <v>2.1193</v>
      </c>
      <c r="I308" s="1" t="s">
        <v>1137</v>
      </c>
      <c r="J308" s="5">
        <f t="shared" si="3"/>
        <v>223.758046</v>
      </c>
      <c r="K308" s="6" t="s">
        <v>1138</v>
      </c>
      <c r="L308" s="5">
        <f t="shared" si="4"/>
        <v>1.0596</v>
      </c>
      <c r="M308" s="6" t="s">
        <v>3673</v>
      </c>
      <c r="N308" s="5">
        <f t="shared" si="5"/>
        <v>1456</v>
      </c>
    </row>
    <row r="309">
      <c r="A309" s="6" t="s">
        <v>183</v>
      </c>
      <c r="B309" s="6" t="s">
        <v>2521</v>
      </c>
      <c r="C309" s="5">
        <f t="shared" si="1"/>
        <v>6</v>
      </c>
      <c r="D309" s="1" t="s">
        <v>116</v>
      </c>
      <c r="E309" s="1" t="s">
        <v>165</v>
      </c>
      <c r="F309" s="1" t="s">
        <v>39</v>
      </c>
      <c r="G309" s="1" t="s">
        <v>1139</v>
      </c>
      <c r="H309" s="5">
        <f t="shared" si="2"/>
        <v>0.3927</v>
      </c>
      <c r="I309" s="1" t="s">
        <v>1140</v>
      </c>
      <c r="J309" s="5">
        <f t="shared" si="3"/>
        <v>60.613095</v>
      </c>
      <c r="K309" s="1" t="s">
        <v>1141</v>
      </c>
      <c r="L309" s="5">
        <f t="shared" si="4"/>
        <v>0.0707</v>
      </c>
      <c r="M309" s="6" t="s">
        <v>291</v>
      </c>
      <c r="N309" s="5">
        <f t="shared" si="5"/>
        <v>0</v>
      </c>
    </row>
    <row r="310">
      <c r="A310" s="6" t="s">
        <v>183</v>
      </c>
      <c r="B310" s="6" t="s">
        <v>2521</v>
      </c>
      <c r="C310" s="5">
        <f t="shared" si="1"/>
        <v>6</v>
      </c>
      <c r="D310" s="1" t="s">
        <v>116</v>
      </c>
      <c r="E310" s="1" t="s">
        <v>165</v>
      </c>
      <c r="F310" s="1" t="s">
        <v>17</v>
      </c>
      <c r="G310" s="1" t="s">
        <v>1142</v>
      </c>
      <c r="H310" s="5">
        <f t="shared" si="2"/>
        <v>0.5521</v>
      </c>
      <c r="I310" s="1" t="s">
        <v>1143</v>
      </c>
      <c r="J310" s="5">
        <f t="shared" si="3"/>
        <v>120.995908</v>
      </c>
      <c r="K310" s="1" t="s">
        <v>1144</v>
      </c>
      <c r="L310" s="5">
        <f t="shared" si="4"/>
        <v>0.1933</v>
      </c>
      <c r="M310" s="6" t="s">
        <v>291</v>
      </c>
      <c r="N310" s="5">
        <f t="shared" si="5"/>
        <v>0</v>
      </c>
    </row>
    <row r="311">
      <c r="A311" s="6" t="s">
        <v>183</v>
      </c>
      <c r="B311" s="6" t="s">
        <v>2521</v>
      </c>
      <c r="C311" s="5">
        <f t="shared" si="1"/>
        <v>6</v>
      </c>
      <c r="D311" s="1" t="s">
        <v>116</v>
      </c>
      <c r="E311" s="1" t="s">
        <v>345</v>
      </c>
      <c r="F311" s="1" t="s">
        <v>72</v>
      </c>
      <c r="G311" s="1" t="s">
        <v>1145</v>
      </c>
      <c r="H311" s="5">
        <f t="shared" si="2"/>
        <v>0.1282</v>
      </c>
      <c r="I311" s="1" t="s">
        <v>1146</v>
      </c>
      <c r="J311" s="5">
        <f t="shared" si="3"/>
        <v>24.489549</v>
      </c>
      <c r="K311" s="1" t="s">
        <v>1147</v>
      </c>
      <c r="L311" s="5">
        <f t="shared" si="4"/>
        <v>0.0423</v>
      </c>
      <c r="M311" s="6" t="s">
        <v>291</v>
      </c>
      <c r="N311" s="5">
        <f t="shared" si="5"/>
        <v>0</v>
      </c>
    </row>
    <row r="312">
      <c r="A312" s="6" t="s">
        <v>183</v>
      </c>
      <c r="B312" s="6" t="s">
        <v>2521</v>
      </c>
      <c r="C312" s="5">
        <f t="shared" si="1"/>
        <v>6</v>
      </c>
      <c r="D312" s="1" t="s">
        <v>116</v>
      </c>
      <c r="E312" s="1" t="s">
        <v>345</v>
      </c>
      <c r="F312" s="1" t="s">
        <v>21</v>
      </c>
      <c r="G312" s="1" t="s">
        <v>1148</v>
      </c>
      <c r="H312" s="5">
        <f t="shared" si="2"/>
        <v>0.3336</v>
      </c>
      <c r="I312" s="1" t="s">
        <v>1149</v>
      </c>
      <c r="J312" s="5">
        <f t="shared" si="3"/>
        <v>149.109018</v>
      </c>
      <c r="K312" s="1" t="s">
        <v>1150</v>
      </c>
      <c r="L312" s="5">
        <f t="shared" si="4"/>
        <v>0.1667</v>
      </c>
      <c r="M312" s="6" t="s">
        <v>291</v>
      </c>
      <c r="N312" s="5">
        <f t="shared" si="5"/>
        <v>0</v>
      </c>
    </row>
    <row r="313">
      <c r="A313" s="6" t="s">
        <v>183</v>
      </c>
      <c r="B313" s="6" t="s">
        <v>600</v>
      </c>
      <c r="C313" s="5">
        <f t="shared" si="1"/>
        <v>7</v>
      </c>
      <c r="D313" s="1" t="s">
        <v>12</v>
      </c>
      <c r="E313" s="1" t="s">
        <v>13</v>
      </c>
      <c r="F313" s="1" t="s">
        <v>14</v>
      </c>
      <c r="G313" s="1" t="s">
        <v>1151</v>
      </c>
      <c r="H313" s="5">
        <f t="shared" si="2"/>
        <v>15.1169</v>
      </c>
      <c r="I313" s="1" t="s">
        <v>1152</v>
      </c>
      <c r="J313" s="5">
        <f t="shared" si="3"/>
        <v>870.325083</v>
      </c>
      <c r="K313" s="6" t="s">
        <v>1153</v>
      </c>
      <c r="L313" s="5">
        <f t="shared" si="4"/>
        <v>3.1746</v>
      </c>
      <c r="M313" s="6" t="s">
        <v>3652</v>
      </c>
      <c r="N313" s="5">
        <f t="shared" si="5"/>
        <v>608</v>
      </c>
    </row>
    <row r="314">
      <c r="A314" s="6" t="s">
        <v>183</v>
      </c>
      <c r="B314" s="6" t="s">
        <v>600</v>
      </c>
      <c r="C314" s="5">
        <f t="shared" si="1"/>
        <v>7</v>
      </c>
      <c r="D314" s="1" t="s">
        <v>12</v>
      </c>
      <c r="E314" s="1" t="s">
        <v>13</v>
      </c>
      <c r="F314" s="1" t="s">
        <v>17</v>
      </c>
      <c r="G314" s="1" t="s">
        <v>1154</v>
      </c>
      <c r="H314" s="5">
        <f t="shared" si="2"/>
        <v>87.8911</v>
      </c>
      <c r="I314" s="1" t="s">
        <v>1155</v>
      </c>
      <c r="J314" s="5">
        <f t="shared" si="3"/>
        <v>7403.354863</v>
      </c>
      <c r="K314" s="1" t="s">
        <v>1156</v>
      </c>
      <c r="L314" s="5">
        <f t="shared" si="4"/>
        <v>30.7618</v>
      </c>
      <c r="M314" s="6" t="s">
        <v>3674</v>
      </c>
      <c r="N314" s="5">
        <f t="shared" si="5"/>
        <v>714</v>
      </c>
    </row>
    <row r="315">
      <c r="A315" s="6" t="s">
        <v>183</v>
      </c>
      <c r="B315" s="6" t="s">
        <v>600</v>
      </c>
      <c r="C315" s="5">
        <f t="shared" si="1"/>
        <v>7</v>
      </c>
      <c r="D315" s="1" t="s">
        <v>12</v>
      </c>
      <c r="E315" s="1" t="s">
        <v>13</v>
      </c>
      <c r="F315" s="1" t="s">
        <v>21</v>
      </c>
      <c r="G315" s="1" t="s">
        <v>1157</v>
      </c>
      <c r="H315" s="5">
        <f t="shared" si="2"/>
        <v>21.0883</v>
      </c>
      <c r="I315" s="1" t="s">
        <v>1158</v>
      </c>
      <c r="J315" s="5">
        <f t="shared" si="3"/>
        <v>2552.483087</v>
      </c>
      <c r="K315" s="6" t="s">
        <v>3675</v>
      </c>
      <c r="L315" s="5">
        <f t="shared" si="4"/>
        <v>10.5441</v>
      </c>
      <c r="M315" s="6" t="s">
        <v>3676</v>
      </c>
      <c r="N315" s="5">
        <f t="shared" si="5"/>
        <v>578</v>
      </c>
    </row>
    <row r="316">
      <c r="A316" s="6" t="s">
        <v>183</v>
      </c>
      <c r="B316" s="6" t="s">
        <v>600</v>
      </c>
      <c r="C316" s="5">
        <f t="shared" si="1"/>
        <v>7</v>
      </c>
      <c r="D316" s="1" t="s">
        <v>12</v>
      </c>
      <c r="E316" s="1" t="s">
        <v>13</v>
      </c>
      <c r="F316" s="1" t="s">
        <v>25</v>
      </c>
      <c r="G316" s="1" t="s">
        <v>645</v>
      </c>
      <c r="H316" s="5">
        <f t="shared" si="2"/>
        <v>0.0356</v>
      </c>
      <c r="I316" s="1" t="s">
        <v>1160</v>
      </c>
      <c r="J316" s="5">
        <f t="shared" si="3"/>
        <v>6.283229</v>
      </c>
      <c r="K316" s="1" t="s">
        <v>1005</v>
      </c>
      <c r="L316" s="5">
        <f t="shared" si="4"/>
        <v>0.0267</v>
      </c>
      <c r="M316" s="6" t="s">
        <v>557</v>
      </c>
      <c r="N316" s="5">
        <f t="shared" si="5"/>
        <v>10</v>
      </c>
    </row>
    <row r="317">
      <c r="A317" s="6" t="s">
        <v>183</v>
      </c>
      <c r="B317" s="6" t="s">
        <v>600</v>
      </c>
      <c r="C317" s="5">
        <f t="shared" si="1"/>
        <v>7</v>
      </c>
      <c r="D317" s="1" t="s">
        <v>12</v>
      </c>
      <c r="E317" s="1" t="s">
        <v>29</v>
      </c>
      <c r="F317" s="1" t="s">
        <v>21</v>
      </c>
      <c r="G317" s="1" t="s">
        <v>1161</v>
      </c>
      <c r="H317" s="5">
        <f t="shared" si="2"/>
        <v>14.4919</v>
      </c>
      <c r="I317" s="1" t="s">
        <v>1162</v>
      </c>
      <c r="J317" s="5">
        <f t="shared" si="3"/>
        <v>2822.831024</v>
      </c>
      <c r="K317" s="6" t="s">
        <v>3677</v>
      </c>
      <c r="L317" s="5">
        <f t="shared" si="4"/>
        <v>5.7967</v>
      </c>
      <c r="M317" s="6" t="s">
        <v>3678</v>
      </c>
      <c r="N317" s="5">
        <f t="shared" si="5"/>
        <v>575</v>
      </c>
    </row>
    <row r="318">
      <c r="A318" s="6" t="s">
        <v>183</v>
      </c>
      <c r="B318" s="6" t="s">
        <v>600</v>
      </c>
      <c r="C318" s="5">
        <f t="shared" si="1"/>
        <v>7</v>
      </c>
      <c r="D318" s="1" t="s">
        <v>12</v>
      </c>
      <c r="E318" s="1" t="s">
        <v>32</v>
      </c>
      <c r="F318" s="1" t="s">
        <v>14</v>
      </c>
      <c r="G318" s="6" t="s">
        <v>3679</v>
      </c>
      <c r="H318" s="5">
        <f t="shared" si="2"/>
        <v>7.9988</v>
      </c>
      <c r="I318" s="1" t="s">
        <v>1165</v>
      </c>
      <c r="J318" s="5">
        <f t="shared" si="3"/>
        <v>472.153171</v>
      </c>
      <c r="K318" s="6" t="s">
        <v>3680</v>
      </c>
      <c r="L318" s="5">
        <f t="shared" si="4"/>
        <v>1.8397</v>
      </c>
      <c r="M318" s="6" t="s">
        <v>3313</v>
      </c>
      <c r="N318" s="5">
        <f t="shared" si="5"/>
        <v>475</v>
      </c>
    </row>
    <row r="319">
      <c r="A319" s="6" t="s">
        <v>183</v>
      </c>
      <c r="B319" s="6" t="s">
        <v>600</v>
      </c>
      <c r="C319" s="5">
        <f t="shared" si="1"/>
        <v>7</v>
      </c>
      <c r="D319" s="1" t="s">
        <v>12</v>
      </c>
      <c r="E319" s="1" t="s">
        <v>32</v>
      </c>
      <c r="F319" s="1" t="s">
        <v>21</v>
      </c>
      <c r="G319" s="1" t="s">
        <v>1167</v>
      </c>
      <c r="H319" s="5">
        <f t="shared" si="2"/>
        <v>0.7098</v>
      </c>
      <c r="I319" s="1" t="s">
        <v>1168</v>
      </c>
      <c r="J319" s="5">
        <f t="shared" si="3"/>
        <v>116.373314</v>
      </c>
      <c r="K319" s="1" t="s">
        <v>162</v>
      </c>
      <c r="L319" s="5">
        <f t="shared" si="4"/>
        <v>0.3194</v>
      </c>
      <c r="M319" s="6" t="s">
        <v>3681</v>
      </c>
      <c r="N319" s="5">
        <f t="shared" si="5"/>
        <v>166</v>
      </c>
    </row>
    <row r="320">
      <c r="A320" s="6" t="s">
        <v>183</v>
      </c>
      <c r="B320" s="6" t="s">
        <v>600</v>
      </c>
      <c r="C320" s="5">
        <f t="shared" si="1"/>
        <v>7</v>
      </c>
      <c r="D320" s="1" t="s">
        <v>12</v>
      </c>
      <c r="E320" s="1" t="s">
        <v>42</v>
      </c>
      <c r="F320" s="1" t="s">
        <v>17</v>
      </c>
      <c r="G320" s="6" t="s">
        <v>3682</v>
      </c>
      <c r="H320" s="5">
        <f t="shared" si="2"/>
        <v>2.7746</v>
      </c>
      <c r="I320" s="1" t="s">
        <v>1170</v>
      </c>
      <c r="J320" s="5">
        <f t="shared" si="3"/>
        <v>382.445638</v>
      </c>
      <c r="K320" s="6" t="s">
        <v>1172</v>
      </c>
      <c r="L320" s="5">
        <f t="shared" si="4"/>
        <v>1.0267</v>
      </c>
      <c r="M320" s="6" t="s">
        <v>3683</v>
      </c>
      <c r="N320" s="5">
        <f t="shared" si="5"/>
        <v>151</v>
      </c>
    </row>
    <row r="321">
      <c r="A321" s="6" t="s">
        <v>183</v>
      </c>
      <c r="B321" s="6" t="s">
        <v>600</v>
      </c>
      <c r="C321" s="5">
        <f t="shared" si="1"/>
        <v>7</v>
      </c>
      <c r="D321" s="1" t="s">
        <v>12</v>
      </c>
      <c r="E321" s="1" t="s">
        <v>38</v>
      </c>
      <c r="F321" s="1" t="s">
        <v>39</v>
      </c>
      <c r="G321" s="6" t="s">
        <v>3684</v>
      </c>
      <c r="H321" s="5">
        <f t="shared" si="2"/>
        <v>3.0071</v>
      </c>
      <c r="I321" s="1" t="s">
        <v>1175</v>
      </c>
      <c r="J321" s="5">
        <f t="shared" si="3"/>
        <v>290.430785</v>
      </c>
      <c r="K321" s="1" t="s">
        <v>1177</v>
      </c>
      <c r="L321" s="5">
        <f t="shared" si="4"/>
        <v>0.5413</v>
      </c>
      <c r="M321" s="6" t="s">
        <v>3669</v>
      </c>
      <c r="N321" s="5">
        <f t="shared" si="5"/>
        <v>97</v>
      </c>
    </row>
    <row r="322">
      <c r="A322" s="6" t="s">
        <v>183</v>
      </c>
      <c r="B322" s="6" t="s">
        <v>600</v>
      </c>
      <c r="C322" s="5">
        <f t="shared" si="1"/>
        <v>7</v>
      </c>
      <c r="D322" s="1" t="s">
        <v>12</v>
      </c>
      <c r="E322" s="1" t="s">
        <v>45</v>
      </c>
      <c r="F322" s="1" t="s">
        <v>17</v>
      </c>
      <c r="G322" s="6" t="s">
        <v>1180</v>
      </c>
      <c r="H322" s="5">
        <f t="shared" si="2"/>
        <v>3.0332</v>
      </c>
      <c r="I322" s="1" t="s">
        <v>1181</v>
      </c>
      <c r="J322" s="5">
        <f t="shared" si="3"/>
        <v>201.709554</v>
      </c>
      <c r="K322" s="6" t="s">
        <v>1184</v>
      </c>
      <c r="L322" s="5">
        <f t="shared" si="4"/>
        <v>1.0919</v>
      </c>
      <c r="M322" s="6" t="s">
        <v>4043</v>
      </c>
      <c r="N322" s="5">
        <f t="shared" si="5"/>
        <v>172</v>
      </c>
    </row>
    <row r="323">
      <c r="A323" s="6" t="s">
        <v>183</v>
      </c>
      <c r="B323" s="6" t="s">
        <v>600</v>
      </c>
      <c r="C323" s="5">
        <f t="shared" si="1"/>
        <v>7</v>
      </c>
      <c r="D323" s="1" t="s">
        <v>12</v>
      </c>
      <c r="E323" s="1" t="s">
        <v>56</v>
      </c>
      <c r="F323" s="1" t="s">
        <v>21</v>
      </c>
      <c r="G323" s="1" t="s">
        <v>1186</v>
      </c>
      <c r="H323" s="5">
        <f t="shared" si="2"/>
        <v>0.5598</v>
      </c>
      <c r="I323" s="1" t="s">
        <v>1187</v>
      </c>
      <c r="J323" s="5">
        <f t="shared" si="3"/>
        <v>112.794113</v>
      </c>
      <c r="K323" s="1" t="s">
        <v>1189</v>
      </c>
      <c r="L323" s="5">
        <f t="shared" si="4"/>
        <v>0.2239</v>
      </c>
      <c r="M323" s="6" t="s">
        <v>4052</v>
      </c>
      <c r="N323" s="5">
        <f t="shared" si="5"/>
        <v>183</v>
      </c>
    </row>
    <row r="324">
      <c r="A324" s="6" t="s">
        <v>183</v>
      </c>
      <c r="B324" s="6" t="s">
        <v>600</v>
      </c>
      <c r="C324" s="5">
        <f t="shared" si="1"/>
        <v>7</v>
      </c>
      <c r="D324" s="1" t="s">
        <v>12</v>
      </c>
      <c r="E324" s="1" t="s">
        <v>48</v>
      </c>
      <c r="F324" s="1" t="s">
        <v>49</v>
      </c>
      <c r="G324" s="1" t="s">
        <v>207</v>
      </c>
      <c r="H324" s="5">
        <f t="shared" si="2"/>
        <v>0.0062</v>
      </c>
      <c r="I324" s="1" t="s">
        <v>1190</v>
      </c>
      <c r="J324" s="5">
        <f t="shared" si="3"/>
        <v>1.986265</v>
      </c>
      <c r="K324" s="1" t="s">
        <v>144</v>
      </c>
      <c r="L324" s="5">
        <f t="shared" si="4"/>
        <v>0.0017</v>
      </c>
      <c r="M324" s="6" t="s">
        <v>2677</v>
      </c>
      <c r="N324" s="5">
        <f t="shared" si="5"/>
        <v>3</v>
      </c>
    </row>
    <row r="325">
      <c r="A325" s="6" t="s">
        <v>183</v>
      </c>
      <c r="B325" s="6" t="s">
        <v>600</v>
      </c>
      <c r="C325" s="5">
        <f t="shared" si="1"/>
        <v>7</v>
      </c>
      <c r="D325" s="1" t="s">
        <v>12</v>
      </c>
      <c r="E325" s="1" t="s">
        <v>48</v>
      </c>
      <c r="F325" s="1" t="s">
        <v>21</v>
      </c>
      <c r="G325" s="1" t="s">
        <v>1194</v>
      </c>
      <c r="H325" s="5">
        <f t="shared" si="2"/>
        <v>0.7859</v>
      </c>
      <c r="I325" s="1" t="s">
        <v>1195</v>
      </c>
      <c r="J325" s="5">
        <f t="shared" si="3"/>
        <v>93.897746</v>
      </c>
      <c r="K325" s="1" t="s">
        <v>1198</v>
      </c>
      <c r="L325" s="5">
        <f t="shared" si="4"/>
        <v>0.3144</v>
      </c>
      <c r="M325" s="6" t="s">
        <v>2932</v>
      </c>
      <c r="N325" s="5">
        <f t="shared" si="5"/>
        <v>117</v>
      </c>
    </row>
    <row r="326">
      <c r="A326" s="6" t="s">
        <v>183</v>
      </c>
      <c r="B326" s="6" t="s">
        <v>600</v>
      </c>
      <c r="C326" s="5">
        <f t="shared" si="1"/>
        <v>7</v>
      </c>
      <c r="D326" s="1" t="s">
        <v>12</v>
      </c>
      <c r="E326" s="1" t="s">
        <v>848</v>
      </c>
      <c r="F326" s="1" t="s">
        <v>21</v>
      </c>
      <c r="G326" s="1" t="s">
        <v>1200</v>
      </c>
      <c r="H326" s="5">
        <f t="shared" si="2"/>
        <v>0.2265</v>
      </c>
      <c r="I326" s="1" t="s">
        <v>1201</v>
      </c>
      <c r="J326" s="5">
        <f t="shared" si="3"/>
        <v>47.412949</v>
      </c>
      <c r="K326" s="1" t="s">
        <v>1203</v>
      </c>
      <c r="L326" s="5">
        <f t="shared" si="4"/>
        <v>0.0906</v>
      </c>
      <c r="M326" s="6" t="s">
        <v>4072</v>
      </c>
      <c r="N326" s="5">
        <f t="shared" si="5"/>
        <v>57</v>
      </c>
    </row>
    <row r="327">
      <c r="A327" s="6" t="s">
        <v>183</v>
      </c>
      <c r="B327" s="6" t="s">
        <v>600</v>
      </c>
      <c r="C327" s="5">
        <f t="shared" si="1"/>
        <v>7</v>
      </c>
      <c r="D327" s="1" t="s">
        <v>12</v>
      </c>
      <c r="E327" s="1" t="s">
        <v>60</v>
      </c>
      <c r="F327" s="1" t="s">
        <v>39</v>
      </c>
      <c r="G327" s="1" t="s">
        <v>1206</v>
      </c>
      <c r="H327" s="5">
        <f t="shared" si="2"/>
        <v>0.2089</v>
      </c>
      <c r="I327" s="1" t="s">
        <v>1207</v>
      </c>
      <c r="J327" s="5">
        <f t="shared" si="3"/>
        <v>35.509419</v>
      </c>
      <c r="K327" s="1" t="s">
        <v>323</v>
      </c>
      <c r="L327" s="5">
        <f t="shared" si="4"/>
        <v>0.0397</v>
      </c>
      <c r="M327" s="6" t="s">
        <v>291</v>
      </c>
      <c r="N327" s="5">
        <f t="shared" si="5"/>
        <v>0</v>
      </c>
    </row>
    <row r="328">
      <c r="A328" s="6" t="s">
        <v>183</v>
      </c>
      <c r="B328" s="6" t="s">
        <v>600</v>
      </c>
      <c r="C328" s="5">
        <f t="shared" si="1"/>
        <v>7</v>
      </c>
      <c r="D328" s="1" t="s">
        <v>12</v>
      </c>
      <c r="E328" s="1" t="s">
        <v>60</v>
      </c>
      <c r="F328" s="1" t="s">
        <v>17</v>
      </c>
      <c r="G328" s="1" t="s">
        <v>479</v>
      </c>
      <c r="H328" s="5">
        <f t="shared" si="2"/>
        <v>0.0011</v>
      </c>
      <c r="I328" s="1" t="s">
        <v>1211</v>
      </c>
      <c r="J328" s="5">
        <f t="shared" si="3"/>
        <v>0.149852</v>
      </c>
      <c r="K328" s="1" t="s">
        <v>75</v>
      </c>
      <c r="L328" s="5">
        <f t="shared" si="4"/>
        <v>0.0004</v>
      </c>
      <c r="M328" s="6" t="s">
        <v>291</v>
      </c>
      <c r="N328" s="5">
        <f t="shared" si="5"/>
        <v>0</v>
      </c>
    </row>
    <row r="329">
      <c r="A329" s="6" t="s">
        <v>183</v>
      </c>
      <c r="B329" s="6" t="s">
        <v>600</v>
      </c>
      <c r="C329" s="5">
        <f t="shared" si="1"/>
        <v>7</v>
      </c>
      <c r="D329" s="1" t="s">
        <v>68</v>
      </c>
      <c r="E329" s="1" t="s">
        <v>13</v>
      </c>
      <c r="F329" s="1" t="s">
        <v>14</v>
      </c>
      <c r="G329" s="1" t="s">
        <v>1215</v>
      </c>
      <c r="H329" s="5">
        <f t="shared" si="2"/>
        <v>50.7063</v>
      </c>
      <c r="I329" s="1" t="s">
        <v>1216</v>
      </c>
      <c r="J329" s="5">
        <f t="shared" si="3"/>
        <v>3398.473048</v>
      </c>
      <c r="K329" s="6" t="s">
        <v>4091</v>
      </c>
      <c r="L329" s="5">
        <f t="shared" si="4"/>
        <v>10.6483</v>
      </c>
      <c r="M329" s="6" t="s">
        <v>4093</v>
      </c>
      <c r="N329" s="5">
        <f t="shared" si="5"/>
        <v>8349</v>
      </c>
    </row>
    <row r="330">
      <c r="A330" s="6" t="s">
        <v>183</v>
      </c>
      <c r="B330" s="6" t="s">
        <v>600</v>
      </c>
      <c r="C330" s="5">
        <f t="shared" si="1"/>
        <v>7</v>
      </c>
      <c r="D330" s="1" t="s">
        <v>68</v>
      </c>
      <c r="E330" s="1" t="s">
        <v>13</v>
      </c>
      <c r="F330" s="1" t="s">
        <v>72</v>
      </c>
      <c r="G330" s="1" t="s">
        <v>596</v>
      </c>
      <c r="H330" s="5">
        <f t="shared" si="2"/>
        <v>0.0001</v>
      </c>
      <c r="I330" s="1" t="s">
        <v>1219</v>
      </c>
      <c r="J330" s="5">
        <f t="shared" si="3"/>
        <v>0.010941</v>
      </c>
      <c r="K330" s="6" t="s">
        <v>291</v>
      </c>
      <c r="L330" s="5">
        <f t="shared" si="4"/>
        <v>0</v>
      </c>
      <c r="M330" s="6" t="s">
        <v>291</v>
      </c>
      <c r="N330" s="5">
        <f t="shared" si="5"/>
        <v>0</v>
      </c>
    </row>
    <row r="331">
      <c r="A331" s="6" t="s">
        <v>183</v>
      </c>
      <c r="B331" s="6" t="s">
        <v>600</v>
      </c>
      <c r="C331" s="5">
        <f t="shared" si="1"/>
        <v>7</v>
      </c>
      <c r="D331" s="1" t="s">
        <v>68</v>
      </c>
      <c r="E331" s="1" t="s">
        <v>13</v>
      </c>
      <c r="F331" s="1" t="s">
        <v>17</v>
      </c>
      <c r="G331" s="1" t="s">
        <v>1222</v>
      </c>
      <c r="H331" s="5">
        <f t="shared" si="2"/>
        <v>63.5335</v>
      </c>
      <c r="I331" s="1" t="s">
        <v>1223</v>
      </c>
      <c r="J331" s="5">
        <f t="shared" si="3"/>
        <v>5999.003434</v>
      </c>
      <c r="K331" s="1" t="s">
        <v>1224</v>
      </c>
      <c r="L331" s="5">
        <f t="shared" si="4"/>
        <v>22.2367</v>
      </c>
      <c r="M331" s="6" t="s">
        <v>4106</v>
      </c>
      <c r="N331" s="5">
        <f t="shared" si="5"/>
        <v>8630</v>
      </c>
    </row>
    <row r="332">
      <c r="A332" s="6" t="s">
        <v>183</v>
      </c>
      <c r="B332" s="6" t="s">
        <v>600</v>
      </c>
      <c r="C332" s="5">
        <f t="shared" si="1"/>
        <v>7</v>
      </c>
      <c r="D332" s="1" t="s">
        <v>68</v>
      </c>
      <c r="E332" s="1" t="s">
        <v>13</v>
      </c>
      <c r="F332" s="1" t="s">
        <v>21</v>
      </c>
      <c r="G332" s="1" t="s">
        <v>1227</v>
      </c>
      <c r="H332" s="5">
        <f t="shared" si="2"/>
        <v>6.463</v>
      </c>
      <c r="I332" s="1" t="s">
        <v>1228</v>
      </c>
      <c r="J332" s="5">
        <f t="shared" si="3"/>
        <v>909.795361</v>
      </c>
      <c r="K332" s="6" t="s">
        <v>4111</v>
      </c>
      <c r="L332" s="5">
        <f t="shared" si="4"/>
        <v>3.2316</v>
      </c>
      <c r="M332" s="6" t="s">
        <v>4112</v>
      </c>
      <c r="N332" s="5">
        <f t="shared" si="5"/>
        <v>1457</v>
      </c>
    </row>
    <row r="333">
      <c r="A333" s="6" t="s">
        <v>183</v>
      </c>
      <c r="B333" s="6" t="s">
        <v>600</v>
      </c>
      <c r="C333" s="5">
        <f t="shared" si="1"/>
        <v>7</v>
      </c>
      <c r="D333" s="1" t="s">
        <v>68</v>
      </c>
      <c r="E333" s="1" t="s">
        <v>13</v>
      </c>
      <c r="F333" s="1" t="s">
        <v>25</v>
      </c>
      <c r="G333" s="1" t="s">
        <v>1230</v>
      </c>
      <c r="H333" s="5">
        <f t="shared" si="2"/>
        <v>0.4626</v>
      </c>
      <c r="I333" s="1" t="s">
        <v>1231</v>
      </c>
      <c r="J333" s="5">
        <f t="shared" si="3"/>
        <v>79.825211</v>
      </c>
      <c r="K333" s="1" t="s">
        <v>440</v>
      </c>
      <c r="L333" s="5">
        <f t="shared" si="4"/>
        <v>0.347</v>
      </c>
      <c r="M333" s="6" t="s">
        <v>3531</v>
      </c>
      <c r="N333" s="5">
        <f t="shared" si="5"/>
        <v>307</v>
      </c>
    </row>
    <row r="334">
      <c r="A334" s="6" t="s">
        <v>183</v>
      </c>
      <c r="B334" s="6" t="s">
        <v>600</v>
      </c>
      <c r="C334" s="5">
        <f t="shared" si="1"/>
        <v>7</v>
      </c>
      <c r="D334" s="1" t="s">
        <v>68</v>
      </c>
      <c r="E334" s="1" t="s">
        <v>29</v>
      </c>
      <c r="F334" s="1" t="s">
        <v>21</v>
      </c>
      <c r="G334" s="6" t="s">
        <v>4120</v>
      </c>
      <c r="H334" s="5">
        <f t="shared" si="2"/>
        <v>7.2124</v>
      </c>
      <c r="I334" s="1" t="s">
        <v>1234</v>
      </c>
      <c r="J334" s="5">
        <f t="shared" si="3"/>
        <v>1518.623836</v>
      </c>
      <c r="K334" s="6" t="s">
        <v>4124</v>
      </c>
      <c r="L334" s="5">
        <f t="shared" si="4"/>
        <v>2.8849</v>
      </c>
      <c r="M334" s="6" t="s">
        <v>4126</v>
      </c>
      <c r="N334" s="5">
        <f t="shared" si="5"/>
        <v>1343</v>
      </c>
    </row>
    <row r="335">
      <c r="A335" s="6" t="s">
        <v>183</v>
      </c>
      <c r="B335" s="6" t="s">
        <v>600</v>
      </c>
      <c r="C335" s="5">
        <f t="shared" si="1"/>
        <v>7</v>
      </c>
      <c r="D335" s="1" t="s">
        <v>68</v>
      </c>
      <c r="E335" s="1" t="s">
        <v>45</v>
      </c>
      <c r="F335" s="1" t="s">
        <v>17</v>
      </c>
      <c r="G335" s="1" t="s">
        <v>1238</v>
      </c>
      <c r="H335" s="5">
        <f t="shared" si="2"/>
        <v>8.89</v>
      </c>
      <c r="I335" s="1" t="s">
        <v>1239</v>
      </c>
      <c r="J335" s="5">
        <f t="shared" si="3"/>
        <v>612.199476</v>
      </c>
      <c r="K335" s="6" t="s">
        <v>4132</v>
      </c>
      <c r="L335" s="5">
        <f t="shared" si="4"/>
        <v>3.2004</v>
      </c>
      <c r="M335" s="6" t="s">
        <v>4134</v>
      </c>
      <c r="N335" s="5">
        <f t="shared" si="5"/>
        <v>1973</v>
      </c>
    </row>
    <row r="336">
      <c r="A336" s="6" t="s">
        <v>183</v>
      </c>
      <c r="B336" s="6" t="s">
        <v>600</v>
      </c>
      <c r="C336" s="5">
        <f t="shared" si="1"/>
        <v>7</v>
      </c>
      <c r="D336" s="1" t="s">
        <v>68</v>
      </c>
      <c r="E336" s="1" t="s">
        <v>32</v>
      </c>
      <c r="F336" s="1" t="s">
        <v>14</v>
      </c>
      <c r="G336" s="6" t="s">
        <v>4139</v>
      </c>
      <c r="H336" s="5">
        <f t="shared" si="2"/>
        <v>2.8537</v>
      </c>
      <c r="I336" s="1" t="s">
        <v>1243</v>
      </c>
      <c r="J336" s="5">
        <f t="shared" si="3"/>
        <v>235.936746</v>
      </c>
      <c r="K336" s="1" t="s">
        <v>1245</v>
      </c>
      <c r="L336" s="5">
        <f t="shared" si="4"/>
        <v>0.6564</v>
      </c>
      <c r="M336" s="6" t="s">
        <v>4143</v>
      </c>
      <c r="N336" s="5">
        <f t="shared" si="5"/>
        <v>1216</v>
      </c>
    </row>
    <row r="337">
      <c r="A337" s="6" t="s">
        <v>183</v>
      </c>
      <c r="B337" s="6" t="s">
        <v>600</v>
      </c>
      <c r="C337" s="5">
        <f t="shared" si="1"/>
        <v>7</v>
      </c>
      <c r="D337" s="1" t="s">
        <v>68</v>
      </c>
      <c r="E337" s="1" t="s">
        <v>32</v>
      </c>
      <c r="F337" s="1" t="s">
        <v>21</v>
      </c>
      <c r="G337" s="6" t="s">
        <v>4147</v>
      </c>
      <c r="H337" s="5">
        <f t="shared" si="2"/>
        <v>1.1924</v>
      </c>
      <c r="I337" s="1" t="s">
        <v>1248</v>
      </c>
      <c r="J337" s="5">
        <f t="shared" si="3"/>
        <v>193.56644</v>
      </c>
      <c r="K337" s="1" t="s">
        <v>1249</v>
      </c>
      <c r="L337" s="5">
        <f t="shared" si="4"/>
        <v>0.5366</v>
      </c>
      <c r="M337" s="6" t="s">
        <v>2984</v>
      </c>
      <c r="N337" s="5">
        <f t="shared" si="5"/>
        <v>292</v>
      </c>
    </row>
    <row r="338">
      <c r="A338" s="6" t="s">
        <v>183</v>
      </c>
      <c r="B338" s="6" t="s">
        <v>600</v>
      </c>
      <c r="C338" s="5">
        <f t="shared" si="1"/>
        <v>7</v>
      </c>
      <c r="D338" s="1" t="s">
        <v>68</v>
      </c>
      <c r="E338" s="1" t="s">
        <v>42</v>
      </c>
      <c r="F338" s="1" t="s">
        <v>17</v>
      </c>
      <c r="G338" s="1" t="s">
        <v>1252</v>
      </c>
      <c r="H338" s="5">
        <f t="shared" si="2"/>
        <v>0.7997</v>
      </c>
      <c r="I338" s="1" t="s">
        <v>1253</v>
      </c>
      <c r="J338" s="5">
        <f t="shared" si="3"/>
        <v>132.964286</v>
      </c>
      <c r="K338" s="1" t="s">
        <v>1254</v>
      </c>
      <c r="L338" s="5">
        <f t="shared" si="4"/>
        <v>0.2959</v>
      </c>
      <c r="M338" s="6" t="s">
        <v>4158</v>
      </c>
      <c r="N338" s="5">
        <f t="shared" si="5"/>
        <v>484</v>
      </c>
    </row>
    <row r="339">
      <c r="A339" s="6" t="s">
        <v>183</v>
      </c>
      <c r="B339" s="6" t="s">
        <v>600</v>
      </c>
      <c r="C339" s="5">
        <f t="shared" si="1"/>
        <v>7</v>
      </c>
      <c r="D339" s="1" t="s">
        <v>68</v>
      </c>
      <c r="E339" s="1" t="s">
        <v>38</v>
      </c>
      <c r="F339" s="1" t="s">
        <v>39</v>
      </c>
      <c r="G339" s="6" t="s">
        <v>4162</v>
      </c>
      <c r="H339" s="5">
        <f t="shared" si="2"/>
        <v>1.3448</v>
      </c>
      <c r="I339" s="1" t="s">
        <v>1257</v>
      </c>
      <c r="J339" s="5">
        <f t="shared" si="3"/>
        <v>119.129525</v>
      </c>
      <c r="K339" s="1" t="s">
        <v>57</v>
      </c>
      <c r="L339" s="5">
        <f t="shared" si="4"/>
        <v>0.242</v>
      </c>
      <c r="M339" s="6" t="s">
        <v>4167</v>
      </c>
      <c r="N339" s="5">
        <f t="shared" si="5"/>
        <v>394</v>
      </c>
    </row>
    <row r="340">
      <c r="A340" s="6" t="s">
        <v>183</v>
      </c>
      <c r="B340" s="6" t="s">
        <v>600</v>
      </c>
      <c r="C340" s="5">
        <f t="shared" si="1"/>
        <v>7</v>
      </c>
      <c r="D340" s="1" t="s">
        <v>68</v>
      </c>
      <c r="E340" s="1" t="s">
        <v>1259</v>
      </c>
      <c r="F340" s="1" t="s">
        <v>17</v>
      </c>
      <c r="G340" s="1" t="s">
        <v>1260</v>
      </c>
      <c r="H340" s="5">
        <f t="shared" si="2"/>
        <v>0.4297</v>
      </c>
      <c r="I340" s="1" t="s">
        <v>1261</v>
      </c>
      <c r="J340" s="5">
        <f t="shared" si="3"/>
        <v>86.020452</v>
      </c>
      <c r="K340" s="1" t="s">
        <v>1263</v>
      </c>
      <c r="L340" s="5">
        <f t="shared" si="4"/>
        <v>0.1504</v>
      </c>
      <c r="M340" s="6" t="s">
        <v>291</v>
      </c>
      <c r="N340" s="5">
        <f t="shared" si="5"/>
        <v>0</v>
      </c>
    </row>
    <row r="341">
      <c r="A341" s="6" t="s">
        <v>183</v>
      </c>
      <c r="B341" s="6" t="s">
        <v>600</v>
      </c>
      <c r="C341" s="5">
        <f t="shared" si="1"/>
        <v>7</v>
      </c>
      <c r="D341" s="1" t="s">
        <v>68</v>
      </c>
      <c r="E341" s="1" t="s">
        <v>48</v>
      </c>
      <c r="F341" s="1" t="s">
        <v>49</v>
      </c>
      <c r="G341" s="1" t="s">
        <v>1265</v>
      </c>
      <c r="H341" s="5">
        <f t="shared" si="2"/>
        <v>0.0053</v>
      </c>
      <c r="I341" s="1" t="s">
        <v>1266</v>
      </c>
      <c r="J341" s="5">
        <f t="shared" si="3"/>
        <v>1.922279</v>
      </c>
      <c r="K341" s="1" t="s">
        <v>693</v>
      </c>
      <c r="L341" s="5">
        <f t="shared" si="4"/>
        <v>0.0015</v>
      </c>
      <c r="M341" s="6" t="s">
        <v>397</v>
      </c>
      <c r="N341" s="5">
        <f t="shared" si="5"/>
        <v>2</v>
      </c>
    </row>
    <row r="342">
      <c r="A342" s="6" t="s">
        <v>183</v>
      </c>
      <c r="B342" s="6" t="s">
        <v>600</v>
      </c>
      <c r="C342" s="5">
        <f t="shared" si="1"/>
        <v>7</v>
      </c>
      <c r="D342" s="1" t="s">
        <v>68</v>
      </c>
      <c r="E342" s="1" t="s">
        <v>48</v>
      </c>
      <c r="F342" s="1" t="s">
        <v>21</v>
      </c>
      <c r="G342" s="1" t="s">
        <v>1270</v>
      </c>
      <c r="H342" s="5">
        <f t="shared" si="2"/>
        <v>0.6454</v>
      </c>
      <c r="I342" s="1" t="s">
        <v>1271</v>
      </c>
      <c r="J342" s="5">
        <f t="shared" si="3"/>
        <v>70.732262</v>
      </c>
      <c r="K342" s="1" t="s">
        <v>1274</v>
      </c>
      <c r="L342" s="5">
        <f t="shared" si="4"/>
        <v>0.2581</v>
      </c>
      <c r="M342" s="6" t="s">
        <v>4178</v>
      </c>
      <c r="N342" s="5">
        <f t="shared" si="5"/>
        <v>422</v>
      </c>
    </row>
    <row r="343">
      <c r="A343" s="6" t="s">
        <v>183</v>
      </c>
      <c r="B343" s="6" t="s">
        <v>600</v>
      </c>
      <c r="C343" s="5">
        <f t="shared" si="1"/>
        <v>7</v>
      </c>
      <c r="D343" s="1" t="s">
        <v>68</v>
      </c>
      <c r="E343" s="1" t="s">
        <v>102</v>
      </c>
      <c r="F343" s="1" t="s">
        <v>39</v>
      </c>
      <c r="G343" s="1" t="s">
        <v>1275</v>
      </c>
      <c r="H343" s="5">
        <f t="shared" si="2"/>
        <v>0.0299</v>
      </c>
      <c r="I343" s="1" t="s">
        <v>1276</v>
      </c>
      <c r="J343" s="5">
        <f t="shared" si="3"/>
        <v>10.112935</v>
      </c>
      <c r="K343" s="1" t="s">
        <v>1279</v>
      </c>
      <c r="L343" s="5">
        <f t="shared" si="4"/>
        <v>0.0057</v>
      </c>
      <c r="M343" s="6" t="s">
        <v>291</v>
      </c>
      <c r="N343" s="5">
        <f t="shared" si="5"/>
        <v>0</v>
      </c>
    </row>
    <row r="344">
      <c r="A344" s="6" t="s">
        <v>183</v>
      </c>
      <c r="B344" s="6" t="s">
        <v>600</v>
      </c>
      <c r="C344" s="5">
        <f t="shared" si="1"/>
        <v>7</v>
      </c>
      <c r="D344" s="1" t="s">
        <v>68</v>
      </c>
      <c r="E344" s="1" t="s">
        <v>102</v>
      </c>
      <c r="F344" s="1" t="s">
        <v>21</v>
      </c>
      <c r="G344" s="1" t="s">
        <v>1281</v>
      </c>
      <c r="H344" s="5">
        <f t="shared" si="2"/>
        <v>0.1454</v>
      </c>
      <c r="I344" s="1" t="s">
        <v>1282</v>
      </c>
      <c r="J344" s="5">
        <f t="shared" si="3"/>
        <v>46.945756</v>
      </c>
      <c r="K344" s="1" t="s">
        <v>1285</v>
      </c>
      <c r="L344" s="5">
        <f t="shared" si="4"/>
        <v>0.0582</v>
      </c>
      <c r="M344" s="6" t="s">
        <v>291</v>
      </c>
      <c r="N344" s="5">
        <f t="shared" si="5"/>
        <v>0</v>
      </c>
    </row>
    <row r="345">
      <c r="A345" s="6" t="s">
        <v>183</v>
      </c>
      <c r="B345" s="6" t="s">
        <v>600</v>
      </c>
      <c r="C345" s="5">
        <f t="shared" si="1"/>
        <v>7</v>
      </c>
      <c r="D345" s="1" t="s">
        <v>68</v>
      </c>
      <c r="E345" s="1" t="s">
        <v>465</v>
      </c>
      <c r="F345" s="1" t="s">
        <v>21</v>
      </c>
      <c r="G345" s="1" t="s">
        <v>1287</v>
      </c>
      <c r="H345" s="5">
        <f t="shared" si="2"/>
        <v>0.4858</v>
      </c>
      <c r="I345" s="1" t="s">
        <v>1288</v>
      </c>
      <c r="J345" s="5">
        <f t="shared" si="3"/>
        <v>51.738094</v>
      </c>
      <c r="K345" s="1" t="s">
        <v>1291</v>
      </c>
      <c r="L345" s="5">
        <f t="shared" si="4"/>
        <v>0.2429</v>
      </c>
      <c r="M345" s="6" t="s">
        <v>4186</v>
      </c>
      <c r="N345" s="5">
        <f t="shared" si="5"/>
        <v>400</v>
      </c>
    </row>
    <row r="346">
      <c r="A346" s="6" t="s">
        <v>183</v>
      </c>
      <c r="B346" s="6" t="s">
        <v>600</v>
      </c>
      <c r="C346" s="5">
        <f t="shared" si="1"/>
        <v>7</v>
      </c>
      <c r="D346" s="1" t="s">
        <v>116</v>
      </c>
      <c r="E346" s="1" t="s">
        <v>13</v>
      </c>
      <c r="F346" s="1" t="s">
        <v>14</v>
      </c>
      <c r="G346" s="1" t="s">
        <v>1293</v>
      </c>
      <c r="H346" s="5">
        <f t="shared" si="2"/>
        <v>86.1022</v>
      </c>
      <c r="I346" s="1" t="s">
        <v>1295</v>
      </c>
      <c r="J346" s="5">
        <f t="shared" si="3"/>
        <v>5422.054982</v>
      </c>
      <c r="K346" s="1" t="s">
        <v>1296</v>
      </c>
      <c r="L346" s="5">
        <f t="shared" si="4"/>
        <v>18.0815</v>
      </c>
      <c r="M346" s="6" t="s">
        <v>4192</v>
      </c>
      <c r="N346" s="5">
        <f t="shared" si="5"/>
        <v>11371</v>
      </c>
    </row>
    <row r="347">
      <c r="A347" s="6" t="s">
        <v>183</v>
      </c>
      <c r="B347" s="6" t="s">
        <v>600</v>
      </c>
      <c r="C347" s="5">
        <f t="shared" si="1"/>
        <v>7</v>
      </c>
      <c r="D347" s="1" t="s">
        <v>116</v>
      </c>
      <c r="E347" s="1" t="s">
        <v>13</v>
      </c>
      <c r="F347" s="1" t="s">
        <v>17</v>
      </c>
      <c r="G347" s="1" t="s">
        <v>1299</v>
      </c>
      <c r="H347" s="5">
        <f t="shared" si="2"/>
        <v>67.7327</v>
      </c>
      <c r="I347" s="1" t="s">
        <v>1300</v>
      </c>
      <c r="J347" s="5">
        <f t="shared" si="3"/>
        <v>5977.697769</v>
      </c>
      <c r="K347" s="1" t="s">
        <v>1302</v>
      </c>
      <c r="L347" s="5">
        <f t="shared" si="4"/>
        <v>23.7064</v>
      </c>
      <c r="M347" s="6" t="s">
        <v>3586</v>
      </c>
      <c r="N347" s="5">
        <f t="shared" si="5"/>
        <v>7935</v>
      </c>
    </row>
    <row r="348">
      <c r="A348" s="6" t="s">
        <v>183</v>
      </c>
      <c r="B348" s="6" t="s">
        <v>600</v>
      </c>
      <c r="C348" s="5">
        <f t="shared" si="1"/>
        <v>7</v>
      </c>
      <c r="D348" s="1" t="s">
        <v>116</v>
      </c>
      <c r="E348" s="1" t="s">
        <v>13</v>
      </c>
      <c r="F348" s="1" t="s">
        <v>21</v>
      </c>
      <c r="G348" s="6" t="s">
        <v>1305</v>
      </c>
      <c r="H348" s="5">
        <f t="shared" si="2"/>
        <v>11.1159</v>
      </c>
      <c r="I348" s="1" t="s">
        <v>1306</v>
      </c>
      <c r="J348" s="5">
        <f t="shared" si="3"/>
        <v>1411.179164</v>
      </c>
      <c r="K348" s="1" t="s">
        <v>1308</v>
      </c>
      <c r="L348" s="5">
        <f t="shared" si="4"/>
        <v>5.558</v>
      </c>
      <c r="M348" s="6" t="s">
        <v>3578</v>
      </c>
      <c r="N348" s="5">
        <f t="shared" si="5"/>
        <v>1569</v>
      </c>
    </row>
    <row r="349">
      <c r="A349" s="6" t="s">
        <v>183</v>
      </c>
      <c r="B349" s="6" t="s">
        <v>600</v>
      </c>
      <c r="C349" s="5">
        <f t="shared" si="1"/>
        <v>7</v>
      </c>
      <c r="D349" s="1" t="s">
        <v>116</v>
      </c>
      <c r="E349" s="1" t="s">
        <v>13</v>
      </c>
      <c r="F349" s="1" t="s">
        <v>25</v>
      </c>
      <c r="G349" s="6" t="s">
        <v>1310</v>
      </c>
      <c r="H349" s="5">
        <f t="shared" si="2"/>
        <v>1.0494</v>
      </c>
      <c r="I349" s="1" t="s">
        <v>1311</v>
      </c>
      <c r="J349" s="5">
        <f t="shared" si="3"/>
        <v>147.300122</v>
      </c>
      <c r="K349" s="1" t="s">
        <v>1312</v>
      </c>
      <c r="L349" s="5">
        <f t="shared" si="4"/>
        <v>0.7871</v>
      </c>
      <c r="M349" s="6" t="s">
        <v>2932</v>
      </c>
      <c r="N349" s="5">
        <f t="shared" si="5"/>
        <v>117</v>
      </c>
    </row>
    <row r="350">
      <c r="A350" s="6" t="s">
        <v>183</v>
      </c>
      <c r="B350" s="6" t="s">
        <v>600</v>
      </c>
      <c r="C350" s="5">
        <f t="shared" si="1"/>
        <v>7</v>
      </c>
      <c r="D350" s="1" t="s">
        <v>116</v>
      </c>
      <c r="E350" s="1" t="s">
        <v>29</v>
      </c>
      <c r="F350" s="1" t="s">
        <v>21</v>
      </c>
      <c r="G350" s="1" t="s">
        <v>1315</v>
      </c>
      <c r="H350" s="5">
        <f t="shared" si="2"/>
        <v>36.3771</v>
      </c>
      <c r="I350" s="1" t="s">
        <v>1316</v>
      </c>
      <c r="J350" s="5">
        <f t="shared" si="3"/>
        <v>6144.165251</v>
      </c>
      <c r="K350" s="1" t="s">
        <v>1317</v>
      </c>
      <c r="L350" s="5">
        <f t="shared" si="4"/>
        <v>14.5509</v>
      </c>
      <c r="M350" s="6" t="s">
        <v>4201</v>
      </c>
      <c r="N350" s="5">
        <f t="shared" si="5"/>
        <v>2354</v>
      </c>
    </row>
    <row r="351">
      <c r="A351" s="6" t="s">
        <v>183</v>
      </c>
      <c r="B351" s="6" t="s">
        <v>600</v>
      </c>
      <c r="C351" s="5">
        <f t="shared" si="1"/>
        <v>7</v>
      </c>
      <c r="D351" s="1" t="s">
        <v>116</v>
      </c>
      <c r="E351" s="1" t="s">
        <v>45</v>
      </c>
      <c r="F351" s="1" t="s">
        <v>17</v>
      </c>
      <c r="G351" s="1" t="s">
        <v>1320</v>
      </c>
      <c r="H351" s="5">
        <f t="shared" si="2"/>
        <v>21.8827</v>
      </c>
      <c r="I351" s="1" t="s">
        <v>1322</v>
      </c>
      <c r="J351" s="5">
        <f t="shared" si="3"/>
        <v>1520.411846</v>
      </c>
      <c r="K351" s="6" t="s">
        <v>4202</v>
      </c>
      <c r="L351" s="5">
        <f t="shared" si="4"/>
        <v>7.8778</v>
      </c>
      <c r="M351" s="6" t="s">
        <v>4203</v>
      </c>
      <c r="N351" s="5">
        <f t="shared" si="5"/>
        <v>2063</v>
      </c>
    </row>
    <row r="352">
      <c r="A352" s="6" t="s">
        <v>183</v>
      </c>
      <c r="B352" s="6" t="s">
        <v>600</v>
      </c>
      <c r="C352" s="5">
        <f t="shared" si="1"/>
        <v>7</v>
      </c>
      <c r="D352" s="1" t="s">
        <v>116</v>
      </c>
      <c r="E352" s="1" t="s">
        <v>32</v>
      </c>
      <c r="F352" s="1" t="s">
        <v>14</v>
      </c>
      <c r="G352" s="6" t="s">
        <v>4204</v>
      </c>
      <c r="H352" s="5">
        <f t="shared" si="2"/>
        <v>8.3303</v>
      </c>
      <c r="I352" s="1" t="s">
        <v>1325</v>
      </c>
      <c r="J352" s="5">
        <f t="shared" si="3"/>
        <v>521.917002</v>
      </c>
      <c r="K352" s="1" t="s">
        <v>1326</v>
      </c>
      <c r="L352" s="5">
        <f t="shared" si="4"/>
        <v>1.916</v>
      </c>
      <c r="M352" s="6" t="s">
        <v>4205</v>
      </c>
      <c r="N352" s="5">
        <f t="shared" si="5"/>
        <v>1689</v>
      </c>
    </row>
    <row r="353">
      <c r="A353" s="6" t="s">
        <v>183</v>
      </c>
      <c r="B353" s="6" t="s">
        <v>600</v>
      </c>
      <c r="C353" s="5">
        <f t="shared" si="1"/>
        <v>7</v>
      </c>
      <c r="D353" s="1" t="s">
        <v>116</v>
      </c>
      <c r="E353" s="1" t="s">
        <v>32</v>
      </c>
      <c r="F353" s="1" t="s">
        <v>21</v>
      </c>
      <c r="G353" s="6" t="s">
        <v>4206</v>
      </c>
      <c r="H353" s="5">
        <f t="shared" si="2"/>
        <v>2.7617</v>
      </c>
      <c r="I353" s="1" t="s">
        <v>1330</v>
      </c>
      <c r="J353" s="5">
        <f t="shared" si="3"/>
        <v>499.183237</v>
      </c>
      <c r="K353" s="6" t="s">
        <v>4207</v>
      </c>
      <c r="L353" s="5">
        <f t="shared" si="4"/>
        <v>1.2428</v>
      </c>
      <c r="M353" s="6" t="s">
        <v>4208</v>
      </c>
      <c r="N353" s="5">
        <f t="shared" si="5"/>
        <v>1130</v>
      </c>
    </row>
    <row r="354">
      <c r="A354" s="6" t="s">
        <v>183</v>
      </c>
      <c r="B354" s="6" t="s">
        <v>600</v>
      </c>
      <c r="C354" s="5">
        <f t="shared" si="1"/>
        <v>7</v>
      </c>
      <c r="D354" s="1" t="s">
        <v>116</v>
      </c>
      <c r="E354" s="1" t="s">
        <v>42</v>
      </c>
      <c r="F354" s="1" t="s">
        <v>17</v>
      </c>
      <c r="G354" s="6" t="s">
        <v>4209</v>
      </c>
      <c r="H354" s="5">
        <f t="shared" si="2"/>
        <v>2.5479</v>
      </c>
      <c r="I354" s="1" t="s">
        <v>1333</v>
      </c>
      <c r="J354" s="5">
        <f t="shared" si="3"/>
        <v>411.200988</v>
      </c>
      <c r="K354" s="1" t="s">
        <v>1336</v>
      </c>
      <c r="L354" s="5">
        <f t="shared" si="4"/>
        <v>0.9427</v>
      </c>
      <c r="M354" s="6" t="s">
        <v>4210</v>
      </c>
      <c r="N354" s="5">
        <f t="shared" si="5"/>
        <v>718</v>
      </c>
    </row>
    <row r="355">
      <c r="A355" s="6" t="s">
        <v>183</v>
      </c>
      <c r="B355" s="6" t="s">
        <v>600</v>
      </c>
      <c r="C355" s="5">
        <f t="shared" si="1"/>
        <v>7</v>
      </c>
      <c r="D355" s="1" t="s">
        <v>116</v>
      </c>
      <c r="E355" s="1" t="s">
        <v>102</v>
      </c>
      <c r="F355" s="1" t="s">
        <v>39</v>
      </c>
      <c r="G355" s="1" t="s">
        <v>1337</v>
      </c>
      <c r="H355" s="5">
        <f t="shared" si="2"/>
        <v>0.02</v>
      </c>
      <c r="I355" s="1" t="s">
        <v>1338</v>
      </c>
      <c r="J355" s="5">
        <f t="shared" si="3"/>
        <v>3.348456</v>
      </c>
      <c r="K355" s="1" t="s">
        <v>1341</v>
      </c>
      <c r="L355" s="5">
        <f t="shared" si="4"/>
        <v>0.0038</v>
      </c>
      <c r="M355" s="6" t="s">
        <v>600</v>
      </c>
      <c r="N355" s="5">
        <f t="shared" si="5"/>
        <v>7</v>
      </c>
    </row>
    <row r="356">
      <c r="A356" s="6" t="s">
        <v>183</v>
      </c>
      <c r="B356" s="6" t="s">
        <v>600</v>
      </c>
      <c r="C356" s="5">
        <f t="shared" si="1"/>
        <v>7</v>
      </c>
      <c r="D356" s="1" t="s">
        <v>116</v>
      </c>
      <c r="E356" s="1" t="s">
        <v>102</v>
      </c>
      <c r="F356" s="1" t="s">
        <v>17</v>
      </c>
      <c r="G356" s="1" t="s">
        <v>414</v>
      </c>
      <c r="H356" s="5">
        <f t="shared" si="2"/>
        <v>0.0007</v>
      </c>
      <c r="I356" s="1" t="s">
        <v>1343</v>
      </c>
      <c r="J356" s="5">
        <f t="shared" si="3"/>
        <v>0.242017</v>
      </c>
      <c r="K356" s="1" t="s">
        <v>376</v>
      </c>
      <c r="L356" s="5">
        <f t="shared" si="4"/>
        <v>0.0002</v>
      </c>
      <c r="M356" s="6" t="s">
        <v>186</v>
      </c>
      <c r="N356" s="5">
        <f t="shared" si="5"/>
        <v>1</v>
      </c>
    </row>
    <row r="357">
      <c r="A357" s="6" t="s">
        <v>183</v>
      </c>
      <c r="B357" s="6" t="s">
        <v>600</v>
      </c>
      <c r="C357" s="5">
        <f t="shared" si="1"/>
        <v>7</v>
      </c>
      <c r="D357" s="1" t="s">
        <v>116</v>
      </c>
      <c r="E357" s="1" t="s">
        <v>102</v>
      </c>
      <c r="F357" s="1" t="s">
        <v>21</v>
      </c>
      <c r="G357" s="6" t="s">
        <v>4211</v>
      </c>
      <c r="H357" s="5">
        <f t="shared" si="2"/>
        <v>1.3619</v>
      </c>
      <c r="I357" s="1" t="s">
        <v>1345</v>
      </c>
      <c r="J357" s="5">
        <f t="shared" si="3"/>
        <v>374.905378</v>
      </c>
      <c r="K357" s="1" t="s">
        <v>1348</v>
      </c>
      <c r="L357" s="5">
        <f t="shared" si="4"/>
        <v>0.5448</v>
      </c>
      <c r="M357" s="6" t="s">
        <v>3648</v>
      </c>
      <c r="N357" s="5">
        <f t="shared" si="5"/>
        <v>235</v>
      </c>
    </row>
    <row r="358">
      <c r="A358" s="6" t="s">
        <v>183</v>
      </c>
      <c r="B358" s="6" t="s">
        <v>600</v>
      </c>
      <c r="C358" s="5">
        <f t="shared" si="1"/>
        <v>7</v>
      </c>
      <c r="D358" s="1" t="s">
        <v>116</v>
      </c>
      <c r="E358" s="1" t="s">
        <v>147</v>
      </c>
      <c r="F358" s="1" t="s">
        <v>39</v>
      </c>
      <c r="G358" s="6" t="s">
        <v>1350</v>
      </c>
      <c r="H358" s="5">
        <f t="shared" si="2"/>
        <v>1.0443</v>
      </c>
      <c r="I358" s="1" t="s">
        <v>1351</v>
      </c>
      <c r="J358" s="5">
        <f t="shared" si="3"/>
        <v>298.579602</v>
      </c>
      <c r="K358" s="1" t="s">
        <v>1353</v>
      </c>
      <c r="L358" s="5">
        <f t="shared" si="4"/>
        <v>0.1984</v>
      </c>
      <c r="M358" s="6" t="s">
        <v>248</v>
      </c>
      <c r="N358" s="5">
        <f t="shared" si="5"/>
        <v>96</v>
      </c>
    </row>
    <row r="359">
      <c r="A359" s="6" t="s">
        <v>183</v>
      </c>
      <c r="B359" s="6" t="s">
        <v>600</v>
      </c>
      <c r="C359" s="5">
        <f t="shared" si="1"/>
        <v>7</v>
      </c>
      <c r="D359" s="1" t="s">
        <v>116</v>
      </c>
      <c r="E359" s="1" t="s">
        <v>147</v>
      </c>
      <c r="F359" s="1" t="s">
        <v>17</v>
      </c>
      <c r="G359" s="1" t="s">
        <v>1355</v>
      </c>
      <c r="H359" s="5">
        <f t="shared" si="2"/>
        <v>0.045</v>
      </c>
      <c r="I359" s="1" t="s">
        <v>1356</v>
      </c>
      <c r="J359" s="5">
        <f t="shared" si="3"/>
        <v>9.620347</v>
      </c>
      <c r="K359" s="1" t="s">
        <v>1357</v>
      </c>
      <c r="L359" s="5">
        <f t="shared" si="4"/>
        <v>0.0158</v>
      </c>
      <c r="M359" s="6" t="s">
        <v>600</v>
      </c>
      <c r="N359" s="5">
        <f t="shared" si="5"/>
        <v>7</v>
      </c>
    </row>
    <row r="360">
      <c r="A360" s="6" t="s">
        <v>183</v>
      </c>
      <c r="B360" s="6" t="s">
        <v>600</v>
      </c>
      <c r="C360" s="5">
        <f t="shared" si="1"/>
        <v>7</v>
      </c>
      <c r="D360" s="1" t="s">
        <v>116</v>
      </c>
      <c r="E360" s="1" t="s">
        <v>147</v>
      </c>
      <c r="F360" s="1" t="s">
        <v>21</v>
      </c>
      <c r="G360" s="1" t="s">
        <v>1360</v>
      </c>
      <c r="H360" s="5">
        <f t="shared" si="2"/>
        <v>0.0452</v>
      </c>
      <c r="I360" s="1" t="s">
        <v>1361</v>
      </c>
      <c r="J360" s="5">
        <f t="shared" si="3"/>
        <v>22.065598</v>
      </c>
      <c r="K360" s="1" t="s">
        <v>1362</v>
      </c>
      <c r="L360" s="5">
        <f t="shared" si="4"/>
        <v>0.0226</v>
      </c>
      <c r="M360" s="6" t="s">
        <v>3566</v>
      </c>
      <c r="N360" s="5">
        <f t="shared" si="5"/>
        <v>46</v>
      </c>
    </row>
    <row r="361">
      <c r="A361" s="6" t="s">
        <v>183</v>
      </c>
      <c r="B361" s="6" t="s">
        <v>600</v>
      </c>
      <c r="C361" s="5">
        <f t="shared" si="1"/>
        <v>7</v>
      </c>
      <c r="D361" s="1" t="s">
        <v>116</v>
      </c>
      <c r="E361" s="1" t="s">
        <v>165</v>
      </c>
      <c r="F361" s="1" t="s">
        <v>39</v>
      </c>
      <c r="G361" s="1" t="s">
        <v>1365</v>
      </c>
      <c r="H361" s="5">
        <f t="shared" si="2"/>
        <v>0.291</v>
      </c>
      <c r="I361" s="1" t="s">
        <v>1367</v>
      </c>
      <c r="J361" s="5">
        <f t="shared" si="3"/>
        <v>49.084923</v>
      </c>
      <c r="K361" s="1" t="s">
        <v>1368</v>
      </c>
      <c r="L361" s="5">
        <f t="shared" si="4"/>
        <v>0.0524</v>
      </c>
      <c r="M361" s="6" t="s">
        <v>291</v>
      </c>
      <c r="N361" s="5">
        <f t="shared" si="5"/>
        <v>0</v>
      </c>
    </row>
    <row r="362">
      <c r="A362" s="6" t="s">
        <v>183</v>
      </c>
      <c r="B362" s="6" t="s">
        <v>600</v>
      </c>
      <c r="C362" s="5">
        <f t="shared" si="1"/>
        <v>7</v>
      </c>
      <c r="D362" s="1" t="s">
        <v>116</v>
      </c>
      <c r="E362" s="1" t="s">
        <v>165</v>
      </c>
      <c r="F362" s="1" t="s">
        <v>17</v>
      </c>
      <c r="G362" s="1" t="s">
        <v>1370</v>
      </c>
      <c r="H362" s="5">
        <f t="shared" si="2"/>
        <v>0.6584</v>
      </c>
      <c r="I362" s="1" t="s">
        <v>1372</v>
      </c>
      <c r="J362" s="5">
        <f t="shared" si="3"/>
        <v>140.649292</v>
      </c>
      <c r="K362" s="1" t="s">
        <v>1374</v>
      </c>
      <c r="L362" s="5">
        <f t="shared" si="4"/>
        <v>0.2304</v>
      </c>
      <c r="M362" s="6" t="s">
        <v>291</v>
      </c>
      <c r="N362" s="5">
        <f t="shared" si="5"/>
        <v>0</v>
      </c>
    </row>
    <row r="363">
      <c r="A363" s="6" t="s">
        <v>183</v>
      </c>
      <c r="B363" s="6" t="s">
        <v>600</v>
      </c>
      <c r="C363" s="5">
        <f t="shared" si="1"/>
        <v>7</v>
      </c>
      <c r="D363" s="1" t="s">
        <v>116</v>
      </c>
      <c r="E363" s="1" t="s">
        <v>158</v>
      </c>
      <c r="F363" s="1" t="s">
        <v>39</v>
      </c>
      <c r="G363" s="1" t="s">
        <v>574</v>
      </c>
      <c r="H363" s="5">
        <f t="shared" si="2"/>
        <v>0.0009</v>
      </c>
      <c r="I363" s="1" t="s">
        <v>1376</v>
      </c>
      <c r="J363" s="5">
        <f t="shared" si="3"/>
        <v>0.424558</v>
      </c>
      <c r="K363" s="1" t="s">
        <v>596</v>
      </c>
      <c r="L363" s="5">
        <f t="shared" si="4"/>
        <v>0.0001</v>
      </c>
      <c r="M363" s="6" t="s">
        <v>291</v>
      </c>
      <c r="N363" s="5">
        <f t="shared" si="5"/>
        <v>0</v>
      </c>
    </row>
    <row r="364">
      <c r="A364" s="6" t="s">
        <v>183</v>
      </c>
      <c r="B364" s="6" t="s">
        <v>600</v>
      </c>
      <c r="C364" s="5">
        <f t="shared" si="1"/>
        <v>7</v>
      </c>
      <c r="D364" s="1" t="s">
        <v>116</v>
      </c>
      <c r="E364" s="1" t="s">
        <v>158</v>
      </c>
      <c r="F364" s="1" t="s">
        <v>17</v>
      </c>
      <c r="G364" s="1" t="s">
        <v>1378</v>
      </c>
      <c r="H364" s="5">
        <f t="shared" si="2"/>
        <v>0.0458</v>
      </c>
      <c r="I364" s="1" t="s">
        <v>1379</v>
      </c>
      <c r="J364" s="5">
        <f t="shared" si="3"/>
        <v>20.850142</v>
      </c>
      <c r="K364" s="1" t="s">
        <v>1380</v>
      </c>
      <c r="L364" s="5">
        <f t="shared" si="4"/>
        <v>0.016</v>
      </c>
      <c r="M364" s="6" t="s">
        <v>291</v>
      </c>
      <c r="N364" s="5">
        <f t="shared" si="5"/>
        <v>0</v>
      </c>
    </row>
    <row r="365">
      <c r="A365" s="6" t="s">
        <v>183</v>
      </c>
      <c r="B365" s="6" t="s">
        <v>600</v>
      </c>
      <c r="C365" s="5">
        <f t="shared" si="1"/>
        <v>7</v>
      </c>
      <c r="D365" s="1" t="s">
        <v>116</v>
      </c>
      <c r="E365" s="1" t="s">
        <v>158</v>
      </c>
      <c r="F365" s="1" t="s">
        <v>21</v>
      </c>
      <c r="G365" s="1" t="s">
        <v>1383</v>
      </c>
      <c r="H365" s="5">
        <f t="shared" si="2"/>
        <v>0.2691</v>
      </c>
      <c r="I365" s="1" t="s">
        <v>1384</v>
      </c>
      <c r="J365" s="5">
        <f t="shared" si="3"/>
        <v>140.824207</v>
      </c>
      <c r="K365" s="1" t="s">
        <v>1386</v>
      </c>
      <c r="L365" s="5">
        <f t="shared" si="4"/>
        <v>0.1131</v>
      </c>
      <c r="M365" s="6" t="s">
        <v>291</v>
      </c>
      <c r="N365" s="5">
        <f t="shared" si="5"/>
        <v>0</v>
      </c>
    </row>
    <row r="366">
      <c r="A366" s="6" t="s">
        <v>183</v>
      </c>
      <c r="B366" s="6" t="s">
        <v>600</v>
      </c>
      <c r="C366" s="5">
        <f t="shared" si="1"/>
        <v>7</v>
      </c>
      <c r="D366" s="1" t="s">
        <v>116</v>
      </c>
      <c r="E366" s="1" t="s">
        <v>38</v>
      </c>
      <c r="F366" s="1" t="s">
        <v>39</v>
      </c>
      <c r="G366" s="6" t="s">
        <v>4212</v>
      </c>
      <c r="H366" s="5">
        <f t="shared" si="2"/>
        <v>1.5679</v>
      </c>
      <c r="I366" s="1" t="s">
        <v>1389</v>
      </c>
      <c r="J366" s="5">
        <f t="shared" si="3"/>
        <v>154.4753</v>
      </c>
      <c r="K366" s="1" t="s">
        <v>1390</v>
      </c>
      <c r="L366" s="5">
        <f t="shared" si="4"/>
        <v>0.2822</v>
      </c>
      <c r="M366" s="6" t="s">
        <v>3881</v>
      </c>
      <c r="N366" s="5">
        <f t="shared" si="5"/>
        <v>201</v>
      </c>
    </row>
    <row r="367">
      <c r="A367" s="6" t="s">
        <v>183</v>
      </c>
      <c r="B367" s="6" t="s">
        <v>2672</v>
      </c>
      <c r="C367" s="5">
        <f t="shared" si="1"/>
        <v>8</v>
      </c>
      <c r="D367" s="1" t="s">
        <v>12</v>
      </c>
      <c r="E367" s="1" t="s">
        <v>13</v>
      </c>
      <c r="F367" s="1" t="s">
        <v>14</v>
      </c>
      <c r="G367" s="1" t="s">
        <v>1393</v>
      </c>
      <c r="H367" s="5">
        <f t="shared" si="2"/>
        <v>14.4989</v>
      </c>
      <c r="I367" s="1" t="s">
        <v>1395</v>
      </c>
      <c r="J367" s="5">
        <f t="shared" si="3"/>
        <v>839.675037</v>
      </c>
      <c r="K367" s="6" t="s">
        <v>1397</v>
      </c>
      <c r="L367" s="5">
        <f t="shared" si="4"/>
        <v>3.0448</v>
      </c>
      <c r="M367" s="6" t="s">
        <v>4235</v>
      </c>
      <c r="N367" s="5">
        <f t="shared" si="5"/>
        <v>529</v>
      </c>
    </row>
    <row r="368">
      <c r="A368" s="6" t="s">
        <v>183</v>
      </c>
      <c r="B368" s="6" t="s">
        <v>2672</v>
      </c>
      <c r="C368" s="5">
        <f t="shared" si="1"/>
        <v>8</v>
      </c>
      <c r="D368" s="1" t="s">
        <v>12</v>
      </c>
      <c r="E368" s="1" t="s">
        <v>13</v>
      </c>
      <c r="F368" s="1" t="s">
        <v>17</v>
      </c>
      <c r="G368" s="1" t="s">
        <v>1400</v>
      </c>
      <c r="H368" s="5">
        <f t="shared" si="2"/>
        <v>52.6967</v>
      </c>
      <c r="I368" s="1" t="s">
        <v>1401</v>
      </c>
      <c r="J368" s="5">
        <f t="shared" si="3"/>
        <v>4545.647378</v>
      </c>
      <c r="K368" s="1" t="s">
        <v>1403</v>
      </c>
      <c r="L368" s="5">
        <f t="shared" si="4"/>
        <v>18.4438</v>
      </c>
      <c r="M368" s="6" t="s">
        <v>4237</v>
      </c>
      <c r="N368" s="5">
        <f t="shared" si="5"/>
        <v>697</v>
      </c>
    </row>
    <row r="369">
      <c r="A369" s="6" t="s">
        <v>183</v>
      </c>
      <c r="B369" s="6" t="s">
        <v>2672</v>
      </c>
      <c r="C369" s="5">
        <f t="shared" si="1"/>
        <v>8</v>
      </c>
      <c r="D369" s="1" t="s">
        <v>12</v>
      </c>
      <c r="E369" s="1" t="s">
        <v>13</v>
      </c>
      <c r="F369" s="1" t="s">
        <v>21</v>
      </c>
      <c r="G369" s="1" t="s">
        <v>1406</v>
      </c>
      <c r="H369" s="5">
        <f t="shared" si="2"/>
        <v>27.0943</v>
      </c>
      <c r="I369" s="1" t="s">
        <v>1407</v>
      </c>
      <c r="J369" s="5">
        <f t="shared" si="3"/>
        <v>2912.236932</v>
      </c>
      <c r="K369" s="1" t="s">
        <v>1409</v>
      </c>
      <c r="L369" s="5">
        <f t="shared" si="4"/>
        <v>13.5471</v>
      </c>
      <c r="M369" s="6" t="s">
        <v>4241</v>
      </c>
      <c r="N369" s="5">
        <f t="shared" si="5"/>
        <v>506</v>
      </c>
    </row>
    <row r="370">
      <c r="A370" s="6" t="s">
        <v>183</v>
      </c>
      <c r="B370" s="6" t="s">
        <v>2672</v>
      </c>
      <c r="C370" s="5">
        <f t="shared" si="1"/>
        <v>8</v>
      </c>
      <c r="D370" s="1" t="s">
        <v>12</v>
      </c>
      <c r="E370" s="1" t="s">
        <v>13</v>
      </c>
      <c r="F370" s="1" t="s">
        <v>25</v>
      </c>
      <c r="G370" s="1" t="s">
        <v>152</v>
      </c>
      <c r="H370" s="5">
        <f t="shared" si="2"/>
        <v>0.011</v>
      </c>
      <c r="I370" s="1" t="s">
        <v>1410</v>
      </c>
      <c r="J370" s="5">
        <f t="shared" si="3"/>
        <v>2.343986</v>
      </c>
      <c r="K370" s="1" t="s">
        <v>785</v>
      </c>
      <c r="L370" s="5">
        <f t="shared" si="4"/>
        <v>0.0082</v>
      </c>
      <c r="M370" s="6" t="s">
        <v>3552</v>
      </c>
      <c r="N370" s="5">
        <f t="shared" si="5"/>
        <v>5</v>
      </c>
    </row>
    <row r="371">
      <c r="A371" s="6" t="s">
        <v>183</v>
      </c>
      <c r="B371" s="6" t="s">
        <v>2672</v>
      </c>
      <c r="C371" s="5">
        <f t="shared" si="1"/>
        <v>8</v>
      </c>
      <c r="D371" s="1" t="s">
        <v>12</v>
      </c>
      <c r="E371" s="1" t="s">
        <v>29</v>
      </c>
      <c r="F371" s="1" t="s">
        <v>21</v>
      </c>
      <c r="G371" s="1" t="s">
        <v>1414</v>
      </c>
      <c r="H371" s="5">
        <f t="shared" si="2"/>
        <v>15.9888</v>
      </c>
      <c r="I371" s="1" t="s">
        <v>1415</v>
      </c>
      <c r="J371" s="5">
        <f t="shared" si="3"/>
        <v>3144.032997</v>
      </c>
      <c r="K371" s="6" t="s">
        <v>4247</v>
      </c>
      <c r="L371" s="5">
        <f t="shared" si="4"/>
        <v>6.3956</v>
      </c>
      <c r="M371" s="6" t="s">
        <v>2956</v>
      </c>
      <c r="N371" s="5">
        <f t="shared" si="5"/>
        <v>580</v>
      </c>
    </row>
    <row r="372">
      <c r="A372" s="6" t="s">
        <v>183</v>
      </c>
      <c r="B372" s="6" t="s">
        <v>2672</v>
      </c>
      <c r="C372" s="5">
        <f t="shared" si="1"/>
        <v>8</v>
      </c>
      <c r="D372" s="1" t="s">
        <v>12</v>
      </c>
      <c r="E372" s="1" t="s">
        <v>32</v>
      </c>
      <c r="F372" s="1" t="s">
        <v>14</v>
      </c>
      <c r="G372" s="1" t="s">
        <v>1419</v>
      </c>
      <c r="H372" s="5">
        <f t="shared" si="2"/>
        <v>6.511</v>
      </c>
      <c r="I372" s="1" t="s">
        <v>1420</v>
      </c>
      <c r="J372" s="5">
        <f t="shared" si="3"/>
        <v>386.054146</v>
      </c>
      <c r="K372" s="6" t="s">
        <v>4248</v>
      </c>
      <c r="L372" s="5">
        <f t="shared" si="4"/>
        <v>1.4975</v>
      </c>
      <c r="M372" s="6" t="s">
        <v>3736</v>
      </c>
      <c r="N372" s="5">
        <f t="shared" si="5"/>
        <v>461</v>
      </c>
    </row>
    <row r="373">
      <c r="A373" s="6" t="s">
        <v>183</v>
      </c>
      <c r="B373" s="6" t="s">
        <v>2672</v>
      </c>
      <c r="C373" s="5">
        <f t="shared" si="1"/>
        <v>8</v>
      </c>
      <c r="D373" s="1" t="s">
        <v>12</v>
      </c>
      <c r="E373" s="1" t="s">
        <v>32</v>
      </c>
      <c r="F373" s="1" t="s">
        <v>21</v>
      </c>
      <c r="G373" s="6" t="s">
        <v>4343</v>
      </c>
      <c r="H373" s="5">
        <f t="shared" si="2"/>
        <v>2.0056</v>
      </c>
      <c r="I373" s="1" t="s">
        <v>1424</v>
      </c>
      <c r="J373" s="5">
        <f t="shared" si="3"/>
        <v>152.672372</v>
      </c>
      <c r="K373" s="1" t="s">
        <v>1427</v>
      </c>
      <c r="L373" s="5">
        <f t="shared" si="4"/>
        <v>0.9025</v>
      </c>
      <c r="M373" s="6" t="s">
        <v>3600</v>
      </c>
      <c r="N373" s="5">
        <f t="shared" si="5"/>
        <v>106</v>
      </c>
    </row>
    <row r="374">
      <c r="A374" s="6" t="s">
        <v>183</v>
      </c>
      <c r="B374" s="6" t="s">
        <v>2672</v>
      </c>
      <c r="C374" s="5">
        <f t="shared" si="1"/>
        <v>8</v>
      </c>
      <c r="D374" s="1" t="s">
        <v>12</v>
      </c>
      <c r="E374" s="1" t="s">
        <v>45</v>
      </c>
      <c r="F374" s="1" t="s">
        <v>17</v>
      </c>
      <c r="G374" s="6" t="s">
        <v>4344</v>
      </c>
      <c r="H374" s="5">
        <f t="shared" si="2"/>
        <v>8.5171</v>
      </c>
      <c r="I374" s="1" t="s">
        <v>1428</v>
      </c>
      <c r="J374" s="5">
        <f t="shared" si="3"/>
        <v>418.475559</v>
      </c>
      <c r="K374" s="6" t="s">
        <v>1430</v>
      </c>
      <c r="L374" s="5">
        <f t="shared" si="4"/>
        <v>3.0662</v>
      </c>
      <c r="M374" s="6" t="s">
        <v>4043</v>
      </c>
      <c r="N374" s="5">
        <f t="shared" si="5"/>
        <v>172</v>
      </c>
    </row>
    <row r="375">
      <c r="A375" s="6" t="s">
        <v>183</v>
      </c>
      <c r="B375" s="6" t="s">
        <v>2672</v>
      </c>
      <c r="C375" s="5">
        <f t="shared" si="1"/>
        <v>8</v>
      </c>
      <c r="D375" s="1" t="s">
        <v>12</v>
      </c>
      <c r="E375" s="1" t="s">
        <v>42</v>
      </c>
      <c r="F375" s="1" t="s">
        <v>17</v>
      </c>
      <c r="G375" s="1" t="s">
        <v>1432</v>
      </c>
      <c r="H375" s="5">
        <f t="shared" si="2"/>
        <v>2.522</v>
      </c>
      <c r="I375" s="1" t="s">
        <v>1433</v>
      </c>
      <c r="J375" s="5">
        <f t="shared" si="3"/>
        <v>373.798464</v>
      </c>
      <c r="K375" s="1" t="s">
        <v>1436</v>
      </c>
      <c r="L375" s="5">
        <f t="shared" si="4"/>
        <v>0.9331</v>
      </c>
      <c r="M375" s="6" t="s">
        <v>4345</v>
      </c>
      <c r="N375" s="5">
        <f t="shared" si="5"/>
        <v>153</v>
      </c>
    </row>
    <row r="376">
      <c r="A376" s="6" t="s">
        <v>183</v>
      </c>
      <c r="B376" s="6" t="s">
        <v>2672</v>
      </c>
      <c r="C376" s="5">
        <f t="shared" si="1"/>
        <v>8</v>
      </c>
      <c r="D376" s="1" t="s">
        <v>12</v>
      </c>
      <c r="E376" s="1" t="s">
        <v>38</v>
      </c>
      <c r="F376" s="1" t="s">
        <v>39</v>
      </c>
      <c r="G376" s="6" t="s">
        <v>4346</v>
      </c>
      <c r="H376" s="5">
        <f t="shared" si="2"/>
        <v>2.8443</v>
      </c>
      <c r="I376" s="1" t="s">
        <v>1438</v>
      </c>
      <c r="J376" s="5">
        <f t="shared" si="3"/>
        <v>284.902185</v>
      </c>
      <c r="K376" s="1" t="s">
        <v>1441</v>
      </c>
      <c r="L376" s="5">
        <f t="shared" si="4"/>
        <v>0.512</v>
      </c>
      <c r="M376" s="6" t="s">
        <v>3669</v>
      </c>
      <c r="N376" s="5">
        <f t="shared" si="5"/>
        <v>97</v>
      </c>
    </row>
    <row r="377">
      <c r="A377" s="6" t="s">
        <v>183</v>
      </c>
      <c r="B377" s="6" t="s">
        <v>2672</v>
      </c>
      <c r="C377" s="5">
        <f t="shared" si="1"/>
        <v>8</v>
      </c>
      <c r="D377" s="1" t="s">
        <v>12</v>
      </c>
      <c r="E377" s="1" t="s">
        <v>56</v>
      </c>
      <c r="F377" s="1" t="s">
        <v>21</v>
      </c>
      <c r="G377" s="1" t="s">
        <v>1443</v>
      </c>
      <c r="H377" s="5">
        <f t="shared" si="2"/>
        <v>0.6974</v>
      </c>
      <c r="I377" s="1" t="s">
        <v>1444</v>
      </c>
      <c r="J377" s="5">
        <f t="shared" si="3"/>
        <v>127.709397</v>
      </c>
      <c r="K377" s="1" t="s">
        <v>1447</v>
      </c>
      <c r="L377" s="5">
        <f t="shared" si="4"/>
        <v>0.2789</v>
      </c>
      <c r="M377" s="6" t="s">
        <v>4347</v>
      </c>
      <c r="N377" s="5">
        <f t="shared" si="5"/>
        <v>187</v>
      </c>
    </row>
    <row r="378">
      <c r="A378" s="6" t="s">
        <v>183</v>
      </c>
      <c r="B378" s="6" t="s">
        <v>2672</v>
      </c>
      <c r="C378" s="5">
        <f t="shared" si="1"/>
        <v>8</v>
      </c>
      <c r="D378" s="1" t="s">
        <v>12</v>
      </c>
      <c r="E378" s="1" t="s">
        <v>48</v>
      </c>
      <c r="F378" s="1" t="s">
        <v>49</v>
      </c>
      <c r="G378" s="1" t="s">
        <v>1449</v>
      </c>
      <c r="H378" s="5">
        <f t="shared" si="2"/>
        <v>0.0076</v>
      </c>
      <c r="I378" s="1" t="s">
        <v>1450</v>
      </c>
      <c r="J378" s="5">
        <f t="shared" si="3"/>
        <v>2.463735</v>
      </c>
      <c r="K378" s="1" t="s">
        <v>103</v>
      </c>
      <c r="L378" s="5">
        <f t="shared" si="4"/>
        <v>0.0022</v>
      </c>
      <c r="M378" s="6" t="s">
        <v>2677</v>
      </c>
      <c r="N378" s="5">
        <f t="shared" si="5"/>
        <v>3</v>
      </c>
    </row>
    <row r="379">
      <c r="A379" s="6" t="s">
        <v>183</v>
      </c>
      <c r="B379" s="6" t="s">
        <v>2672</v>
      </c>
      <c r="C379" s="5">
        <f t="shared" si="1"/>
        <v>8</v>
      </c>
      <c r="D379" s="1" t="s">
        <v>12</v>
      </c>
      <c r="E379" s="1" t="s">
        <v>48</v>
      </c>
      <c r="F379" s="1" t="s">
        <v>21</v>
      </c>
      <c r="G379" s="1" t="s">
        <v>1453</v>
      </c>
      <c r="H379" s="5">
        <f t="shared" si="2"/>
        <v>0.7316</v>
      </c>
      <c r="I379" s="1" t="s">
        <v>1454</v>
      </c>
      <c r="J379" s="5">
        <f t="shared" si="3"/>
        <v>88.74046</v>
      </c>
      <c r="K379" s="1" t="s">
        <v>1456</v>
      </c>
      <c r="L379" s="5">
        <f t="shared" si="4"/>
        <v>0.2927</v>
      </c>
      <c r="M379" s="6" t="s">
        <v>3901</v>
      </c>
      <c r="N379" s="5">
        <f t="shared" si="5"/>
        <v>116</v>
      </c>
    </row>
    <row r="380">
      <c r="A380" s="6" t="s">
        <v>183</v>
      </c>
      <c r="B380" s="6" t="s">
        <v>2672</v>
      </c>
      <c r="C380" s="5">
        <f t="shared" si="1"/>
        <v>8</v>
      </c>
      <c r="D380" s="1" t="s">
        <v>12</v>
      </c>
      <c r="E380" s="1" t="s">
        <v>848</v>
      </c>
      <c r="F380" s="1" t="s">
        <v>21</v>
      </c>
      <c r="G380" s="1" t="s">
        <v>1458</v>
      </c>
      <c r="H380" s="5">
        <f t="shared" si="2"/>
        <v>0.2518</v>
      </c>
      <c r="I380" s="1" t="s">
        <v>1459</v>
      </c>
      <c r="J380" s="5">
        <f t="shared" si="3"/>
        <v>52.956799</v>
      </c>
      <c r="K380" s="1" t="s">
        <v>1461</v>
      </c>
      <c r="L380" s="5">
        <f t="shared" si="4"/>
        <v>0.1007</v>
      </c>
      <c r="M380" s="6" t="s">
        <v>4072</v>
      </c>
      <c r="N380" s="5">
        <f t="shared" si="5"/>
        <v>57</v>
      </c>
    </row>
    <row r="381">
      <c r="A381" s="6" t="s">
        <v>183</v>
      </c>
      <c r="B381" s="6" t="s">
        <v>2672</v>
      </c>
      <c r="C381" s="5">
        <f t="shared" si="1"/>
        <v>8</v>
      </c>
      <c r="D381" s="1" t="s">
        <v>12</v>
      </c>
      <c r="E381" s="1" t="s">
        <v>64</v>
      </c>
      <c r="F381" s="1" t="s">
        <v>39</v>
      </c>
      <c r="G381" s="1" t="s">
        <v>1463</v>
      </c>
      <c r="H381" s="5">
        <f t="shared" si="2"/>
        <v>0.2349</v>
      </c>
      <c r="I381" s="1" t="s">
        <v>1464</v>
      </c>
      <c r="J381" s="5">
        <f t="shared" si="3"/>
        <v>24.720427</v>
      </c>
      <c r="K381" s="1" t="s">
        <v>1147</v>
      </c>
      <c r="L381" s="5">
        <f t="shared" si="4"/>
        <v>0.0423</v>
      </c>
      <c r="M381" s="6" t="s">
        <v>4348</v>
      </c>
      <c r="N381" s="5">
        <f t="shared" si="5"/>
        <v>79</v>
      </c>
    </row>
    <row r="382">
      <c r="A382" s="6" t="s">
        <v>183</v>
      </c>
      <c r="B382" s="6" t="s">
        <v>2672</v>
      </c>
      <c r="C382" s="5">
        <f t="shared" si="1"/>
        <v>8</v>
      </c>
      <c r="D382" s="1" t="s">
        <v>12</v>
      </c>
      <c r="E382" s="1" t="s">
        <v>64</v>
      </c>
      <c r="F382" s="1" t="s">
        <v>21</v>
      </c>
      <c r="G382" s="1" t="s">
        <v>1468</v>
      </c>
      <c r="H382" s="5">
        <f t="shared" si="2"/>
        <v>0.0802</v>
      </c>
      <c r="I382" s="1" t="s">
        <v>1469</v>
      </c>
      <c r="J382" s="5">
        <f t="shared" si="3"/>
        <v>9.577978</v>
      </c>
      <c r="K382" s="1" t="s">
        <v>1472</v>
      </c>
      <c r="L382" s="5">
        <f t="shared" si="4"/>
        <v>0.0321</v>
      </c>
      <c r="M382" s="6" t="s">
        <v>2673</v>
      </c>
      <c r="N382" s="5">
        <f t="shared" si="5"/>
        <v>40</v>
      </c>
    </row>
    <row r="383">
      <c r="A383" s="6" t="s">
        <v>183</v>
      </c>
      <c r="B383" s="6" t="s">
        <v>2672</v>
      </c>
      <c r="C383" s="5">
        <f t="shared" si="1"/>
        <v>8</v>
      </c>
      <c r="D383" s="1" t="s">
        <v>68</v>
      </c>
      <c r="E383" s="1" t="s">
        <v>13</v>
      </c>
      <c r="F383" s="1" t="s">
        <v>14</v>
      </c>
      <c r="G383" s="1" t="s">
        <v>1474</v>
      </c>
      <c r="H383" s="5">
        <f t="shared" si="2"/>
        <v>61.301</v>
      </c>
      <c r="I383" s="1" t="s">
        <v>1475</v>
      </c>
      <c r="J383" s="5">
        <f t="shared" si="3"/>
        <v>3827.928427</v>
      </c>
      <c r="K383" s="6" t="s">
        <v>4349</v>
      </c>
      <c r="L383" s="5">
        <f t="shared" si="4"/>
        <v>12.8733</v>
      </c>
      <c r="M383" s="6" t="s">
        <v>4350</v>
      </c>
      <c r="N383" s="5">
        <f t="shared" si="5"/>
        <v>8388</v>
      </c>
    </row>
    <row r="384">
      <c r="A384" s="6" t="s">
        <v>183</v>
      </c>
      <c r="B384" s="6" t="s">
        <v>2672</v>
      </c>
      <c r="C384" s="5">
        <f t="shared" si="1"/>
        <v>8</v>
      </c>
      <c r="D384" s="1" t="s">
        <v>68</v>
      </c>
      <c r="E384" s="1" t="s">
        <v>13</v>
      </c>
      <c r="F384" s="1" t="s">
        <v>72</v>
      </c>
      <c r="G384" s="1" t="s">
        <v>1479</v>
      </c>
      <c r="H384" s="5">
        <f t="shared" si="2"/>
        <v>0.0047</v>
      </c>
      <c r="I384" s="1" t="s">
        <v>1480</v>
      </c>
      <c r="J384" s="5">
        <f t="shared" si="3"/>
        <v>0.54729</v>
      </c>
      <c r="K384" s="1" t="s">
        <v>693</v>
      </c>
      <c r="L384" s="5">
        <f t="shared" si="4"/>
        <v>0.0015</v>
      </c>
      <c r="M384" s="6" t="s">
        <v>397</v>
      </c>
      <c r="N384" s="5">
        <f t="shared" si="5"/>
        <v>2</v>
      </c>
    </row>
    <row r="385">
      <c r="A385" s="6" t="s">
        <v>183</v>
      </c>
      <c r="B385" s="6" t="s">
        <v>2672</v>
      </c>
      <c r="C385" s="5">
        <f t="shared" si="1"/>
        <v>8</v>
      </c>
      <c r="D385" s="1" t="s">
        <v>68</v>
      </c>
      <c r="E385" s="1" t="s">
        <v>13</v>
      </c>
      <c r="F385" s="1" t="s">
        <v>17</v>
      </c>
      <c r="G385" s="1" t="s">
        <v>1484</v>
      </c>
      <c r="H385" s="5">
        <f t="shared" si="2"/>
        <v>70.3388</v>
      </c>
      <c r="I385" s="1" t="s">
        <v>1485</v>
      </c>
      <c r="J385" s="5">
        <f t="shared" si="3"/>
        <v>6359.161149</v>
      </c>
      <c r="K385" s="1" t="s">
        <v>1488</v>
      </c>
      <c r="L385" s="5">
        <f t="shared" si="4"/>
        <v>24.6186</v>
      </c>
      <c r="M385" s="6" t="s">
        <v>4351</v>
      </c>
      <c r="N385" s="5">
        <f t="shared" si="5"/>
        <v>9467</v>
      </c>
    </row>
    <row r="386">
      <c r="A386" s="6" t="s">
        <v>183</v>
      </c>
      <c r="B386" s="6" t="s">
        <v>2672</v>
      </c>
      <c r="C386" s="5">
        <f t="shared" si="1"/>
        <v>8</v>
      </c>
      <c r="D386" s="1" t="s">
        <v>68</v>
      </c>
      <c r="E386" s="1" t="s">
        <v>13</v>
      </c>
      <c r="F386" s="1" t="s">
        <v>21</v>
      </c>
      <c r="G386" s="6" t="s">
        <v>4352</v>
      </c>
      <c r="H386" s="5">
        <f t="shared" si="2"/>
        <v>5.8793</v>
      </c>
      <c r="I386" s="1" t="s">
        <v>1490</v>
      </c>
      <c r="J386" s="5">
        <f t="shared" si="3"/>
        <v>836.630462</v>
      </c>
      <c r="K386" s="6" t="s">
        <v>4353</v>
      </c>
      <c r="L386" s="5">
        <f t="shared" si="4"/>
        <v>2.9397</v>
      </c>
      <c r="M386" s="6" t="s">
        <v>4354</v>
      </c>
      <c r="N386" s="5">
        <f t="shared" si="5"/>
        <v>1318</v>
      </c>
    </row>
    <row r="387">
      <c r="A387" s="6" t="s">
        <v>183</v>
      </c>
      <c r="B387" s="6" t="s">
        <v>2672</v>
      </c>
      <c r="C387" s="5">
        <f t="shared" si="1"/>
        <v>8</v>
      </c>
      <c r="D387" s="1" t="s">
        <v>68</v>
      </c>
      <c r="E387" s="1" t="s">
        <v>13</v>
      </c>
      <c r="F387" s="1" t="s">
        <v>25</v>
      </c>
      <c r="G387" s="1" t="s">
        <v>441</v>
      </c>
      <c r="H387" s="5">
        <f t="shared" si="2"/>
        <v>0.3656</v>
      </c>
      <c r="I387" s="1" t="s">
        <v>1493</v>
      </c>
      <c r="J387" s="5">
        <f t="shared" si="3"/>
        <v>58.669398</v>
      </c>
      <c r="K387" s="1" t="s">
        <v>444</v>
      </c>
      <c r="L387" s="5">
        <f t="shared" si="4"/>
        <v>0.2742</v>
      </c>
      <c r="M387" s="6" t="s">
        <v>3531</v>
      </c>
      <c r="N387" s="5">
        <f t="shared" si="5"/>
        <v>307</v>
      </c>
    </row>
    <row r="388">
      <c r="A388" s="6" t="s">
        <v>183</v>
      </c>
      <c r="B388" s="6" t="s">
        <v>2672</v>
      </c>
      <c r="C388" s="5">
        <f t="shared" si="1"/>
        <v>8</v>
      </c>
      <c r="D388" s="1" t="s">
        <v>68</v>
      </c>
      <c r="E388" s="1" t="s">
        <v>29</v>
      </c>
      <c r="F388" s="1" t="s">
        <v>21</v>
      </c>
      <c r="G388" s="6" t="s">
        <v>4355</v>
      </c>
      <c r="H388" s="5">
        <f t="shared" si="2"/>
        <v>8.3404</v>
      </c>
      <c r="I388" s="1" t="s">
        <v>1497</v>
      </c>
      <c r="J388" s="5">
        <f t="shared" si="3"/>
        <v>1734.232667</v>
      </c>
      <c r="K388" s="6" t="s">
        <v>4356</v>
      </c>
      <c r="L388" s="5">
        <f t="shared" si="4"/>
        <v>3.3361</v>
      </c>
      <c r="M388" s="6" t="s">
        <v>4357</v>
      </c>
      <c r="N388" s="5">
        <f t="shared" si="5"/>
        <v>1323</v>
      </c>
    </row>
    <row r="389">
      <c r="A389" s="6" t="s">
        <v>183</v>
      </c>
      <c r="B389" s="6" t="s">
        <v>2672</v>
      </c>
      <c r="C389" s="5">
        <f t="shared" si="1"/>
        <v>8</v>
      </c>
      <c r="D389" s="1" t="s">
        <v>68</v>
      </c>
      <c r="E389" s="1" t="s">
        <v>45</v>
      </c>
      <c r="F389" s="1" t="s">
        <v>17</v>
      </c>
      <c r="G389" s="1" t="s">
        <v>1498</v>
      </c>
      <c r="H389" s="5">
        <f t="shared" si="2"/>
        <v>14.2728</v>
      </c>
      <c r="I389" s="1" t="s">
        <v>1499</v>
      </c>
      <c r="J389" s="5">
        <f t="shared" si="3"/>
        <v>797.208189</v>
      </c>
      <c r="K389" s="6" t="s">
        <v>1500</v>
      </c>
      <c r="L389" s="5">
        <f t="shared" si="4"/>
        <v>5.1383</v>
      </c>
      <c r="M389" s="6" t="s">
        <v>4358</v>
      </c>
      <c r="N389" s="5">
        <f t="shared" si="5"/>
        <v>2058</v>
      </c>
    </row>
    <row r="390">
      <c r="A390" s="6" t="s">
        <v>183</v>
      </c>
      <c r="B390" s="6" t="s">
        <v>2672</v>
      </c>
      <c r="C390" s="5">
        <f t="shared" si="1"/>
        <v>8</v>
      </c>
      <c r="D390" s="1" t="s">
        <v>68</v>
      </c>
      <c r="E390" s="1" t="s">
        <v>32</v>
      </c>
      <c r="F390" s="1" t="s">
        <v>14</v>
      </c>
      <c r="G390" s="6" t="s">
        <v>4359</v>
      </c>
      <c r="H390" s="5">
        <f t="shared" si="2"/>
        <v>3.2773</v>
      </c>
      <c r="I390" s="1" t="s">
        <v>1501</v>
      </c>
      <c r="J390" s="5">
        <f t="shared" si="3"/>
        <v>258.942763</v>
      </c>
      <c r="K390" s="1" t="s">
        <v>1502</v>
      </c>
      <c r="L390" s="5">
        <f t="shared" si="4"/>
        <v>0.7538</v>
      </c>
      <c r="M390" s="6" t="s">
        <v>4360</v>
      </c>
      <c r="N390" s="5">
        <f t="shared" si="5"/>
        <v>1415</v>
      </c>
    </row>
    <row r="391">
      <c r="A391" s="6" t="s">
        <v>183</v>
      </c>
      <c r="B391" s="6" t="s">
        <v>2672</v>
      </c>
      <c r="C391" s="5">
        <f t="shared" si="1"/>
        <v>8</v>
      </c>
      <c r="D391" s="1" t="s">
        <v>68</v>
      </c>
      <c r="E391" s="1" t="s">
        <v>32</v>
      </c>
      <c r="F391" s="1" t="s">
        <v>21</v>
      </c>
      <c r="G391" s="6" t="s">
        <v>4242</v>
      </c>
      <c r="H391" s="5">
        <f t="shared" si="2"/>
        <v>1.2451</v>
      </c>
      <c r="I391" s="1" t="s">
        <v>1503</v>
      </c>
      <c r="J391" s="5">
        <f t="shared" si="3"/>
        <v>129.596335</v>
      </c>
      <c r="K391" s="1" t="s">
        <v>1504</v>
      </c>
      <c r="L391" s="5">
        <f t="shared" si="4"/>
        <v>0.5604</v>
      </c>
      <c r="M391" s="6" t="s">
        <v>4361</v>
      </c>
      <c r="N391" s="5">
        <f t="shared" si="5"/>
        <v>250</v>
      </c>
    </row>
    <row r="392">
      <c r="A392" s="6" t="s">
        <v>183</v>
      </c>
      <c r="B392" s="6" t="s">
        <v>2672</v>
      </c>
      <c r="C392" s="5">
        <f t="shared" si="1"/>
        <v>8</v>
      </c>
      <c r="D392" s="1" t="s">
        <v>68</v>
      </c>
      <c r="E392" s="1" t="s">
        <v>42</v>
      </c>
      <c r="F392" s="1" t="s">
        <v>17</v>
      </c>
      <c r="G392" s="6" t="s">
        <v>1505</v>
      </c>
      <c r="H392" s="5">
        <f t="shared" si="2"/>
        <v>1.1263</v>
      </c>
      <c r="I392" s="1" t="s">
        <v>1506</v>
      </c>
      <c r="J392" s="5">
        <f t="shared" si="3"/>
        <v>178.452502</v>
      </c>
      <c r="K392" s="1" t="s">
        <v>1507</v>
      </c>
      <c r="L392" s="5">
        <f t="shared" si="4"/>
        <v>0.4167</v>
      </c>
      <c r="M392" s="6" t="s">
        <v>4362</v>
      </c>
      <c r="N392" s="5">
        <f t="shared" si="5"/>
        <v>409</v>
      </c>
    </row>
    <row r="393">
      <c r="A393" s="6" t="s">
        <v>183</v>
      </c>
      <c r="B393" s="6" t="s">
        <v>2672</v>
      </c>
      <c r="C393" s="5">
        <f t="shared" si="1"/>
        <v>8</v>
      </c>
      <c r="D393" s="1" t="s">
        <v>68</v>
      </c>
      <c r="E393" s="1" t="s">
        <v>98</v>
      </c>
      <c r="F393" s="1" t="s">
        <v>17</v>
      </c>
      <c r="G393" s="1" t="s">
        <v>1508</v>
      </c>
      <c r="H393" s="5">
        <f t="shared" si="2"/>
        <v>0.5196</v>
      </c>
      <c r="I393" s="1" t="s">
        <v>1509</v>
      </c>
      <c r="J393" s="5">
        <f t="shared" si="3"/>
        <v>112.748627</v>
      </c>
      <c r="K393" s="1" t="s">
        <v>1511</v>
      </c>
      <c r="L393" s="5">
        <f t="shared" si="4"/>
        <v>0.1818</v>
      </c>
      <c r="M393" s="6" t="s">
        <v>291</v>
      </c>
      <c r="N393" s="5">
        <f t="shared" si="5"/>
        <v>0</v>
      </c>
    </row>
    <row r="394">
      <c r="A394" s="6" t="s">
        <v>183</v>
      </c>
      <c r="B394" s="6" t="s">
        <v>2672</v>
      </c>
      <c r="C394" s="5">
        <f t="shared" si="1"/>
        <v>8</v>
      </c>
      <c r="D394" s="1" t="s">
        <v>68</v>
      </c>
      <c r="E394" s="1" t="s">
        <v>38</v>
      </c>
      <c r="F394" s="1" t="s">
        <v>39</v>
      </c>
      <c r="G394" s="6" t="s">
        <v>1512</v>
      </c>
      <c r="H394" s="5">
        <f t="shared" si="2"/>
        <v>1.1651</v>
      </c>
      <c r="I394" s="1" t="s">
        <v>1513</v>
      </c>
      <c r="J394" s="5">
        <f t="shared" si="3"/>
        <v>103.196774</v>
      </c>
      <c r="K394" s="1" t="s">
        <v>1489</v>
      </c>
      <c r="L394" s="5">
        <f t="shared" si="4"/>
        <v>0.2097</v>
      </c>
      <c r="M394" s="6" t="s">
        <v>3513</v>
      </c>
      <c r="N394" s="5">
        <f t="shared" si="5"/>
        <v>256</v>
      </c>
    </row>
    <row r="395">
      <c r="A395" s="6" t="s">
        <v>183</v>
      </c>
      <c r="B395" s="6" t="s">
        <v>2672</v>
      </c>
      <c r="C395" s="5">
        <f t="shared" si="1"/>
        <v>8</v>
      </c>
      <c r="D395" s="1" t="s">
        <v>68</v>
      </c>
      <c r="E395" s="1" t="s">
        <v>48</v>
      </c>
      <c r="F395" s="1" t="s">
        <v>49</v>
      </c>
      <c r="G395" s="1" t="s">
        <v>1514</v>
      </c>
      <c r="H395" s="5">
        <f t="shared" si="2"/>
        <v>0.0091</v>
      </c>
      <c r="I395" s="1" t="s">
        <v>1515</v>
      </c>
      <c r="J395" s="5">
        <f t="shared" si="3"/>
        <v>3.297931</v>
      </c>
      <c r="K395" s="1" t="s">
        <v>426</v>
      </c>
      <c r="L395" s="5">
        <f t="shared" si="4"/>
        <v>0.0025</v>
      </c>
      <c r="M395" s="6" t="s">
        <v>273</v>
      </c>
      <c r="N395" s="5">
        <f t="shared" si="5"/>
        <v>4</v>
      </c>
    </row>
    <row r="396">
      <c r="A396" s="6" t="s">
        <v>183</v>
      </c>
      <c r="B396" s="6" t="s">
        <v>2672</v>
      </c>
      <c r="C396" s="5">
        <f t="shared" si="1"/>
        <v>8</v>
      </c>
      <c r="D396" s="1" t="s">
        <v>68</v>
      </c>
      <c r="E396" s="1" t="s">
        <v>48</v>
      </c>
      <c r="F396" s="1" t="s">
        <v>21</v>
      </c>
      <c r="G396" s="1" t="s">
        <v>1516</v>
      </c>
      <c r="H396" s="5">
        <f t="shared" si="2"/>
        <v>0.7014</v>
      </c>
      <c r="I396" s="1" t="s">
        <v>1517</v>
      </c>
      <c r="J396" s="5">
        <f t="shared" si="3"/>
        <v>85.608891</v>
      </c>
      <c r="K396" s="1" t="s">
        <v>1004</v>
      </c>
      <c r="L396" s="5">
        <f t="shared" si="4"/>
        <v>0.2805</v>
      </c>
      <c r="M396" s="6" t="s">
        <v>4363</v>
      </c>
      <c r="N396" s="5">
        <f t="shared" si="5"/>
        <v>397</v>
      </c>
    </row>
    <row r="397">
      <c r="A397" s="6" t="s">
        <v>183</v>
      </c>
      <c r="B397" s="6" t="s">
        <v>2672</v>
      </c>
      <c r="C397" s="5">
        <f t="shared" si="1"/>
        <v>8</v>
      </c>
      <c r="D397" s="1" t="s">
        <v>68</v>
      </c>
      <c r="E397" s="1" t="s">
        <v>544</v>
      </c>
      <c r="F397" s="1" t="s">
        <v>17</v>
      </c>
      <c r="G397" s="1" t="s">
        <v>1518</v>
      </c>
      <c r="H397" s="5">
        <f t="shared" si="2"/>
        <v>1.589</v>
      </c>
      <c r="I397" s="1" t="s">
        <v>1519</v>
      </c>
      <c r="J397" s="5">
        <f t="shared" si="3"/>
        <v>84.815141</v>
      </c>
      <c r="K397" s="1" t="s">
        <v>1520</v>
      </c>
      <c r="L397" s="5">
        <f t="shared" si="4"/>
        <v>0.5562</v>
      </c>
      <c r="M397" s="6" t="s">
        <v>3525</v>
      </c>
      <c r="N397" s="5">
        <f t="shared" si="5"/>
        <v>243</v>
      </c>
    </row>
    <row r="398">
      <c r="A398" s="6" t="s">
        <v>183</v>
      </c>
      <c r="B398" s="6" t="s">
        <v>2672</v>
      </c>
      <c r="C398" s="5">
        <f t="shared" si="1"/>
        <v>8</v>
      </c>
      <c r="D398" s="1" t="s">
        <v>68</v>
      </c>
      <c r="E398" s="1" t="s">
        <v>102</v>
      </c>
      <c r="F398" s="1" t="s">
        <v>39</v>
      </c>
      <c r="G398" s="1" t="s">
        <v>1521</v>
      </c>
      <c r="H398" s="5">
        <f t="shared" si="2"/>
        <v>0.0665</v>
      </c>
      <c r="I398" s="1" t="s">
        <v>1522</v>
      </c>
      <c r="J398" s="5">
        <f t="shared" si="3"/>
        <v>22.486045</v>
      </c>
      <c r="K398" s="1" t="s">
        <v>1523</v>
      </c>
      <c r="L398" s="5">
        <f t="shared" si="4"/>
        <v>0.0126</v>
      </c>
      <c r="M398" s="6" t="s">
        <v>291</v>
      </c>
      <c r="N398" s="5">
        <f t="shared" si="5"/>
        <v>0</v>
      </c>
    </row>
    <row r="399">
      <c r="A399" s="6" t="s">
        <v>183</v>
      </c>
      <c r="B399" s="6" t="s">
        <v>2672</v>
      </c>
      <c r="C399" s="5">
        <f t="shared" si="1"/>
        <v>8</v>
      </c>
      <c r="D399" s="1" t="s">
        <v>68</v>
      </c>
      <c r="E399" s="1" t="s">
        <v>102</v>
      </c>
      <c r="F399" s="1" t="s">
        <v>21</v>
      </c>
      <c r="G399" s="1" t="s">
        <v>1524</v>
      </c>
      <c r="H399" s="5">
        <f t="shared" si="2"/>
        <v>0.1584</v>
      </c>
      <c r="I399" s="1" t="s">
        <v>1525</v>
      </c>
      <c r="J399" s="5">
        <f t="shared" si="3"/>
        <v>50.11333</v>
      </c>
      <c r="K399" s="1" t="s">
        <v>1478</v>
      </c>
      <c r="L399" s="5">
        <f t="shared" si="4"/>
        <v>0.0635</v>
      </c>
      <c r="M399" s="6" t="s">
        <v>291</v>
      </c>
      <c r="N399" s="5">
        <f t="shared" si="5"/>
        <v>0</v>
      </c>
    </row>
    <row r="400">
      <c r="A400" s="6" t="s">
        <v>183</v>
      </c>
      <c r="B400" s="6" t="s">
        <v>2672</v>
      </c>
      <c r="C400" s="5">
        <f t="shared" si="1"/>
        <v>8</v>
      </c>
      <c r="D400" s="1" t="s">
        <v>116</v>
      </c>
      <c r="E400" s="1" t="s">
        <v>13</v>
      </c>
      <c r="F400" s="1" t="s">
        <v>14</v>
      </c>
      <c r="G400" s="1" t="s">
        <v>1526</v>
      </c>
      <c r="H400" s="5">
        <f t="shared" si="2"/>
        <v>119.2838</v>
      </c>
      <c r="I400" s="1" t="s">
        <v>1527</v>
      </c>
      <c r="J400" s="5">
        <f t="shared" si="3"/>
        <v>6709.745395</v>
      </c>
      <c r="K400" s="1" t="s">
        <v>1528</v>
      </c>
      <c r="L400" s="5">
        <f t="shared" si="4"/>
        <v>25.0496</v>
      </c>
      <c r="M400" s="6" t="s">
        <v>4389</v>
      </c>
      <c r="N400" s="5">
        <f t="shared" si="5"/>
        <v>11510</v>
      </c>
    </row>
    <row r="401">
      <c r="A401" s="6" t="s">
        <v>183</v>
      </c>
      <c r="B401" s="6" t="s">
        <v>2672</v>
      </c>
      <c r="C401" s="5">
        <f t="shared" si="1"/>
        <v>8</v>
      </c>
      <c r="D401" s="1" t="s">
        <v>116</v>
      </c>
      <c r="E401" s="1" t="s">
        <v>13</v>
      </c>
      <c r="F401" s="1" t="s">
        <v>17</v>
      </c>
      <c r="G401" s="1" t="s">
        <v>1529</v>
      </c>
      <c r="H401" s="5">
        <f t="shared" si="2"/>
        <v>88.3211</v>
      </c>
      <c r="I401" s="1" t="s">
        <v>1530</v>
      </c>
      <c r="J401" s="5">
        <f t="shared" si="3"/>
        <v>7205.293469</v>
      </c>
      <c r="K401" s="1" t="s">
        <v>1531</v>
      </c>
      <c r="L401" s="5">
        <f t="shared" si="4"/>
        <v>30.9124</v>
      </c>
      <c r="M401" s="6" t="s">
        <v>4397</v>
      </c>
      <c r="N401" s="5">
        <f t="shared" si="5"/>
        <v>7827</v>
      </c>
    </row>
    <row r="402">
      <c r="A402" s="6" t="s">
        <v>183</v>
      </c>
      <c r="B402" s="6" t="s">
        <v>2672</v>
      </c>
      <c r="C402" s="5">
        <f t="shared" si="1"/>
        <v>8</v>
      </c>
      <c r="D402" s="1" t="s">
        <v>116</v>
      </c>
      <c r="E402" s="1" t="s">
        <v>13</v>
      </c>
      <c r="F402" s="1" t="s">
        <v>21</v>
      </c>
      <c r="G402" s="6" t="s">
        <v>4400</v>
      </c>
      <c r="H402" s="5">
        <f t="shared" si="2"/>
        <v>9.9844</v>
      </c>
      <c r="I402" s="1" t="s">
        <v>1532</v>
      </c>
      <c r="J402" s="5">
        <f t="shared" si="3"/>
        <v>1220.229029</v>
      </c>
      <c r="K402" s="6" t="s">
        <v>4404</v>
      </c>
      <c r="L402" s="5">
        <f t="shared" si="4"/>
        <v>4.9923</v>
      </c>
      <c r="M402" s="6" t="s">
        <v>4406</v>
      </c>
      <c r="N402" s="5">
        <f t="shared" si="5"/>
        <v>1230</v>
      </c>
    </row>
    <row r="403">
      <c r="A403" s="6" t="s">
        <v>183</v>
      </c>
      <c r="B403" s="6" t="s">
        <v>2672</v>
      </c>
      <c r="C403" s="5">
        <f t="shared" si="1"/>
        <v>8</v>
      </c>
      <c r="D403" s="1" t="s">
        <v>116</v>
      </c>
      <c r="E403" s="1" t="s">
        <v>13</v>
      </c>
      <c r="F403" s="1" t="s">
        <v>25</v>
      </c>
      <c r="G403" s="1" t="s">
        <v>239</v>
      </c>
      <c r="H403" s="5">
        <f t="shared" si="2"/>
        <v>0.4328</v>
      </c>
      <c r="I403" s="1" t="s">
        <v>1534</v>
      </c>
      <c r="J403" s="5">
        <f t="shared" si="3"/>
        <v>66.266284</v>
      </c>
      <c r="K403" s="1" t="s">
        <v>241</v>
      </c>
      <c r="L403" s="5">
        <f t="shared" si="4"/>
        <v>0.3246</v>
      </c>
      <c r="M403" s="6" t="s">
        <v>2932</v>
      </c>
      <c r="N403" s="5">
        <f t="shared" si="5"/>
        <v>117</v>
      </c>
    </row>
    <row r="404">
      <c r="A404" s="6" t="s">
        <v>183</v>
      </c>
      <c r="B404" s="6" t="s">
        <v>2672</v>
      </c>
      <c r="C404" s="5">
        <f t="shared" si="1"/>
        <v>8</v>
      </c>
      <c r="D404" s="1" t="s">
        <v>116</v>
      </c>
      <c r="E404" s="1" t="s">
        <v>29</v>
      </c>
      <c r="F404" s="1" t="s">
        <v>21</v>
      </c>
      <c r="G404" s="1" t="s">
        <v>1535</v>
      </c>
      <c r="H404" s="5">
        <f t="shared" si="2"/>
        <v>34.6937</v>
      </c>
      <c r="I404" s="1" t="s">
        <v>1536</v>
      </c>
      <c r="J404" s="5">
        <f t="shared" si="3"/>
        <v>6101.673406</v>
      </c>
      <c r="K404" s="1" t="s">
        <v>1537</v>
      </c>
      <c r="L404" s="5">
        <f t="shared" si="4"/>
        <v>13.8775</v>
      </c>
      <c r="M404" s="6" t="s">
        <v>4413</v>
      </c>
      <c r="N404" s="5">
        <f t="shared" si="5"/>
        <v>2016</v>
      </c>
    </row>
    <row r="405">
      <c r="A405" s="6" t="s">
        <v>183</v>
      </c>
      <c r="B405" s="6" t="s">
        <v>2672</v>
      </c>
      <c r="C405" s="5">
        <f t="shared" si="1"/>
        <v>8</v>
      </c>
      <c r="D405" s="1" t="s">
        <v>116</v>
      </c>
      <c r="E405" s="1" t="s">
        <v>45</v>
      </c>
      <c r="F405" s="1" t="s">
        <v>17</v>
      </c>
      <c r="G405" s="1" t="s">
        <v>1538</v>
      </c>
      <c r="H405" s="5">
        <f t="shared" si="2"/>
        <v>31.6173</v>
      </c>
      <c r="I405" s="1" t="s">
        <v>1539</v>
      </c>
      <c r="J405" s="5">
        <f t="shared" si="3"/>
        <v>1907.523043</v>
      </c>
      <c r="K405" s="6" t="s">
        <v>4417</v>
      </c>
      <c r="L405" s="5">
        <f t="shared" si="4"/>
        <v>11.3822</v>
      </c>
      <c r="M405" s="6" t="s">
        <v>4419</v>
      </c>
      <c r="N405" s="5">
        <f t="shared" si="5"/>
        <v>1997</v>
      </c>
    </row>
    <row r="406">
      <c r="A406" s="6" t="s">
        <v>183</v>
      </c>
      <c r="B406" s="6" t="s">
        <v>2672</v>
      </c>
      <c r="C406" s="5">
        <f t="shared" si="1"/>
        <v>8</v>
      </c>
      <c r="D406" s="1" t="s">
        <v>116</v>
      </c>
      <c r="E406" s="1" t="s">
        <v>32</v>
      </c>
      <c r="F406" s="1" t="s">
        <v>14</v>
      </c>
      <c r="G406" s="6" t="s">
        <v>4428</v>
      </c>
      <c r="H406" s="5">
        <f t="shared" si="2"/>
        <v>5.6584</v>
      </c>
      <c r="I406" s="1" t="s">
        <v>1540</v>
      </c>
      <c r="J406" s="5">
        <f t="shared" si="3"/>
        <v>363.135918</v>
      </c>
      <c r="K406" s="6" t="s">
        <v>4430</v>
      </c>
      <c r="L406" s="5">
        <f t="shared" si="4"/>
        <v>1.3014</v>
      </c>
      <c r="M406" s="6" t="s">
        <v>4431</v>
      </c>
      <c r="N406" s="5">
        <f t="shared" si="5"/>
        <v>1584</v>
      </c>
    </row>
    <row r="407">
      <c r="A407" s="6" t="s">
        <v>183</v>
      </c>
      <c r="B407" s="6" t="s">
        <v>2672</v>
      </c>
      <c r="C407" s="5">
        <f t="shared" si="1"/>
        <v>8</v>
      </c>
      <c r="D407" s="1" t="s">
        <v>116</v>
      </c>
      <c r="E407" s="1" t="s">
        <v>32</v>
      </c>
      <c r="F407" s="1" t="s">
        <v>21</v>
      </c>
      <c r="G407" s="6" t="s">
        <v>4432</v>
      </c>
      <c r="H407" s="5">
        <f t="shared" si="2"/>
        <v>3.9685</v>
      </c>
      <c r="I407" s="1" t="s">
        <v>1541</v>
      </c>
      <c r="J407" s="5">
        <f t="shared" si="3"/>
        <v>436.589117</v>
      </c>
      <c r="K407" s="6" t="s">
        <v>4433</v>
      </c>
      <c r="L407" s="5">
        <f t="shared" si="4"/>
        <v>1.7858</v>
      </c>
      <c r="M407" s="6" t="s">
        <v>4434</v>
      </c>
      <c r="N407" s="5">
        <f t="shared" si="5"/>
        <v>872</v>
      </c>
    </row>
    <row r="408">
      <c r="A408" s="6" t="s">
        <v>183</v>
      </c>
      <c r="B408" s="6" t="s">
        <v>2672</v>
      </c>
      <c r="C408" s="5">
        <f t="shared" si="1"/>
        <v>8</v>
      </c>
      <c r="D408" s="1" t="s">
        <v>116</v>
      </c>
      <c r="E408" s="1" t="s">
        <v>42</v>
      </c>
      <c r="F408" s="1" t="s">
        <v>17</v>
      </c>
      <c r="G408" s="6" t="s">
        <v>4435</v>
      </c>
      <c r="H408" s="5">
        <f t="shared" si="2"/>
        <v>2.5182</v>
      </c>
      <c r="I408" s="1" t="s">
        <v>1542</v>
      </c>
      <c r="J408" s="5">
        <f t="shared" si="3"/>
        <v>415.783864</v>
      </c>
      <c r="K408" s="1" t="s">
        <v>1543</v>
      </c>
      <c r="L408" s="5">
        <f t="shared" si="4"/>
        <v>0.9317</v>
      </c>
      <c r="M408" s="6" t="s">
        <v>686</v>
      </c>
      <c r="N408" s="5">
        <f t="shared" si="5"/>
        <v>479</v>
      </c>
    </row>
    <row r="409">
      <c r="A409" s="6" t="s">
        <v>183</v>
      </c>
      <c r="B409" s="6" t="s">
        <v>2672</v>
      </c>
      <c r="C409" s="5">
        <f t="shared" si="1"/>
        <v>8</v>
      </c>
      <c r="D409" s="1" t="s">
        <v>116</v>
      </c>
      <c r="E409" s="1" t="s">
        <v>147</v>
      </c>
      <c r="F409" s="1" t="s">
        <v>39</v>
      </c>
      <c r="G409" s="6" t="s">
        <v>4439</v>
      </c>
      <c r="H409" s="5">
        <f t="shared" si="2"/>
        <v>1.2499</v>
      </c>
      <c r="I409" s="1" t="s">
        <v>1544</v>
      </c>
      <c r="J409" s="5">
        <f t="shared" si="3"/>
        <v>347.719692</v>
      </c>
      <c r="K409" s="1" t="s">
        <v>1545</v>
      </c>
      <c r="L409" s="5">
        <f t="shared" si="4"/>
        <v>0.2374</v>
      </c>
      <c r="M409" s="6" t="s">
        <v>3209</v>
      </c>
      <c r="N409" s="5">
        <f t="shared" si="5"/>
        <v>91</v>
      </c>
    </row>
    <row r="410">
      <c r="A410" s="6" t="s">
        <v>183</v>
      </c>
      <c r="B410" s="6" t="s">
        <v>2672</v>
      </c>
      <c r="C410" s="5">
        <f t="shared" si="1"/>
        <v>8</v>
      </c>
      <c r="D410" s="1" t="s">
        <v>116</v>
      </c>
      <c r="E410" s="1" t="s">
        <v>147</v>
      </c>
      <c r="F410" s="1" t="s">
        <v>17</v>
      </c>
      <c r="G410" s="1" t="s">
        <v>1546</v>
      </c>
      <c r="H410" s="5">
        <f t="shared" si="2"/>
        <v>0.0308</v>
      </c>
      <c r="I410" s="1" t="s">
        <v>1547</v>
      </c>
      <c r="J410" s="5">
        <f t="shared" si="3"/>
        <v>9.360229</v>
      </c>
      <c r="K410" s="1" t="s">
        <v>507</v>
      </c>
      <c r="L410" s="5">
        <f t="shared" si="4"/>
        <v>0.0109</v>
      </c>
      <c r="M410" s="6" t="s">
        <v>2521</v>
      </c>
      <c r="N410" s="5">
        <f t="shared" si="5"/>
        <v>6</v>
      </c>
    </row>
    <row r="411">
      <c r="A411" s="6" t="s">
        <v>183</v>
      </c>
      <c r="B411" s="6" t="s">
        <v>2672</v>
      </c>
      <c r="C411" s="5">
        <f t="shared" si="1"/>
        <v>8</v>
      </c>
      <c r="D411" s="1" t="s">
        <v>116</v>
      </c>
      <c r="E411" s="1" t="s">
        <v>147</v>
      </c>
      <c r="F411" s="1" t="s">
        <v>21</v>
      </c>
      <c r="G411" s="1" t="s">
        <v>1548</v>
      </c>
      <c r="H411" s="5">
        <f t="shared" si="2"/>
        <v>0.054</v>
      </c>
      <c r="I411" s="1" t="s">
        <v>1549</v>
      </c>
      <c r="J411" s="5">
        <f t="shared" si="3"/>
        <v>26.511486</v>
      </c>
      <c r="K411" s="1" t="s">
        <v>1550</v>
      </c>
      <c r="L411" s="5">
        <f t="shared" si="4"/>
        <v>0.027</v>
      </c>
      <c r="M411" s="6" t="s">
        <v>4458</v>
      </c>
      <c r="N411" s="5">
        <f t="shared" si="5"/>
        <v>41</v>
      </c>
    </row>
    <row r="412">
      <c r="A412" s="6" t="s">
        <v>183</v>
      </c>
      <c r="B412" s="6" t="s">
        <v>2672</v>
      </c>
      <c r="C412" s="5">
        <f t="shared" si="1"/>
        <v>8</v>
      </c>
      <c r="D412" s="1" t="s">
        <v>116</v>
      </c>
      <c r="E412" s="1" t="s">
        <v>102</v>
      </c>
      <c r="F412" s="1" t="s">
        <v>39</v>
      </c>
      <c r="G412" s="1" t="s">
        <v>1551</v>
      </c>
      <c r="H412" s="5">
        <f t="shared" si="2"/>
        <v>0.0164</v>
      </c>
      <c r="I412" s="1" t="s">
        <v>1552</v>
      </c>
      <c r="J412" s="5">
        <f t="shared" si="3"/>
        <v>2.915876</v>
      </c>
      <c r="K412" s="1" t="s">
        <v>666</v>
      </c>
      <c r="L412" s="5">
        <f t="shared" si="4"/>
        <v>0.0031</v>
      </c>
      <c r="M412" s="6" t="s">
        <v>600</v>
      </c>
      <c r="N412" s="5">
        <f t="shared" si="5"/>
        <v>7</v>
      </c>
    </row>
    <row r="413">
      <c r="A413" s="6" t="s">
        <v>183</v>
      </c>
      <c r="B413" s="6" t="s">
        <v>2672</v>
      </c>
      <c r="C413" s="5">
        <f t="shared" si="1"/>
        <v>8</v>
      </c>
      <c r="D413" s="1" t="s">
        <v>116</v>
      </c>
      <c r="E413" s="1" t="s">
        <v>102</v>
      </c>
      <c r="F413" s="1" t="s">
        <v>17</v>
      </c>
      <c r="G413" s="1" t="s">
        <v>414</v>
      </c>
      <c r="H413" s="5">
        <f t="shared" si="2"/>
        <v>0.0007</v>
      </c>
      <c r="I413" s="1" t="s">
        <v>1553</v>
      </c>
      <c r="J413" s="5">
        <f t="shared" si="3"/>
        <v>0.183668</v>
      </c>
      <c r="K413" s="1" t="s">
        <v>376</v>
      </c>
      <c r="L413" s="5">
        <f t="shared" si="4"/>
        <v>0.0002</v>
      </c>
      <c r="M413" s="6" t="s">
        <v>186</v>
      </c>
      <c r="N413" s="5">
        <f t="shared" si="5"/>
        <v>1</v>
      </c>
    </row>
    <row r="414">
      <c r="A414" s="6" t="s">
        <v>183</v>
      </c>
      <c r="B414" s="6" t="s">
        <v>2672</v>
      </c>
      <c r="C414" s="5">
        <f t="shared" si="1"/>
        <v>8</v>
      </c>
      <c r="D414" s="1" t="s">
        <v>116</v>
      </c>
      <c r="E414" s="1" t="s">
        <v>102</v>
      </c>
      <c r="F414" s="1" t="s">
        <v>21</v>
      </c>
      <c r="G414" s="6" t="s">
        <v>4477</v>
      </c>
      <c r="H414" s="5">
        <f t="shared" si="2"/>
        <v>1.1977</v>
      </c>
      <c r="I414" s="1" t="s">
        <v>1554</v>
      </c>
      <c r="J414" s="5">
        <f t="shared" si="3"/>
        <v>345.456599</v>
      </c>
      <c r="K414" s="1" t="s">
        <v>1555</v>
      </c>
      <c r="L414" s="5">
        <f t="shared" si="4"/>
        <v>0.4792</v>
      </c>
      <c r="M414" s="6" t="s">
        <v>3881</v>
      </c>
      <c r="N414" s="5">
        <f t="shared" si="5"/>
        <v>201</v>
      </c>
    </row>
    <row r="415">
      <c r="A415" s="6" t="s">
        <v>183</v>
      </c>
      <c r="B415" s="6" t="s">
        <v>2672</v>
      </c>
      <c r="C415" s="5">
        <f t="shared" si="1"/>
        <v>8</v>
      </c>
      <c r="D415" s="1" t="s">
        <v>116</v>
      </c>
      <c r="E415" s="1" t="s">
        <v>158</v>
      </c>
      <c r="F415" s="1" t="s">
        <v>39</v>
      </c>
      <c r="G415" s="1" t="s">
        <v>674</v>
      </c>
      <c r="H415" s="5">
        <f t="shared" si="2"/>
        <v>0.0005</v>
      </c>
      <c r="I415" s="1" t="s">
        <v>1556</v>
      </c>
      <c r="J415" s="5">
        <f t="shared" si="3"/>
        <v>0.235851</v>
      </c>
      <c r="K415" s="1" t="s">
        <v>596</v>
      </c>
      <c r="L415" s="5">
        <f t="shared" si="4"/>
        <v>0.0001</v>
      </c>
      <c r="M415" s="6" t="s">
        <v>291</v>
      </c>
      <c r="N415" s="5">
        <f t="shared" si="5"/>
        <v>0</v>
      </c>
    </row>
    <row r="416">
      <c r="A416" s="6" t="s">
        <v>183</v>
      </c>
      <c r="B416" s="6" t="s">
        <v>2672</v>
      </c>
      <c r="C416" s="5">
        <f t="shared" si="1"/>
        <v>8</v>
      </c>
      <c r="D416" s="1" t="s">
        <v>116</v>
      </c>
      <c r="E416" s="1" t="s">
        <v>158</v>
      </c>
      <c r="F416" s="1" t="s">
        <v>17</v>
      </c>
      <c r="G416" s="1" t="s">
        <v>284</v>
      </c>
      <c r="H416" s="5">
        <f t="shared" si="2"/>
        <v>0.0491</v>
      </c>
      <c r="I416" s="1" t="s">
        <v>1557</v>
      </c>
      <c r="J416" s="5">
        <f t="shared" si="3"/>
        <v>21.17829</v>
      </c>
      <c r="K416" s="1" t="s">
        <v>1558</v>
      </c>
      <c r="L416" s="5">
        <f t="shared" si="4"/>
        <v>0.0172</v>
      </c>
      <c r="M416" s="6" t="s">
        <v>291</v>
      </c>
      <c r="N416" s="5">
        <f t="shared" si="5"/>
        <v>0</v>
      </c>
    </row>
    <row r="417">
      <c r="A417" s="6" t="s">
        <v>183</v>
      </c>
      <c r="B417" s="6" t="s">
        <v>2672</v>
      </c>
      <c r="C417" s="5">
        <f t="shared" si="1"/>
        <v>8</v>
      </c>
      <c r="D417" s="1" t="s">
        <v>116</v>
      </c>
      <c r="E417" s="1" t="s">
        <v>158</v>
      </c>
      <c r="F417" s="1" t="s">
        <v>21</v>
      </c>
      <c r="G417" s="1" t="s">
        <v>1559</v>
      </c>
      <c r="H417" s="5">
        <f t="shared" si="2"/>
        <v>0.3095</v>
      </c>
      <c r="I417" s="1" t="s">
        <v>1560</v>
      </c>
      <c r="J417" s="5">
        <f t="shared" si="3"/>
        <v>161.393145</v>
      </c>
      <c r="K417" s="1" t="s">
        <v>1561</v>
      </c>
      <c r="L417" s="5">
        <f t="shared" si="4"/>
        <v>0.13</v>
      </c>
      <c r="M417" s="6" t="s">
        <v>291</v>
      </c>
      <c r="N417" s="5">
        <f t="shared" si="5"/>
        <v>0</v>
      </c>
    </row>
    <row r="418">
      <c r="A418" s="6" t="s">
        <v>183</v>
      </c>
      <c r="B418" s="6" t="s">
        <v>2672</v>
      </c>
      <c r="C418" s="5">
        <f t="shared" si="1"/>
        <v>8</v>
      </c>
      <c r="D418" s="1" t="s">
        <v>116</v>
      </c>
      <c r="E418" s="1" t="s">
        <v>165</v>
      </c>
      <c r="F418" s="1" t="s">
        <v>39</v>
      </c>
      <c r="G418" s="1" t="s">
        <v>1562</v>
      </c>
      <c r="H418" s="5">
        <f t="shared" si="2"/>
        <v>0.2466</v>
      </c>
      <c r="I418" s="1" t="s">
        <v>1563</v>
      </c>
      <c r="J418" s="5">
        <f t="shared" si="3"/>
        <v>41.636364</v>
      </c>
      <c r="K418" s="1" t="s">
        <v>1564</v>
      </c>
      <c r="L418" s="5">
        <f t="shared" si="4"/>
        <v>0.0444</v>
      </c>
      <c r="M418" s="6" t="s">
        <v>291</v>
      </c>
      <c r="N418" s="5">
        <f t="shared" si="5"/>
        <v>0</v>
      </c>
    </row>
    <row r="419">
      <c r="A419" s="6" t="s">
        <v>183</v>
      </c>
      <c r="B419" s="6" t="s">
        <v>2672</v>
      </c>
      <c r="C419" s="5">
        <f t="shared" si="1"/>
        <v>8</v>
      </c>
      <c r="D419" s="1" t="s">
        <v>116</v>
      </c>
      <c r="E419" s="1" t="s">
        <v>165</v>
      </c>
      <c r="F419" s="1" t="s">
        <v>17</v>
      </c>
      <c r="G419" s="1" t="s">
        <v>1186</v>
      </c>
      <c r="H419" s="5">
        <f t="shared" si="2"/>
        <v>0.5598</v>
      </c>
      <c r="I419" s="1" t="s">
        <v>1565</v>
      </c>
      <c r="J419" s="5">
        <f t="shared" si="3"/>
        <v>128.825793</v>
      </c>
      <c r="K419" s="1" t="s">
        <v>1566</v>
      </c>
      <c r="L419" s="5">
        <f t="shared" si="4"/>
        <v>0.1959</v>
      </c>
      <c r="M419" s="6" t="s">
        <v>291</v>
      </c>
      <c r="N419" s="5">
        <f t="shared" si="5"/>
        <v>0</v>
      </c>
    </row>
    <row r="420">
      <c r="A420" s="6" t="s">
        <v>183</v>
      </c>
      <c r="B420" s="6" t="s">
        <v>2672</v>
      </c>
      <c r="C420" s="5">
        <f t="shared" si="1"/>
        <v>8</v>
      </c>
      <c r="D420" s="1" t="s">
        <v>116</v>
      </c>
      <c r="E420" s="1" t="s">
        <v>38</v>
      </c>
      <c r="F420" s="1" t="s">
        <v>39</v>
      </c>
      <c r="G420" s="1" t="s">
        <v>1567</v>
      </c>
      <c r="H420" s="5">
        <f t="shared" si="2"/>
        <v>1.442</v>
      </c>
      <c r="I420" s="1" t="s">
        <v>1568</v>
      </c>
      <c r="J420" s="5">
        <f t="shared" si="3"/>
        <v>152.140199</v>
      </c>
      <c r="K420" s="1" t="s">
        <v>1569</v>
      </c>
      <c r="L420" s="5">
        <f t="shared" si="4"/>
        <v>0.2596</v>
      </c>
      <c r="M420" s="6" t="s">
        <v>3806</v>
      </c>
      <c r="N420" s="5">
        <f t="shared" si="5"/>
        <v>190</v>
      </c>
    </row>
    <row r="421">
      <c r="A421" s="6" t="s">
        <v>183</v>
      </c>
      <c r="B421" s="6" t="s">
        <v>3927</v>
      </c>
      <c r="C421" s="5">
        <f t="shared" si="1"/>
        <v>9</v>
      </c>
      <c r="D421" s="1" t="s">
        <v>12</v>
      </c>
      <c r="E421" s="1" t="s">
        <v>13</v>
      </c>
      <c r="F421" s="1" t="s">
        <v>14</v>
      </c>
      <c r="G421" s="6" t="s">
        <v>4524</v>
      </c>
      <c r="H421" s="5">
        <f t="shared" si="2"/>
        <v>11.6793</v>
      </c>
      <c r="I421" s="1" t="s">
        <v>1570</v>
      </c>
      <c r="J421" s="5">
        <f t="shared" si="3"/>
        <v>692.956619</v>
      </c>
      <c r="K421" s="6" t="s">
        <v>4525</v>
      </c>
      <c r="L421" s="5">
        <f t="shared" si="4"/>
        <v>2.4527</v>
      </c>
      <c r="M421" s="6" t="s">
        <v>4526</v>
      </c>
      <c r="N421" s="5">
        <f t="shared" si="5"/>
        <v>532</v>
      </c>
    </row>
    <row r="422">
      <c r="A422" s="6" t="s">
        <v>183</v>
      </c>
      <c r="B422" s="6" t="s">
        <v>3927</v>
      </c>
      <c r="C422" s="5">
        <f t="shared" si="1"/>
        <v>9</v>
      </c>
      <c r="D422" s="1" t="s">
        <v>12</v>
      </c>
      <c r="E422" s="1" t="s">
        <v>13</v>
      </c>
      <c r="F422" s="1" t="s">
        <v>17</v>
      </c>
      <c r="G422" s="1" t="s">
        <v>1571</v>
      </c>
      <c r="H422" s="5">
        <f t="shared" si="2"/>
        <v>83.769</v>
      </c>
      <c r="I422" s="1" t="s">
        <v>1572</v>
      </c>
      <c r="J422" s="5">
        <f t="shared" si="3"/>
        <v>6512.425501</v>
      </c>
      <c r="K422" s="1" t="s">
        <v>1573</v>
      </c>
      <c r="L422" s="5">
        <f t="shared" si="4"/>
        <v>29.3192</v>
      </c>
      <c r="M422" s="6" t="s">
        <v>4527</v>
      </c>
      <c r="N422" s="5">
        <f t="shared" si="5"/>
        <v>710</v>
      </c>
    </row>
    <row r="423">
      <c r="A423" s="6" t="s">
        <v>183</v>
      </c>
      <c r="B423" s="6" t="s">
        <v>3927</v>
      </c>
      <c r="C423" s="5">
        <f t="shared" si="1"/>
        <v>9</v>
      </c>
      <c r="D423" s="1" t="s">
        <v>12</v>
      </c>
      <c r="E423" s="1" t="s">
        <v>13</v>
      </c>
      <c r="F423" s="1" t="s">
        <v>21</v>
      </c>
      <c r="G423" s="1" t="s">
        <v>1574</v>
      </c>
      <c r="H423" s="5">
        <f t="shared" si="2"/>
        <v>17.6986</v>
      </c>
      <c r="I423" s="1" t="s">
        <v>1575</v>
      </c>
      <c r="J423" s="5">
        <f t="shared" si="3"/>
        <v>2124.543597</v>
      </c>
      <c r="K423" s="6" t="s">
        <v>4528</v>
      </c>
      <c r="L423" s="5">
        <f t="shared" si="4"/>
        <v>8.8492</v>
      </c>
      <c r="M423" s="6" t="s">
        <v>4529</v>
      </c>
      <c r="N423" s="5">
        <f t="shared" si="5"/>
        <v>508</v>
      </c>
    </row>
    <row r="424">
      <c r="A424" s="6" t="s">
        <v>183</v>
      </c>
      <c r="B424" s="6" t="s">
        <v>3927</v>
      </c>
      <c r="C424" s="5">
        <f t="shared" si="1"/>
        <v>9</v>
      </c>
      <c r="D424" s="1" t="s">
        <v>12</v>
      </c>
      <c r="E424" s="1" t="s">
        <v>13</v>
      </c>
      <c r="F424" s="1" t="s">
        <v>25</v>
      </c>
      <c r="G424" s="1" t="s">
        <v>1479</v>
      </c>
      <c r="H424" s="5">
        <f t="shared" si="2"/>
        <v>0.0047</v>
      </c>
      <c r="I424" s="1" t="s">
        <v>1576</v>
      </c>
      <c r="J424" s="5">
        <f t="shared" si="3"/>
        <v>1.028076</v>
      </c>
      <c r="K424" s="1" t="s">
        <v>561</v>
      </c>
      <c r="L424" s="5">
        <f t="shared" si="4"/>
        <v>0.0036</v>
      </c>
      <c r="M424" s="6" t="s">
        <v>3552</v>
      </c>
      <c r="N424" s="5">
        <f t="shared" si="5"/>
        <v>5</v>
      </c>
    </row>
    <row r="425">
      <c r="A425" s="6" t="s">
        <v>183</v>
      </c>
      <c r="B425" s="6" t="s">
        <v>3927</v>
      </c>
      <c r="C425" s="5">
        <f t="shared" si="1"/>
        <v>9</v>
      </c>
      <c r="D425" s="1" t="s">
        <v>12</v>
      </c>
      <c r="E425" s="1" t="s">
        <v>29</v>
      </c>
      <c r="F425" s="1" t="s">
        <v>21</v>
      </c>
      <c r="G425" s="1" t="s">
        <v>1577</v>
      </c>
      <c r="H425" s="5">
        <f t="shared" si="2"/>
        <v>28.8596</v>
      </c>
      <c r="I425" s="1" t="s">
        <v>1578</v>
      </c>
      <c r="J425" s="5">
        <f t="shared" si="3"/>
        <v>4467.334807</v>
      </c>
      <c r="K425" s="6" t="s">
        <v>4530</v>
      </c>
      <c r="L425" s="5">
        <f t="shared" si="4"/>
        <v>11.5439</v>
      </c>
      <c r="M425" s="6" t="s">
        <v>4531</v>
      </c>
      <c r="N425" s="5">
        <f t="shared" si="5"/>
        <v>646</v>
      </c>
    </row>
    <row r="426">
      <c r="A426" s="6" t="s">
        <v>183</v>
      </c>
      <c r="B426" s="6" t="s">
        <v>3927</v>
      </c>
      <c r="C426" s="5">
        <f t="shared" si="1"/>
        <v>9</v>
      </c>
      <c r="D426" s="1" t="s">
        <v>12</v>
      </c>
      <c r="E426" s="1" t="s">
        <v>32</v>
      </c>
      <c r="F426" s="1" t="s">
        <v>14</v>
      </c>
      <c r="G426" s="6" t="s">
        <v>4532</v>
      </c>
      <c r="H426" s="5">
        <f t="shared" si="2"/>
        <v>6.6518</v>
      </c>
      <c r="I426" s="1" t="s">
        <v>1579</v>
      </c>
      <c r="J426" s="5">
        <f t="shared" si="3"/>
        <v>372.043144</v>
      </c>
      <c r="K426" s="6" t="s">
        <v>4533</v>
      </c>
      <c r="L426" s="5">
        <f t="shared" si="4"/>
        <v>1.5299</v>
      </c>
      <c r="M426" s="6" t="s">
        <v>4534</v>
      </c>
      <c r="N426" s="5">
        <f t="shared" si="5"/>
        <v>454</v>
      </c>
    </row>
    <row r="427">
      <c r="A427" s="6" t="s">
        <v>183</v>
      </c>
      <c r="B427" s="6" t="s">
        <v>3927</v>
      </c>
      <c r="C427" s="5">
        <f t="shared" si="1"/>
        <v>9</v>
      </c>
      <c r="D427" s="1" t="s">
        <v>12</v>
      </c>
      <c r="E427" s="1" t="s">
        <v>32</v>
      </c>
      <c r="F427" s="1" t="s">
        <v>21</v>
      </c>
      <c r="G427" s="1" t="s">
        <v>1580</v>
      </c>
      <c r="H427" s="5">
        <f t="shared" si="2"/>
        <v>0.5486</v>
      </c>
      <c r="I427" s="1" t="s">
        <v>1581</v>
      </c>
      <c r="J427" s="5">
        <f t="shared" si="3"/>
        <v>60.611304</v>
      </c>
      <c r="K427" s="1" t="s">
        <v>1582</v>
      </c>
      <c r="L427" s="5">
        <f t="shared" si="4"/>
        <v>0.2469</v>
      </c>
      <c r="M427" s="6" t="s">
        <v>3209</v>
      </c>
      <c r="N427" s="5">
        <f t="shared" si="5"/>
        <v>91</v>
      </c>
    </row>
    <row r="428">
      <c r="A428" s="6" t="s">
        <v>183</v>
      </c>
      <c r="B428" s="6" t="s">
        <v>3927</v>
      </c>
      <c r="C428" s="5">
        <f t="shared" si="1"/>
        <v>9</v>
      </c>
      <c r="D428" s="1" t="s">
        <v>12</v>
      </c>
      <c r="E428" s="1" t="s">
        <v>42</v>
      </c>
      <c r="F428" s="1" t="s">
        <v>17</v>
      </c>
      <c r="G428" s="6" t="s">
        <v>4535</v>
      </c>
      <c r="H428" s="5">
        <f t="shared" si="2"/>
        <v>2.4629</v>
      </c>
      <c r="I428" s="1" t="s">
        <v>1583</v>
      </c>
      <c r="J428" s="5">
        <f t="shared" si="3"/>
        <v>369.873609</v>
      </c>
      <c r="K428" s="1" t="s">
        <v>1584</v>
      </c>
      <c r="L428" s="5">
        <f t="shared" si="4"/>
        <v>0.9113</v>
      </c>
      <c r="M428" s="6" t="s">
        <v>4536</v>
      </c>
      <c r="N428" s="5">
        <f t="shared" si="5"/>
        <v>162</v>
      </c>
    </row>
    <row r="429">
      <c r="A429" s="6" t="s">
        <v>183</v>
      </c>
      <c r="B429" s="6" t="s">
        <v>3927</v>
      </c>
      <c r="C429" s="5">
        <f t="shared" si="1"/>
        <v>9</v>
      </c>
      <c r="D429" s="1" t="s">
        <v>12</v>
      </c>
      <c r="E429" s="1" t="s">
        <v>45</v>
      </c>
      <c r="F429" s="1" t="s">
        <v>17</v>
      </c>
      <c r="G429" s="6" t="s">
        <v>4537</v>
      </c>
      <c r="H429" s="5">
        <f t="shared" si="2"/>
        <v>5.6566</v>
      </c>
      <c r="I429" s="1" t="s">
        <v>1585</v>
      </c>
      <c r="J429" s="5">
        <f t="shared" si="3"/>
        <v>335.499881</v>
      </c>
      <c r="K429" s="6" t="s">
        <v>1586</v>
      </c>
      <c r="L429" s="5">
        <f t="shared" si="4"/>
        <v>2.0364</v>
      </c>
      <c r="M429" s="6" t="s">
        <v>2627</v>
      </c>
      <c r="N429" s="5">
        <f t="shared" si="5"/>
        <v>174</v>
      </c>
    </row>
    <row r="430">
      <c r="A430" s="6" t="s">
        <v>183</v>
      </c>
      <c r="B430" s="6" t="s">
        <v>3927</v>
      </c>
      <c r="C430" s="5">
        <f t="shared" si="1"/>
        <v>9</v>
      </c>
      <c r="D430" s="1" t="s">
        <v>12</v>
      </c>
      <c r="E430" s="1" t="s">
        <v>38</v>
      </c>
      <c r="F430" s="1" t="s">
        <v>39</v>
      </c>
      <c r="G430" s="6" t="s">
        <v>4538</v>
      </c>
      <c r="H430" s="5">
        <f t="shared" si="2"/>
        <v>2.7855</v>
      </c>
      <c r="I430" s="1" t="s">
        <v>1587</v>
      </c>
      <c r="J430" s="5">
        <f t="shared" si="3"/>
        <v>291.057245</v>
      </c>
      <c r="K430" s="1" t="s">
        <v>1588</v>
      </c>
      <c r="L430" s="5">
        <f t="shared" si="4"/>
        <v>0.5015</v>
      </c>
      <c r="M430" s="6" t="s">
        <v>3624</v>
      </c>
      <c r="N430" s="5">
        <f t="shared" si="5"/>
        <v>98</v>
      </c>
    </row>
    <row r="431">
      <c r="A431" s="6" t="s">
        <v>183</v>
      </c>
      <c r="B431" s="6" t="s">
        <v>3927</v>
      </c>
      <c r="C431" s="5">
        <f t="shared" si="1"/>
        <v>9</v>
      </c>
      <c r="D431" s="1" t="s">
        <v>12</v>
      </c>
      <c r="E431" s="1" t="s">
        <v>48</v>
      </c>
      <c r="F431" s="1" t="s">
        <v>49</v>
      </c>
      <c r="G431" s="1" t="s">
        <v>1589</v>
      </c>
      <c r="H431" s="5">
        <f t="shared" si="2"/>
        <v>0.0043</v>
      </c>
      <c r="I431" s="1" t="s">
        <v>1590</v>
      </c>
      <c r="J431" s="5">
        <f t="shared" si="3"/>
        <v>1.373928</v>
      </c>
      <c r="K431" s="1" t="s">
        <v>73</v>
      </c>
      <c r="L431" s="5">
        <f t="shared" si="4"/>
        <v>0.0013</v>
      </c>
      <c r="M431" s="6" t="s">
        <v>2677</v>
      </c>
      <c r="N431" s="5">
        <f t="shared" si="5"/>
        <v>3</v>
      </c>
    </row>
    <row r="432">
      <c r="A432" s="6" t="s">
        <v>183</v>
      </c>
      <c r="B432" s="6" t="s">
        <v>3927</v>
      </c>
      <c r="C432" s="5">
        <f t="shared" si="1"/>
        <v>9</v>
      </c>
      <c r="D432" s="1" t="s">
        <v>12</v>
      </c>
      <c r="E432" s="1" t="s">
        <v>48</v>
      </c>
      <c r="F432" s="1" t="s">
        <v>21</v>
      </c>
      <c r="G432" s="1" t="s">
        <v>1591</v>
      </c>
      <c r="H432" s="5">
        <f t="shared" si="2"/>
        <v>0.7638</v>
      </c>
      <c r="I432" s="1" t="s">
        <v>1592</v>
      </c>
      <c r="J432" s="5">
        <f t="shared" si="3"/>
        <v>92.426348</v>
      </c>
      <c r="K432" s="1" t="s">
        <v>1593</v>
      </c>
      <c r="L432" s="5">
        <f t="shared" si="4"/>
        <v>0.3055</v>
      </c>
      <c r="M432" s="6" t="s">
        <v>2664</v>
      </c>
      <c r="N432" s="5">
        <f t="shared" si="5"/>
        <v>121</v>
      </c>
    </row>
    <row r="433">
      <c r="A433" s="6" t="s">
        <v>183</v>
      </c>
      <c r="B433" s="6" t="s">
        <v>3927</v>
      </c>
      <c r="C433" s="5">
        <f t="shared" si="1"/>
        <v>9</v>
      </c>
      <c r="D433" s="1" t="s">
        <v>12</v>
      </c>
      <c r="E433" s="1" t="s">
        <v>56</v>
      </c>
      <c r="F433" s="1" t="s">
        <v>21</v>
      </c>
      <c r="G433" s="1" t="s">
        <v>1594</v>
      </c>
      <c r="H433" s="5">
        <f t="shared" si="2"/>
        <v>0.4745</v>
      </c>
      <c r="I433" s="1" t="s">
        <v>1595</v>
      </c>
      <c r="J433" s="5">
        <f t="shared" si="3"/>
        <v>93.170169</v>
      </c>
      <c r="K433" s="1" t="s">
        <v>1596</v>
      </c>
      <c r="L433" s="5">
        <f t="shared" si="4"/>
        <v>0.1898</v>
      </c>
      <c r="M433" s="6" t="s">
        <v>4539</v>
      </c>
      <c r="N433" s="5">
        <f t="shared" si="5"/>
        <v>181</v>
      </c>
    </row>
    <row r="434">
      <c r="A434" s="6" t="s">
        <v>183</v>
      </c>
      <c r="B434" s="6" t="s">
        <v>3927</v>
      </c>
      <c r="C434" s="5">
        <f t="shared" si="1"/>
        <v>9</v>
      </c>
      <c r="D434" s="1" t="s">
        <v>12</v>
      </c>
      <c r="E434" s="1" t="s">
        <v>848</v>
      </c>
      <c r="F434" s="1" t="s">
        <v>21</v>
      </c>
      <c r="G434" s="1" t="s">
        <v>57</v>
      </c>
      <c r="H434" s="5">
        <f t="shared" si="2"/>
        <v>0.242</v>
      </c>
      <c r="I434" s="1" t="s">
        <v>1597</v>
      </c>
      <c r="J434" s="5">
        <f t="shared" si="3"/>
        <v>51.531351</v>
      </c>
      <c r="K434" s="1" t="s">
        <v>1598</v>
      </c>
      <c r="L434" s="5">
        <f t="shared" si="4"/>
        <v>0.0967</v>
      </c>
      <c r="M434" s="6" t="s">
        <v>3440</v>
      </c>
      <c r="N434" s="5">
        <f t="shared" si="5"/>
        <v>47</v>
      </c>
    </row>
    <row r="435">
      <c r="A435" s="6" t="s">
        <v>183</v>
      </c>
      <c r="B435" s="6" t="s">
        <v>3927</v>
      </c>
      <c r="C435" s="5">
        <f t="shared" si="1"/>
        <v>9</v>
      </c>
      <c r="D435" s="1" t="s">
        <v>12</v>
      </c>
      <c r="E435" s="1" t="s">
        <v>60</v>
      </c>
      <c r="F435" s="1" t="s">
        <v>39</v>
      </c>
      <c r="G435" s="1" t="s">
        <v>1599</v>
      </c>
      <c r="H435" s="5">
        <f t="shared" si="2"/>
        <v>0.2164</v>
      </c>
      <c r="I435" s="1" t="s">
        <v>1600</v>
      </c>
      <c r="J435" s="5">
        <f t="shared" si="3"/>
        <v>35.386023</v>
      </c>
      <c r="K435" s="1" t="s">
        <v>1601</v>
      </c>
      <c r="L435" s="5">
        <f t="shared" si="4"/>
        <v>0.0411</v>
      </c>
      <c r="M435" s="6" t="s">
        <v>291</v>
      </c>
      <c r="N435" s="5">
        <f t="shared" si="5"/>
        <v>0</v>
      </c>
    </row>
    <row r="436">
      <c r="A436" s="6" t="s">
        <v>183</v>
      </c>
      <c r="B436" s="6" t="s">
        <v>3927</v>
      </c>
      <c r="C436" s="5">
        <f t="shared" si="1"/>
        <v>9</v>
      </c>
      <c r="D436" s="1" t="s">
        <v>12</v>
      </c>
      <c r="E436" s="1" t="s">
        <v>60</v>
      </c>
      <c r="F436" s="1" t="s">
        <v>17</v>
      </c>
      <c r="G436" s="1" t="s">
        <v>73</v>
      </c>
      <c r="H436" s="5">
        <f t="shared" si="2"/>
        <v>0.0013</v>
      </c>
      <c r="I436" s="1" t="s">
        <v>1602</v>
      </c>
      <c r="J436" s="5">
        <f t="shared" si="3"/>
        <v>0.175645</v>
      </c>
      <c r="K436" s="1" t="s">
        <v>674</v>
      </c>
      <c r="L436" s="5">
        <f t="shared" si="4"/>
        <v>0.0005</v>
      </c>
      <c r="M436" s="6" t="s">
        <v>291</v>
      </c>
      <c r="N436" s="5">
        <f t="shared" si="5"/>
        <v>0</v>
      </c>
    </row>
    <row r="437">
      <c r="A437" s="6" t="s">
        <v>183</v>
      </c>
      <c r="B437" s="6" t="s">
        <v>3927</v>
      </c>
      <c r="C437" s="5">
        <f t="shared" si="1"/>
        <v>9</v>
      </c>
      <c r="D437" s="1" t="s">
        <v>68</v>
      </c>
      <c r="E437" s="1" t="s">
        <v>13</v>
      </c>
      <c r="F437" s="1" t="s">
        <v>14</v>
      </c>
      <c r="G437" s="1" t="s">
        <v>1603</v>
      </c>
      <c r="H437" s="5">
        <f t="shared" si="2"/>
        <v>53.5782</v>
      </c>
      <c r="I437" s="1" t="s">
        <v>1604</v>
      </c>
      <c r="J437" s="5">
        <f t="shared" si="3"/>
        <v>3386.327367</v>
      </c>
      <c r="K437" s="6" t="s">
        <v>4540</v>
      </c>
      <c r="L437" s="5">
        <f t="shared" si="4"/>
        <v>11.2514</v>
      </c>
      <c r="M437" s="6" t="s">
        <v>4541</v>
      </c>
      <c r="N437" s="5">
        <f t="shared" si="5"/>
        <v>7789</v>
      </c>
    </row>
    <row r="438">
      <c r="A438" s="6" t="s">
        <v>183</v>
      </c>
      <c r="B438" s="6" t="s">
        <v>3927</v>
      </c>
      <c r="C438" s="5">
        <f t="shared" si="1"/>
        <v>9</v>
      </c>
      <c r="D438" s="1" t="s">
        <v>68</v>
      </c>
      <c r="E438" s="1" t="s">
        <v>13</v>
      </c>
      <c r="F438" s="1" t="s">
        <v>72</v>
      </c>
      <c r="G438" s="1" t="s">
        <v>1605</v>
      </c>
      <c r="H438" s="5">
        <f t="shared" si="2"/>
        <v>0.0086</v>
      </c>
      <c r="I438" s="1" t="s">
        <v>1606</v>
      </c>
      <c r="J438" s="5">
        <f t="shared" si="3"/>
        <v>0.985176</v>
      </c>
      <c r="K438" s="1" t="s">
        <v>396</v>
      </c>
      <c r="L438" s="5">
        <f t="shared" si="4"/>
        <v>0.0027</v>
      </c>
      <c r="M438" s="6" t="s">
        <v>186</v>
      </c>
      <c r="N438" s="5">
        <f t="shared" si="5"/>
        <v>1</v>
      </c>
    </row>
    <row r="439">
      <c r="A439" s="6" t="s">
        <v>183</v>
      </c>
      <c r="B439" s="6" t="s">
        <v>3927</v>
      </c>
      <c r="C439" s="5">
        <f t="shared" si="1"/>
        <v>9</v>
      </c>
      <c r="D439" s="1" t="s">
        <v>68</v>
      </c>
      <c r="E439" s="1" t="s">
        <v>13</v>
      </c>
      <c r="F439" s="1" t="s">
        <v>17</v>
      </c>
      <c r="G439" s="1" t="s">
        <v>1607</v>
      </c>
      <c r="H439" s="5">
        <f t="shared" si="2"/>
        <v>68.3218</v>
      </c>
      <c r="I439" s="1" t="s">
        <v>1608</v>
      </c>
      <c r="J439" s="5">
        <f t="shared" si="3"/>
        <v>6367.316132</v>
      </c>
      <c r="K439" s="1" t="s">
        <v>1609</v>
      </c>
      <c r="L439" s="5">
        <f t="shared" si="4"/>
        <v>23.9125</v>
      </c>
      <c r="M439" s="6" t="s">
        <v>4542</v>
      </c>
      <c r="N439" s="5">
        <f t="shared" si="5"/>
        <v>9323</v>
      </c>
    </row>
    <row r="440">
      <c r="A440" s="6" t="s">
        <v>183</v>
      </c>
      <c r="B440" s="6" t="s">
        <v>3927</v>
      </c>
      <c r="C440" s="5">
        <f t="shared" si="1"/>
        <v>9</v>
      </c>
      <c r="D440" s="1" t="s">
        <v>68</v>
      </c>
      <c r="E440" s="1" t="s">
        <v>13</v>
      </c>
      <c r="F440" s="1" t="s">
        <v>21</v>
      </c>
      <c r="G440" s="6" t="s">
        <v>4543</v>
      </c>
      <c r="H440" s="5">
        <f t="shared" si="2"/>
        <v>5.7032</v>
      </c>
      <c r="I440" s="1" t="s">
        <v>1610</v>
      </c>
      <c r="J440" s="5">
        <f t="shared" si="3"/>
        <v>825.612183</v>
      </c>
      <c r="K440" s="6" t="s">
        <v>4544</v>
      </c>
      <c r="L440" s="5">
        <f t="shared" si="4"/>
        <v>2.8516</v>
      </c>
      <c r="M440" s="6" t="s">
        <v>4545</v>
      </c>
      <c r="N440" s="5">
        <f t="shared" si="5"/>
        <v>1288</v>
      </c>
    </row>
    <row r="441">
      <c r="A441" s="6" t="s">
        <v>183</v>
      </c>
      <c r="B441" s="6" t="s">
        <v>3927</v>
      </c>
      <c r="C441" s="5">
        <f t="shared" si="1"/>
        <v>9</v>
      </c>
      <c r="D441" s="1" t="s">
        <v>68</v>
      </c>
      <c r="E441" s="1" t="s">
        <v>13</v>
      </c>
      <c r="F441" s="1" t="s">
        <v>25</v>
      </c>
      <c r="G441" s="1" t="s">
        <v>1611</v>
      </c>
      <c r="H441" s="5">
        <f t="shared" si="2"/>
        <v>0.3981</v>
      </c>
      <c r="I441" s="1" t="s">
        <v>1612</v>
      </c>
      <c r="J441" s="5">
        <f t="shared" si="3"/>
        <v>68.190552</v>
      </c>
      <c r="K441" s="1" t="s">
        <v>1613</v>
      </c>
      <c r="L441" s="5">
        <f t="shared" si="4"/>
        <v>0.2986</v>
      </c>
      <c r="M441" s="6" t="s">
        <v>4546</v>
      </c>
      <c r="N441" s="5">
        <f t="shared" si="5"/>
        <v>305</v>
      </c>
    </row>
    <row r="442">
      <c r="A442" s="6" t="s">
        <v>183</v>
      </c>
      <c r="B442" s="6" t="s">
        <v>3927</v>
      </c>
      <c r="C442" s="5">
        <f t="shared" si="1"/>
        <v>9</v>
      </c>
      <c r="D442" s="1" t="s">
        <v>68</v>
      </c>
      <c r="E442" s="1" t="s">
        <v>29</v>
      </c>
      <c r="F442" s="1" t="s">
        <v>21</v>
      </c>
      <c r="G442" s="6" t="s">
        <v>4547</v>
      </c>
      <c r="H442" s="5">
        <f t="shared" si="2"/>
        <v>9.4641</v>
      </c>
      <c r="I442" s="1" t="s">
        <v>1614</v>
      </c>
      <c r="J442" s="5">
        <f t="shared" si="3"/>
        <v>1951.666573</v>
      </c>
      <c r="K442" s="6" t="s">
        <v>4548</v>
      </c>
      <c r="L442" s="5">
        <f t="shared" si="4"/>
        <v>3.7857</v>
      </c>
      <c r="M442" s="6" t="s">
        <v>4549</v>
      </c>
      <c r="N442" s="5">
        <f t="shared" si="5"/>
        <v>1363</v>
      </c>
    </row>
    <row r="443">
      <c r="A443" s="6" t="s">
        <v>183</v>
      </c>
      <c r="B443" s="6" t="s">
        <v>3927</v>
      </c>
      <c r="C443" s="5">
        <f t="shared" si="1"/>
        <v>9</v>
      </c>
      <c r="D443" s="1" t="s">
        <v>68</v>
      </c>
      <c r="E443" s="1" t="s">
        <v>45</v>
      </c>
      <c r="F443" s="1" t="s">
        <v>17</v>
      </c>
      <c r="G443" s="6" t="s">
        <v>1615</v>
      </c>
      <c r="H443" s="5">
        <f t="shared" si="2"/>
        <v>8.1878</v>
      </c>
      <c r="I443" s="1" t="s">
        <v>1616</v>
      </c>
      <c r="J443" s="5">
        <f t="shared" si="3"/>
        <v>600.12229</v>
      </c>
      <c r="K443" s="6" t="s">
        <v>4550</v>
      </c>
      <c r="L443" s="5">
        <f t="shared" si="4"/>
        <v>2.9476</v>
      </c>
      <c r="M443" s="6" t="s">
        <v>4551</v>
      </c>
      <c r="N443" s="5">
        <f t="shared" si="5"/>
        <v>1787</v>
      </c>
    </row>
    <row r="444">
      <c r="A444" s="6" t="s">
        <v>183</v>
      </c>
      <c r="B444" s="6" t="s">
        <v>3927</v>
      </c>
      <c r="C444" s="5">
        <f t="shared" si="1"/>
        <v>9</v>
      </c>
      <c r="D444" s="1" t="s">
        <v>68</v>
      </c>
      <c r="E444" s="1" t="s">
        <v>32</v>
      </c>
      <c r="F444" s="1" t="s">
        <v>14</v>
      </c>
      <c r="G444" s="6" t="s">
        <v>4552</v>
      </c>
      <c r="H444" s="5">
        <f t="shared" si="2"/>
        <v>2.3518</v>
      </c>
      <c r="I444" s="1" t="s">
        <v>1617</v>
      </c>
      <c r="J444" s="5">
        <f t="shared" si="3"/>
        <v>180.630856</v>
      </c>
      <c r="K444" s="1" t="s">
        <v>1618</v>
      </c>
      <c r="L444" s="5">
        <f t="shared" si="4"/>
        <v>0.5409</v>
      </c>
      <c r="M444" s="6" t="s">
        <v>4553</v>
      </c>
      <c r="N444" s="5">
        <f t="shared" si="5"/>
        <v>1360</v>
      </c>
    </row>
    <row r="445">
      <c r="A445" s="6" t="s">
        <v>183</v>
      </c>
      <c r="B445" s="6" t="s">
        <v>3927</v>
      </c>
      <c r="C445" s="5">
        <f t="shared" si="1"/>
        <v>9</v>
      </c>
      <c r="D445" s="1" t="s">
        <v>68</v>
      </c>
      <c r="E445" s="1" t="s">
        <v>32</v>
      </c>
      <c r="F445" s="1" t="s">
        <v>21</v>
      </c>
      <c r="G445" s="1" t="s">
        <v>1619</v>
      </c>
      <c r="H445" s="5">
        <f t="shared" si="2"/>
        <v>0.87</v>
      </c>
      <c r="I445" s="1" t="s">
        <v>1620</v>
      </c>
      <c r="J445" s="5">
        <f t="shared" si="3"/>
        <v>156.616257</v>
      </c>
      <c r="K445" s="1" t="s">
        <v>1621</v>
      </c>
      <c r="L445" s="5">
        <f t="shared" si="4"/>
        <v>0.3915</v>
      </c>
      <c r="M445" s="6" t="s">
        <v>739</v>
      </c>
      <c r="N445" s="5">
        <f t="shared" si="5"/>
        <v>319</v>
      </c>
    </row>
    <row r="446">
      <c r="A446" s="6" t="s">
        <v>183</v>
      </c>
      <c r="B446" s="6" t="s">
        <v>3927</v>
      </c>
      <c r="C446" s="5">
        <f t="shared" si="1"/>
        <v>9</v>
      </c>
      <c r="D446" s="1" t="s">
        <v>68</v>
      </c>
      <c r="E446" s="1" t="s">
        <v>38</v>
      </c>
      <c r="F446" s="1" t="s">
        <v>39</v>
      </c>
      <c r="G446" s="6" t="s">
        <v>1622</v>
      </c>
      <c r="H446" s="5">
        <f t="shared" si="2"/>
        <v>1.1543</v>
      </c>
      <c r="I446" s="1" t="s">
        <v>1623</v>
      </c>
      <c r="J446" s="5">
        <f t="shared" si="3"/>
        <v>102.778449</v>
      </c>
      <c r="K446" s="1" t="s">
        <v>1624</v>
      </c>
      <c r="L446" s="5">
        <f t="shared" si="4"/>
        <v>0.2078</v>
      </c>
      <c r="M446" s="6" t="s">
        <v>4554</v>
      </c>
      <c r="N446" s="5">
        <f t="shared" si="5"/>
        <v>259</v>
      </c>
    </row>
    <row r="447">
      <c r="A447" s="6" t="s">
        <v>183</v>
      </c>
      <c r="B447" s="6" t="s">
        <v>3927</v>
      </c>
      <c r="C447" s="5">
        <f t="shared" si="1"/>
        <v>9</v>
      </c>
      <c r="D447" s="1" t="s">
        <v>68</v>
      </c>
      <c r="E447" s="1" t="s">
        <v>42</v>
      </c>
      <c r="F447" s="1" t="s">
        <v>17</v>
      </c>
      <c r="G447" s="1" t="s">
        <v>1625</v>
      </c>
      <c r="H447" s="5">
        <f t="shared" si="2"/>
        <v>0.6243</v>
      </c>
      <c r="I447" s="1" t="s">
        <v>1626</v>
      </c>
      <c r="J447" s="5">
        <f t="shared" si="3"/>
        <v>99.389678</v>
      </c>
      <c r="K447" s="1" t="s">
        <v>1627</v>
      </c>
      <c r="L447" s="5">
        <f t="shared" si="4"/>
        <v>0.231</v>
      </c>
      <c r="M447" s="6" t="s">
        <v>2551</v>
      </c>
      <c r="N447" s="5">
        <f t="shared" si="5"/>
        <v>234</v>
      </c>
    </row>
    <row r="448">
      <c r="A448" s="6" t="s">
        <v>183</v>
      </c>
      <c r="B448" s="6" t="s">
        <v>3927</v>
      </c>
      <c r="C448" s="5">
        <f t="shared" si="1"/>
        <v>9</v>
      </c>
      <c r="D448" s="1" t="s">
        <v>68</v>
      </c>
      <c r="E448" s="1" t="s">
        <v>102</v>
      </c>
      <c r="F448" s="1" t="s">
        <v>39</v>
      </c>
      <c r="G448" s="1" t="s">
        <v>1629</v>
      </c>
      <c r="H448" s="5">
        <f t="shared" si="2"/>
        <v>0.0622</v>
      </c>
      <c r="I448" s="1" t="s">
        <v>1630</v>
      </c>
      <c r="J448" s="5">
        <f t="shared" si="3"/>
        <v>20.959746</v>
      </c>
      <c r="K448" s="1" t="s">
        <v>287</v>
      </c>
      <c r="L448" s="5">
        <f t="shared" si="4"/>
        <v>0.0118</v>
      </c>
      <c r="M448" s="6" t="s">
        <v>3184</v>
      </c>
      <c r="N448" s="5">
        <f t="shared" si="5"/>
        <v>73</v>
      </c>
    </row>
    <row r="449">
      <c r="A449" s="6" t="s">
        <v>183</v>
      </c>
      <c r="B449" s="6" t="s">
        <v>3927</v>
      </c>
      <c r="C449" s="5">
        <f t="shared" si="1"/>
        <v>9</v>
      </c>
      <c r="D449" s="1" t="s">
        <v>68</v>
      </c>
      <c r="E449" s="1" t="s">
        <v>102</v>
      </c>
      <c r="F449" s="1" t="s">
        <v>21</v>
      </c>
      <c r="G449" s="1" t="s">
        <v>1631</v>
      </c>
      <c r="H449" s="5">
        <f t="shared" si="2"/>
        <v>0.1746</v>
      </c>
      <c r="I449" s="1" t="s">
        <v>1632</v>
      </c>
      <c r="J449" s="5">
        <f t="shared" si="3"/>
        <v>59.082552</v>
      </c>
      <c r="K449" s="1" t="s">
        <v>1633</v>
      </c>
      <c r="L449" s="5">
        <f t="shared" si="4"/>
        <v>0.0698</v>
      </c>
      <c r="M449" s="6" t="s">
        <v>4555</v>
      </c>
      <c r="N449" s="5">
        <f t="shared" si="5"/>
        <v>74</v>
      </c>
    </row>
    <row r="450">
      <c r="A450" s="6" t="s">
        <v>183</v>
      </c>
      <c r="B450" s="6" t="s">
        <v>3927</v>
      </c>
      <c r="C450" s="5">
        <f t="shared" si="1"/>
        <v>9</v>
      </c>
      <c r="D450" s="1" t="s">
        <v>68</v>
      </c>
      <c r="E450" s="1" t="s">
        <v>98</v>
      </c>
      <c r="F450" s="1" t="s">
        <v>17</v>
      </c>
      <c r="G450" s="1" t="s">
        <v>1634</v>
      </c>
      <c r="H450" s="5">
        <f t="shared" si="2"/>
        <v>0.2874</v>
      </c>
      <c r="I450" s="1" t="s">
        <v>1635</v>
      </c>
      <c r="J450" s="5">
        <f t="shared" si="3"/>
        <v>65.509333</v>
      </c>
      <c r="K450" s="1" t="s">
        <v>1636</v>
      </c>
      <c r="L450" s="5">
        <f t="shared" si="4"/>
        <v>0.1005</v>
      </c>
      <c r="M450" s="6" t="s">
        <v>291</v>
      </c>
      <c r="N450" s="5">
        <f t="shared" si="5"/>
        <v>0</v>
      </c>
    </row>
    <row r="451">
      <c r="A451" s="6" t="s">
        <v>183</v>
      </c>
      <c r="B451" s="6" t="s">
        <v>3927</v>
      </c>
      <c r="C451" s="5">
        <f t="shared" si="1"/>
        <v>9</v>
      </c>
      <c r="D451" s="1" t="s">
        <v>68</v>
      </c>
      <c r="E451" s="1" t="s">
        <v>108</v>
      </c>
      <c r="F451" s="1" t="s">
        <v>49</v>
      </c>
      <c r="G451" s="6" t="s">
        <v>4556</v>
      </c>
      <c r="H451" s="5">
        <f t="shared" si="2"/>
        <v>1.3202</v>
      </c>
      <c r="I451" s="1" t="s">
        <v>1637</v>
      </c>
      <c r="J451" s="5">
        <f t="shared" si="3"/>
        <v>62.586761</v>
      </c>
      <c r="K451" s="1" t="s">
        <v>1639</v>
      </c>
      <c r="L451" s="5">
        <f t="shared" si="4"/>
        <v>0.3697</v>
      </c>
      <c r="M451" s="6" t="s">
        <v>4557</v>
      </c>
      <c r="N451" s="5">
        <f t="shared" si="5"/>
        <v>830</v>
      </c>
    </row>
    <row r="452">
      <c r="A452" s="6" t="s">
        <v>183</v>
      </c>
      <c r="B452" s="6" t="s">
        <v>3927</v>
      </c>
      <c r="C452" s="5">
        <f t="shared" si="1"/>
        <v>9</v>
      </c>
      <c r="D452" s="1" t="s">
        <v>68</v>
      </c>
      <c r="E452" s="1" t="s">
        <v>48</v>
      </c>
      <c r="F452" s="1" t="s">
        <v>49</v>
      </c>
      <c r="G452" s="1" t="s">
        <v>103</v>
      </c>
      <c r="H452" s="5">
        <f t="shared" si="2"/>
        <v>0.0022</v>
      </c>
      <c r="I452" s="1" t="s">
        <v>1640</v>
      </c>
      <c r="J452" s="5">
        <f t="shared" si="3"/>
        <v>0.854022</v>
      </c>
      <c r="K452" s="1" t="s">
        <v>373</v>
      </c>
      <c r="L452" s="5">
        <f t="shared" si="4"/>
        <v>0.0006</v>
      </c>
      <c r="M452" s="6" t="s">
        <v>397</v>
      </c>
      <c r="N452" s="5">
        <f t="shared" si="5"/>
        <v>2</v>
      </c>
    </row>
    <row r="453">
      <c r="A453" s="6" t="s">
        <v>183</v>
      </c>
      <c r="B453" s="6" t="s">
        <v>3927</v>
      </c>
      <c r="C453" s="5">
        <f t="shared" si="1"/>
        <v>9</v>
      </c>
      <c r="D453" s="1" t="s">
        <v>68</v>
      </c>
      <c r="E453" s="1" t="s">
        <v>48</v>
      </c>
      <c r="F453" s="1" t="s">
        <v>21</v>
      </c>
      <c r="G453" s="1" t="s">
        <v>1641</v>
      </c>
      <c r="H453" s="5">
        <f t="shared" si="2"/>
        <v>0.4761</v>
      </c>
      <c r="I453" s="1" t="s">
        <v>1642</v>
      </c>
      <c r="J453" s="5">
        <f t="shared" si="3"/>
        <v>55.913785</v>
      </c>
      <c r="K453" s="1" t="s">
        <v>1643</v>
      </c>
      <c r="L453" s="5">
        <f t="shared" si="4"/>
        <v>0.1904</v>
      </c>
      <c r="M453" s="6" t="s">
        <v>3583</v>
      </c>
      <c r="N453" s="5">
        <f t="shared" si="5"/>
        <v>334</v>
      </c>
    </row>
    <row r="454">
      <c r="A454" s="6" t="s">
        <v>183</v>
      </c>
      <c r="B454" s="6" t="s">
        <v>3927</v>
      </c>
      <c r="C454" s="5">
        <f t="shared" si="1"/>
        <v>9</v>
      </c>
      <c r="D454" s="1" t="s">
        <v>116</v>
      </c>
      <c r="E454" s="1" t="s">
        <v>13</v>
      </c>
      <c r="F454" s="1" t="s">
        <v>14</v>
      </c>
      <c r="G454" s="1" t="s">
        <v>1644</v>
      </c>
      <c r="H454" s="5">
        <f t="shared" si="2"/>
        <v>137.4557</v>
      </c>
      <c r="I454" s="1" t="s">
        <v>1645</v>
      </c>
      <c r="J454" s="5">
        <f t="shared" si="3"/>
        <v>7628.51873</v>
      </c>
      <c r="K454" s="1" t="s">
        <v>1647</v>
      </c>
      <c r="L454" s="5">
        <f t="shared" si="4"/>
        <v>28.8657</v>
      </c>
      <c r="M454" s="6" t="s">
        <v>4558</v>
      </c>
      <c r="N454" s="5">
        <f t="shared" si="5"/>
        <v>11267</v>
      </c>
    </row>
    <row r="455">
      <c r="A455" s="6" t="s">
        <v>183</v>
      </c>
      <c r="B455" s="6" t="s">
        <v>3927</v>
      </c>
      <c r="C455" s="5">
        <f t="shared" si="1"/>
        <v>9</v>
      </c>
      <c r="D455" s="1" t="s">
        <v>116</v>
      </c>
      <c r="E455" s="1" t="s">
        <v>13</v>
      </c>
      <c r="F455" s="1" t="s">
        <v>17</v>
      </c>
      <c r="G455" s="1" t="s">
        <v>1648</v>
      </c>
      <c r="H455" s="5">
        <f t="shared" si="2"/>
        <v>150.4766</v>
      </c>
      <c r="I455" s="1" t="s">
        <v>1649</v>
      </c>
      <c r="J455" s="5">
        <f t="shared" si="3"/>
        <v>11344.35973</v>
      </c>
      <c r="K455" s="1" t="s">
        <v>1650</v>
      </c>
      <c r="L455" s="5">
        <f t="shared" si="4"/>
        <v>52.6668</v>
      </c>
      <c r="M455" s="6" t="s">
        <v>4559</v>
      </c>
      <c r="N455" s="5">
        <f t="shared" si="5"/>
        <v>11891</v>
      </c>
    </row>
    <row r="456">
      <c r="A456" s="6" t="s">
        <v>183</v>
      </c>
      <c r="B456" s="6" t="s">
        <v>3927</v>
      </c>
      <c r="C456" s="5">
        <f t="shared" si="1"/>
        <v>9</v>
      </c>
      <c r="D456" s="1" t="s">
        <v>116</v>
      </c>
      <c r="E456" s="1" t="s">
        <v>13</v>
      </c>
      <c r="F456" s="1" t="s">
        <v>21</v>
      </c>
      <c r="G456" s="6" t="s">
        <v>4560</v>
      </c>
      <c r="H456" s="5">
        <f t="shared" si="2"/>
        <v>9.1911</v>
      </c>
      <c r="I456" s="1" t="s">
        <v>1651</v>
      </c>
      <c r="J456" s="5">
        <f t="shared" si="3"/>
        <v>1138.447524</v>
      </c>
      <c r="K456" s="6" t="s">
        <v>4561</v>
      </c>
      <c r="L456" s="5">
        <f t="shared" si="4"/>
        <v>4.5955</v>
      </c>
      <c r="M456" s="6" t="s">
        <v>4562</v>
      </c>
      <c r="N456" s="5">
        <f t="shared" si="5"/>
        <v>1076</v>
      </c>
    </row>
    <row r="457">
      <c r="A457" s="6" t="s">
        <v>183</v>
      </c>
      <c r="B457" s="6" t="s">
        <v>3927</v>
      </c>
      <c r="C457" s="5">
        <f t="shared" si="1"/>
        <v>9</v>
      </c>
      <c r="D457" s="1" t="s">
        <v>116</v>
      </c>
      <c r="E457" s="1" t="s">
        <v>13</v>
      </c>
      <c r="F457" s="1" t="s">
        <v>25</v>
      </c>
      <c r="G457" s="1" t="s">
        <v>1652</v>
      </c>
      <c r="H457" s="5">
        <f t="shared" si="2"/>
        <v>0.199</v>
      </c>
      <c r="I457" s="1" t="s">
        <v>1653</v>
      </c>
      <c r="J457" s="5">
        <f t="shared" si="3"/>
        <v>33.195005</v>
      </c>
      <c r="K457" s="1" t="s">
        <v>1654</v>
      </c>
      <c r="L457" s="5">
        <f t="shared" si="4"/>
        <v>0.1493</v>
      </c>
      <c r="M457" s="6" t="s">
        <v>670</v>
      </c>
      <c r="N457" s="5">
        <f t="shared" si="5"/>
        <v>67</v>
      </c>
    </row>
    <row r="458">
      <c r="A458" s="6" t="s">
        <v>183</v>
      </c>
      <c r="B458" s="6" t="s">
        <v>3927</v>
      </c>
      <c r="C458" s="5">
        <f t="shared" si="1"/>
        <v>9</v>
      </c>
      <c r="D458" s="1" t="s">
        <v>116</v>
      </c>
      <c r="E458" s="1" t="s">
        <v>29</v>
      </c>
      <c r="F458" s="1" t="s">
        <v>21</v>
      </c>
      <c r="G458" s="1" t="s">
        <v>1655</v>
      </c>
      <c r="H458" s="5">
        <f t="shared" si="2"/>
        <v>27.316</v>
      </c>
      <c r="I458" s="1" t="s">
        <v>1656</v>
      </c>
      <c r="J458" s="5">
        <f t="shared" si="3"/>
        <v>5429.497506</v>
      </c>
      <c r="K458" s="6" t="s">
        <v>4563</v>
      </c>
      <c r="L458" s="5">
        <f t="shared" si="4"/>
        <v>10.9264</v>
      </c>
      <c r="M458" s="6" t="s">
        <v>4564</v>
      </c>
      <c r="N458" s="5">
        <f t="shared" si="5"/>
        <v>2225</v>
      </c>
    </row>
    <row r="459">
      <c r="A459" s="6" t="s">
        <v>183</v>
      </c>
      <c r="B459" s="6" t="s">
        <v>3927</v>
      </c>
      <c r="C459" s="5">
        <f t="shared" si="1"/>
        <v>9</v>
      </c>
      <c r="D459" s="1" t="s">
        <v>116</v>
      </c>
      <c r="E459" s="1" t="s">
        <v>45</v>
      </c>
      <c r="F459" s="1" t="s">
        <v>17</v>
      </c>
      <c r="G459" s="1" t="s">
        <v>1657</v>
      </c>
      <c r="H459" s="5">
        <f t="shared" si="2"/>
        <v>26.433</v>
      </c>
      <c r="I459" s="1" t="s">
        <v>1658</v>
      </c>
      <c r="J459" s="5">
        <f t="shared" si="3"/>
        <v>1826.391006</v>
      </c>
      <c r="K459" s="6" t="s">
        <v>4565</v>
      </c>
      <c r="L459" s="5">
        <f t="shared" si="4"/>
        <v>9.5158</v>
      </c>
      <c r="M459" s="6" t="s">
        <v>4566</v>
      </c>
      <c r="N459" s="5">
        <f t="shared" si="5"/>
        <v>2081</v>
      </c>
    </row>
    <row r="460">
      <c r="A460" s="6" t="s">
        <v>183</v>
      </c>
      <c r="B460" s="6" t="s">
        <v>3927</v>
      </c>
      <c r="C460" s="5">
        <f t="shared" si="1"/>
        <v>9</v>
      </c>
      <c r="D460" s="1" t="s">
        <v>116</v>
      </c>
      <c r="E460" s="1" t="s">
        <v>32</v>
      </c>
      <c r="F460" s="1" t="s">
        <v>14</v>
      </c>
      <c r="G460" s="6" t="s">
        <v>4567</v>
      </c>
      <c r="H460" s="5">
        <f t="shared" si="2"/>
        <v>5.6877</v>
      </c>
      <c r="I460" s="1" t="s">
        <v>1660</v>
      </c>
      <c r="J460" s="5">
        <f t="shared" si="3"/>
        <v>372.513254</v>
      </c>
      <c r="K460" s="6" t="s">
        <v>4568</v>
      </c>
      <c r="L460" s="5">
        <f t="shared" si="4"/>
        <v>1.3082</v>
      </c>
      <c r="M460" s="6" t="s">
        <v>4569</v>
      </c>
      <c r="N460" s="5">
        <f t="shared" si="5"/>
        <v>1505</v>
      </c>
    </row>
    <row r="461">
      <c r="A461" s="6" t="s">
        <v>183</v>
      </c>
      <c r="B461" s="6" t="s">
        <v>3927</v>
      </c>
      <c r="C461" s="5">
        <f t="shared" si="1"/>
        <v>9</v>
      </c>
      <c r="D461" s="1" t="s">
        <v>116</v>
      </c>
      <c r="E461" s="1" t="s">
        <v>32</v>
      </c>
      <c r="F461" s="1" t="s">
        <v>21</v>
      </c>
      <c r="G461" s="1" t="s">
        <v>1661</v>
      </c>
      <c r="H461" s="5">
        <f t="shared" si="2"/>
        <v>1.856</v>
      </c>
      <c r="I461" s="1" t="s">
        <v>1662</v>
      </c>
      <c r="J461" s="5">
        <f t="shared" si="3"/>
        <v>283.975691</v>
      </c>
      <c r="K461" s="1" t="s">
        <v>1663</v>
      </c>
      <c r="L461" s="5">
        <f t="shared" si="4"/>
        <v>0.8352</v>
      </c>
      <c r="M461" s="6" t="s">
        <v>4570</v>
      </c>
      <c r="N461" s="5">
        <f t="shared" si="5"/>
        <v>847</v>
      </c>
    </row>
    <row r="462">
      <c r="A462" s="6" t="s">
        <v>183</v>
      </c>
      <c r="B462" s="6" t="s">
        <v>3927</v>
      </c>
      <c r="C462" s="5">
        <f t="shared" si="1"/>
        <v>9</v>
      </c>
      <c r="D462" s="1" t="s">
        <v>116</v>
      </c>
      <c r="E462" s="1" t="s">
        <v>42</v>
      </c>
      <c r="F462" s="1" t="s">
        <v>17</v>
      </c>
      <c r="G462" s="6" t="s">
        <v>4571</v>
      </c>
      <c r="H462" s="5">
        <f t="shared" si="2"/>
        <v>2.9929</v>
      </c>
      <c r="I462" s="1" t="s">
        <v>1664</v>
      </c>
      <c r="J462" s="5">
        <f t="shared" si="3"/>
        <v>496.055713</v>
      </c>
      <c r="K462" s="6" t="s">
        <v>1666</v>
      </c>
      <c r="L462" s="5">
        <f t="shared" si="4"/>
        <v>1.1074</v>
      </c>
      <c r="M462" s="6" t="s">
        <v>4572</v>
      </c>
      <c r="N462" s="5">
        <f t="shared" si="5"/>
        <v>574</v>
      </c>
    </row>
    <row r="463">
      <c r="A463" s="6" t="s">
        <v>183</v>
      </c>
      <c r="B463" s="6" t="s">
        <v>3927</v>
      </c>
      <c r="C463" s="5">
        <f t="shared" si="1"/>
        <v>9</v>
      </c>
      <c r="D463" s="1" t="s">
        <v>116</v>
      </c>
      <c r="E463" s="1" t="s">
        <v>147</v>
      </c>
      <c r="F463" s="1" t="s">
        <v>39</v>
      </c>
      <c r="G463" s="6" t="s">
        <v>1667</v>
      </c>
      <c r="H463" s="5">
        <f t="shared" si="2"/>
        <v>1.0918</v>
      </c>
      <c r="I463" s="1" t="s">
        <v>1668</v>
      </c>
      <c r="J463" s="5">
        <f t="shared" si="3"/>
        <v>304.052439</v>
      </c>
      <c r="K463" s="1" t="s">
        <v>1669</v>
      </c>
      <c r="L463" s="5">
        <f t="shared" si="4"/>
        <v>0.2073</v>
      </c>
      <c r="M463" s="6" t="s">
        <v>4573</v>
      </c>
      <c r="N463" s="5">
        <f t="shared" si="5"/>
        <v>86</v>
      </c>
    </row>
    <row r="464">
      <c r="A464" s="6" t="s">
        <v>183</v>
      </c>
      <c r="B464" s="6" t="s">
        <v>3927</v>
      </c>
      <c r="C464" s="5">
        <f t="shared" si="1"/>
        <v>9</v>
      </c>
      <c r="D464" s="1" t="s">
        <v>116</v>
      </c>
      <c r="E464" s="1" t="s">
        <v>147</v>
      </c>
      <c r="F464" s="1" t="s">
        <v>17</v>
      </c>
      <c r="G464" s="1" t="s">
        <v>645</v>
      </c>
      <c r="H464" s="5">
        <f t="shared" si="2"/>
        <v>0.0356</v>
      </c>
      <c r="I464" s="1" t="s">
        <v>1670</v>
      </c>
      <c r="J464" s="5">
        <f t="shared" si="3"/>
        <v>9.524402</v>
      </c>
      <c r="K464" s="1" t="s">
        <v>1671</v>
      </c>
      <c r="L464" s="5">
        <f t="shared" si="4"/>
        <v>0.0125</v>
      </c>
      <c r="M464" s="6" t="s">
        <v>2672</v>
      </c>
      <c r="N464" s="5">
        <f t="shared" si="5"/>
        <v>8</v>
      </c>
    </row>
    <row r="465">
      <c r="A465" s="6" t="s">
        <v>183</v>
      </c>
      <c r="B465" s="6" t="s">
        <v>3927</v>
      </c>
      <c r="C465" s="5">
        <f t="shared" si="1"/>
        <v>9</v>
      </c>
      <c r="D465" s="1" t="s">
        <v>116</v>
      </c>
      <c r="E465" s="1" t="s">
        <v>147</v>
      </c>
      <c r="F465" s="1" t="s">
        <v>21</v>
      </c>
      <c r="G465" s="1" t="s">
        <v>1672</v>
      </c>
      <c r="H465" s="5">
        <f t="shared" si="2"/>
        <v>0.066</v>
      </c>
      <c r="I465" s="1" t="s">
        <v>1674</v>
      </c>
      <c r="J465" s="5">
        <f t="shared" si="3"/>
        <v>32.461528</v>
      </c>
      <c r="K465" s="1" t="s">
        <v>1677</v>
      </c>
      <c r="L465" s="5">
        <f t="shared" si="4"/>
        <v>0.033</v>
      </c>
      <c r="M465" s="6" t="s">
        <v>482</v>
      </c>
      <c r="N465" s="5">
        <f t="shared" si="5"/>
        <v>53</v>
      </c>
    </row>
    <row r="466">
      <c r="A466" s="6" t="s">
        <v>183</v>
      </c>
      <c r="B466" s="6" t="s">
        <v>3927</v>
      </c>
      <c r="C466" s="5">
        <f t="shared" si="1"/>
        <v>9</v>
      </c>
      <c r="D466" s="1" t="s">
        <v>116</v>
      </c>
      <c r="E466" s="1" t="s">
        <v>102</v>
      </c>
      <c r="F466" s="1" t="s">
        <v>39</v>
      </c>
      <c r="G466" s="1" t="s">
        <v>1679</v>
      </c>
      <c r="H466" s="5">
        <f t="shared" si="2"/>
        <v>0.0163</v>
      </c>
      <c r="I466" s="1" t="s">
        <v>1680</v>
      </c>
      <c r="J466" s="5">
        <f t="shared" si="3"/>
        <v>2.042558</v>
      </c>
      <c r="K466" s="1" t="s">
        <v>666</v>
      </c>
      <c r="L466" s="5">
        <f t="shared" si="4"/>
        <v>0.0031</v>
      </c>
      <c r="M466" s="6" t="s">
        <v>273</v>
      </c>
      <c r="N466" s="5">
        <f t="shared" si="5"/>
        <v>4</v>
      </c>
    </row>
    <row r="467">
      <c r="A467" s="6" t="s">
        <v>183</v>
      </c>
      <c r="B467" s="6" t="s">
        <v>3927</v>
      </c>
      <c r="C467" s="5">
        <f t="shared" si="1"/>
        <v>9</v>
      </c>
      <c r="D467" s="1" t="s">
        <v>116</v>
      </c>
      <c r="E467" s="1" t="s">
        <v>102</v>
      </c>
      <c r="F467" s="1" t="s">
        <v>17</v>
      </c>
      <c r="G467" s="1" t="s">
        <v>414</v>
      </c>
      <c r="H467" s="5">
        <f t="shared" si="2"/>
        <v>0.0007</v>
      </c>
      <c r="I467" s="1" t="s">
        <v>1682</v>
      </c>
      <c r="J467" s="5">
        <f t="shared" si="3"/>
        <v>0.255941</v>
      </c>
      <c r="K467" s="1" t="s">
        <v>376</v>
      </c>
      <c r="L467" s="5">
        <f t="shared" si="4"/>
        <v>0.0002</v>
      </c>
      <c r="M467" s="6" t="s">
        <v>186</v>
      </c>
      <c r="N467" s="5">
        <f t="shared" si="5"/>
        <v>1</v>
      </c>
    </row>
    <row r="468">
      <c r="A468" s="6" t="s">
        <v>183</v>
      </c>
      <c r="B468" s="6" t="s">
        <v>3927</v>
      </c>
      <c r="C468" s="5">
        <f t="shared" si="1"/>
        <v>9</v>
      </c>
      <c r="D468" s="1" t="s">
        <v>116</v>
      </c>
      <c r="E468" s="1" t="s">
        <v>102</v>
      </c>
      <c r="F468" s="1" t="s">
        <v>21</v>
      </c>
      <c r="G468" s="6" t="s">
        <v>1683</v>
      </c>
      <c r="H468" s="5">
        <f t="shared" si="2"/>
        <v>1.0473</v>
      </c>
      <c r="I468" s="1" t="s">
        <v>1684</v>
      </c>
      <c r="J468" s="5">
        <f t="shared" si="3"/>
        <v>309.440934</v>
      </c>
      <c r="K468" s="1" t="s">
        <v>1685</v>
      </c>
      <c r="L468" s="5">
        <f t="shared" si="4"/>
        <v>0.4189</v>
      </c>
      <c r="M468" s="6" t="s">
        <v>4508</v>
      </c>
      <c r="N468" s="5">
        <f t="shared" si="5"/>
        <v>170</v>
      </c>
    </row>
    <row r="469">
      <c r="A469" s="6" t="s">
        <v>183</v>
      </c>
      <c r="B469" s="6" t="s">
        <v>3927</v>
      </c>
      <c r="C469" s="5">
        <f t="shared" si="1"/>
        <v>9</v>
      </c>
      <c r="D469" s="1" t="s">
        <v>116</v>
      </c>
      <c r="E469" s="1" t="s">
        <v>165</v>
      </c>
      <c r="F469" s="1" t="s">
        <v>39</v>
      </c>
      <c r="G469" s="1" t="s">
        <v>1687</v>
      </c>
      <c r="H469" s="5">
        <f t="shared" si="2"/>
        <v>0.3415</v>
      </c>
      <c r="I469" s="1" t="s">
        <v>1688</v>
      </c>
      <c r="J469" s="5">
        <f t="shared" si="3"/>
        <v>57.675272</v>
      </c>
      <c r="K469" s="1" t="s">
        <v>1689</v>
      </c>
      <c r="L469" s="5">
        <f t="shared" si="4"/>
        <v>0.0615</v>
      </c>
      <c r="M469" s="6" t="s">
        <v>291</v>
      </c>
      <c r="N469" s="5">
        <f t="shared" si="5"/>
        <v>0</v>
      </c>
    </row>
    <row r="470">
      <c r="A470" s="6" t="s">
        <v>183</v>
      </c>
      <c r="B470" s="6" t="s">
        <v>3927</v>
      </c>
      <c r="C470" s="5">
        <f t="shared" si="1"/>
        <v>9</v>
      </c>
      <c r="D470" s="1" t="s">
        <v>116</v>
      </c>
      <c r="E470" s="1" t="s">
        <v>165</v>
      </c>
      <c r="F470" s="1" t="s">
        <v>17</v>
      </c>
      <c r="G470" s="1" t="s">
        <v>1690</v>
      </c>
      <c r="H470" s="5">
        <f t="shared" si="2"/>
        <v>0.6851</v>
      </c>
      <c r="I470" s="1" t="s">
        <v>1691</v>
      </c>
      <c r="J470" s="5">
        <f t="shared" si="3"/>
        <v>159.264256</v>
      </c>
      <c r="K470" s="1" t="s">
        <v>1692</v>
      </c>
      <c r="L470" s="5">
        <f t="shared" si="4"/>
        <v>0.2398</v>
      </c>
      <c r="M470" s="6" t="s">
        <v>291</v>
      </c>
      <c r="N470" s="5">
        <f t="shared" si="5"/>
        <v>0</v>
      </c>
    </row>
    <row r="471">
      <c r="A471" s="6" t="s">
        <v>183</v>
      </c>
      <c r="B471" s="6" t="s">
        <v>3927</v>
      </c>
      <c r="C471" s="5">
        <f t="shared" si="1"/>
        <v>9</v>
      </c>
      <c r="D471" s="1" t="s">
        <v>116</v>
      </c>
      <c r="E471" s="1" t="s">
        <v>158</v>
      </c>
      <c r="F471" s="1" t="s">
        <v>39</v>
      </c>
      <c r="G471" s="1" t="s">
        <v>414</v>
      </c>
      <c r="H471" s="5">
        <f t="shared" si="2"/>
        <v>0.0007</v>
      </c>
      <c r="I471" s="1" t="s">
        <v>1693</v>
      </c>
      <c r="J471" s="5">
        <f t="shared" si="3"/>
        <v>0.330204</v>
      </c>
      <c r="K471" s="1" t="s">
        <v>596</v>
      </c>
      <c r="L471" s="5">
        <f t="shared" si="4"/>
        <v>0.0001</v>
      </c>
      <c r="M471" s="6" t="s">
        <v>291</v>
      </c>
      <c r="N471" s="5">
        <f t="shared" si="5"/>
        <v>0</v>
      </c>
    </row>
    <row r="472">
      <c r="A472" s="6" t="s">
        <v>183</v>
      </c>
      <c r="B472" s="6" t="s">
        <v>3927</v>
      </c>
      <c r="C472" s="5">
        <f t="shared" si="1"/>
        <v>9</v>
      </c>
      <c r="D472" s="1" t="s">
        <v>116</v>
      </c>
      <c r="E472" s="1" t="s">
        <v>158</v>
      </c>
      <c r="F472" s="1" t="s">
        <v>17</v>
      </c>
      <c r="G472" s="1" t="s">
        <v>1465</v>
      </c>
      <c r="H472" s="5">
        <f t="shared" si="2"/>
        <v>0.0619</v>
      </c>
      <c r="I472" s="1" t="s">
        <v>1695</v>
      </c>
      <c r="J472" s="5">
        <f t="shared" si="3"/>
        <v>28.234317</v>
      </c>
      <c r="K472" s="1" t="s">
        <v>1467</v>
      </c>
      <c r="L472" s="5">
        <f t="shared" si="4"/>
        <v>0.0216</v>
      </c>
      <c r="M472" s="6" t="s">
        <v>291</v>
      </c>
      <c r="N472" s="5">
        <f t="shared" si="5"/>
        <v>0</v>
      </c>
    </row>
    <row r="473">
      <c r="A473" s="6" t="s">
        <v>183</v>
      </c>
      <c r="B473" s="6" t="s">
        <v>3927</v>
      </c>
      <c r="C473" s="5">
        <f t="shared" si="1"/>
        <v>9</v>
      </c>
      <c r="D473" s="1" t="s">
        <v>116</v>
      </c>
      <c r="E473" s="1" t="s">
        <v>158</v>
      </c>
      <c r="F473" s="1" t="s">
        <v>21</v>
      </c>
      <c r="G473" s="1" t="s">
        <v>1696</v>
      </c>
      <c r="H473" s="5">
        <f t="shared" si="2"/>
        <v>0.2886</v>
      </c>
      <c r="I473" s="1" t="s">
        <v>1697</v>
      </c>
      <c r="J473" s="5">
        <f t="shared" si="3"/>
        <v>156.94971</v>
      </c>
      <c r="K473" s="1" t="s">
        <v>1698</v>
      </c>
      <c r="L473" s="5">
        <f t="shared" si="4"/>
        <v>0.1213</v>
      </c>
      <c r="M473" s="6" t="s">
        <v>291</v>
      </c>
      <c r="N473" s="5">
        <f t="shared" si="5"/>
        <v>0</v>
      </c>
    </row>
    <row r="474">
      <c r="A474" s="6" t="s">
        <v>183</v>
      </c>
      <c r="B474" s="6" t="s">
        <v>3927</v>
      </c>
      <c r="C474" s="5">
        <f t="shared" si="1"/>
        <v>9</v>
      </c>
      <c r="D474" s="1" t="s">
        <v>116</v>
      </c>
      <c r="E474" s="1" t="s">
        <v>330</v>
      </c>
      <c r="F474" s="1" t="s">
        <v>39</v>
      </c>
      <c r="G474" s="1" t="s">
        <v>376</v>
      </c>
      <c r="H474" s="5">
        <f t="shared" si="2"/>
        <v>0.0002</v>
      </c>
      <c r="I474" s="1" t="s">
        <v>1700</v>
      </c>
      <c r="J474" s="5">
        <f t="shared" si="3"/>
        <v>0.024798</v>
      </c>
      <c r="K474" s="1" t="s">
        <v>596</v>
      </c>
      <c r="L474" s="5">
        <f t="shared" si="4"/>
        <v>0.0001</v>
      </c>
      <c r="M474" s="6" t="s">
        <v>397</v>
      </c>
      <c r="N474" s="5">
        <f t="shared" si="5"/>
        <v>2</v>
      </c>
    </row>
    <row r="475">
      <c r="A475" s="6" t="s">
        <v>183</v>
      </c>
      <c r="B475" s="6" t="s">
        <v>3927</v>
      </c>
      <c r="C475" s="5">
        <f t="shared" si="1"/>
        <v>9</v>
      </c>
      <c r="D475" s="1" t="s">
        <v>116</v>
      </c>
      <c r="E475" s="1" t="s">
        <v>330</v>
      </c>
      <c r="F475" s="1" t="s">
        <v>17</v>
      </c>
      <c r="G475" s="1" t="s">
        <v>1701</v>
      </c>
      <c r="H475" s="5">
        <f t="shared" si="2"/>
        <v>0.7629</v>
      </c>
      <c r="I475" s="1" t="s">
        <v>1702</v>
      </c>
      <c r="J475" s="5">
        <f t="shared" si="3"/>
        <v>151.892613</v>
      </c>
      <c r="K475" s="1" t="s">
        <v>1703</v>
      </c>
      <c r="L475" s="5">
        <f t="shared" si="4"/>
        <v>0.267</v>
      </c>
      <c r="M475" s="6" t="s">
        <v>2709</v>
      </c>
      <c r="N475" s="5">
        <f t="shared" si="5"/>
        <v>114</v>
      </c>
    </row>
    <row r="476">
      <c r="A476" s="6" t="s">
        <v>183</v>
      </c>
      <c r="B476" s="6" t="s">
        <v>557</v>
      </c>
      <c r="C476" s="5">
        <f t="shared" si="1"/>
        <v>10</v>
      </c>
      <c r="D476" s="1" t="s">
        <v>12</v>
      </c>
      <c r="E476" s="1" t="s">
        <v>13</v>
      </c>
      <c r="F476" s="1" t="s">
        <v>14</v>
      </c>
      <c r="G476" s="6" t="s">
        <v>4576</v>
      </c>
      <c r="H476" s="5">
        <f t="shared" si="2"/>
        <v>11.8332</v>
      </c>
      <c r="I476" s="1" t="s">
        <v>1704</v>
      </c>
      <c r="J476" s="5">
        <f t="shared" si="3"/>
        <v>714.140479</v>
      </c>
      <c r="K476" s="1" t="s">
        <v>1706</v>
      </c>
      <c r="L476" s="5">
        <f t="shared" si="4"/>
        <v>2.485</v>
      </c>
      <c r="M476" s="6" t="s">
        <v>4577</v>
      </c>
      <c r="N476" s="5">
        <f t="shared" si="5"/>
        <v>536</v>
      </c>
    </row>
    <row r="477">
      <c r="A477" s="6" t="s">
        <v>183</v>
      </c>
      <c r="B477" s="6" t="s">
        <v>557</v>
      </c>
      <c r="C477" s="5">
        <f t="shared" si="1"/>
        <v>10</v>
      </c>
      <c r="D477" s="1" t="s">
        <v>12</v>
      </c>
      <c r="E477" s="1" t="s">
        <v>13</v>
      </c>
      <c r="F477" s="1" t="s">
        <v>17</v>
      </c>
      <c r="G477" s="1" t="s">
        <v>1708</v>
      </c>
      <c r="H477" s="5">
        <f t="shared" si="2"/>
        <v>60.0832</v>
      </c>
      <c r="I477" s="1" t="s">
        <v>1709</v>
      </c>
      <c r="J477" s="5">
        <f t="shared" si="3"/>
        <v>5107.393573</v>
      </c>
      <c r="K477" s="1" t="s">
        <v>1711</v>
      </c>
      <c r="L477" s="5">
        <f t="shared" si="4"/>
        <v>21.0291</v>
      </c>
      <c r="M477" s="6" t="s">
        <v>2682</v>
      </c>
      <c r="N477" s="5">
        <f t="shared" si="5"/>
        <v>776</v>
      </c>
    </row>
    <row r="478">
      <c r="A478" s="6" t="s">
        <v>183</v>
      </c>
      <c r="B478" s="6" t="s">
        <v>557</v>
      </c>
      <c r="C478" s="5">
        <f t="shared" si="1"/>
        <v>10</v>
      </c>
      <c r="D478" s="1" t="s">
        <v>12</v>
      </c>
      <c r="E478" s="1" t="s">
        <v>13</v>
      </c>
      <c r="F478" s="1" t="s">
        <v>21</v>
      </c>
      <c r="G478" s="1" t="s">
        <v>1712</v>
      </c>
      <c r="H478" s="5">
        <f t="shared" si="2"/>
        <v>49.1396</v>
      </c>
      <c r="I478" s="1" t="s">
        <v>1713</v>
      </c>
      <c r="J478" s="5">
        <f t="shared" si="3"/>
        <v>4853.057025</v>
      </c>
      <c r="K478" s="1" t="s">
        <v>1715</v>
      </c>
      <c r="L478" s="5">
        <f t="shared" si="4"/>
        <v>24.5699</v>
      </c>
      <c r="M478" s="6" t="s">
        <v>4581</v>
      </c>
      <c r="N478" s="5">
        <f t="shared" si="5"/>
        <v>513</v>
      </c>
    </row>
    <row r="479">
      <c r="A479" s="6" t="s">
        <v>183</v>
      </c>
      <c r="B479" s="6" t="s">
        <v>557</v>
      </c>
      <c r="C479" s="5">
        <f t="shared" si="1"/>
        <v>10</v>
      </c>
      <c r="D479" s="1" t="s">
        <v>12</v>
      </c>
      <c r="E479" s="1" t="s">
        <v>13</v>
      </c>
      <c r="F479" s="1" t="s">
        <v>25</v>
      </c>
      <c r="G479" s="1" t="s">
        <v>1717</v>
      </c>
      <c r="H479" s="5">
        <f t="shared" si="2"/>
        <v>0.0046</v>
      </c>
      <c r="I479" s="1" t="s">
        <v>1718</v>
      </c>
      <c r="J479" s="5">
        <f t="shared" si="3"/>
        <v>1.010239</v>
      </c>
      <c r="K479" s="1" t="s">
        <v>1719</v>
      </c>
      <c r="L479" s="5">
        <f t="shared" si="4"/>
        <v>0.0035</v>
      </c>
      <c r="M479" s="6" t="s">
        <v>273</v>
      </c>
      <c r="N479" s="5">
        <f t="shared" si="5"/>
        <v>4</v>
      </c>
    </row>
    <row r="480">
      <c r="A480" s="6" t="s">
        <v>183</v>
      </c>
      <c r="B480" s="6" t="s">
        <v>557</v>
      </c>
      <c r="C480" s="5">
        <f t="shared" si="1"/>
        <v>10</v>
      </c>
      <c r="D480" s="1" t="s">
        <v>12</v>
      </c>
      <c r="E480" s="1" t="s">
        <v>29</v>
      </c>
      <c r="F480" s="1" t="s">
        <v>14</v>
      </c>
      <c r="G480" s="1" t="s">
        <v>1056</v>
      </c>
      <c r="H480" s="5">
        <f t="shared" si="2"/>
        <v>0.0014</v>
      </c>
      <c r="I480" s="1" t="s">
        <v>1722</v>
      </c>
      <c r="J480" s="5">
        <f t="shared" si="3"/>
        <v>0.155886</v>
      </c>
      <c r="K480" s="1" t="s">
        <v>333</v>
      </c>
      <c r="L480" s="5">
        <f t="shared" si="4"/>
        <v>0.0003</v>
      </c>
      <c r="M480" s="6" t="s">
        <v>397</v>
      </c>
      <c r="N480" s="5">
        <f t="shared" si="5"/>
        <v>2</v>
      </c>
    </row>
    <row r="481">
      <c r="A481" s="6" t="s">
        <v>183</v>
      </c>
      <c r="B481" s="6" t="s">
        <v>557</v>
      </c>
      <c r="C481" s="5">
        <f t="shared" si="1"/>
        <v>10</v>
      </c>
      <c r="D481" s="1" t="s">
        <v>12</v>
      </c>
      <c r="E481" s="1" t="s">
        <v>29</v>
      </c>
      <c r="F481" s="1" t="s">
        <v>21</v>
      </c>
      <c r="G481" s="1" t="s">
        <v>1724</v>
      </c>
      <c r="H481" s="5">
        <f t="shared" si="2"/>
        <v>33.0503</v>
      </c>
      <c r="I481" s="1" t="s">
        <v>1725</v>
      </c>
      <c r="J481" s="5">
        <f t="shared" si="3"/>
        <v>5290.425636</v>
      </c>
      <c r="K481" s="1" t="s">
        <v>1728</v>
      </c>
      <c r="L481" s="5">
        <f t="shared" si="4"/>
        <v>13.2201</v>
      </c>
      <c r="M481" s="6" t="s">
        <v>4585</v>
      </c>
      <c r="N481" s="5">
        <f t="shared" si="5"/>
        <v>649</v>
      </c>
    </row>
    <row r="482">
      <c r="A482" s="6" t="s">
        <v>183</v>
      </c>
      <c r="B482" s="6" t="s">
        <v>557</v>
      </c>
      <c r="C482" s="5">
        <f t="shared" si="1"/>
        <v>10</v>
      </c>
      <c r="D482" s="1" t="s">
        <v>12</v>
      </c>
      <c r="E482" s="1" t="s">
        <v>32</v>
      </c>
      <c r="F482" s="1" t="s">
        <v>14</v>
      </c>
      <c r="G482" s="6" t="s">
        <v>4586</v>
      </c>
      <c r="H482" s="5">
        <f t="shared" si="2"/>
        <v>7.4771</v>
      </c>
      <c r="I482" s="1" t="s">
        <v>1730</v>
      </c>
      <c r="J482" s="5">
        <f t="shared" si="3"/>
        <v>414.764541</v>
      </c>
      <c r="K482" s="6" t="s">
        <v>4587</v>
      </c>
      <c r="L482" s="5">
        <f t="shared" si="4"/>
        <v>1.7197</v>
      </c>
      <c r="M482" s="6" t="s">
        <v>4588</v>
      </c>
      <c r="N482" s="5">
        <f t="shared" si="5"/>
        <v>469</v>
      </c>
    </row>
    <row r="483">
      <c r="A483" s="6" t="s">
        <v>183</v>
      </c>
      <c r="B483" s="6" t="s">
        <v>557</v>
      </c>
      <c r="C483" s="5">
        <f t="shared" si="1"/>
        <v>10</v>
      </c>
      <c r="D483" s="1" t="s">
        <v>12</v>
      </c>
      <c r="E483" s="1" t="s">
        <v>32</v>
      </c>
      <c r="F483" s="1" t="s">
        <v>21</v>
      </c>
      <c r="G483" s="1" t="s">
        <v>1733</v>
      </c>
      <c r="H483" s="5">
        <f t="shared" si="2"/>
        <v>0.9903</v>
      </c>
      <c r="I483" s="1" t="s">
        <v>1734</v>
      </c>
      <c r="J483" s="5">
        <f t="shared" si="3"/>
        <v>126.79139</v>
      </c>
      <c r="K483" s="1" t="s">
        <v>1736</v>
      </c>
      <c r="L483" s="5">
        <f t="shared" si="4"/>
        <v>0.4456</v>
      </c>
      <c r="M483" s="6" t="s">
        <v>2776</v>
      </c>
      <c r="N483" s="5">
        <f t="shared" si="5"/>
        <v>273</v>
      </c>
    </row>
    <row r="484">
      <c r="A484" s="6" t="s">
        <v>183</v>
      </c>
      <c r="B484" s="6" t="s">
        <v>557</v>
      </c>
      <c r="C484" s="5">
        <f t="shared" si="1"/>
        <v>10</v>
      </c>
      <c r="D484" s="1" t="s">
        <v>12</v>
      </c>
      <c r="E484" s="1" t="s">
        <v>45</v>
      </c>
      <c r="F484" s="1" t="s">
        <v>17</v>
      </c>
      <c r="G484" s="6" t="s">
        <v>4591</v>
      </c>
      <c r="H484" s="5">
        <f t="shared" si="2"/>
        <v>9.4438</v>
      </c>
      <c r="I484" s="1" t="s">
        <v>1739</v>
      </c>
      <c r="J484" s="5">
        <f t="shared" si="3"/>
        <v>458.541928</v>
      </c>
      <c r="K484" s="6" t="s">
        <v>4593</v>
      </c>
      <c r="L484" s="5">
        <f t="shared" si="4"/>
        <v>3.3997</v>
      </c>
      <c r="M484" s="6" t="s">
        <v>4594</v>
      </c>
      <c r="N484" s="5">
        <f t="shared" si="5"/>
        <v>171</v>
      </c>
    </row>
    <row r="485">
      <c r="A485" s="6" t="s">
        <v>183</v>
      </c>
      <c r="B485" s="6" t="s">
        <v>557</v>
      </c>
      <c r="C485" s="5">
        <f t="shared" si="1"/>
        <v>10</v>
      </c>
      <c r="D485" s="1" t="s">
        <v>12</v>
      </c>
      <c r="E485" s="1" t="s">
        <v>42</v>
      </c>
      <c r="F485" s="1" t="s">
        <v>17</v>
      </c>
      <c r="G485" s="6" t="s">
        <v>4596</v>
      </c>
      <c r="H485" s="5">
        <f t="shared" si="2"/>
        <v>2.7065</v>
      </c>
      <c r="I485" s="1" t="s">
        <v>1742</v>
      </c>
      <c r="J485" s="5">
        <f t="shared" si="3"/>
        <v>367.066608</v>
      </c>
      <c r="K485" s="6" t="s">
        <v>4599</v>
      </c>
      <c r="L485" s="5">
        <f t="shared" si="4"/>
        <v>1.0014</v>
      </c>
      <c r="M485" s="6" t="s">
        <v>2578</v>
      </c>
      <c r="N485" s="5">
        <f t="shared" si="5"/>
        <v>167</v>
      </c>
    </row>
    <row r="486">
      <c r="A486" s="6" t="s">
        <v>183</v>
      </c>
      <c r="B486" s="6" t="s">
        <v>557</v>
      </c>
      <c r="C486" s="5">
        <f t="shared" si="1"/>
        <v>10</v>
      </c>
      <c r="D486" s="1" t="s">
        <v>12</v>
      </c>
      <c r="E486" s="1" t="s">
        <v>38</v>
      </c>
      <c r="F486" s="1" t="s">
        <v>39</v>
      </c>
      <c r="G486" s="6" t="s">
        <v>4600</v>
      </c>
      <c r="H486" s="5">
        <f t="shared" si="2"/>
        <v>2.7049</v>
      </c>
      <c r="I486" s="1" t="s">
        <v>1745</v>
      </c>
      <c r="J486" s="5">
        <f t="shared" si="3"/>
        <v>285.144203</v>
      </c>
      <c r="K486" s="1" t="s">
        <v>1748</v>
      </c>
      <c r="L486" s="5">
        <f t="shared" si="4"/>
        <v>0.4869</v>
      </c>
      <c r="M486" s="6" t="s">
        <v>2886</v>
      </c>
      <c r="N486" s="5">
        <f t="shared" si="5"/>
        <v>101</v>
      </c>
    </row>
    <row r="487">
      <c r="A487" s="6" t="s">
        <v>183</v>
      </c>
      <c r="B487" s="6" t="s">
        <v>557</v>
      </c>
      <c r="C487" s="5">
        <f t="shared" si="1"/>
        <v>10</v>
      </c>
      <c r="D487" s="1" t="s">
        <v>12</v>
      </c>
      <c r="E487" s="1" t="s">
        <v>56</v>
      </c>
      <c r="F487" s="1" t="s">
        <v>21</v>
      </c>
      <c r="G487" s="1" t="s">
        <v>1750</v>
      </c>
      <c r="H487" s="5">
        <f t="shared" si="2"/>
        <v>0.5902</v>
      </c>
      <c r="I487" s="1" t="s">
        <v>1751</v>
      </c>
      <c r="J487" s="5">
        <f t="shared" si="3"/>
        <v>116.502147</v>
      </c>
      <c r="K487" s="1" t="s">
        <v>1752</v>
      </c>
      <c r="L487" s="5">
        <f t="shared" si="4"/>
        <v>0.2361</v>
      </c>
      <c r="M487" s="6" t="s">
        <v>4728</v>
      </c>
      <c r="N487" s="5">
        <f t="shared" si="5"/>
        <v>209</v>
      </c>
    </row>
    <row r="488">
      <c r="A488" s="6" t="s">
        <v>183</v>
      </c>
      <c r="B488" s="6" t="s">
        <v>557</v>
      </c>
      <c r="C488" s="5">
        <f t="shared" si="1"/>
        <v>10</v>
      </c>
      <c r="D488" s="1" t="s">
        <v>12</v>
      </c>
      <c r="E488" s="1" t="s">
        <v>48</v>
      </c>
      <c r="F488" s="1" t="s">
        <v>49</v>
      </c>
      <c r="G488" s="1" t="s">
        <v>1755</v>
      </c>
      <c r="H488" s="5">
        <f t="shared" si="2"/>
        <v>0.0085</v>
      </c>
      <c r="I488" s="1" t="s">
        <v>1757</v>
      </c>
      <c r="J488" s="5">
        <f t="shared" si="3"/>
        <v>2.76735</v>
      </c>
      <c r="K488" s="1" t="s">
        <v>1758</v>
      </c>
      <c r="L488" s="5">
        <f t="shared" si="4"/>
        <v>0.0024</v>
      </c>
      <c r="M488" s="6" t="s">
        <v>397</v>
      </c>
      <c r="N488" s="5">
        <f t="shared" si="5"/>
        <v>2</v>
      </c>
    </row>
    <row r="489">
      <c r="A489" s="6" t="s">
        <v>183</v>
      </c>
      <c r="B489" s="6" t="s">
        <v>557</v>
      </c>
      <c r="C489" s="5">
        <f t="shared" si="1"/>
        <v>10</v>
      </c>
      <c r="D489" s="1" t="s">
        <v>12</v>
      </c>
      <c r="E489" s="1" t="s">
        <v>48</v>
      </c>
      <c r="F489" s="1" t="s">
        <v>21</v>
      </c>
      <c r="G489" s="1" t="s">
        <v>1761</v>
      </c>
      <c r="H489" s="5">
        <f t="shared" si="2"/>
        <v>0.866</v>
      </c>
      <c r="I489" s="1" t="s">
        <v>1763</v>
      </c>
      <c r="J489" s="5">
        <f t="shared" si="3"/>
        <v>105.254914</v>
      </c>
      <c r="K489" s="1" t="s">
        <v>1764</v>
      </c>
      <c r="L489" s="5">
        <f t="shared" si="4"/>
        <v>0.3464</v>
      </c>
      <c r="M489" s="6" t="s">
        <v>3623</v>
      </c>
      <c r="N489" s="5">
        <f t="shared" si="5"/>
        <v>118</v>
      </c>
    </row>
    <row r="490">
      <c r="A490" s="6" t="s">
        <v>183</v>
      </c>
      <c r="B490" s="6" t="s">
        <v>557</v>
      </c>
      <c r="C490" s="5">
        <f t="shared" si="1"/>
        <v>10</v>
      </c>
      <c r="D490" s="1" t="s">
        <v>12</v>
      </c>
      <c r="E490" s="1" t="s">
        <v>848</v>
      </c>
      <c r="F490" s="1" t="s">
        <v>21</v>
      </c>
      <c r="G490" s="1" t="s">
        <v>1767</v>
      </c>
      <c r="H490" s="5">
        <f t="shared" si="2"/>
        <v>0.3019</v>
      </c>
      <c r="I490" s="1" t="s">
        <v>1769</v>
      </c>
      <c r="J490" s="5">
        <f t="shared" si="3"/>
        <v>52.337633</v>
      </c>
      <c r="K490" s="1" t="s">
        <v>1770</v>
      </c>
      <c r="L490" s="5">
        <f t="shared" si="4"/>
        <v>0.1207</v>
      </c>
      <c r="M490" s="6" t="s">
        <v>4072</v>
      </c>
      <c r="N490" s="5">
        <f t="shared" si="5"/>
        <v>57</v>
      </c>
    </row>
    <row r="491">
      <c r="A491" s="6" t="s">
        <v>183</v>
      </c>
      <c r="B491" s="6" t="s">
        <v>557</v>
      </c>
      <c r="C491" s="5">
        <f t="shared" si="1"/>
        <v>10</v>
      </c>
      <c r="D491" s="1" t="s">
        <v>12</v>
      </c>
      <c r="E491" s="1" t="s">
        <v>60</v>
      </c>
      <c r="F491" s="1" t="s">
        <v>39</v>
      </c>
      <c r="G491" s="1" t="s">
        <v>1773</v>
      </c>
      <c r="H491" s="5">
        <f t="shared" si="2"/>
        <v>0.2288</v>
      </c>
      <c r="I491" s="1" t="s">
        <v>1774</v>
      </c>
      <c r="J491" s="5">
        <f t="shared" si="3"/>
        <v>36.775135</v>
      </c>
      <c r="K491" s="1" t="s">
        <v>1775</v>
      </c>
      <c r="L491" s="5">
        <f t="shared" si="4"/>
        <v>0.0435</v>
      </c>
      <c r="M491" s="6" t="s">
        <v>291</v>
      </c>
      <c r="N491" s="5">
        <f t="shared" si="5"/>
        <v>0</v>
      </c>
    </row>
    <row r="492">
      <c r="A492" s="6" t="s">
        <v>183</v>
      </c>
      <c r="B492" s="6" t="s">
        <v>557</v>
      </c>
      <c r="C492" s="5">
        <f t="shared" si="1"/>
        <v>10</v>
      </c>
      <c r="D492" s="1" t="s">
        <v>12</v>
      </c>
      <c r="E492" s="1" t="s">
        <v>60</v>
      </c>
      <c r="F492" s="1" t="s">
        <v>17</v>
      </c>
      <c r="G492" s="1" t="s">
        <v>73</v>
      </c>
      <c r="H492" s="5">
        <f t="shared" si="2"/>
        <v>0.0013</v>
      </c>
      <c r="I492" s="1" t="s">
        <v>1776</v>
      </c>
      <c r="J492" s="5">
        <f t="shared" si="3"/>
        <v>0.185591</v>
      </c>
      <c r="K492" s="1" t="s">
        <v>674</v>
      </c>
      <c r="L492" s="5">
        <f t="shared" si="4"/>
        <v>0.0005</v>
      </c>
      <c r="M492" s="6" t="s">
        <v>291</v>
      </c>
      <c r="N492" s="5">
        <f t="shared" si="5"/>
        <v>0</v>
      </c>
    </row>
    <row r="493">
      <c r="A493" s="6" t="s">
        <v>183</v>
      </c>
      <c r="B493" s="6" t="s">
        <v>557</v>
      </c>
      <c r="C493" s="5">
        <f t="shared" si="1"/>
        <v>10</v>
      </c>
      <c r="D493" s="1" t="s">
        <v>68</v>
      </c>
      <c r="E493" s="1" t="s">
        <v>13</v>
      </c>
      <c r="F493" s="1" t="s">
        <v>14</v>
      </c>
      <c r="G493" s="1" t="s">
        <v>1778</v>
      </c>
      <c r="H493" s="5">
        <f t="shared" si="2"/>
        <v>63.946</v>
      </c>
      <c r="I493" s="1" t="s">
        <v>1779</v>
      </c>
      <c r="J493" s="5">
        <f t="shared" si="3"/>
        <v>3988.521059</v>
      </c>
      <c r="K493" s="1" t="s">
        <v>1782</v>
      </c>
      <c r="L493" s="5">
        <f t="shared" si="4"/>
        <v>13.4286</v>
      </c>
      <c r="M493" s="6" t="s">
        <v>4743</v>
      </c>
      <c r="N493" s="5">
        <f t="shared" si="5"/>
        <v>9001</v>
      </c>
    </row>
    <row r="494">
      <c r="A494" s="6" t="s">
        <v>183</v>
      </c>
      <c r="B494" s="6" t="s">
        <v>557</v>
      </c>
      <c r="C494" s="5">
        <f t="shared" si="1"/>
        <v>10</v>
      </c>
      <c r="D494" s="1" t="s">
        <v>68</v>
      </c>
      <c r="E494" s="1" t="s">
        <v>13</v>
      </c>
      <c r="F494" s="1" t="s">
        <v>17</v>
      </c>
      <c r="G494" s="1" t="s">
        <v>1784</v>
      </c>
      <c r="H494" s="5">
        <f t="shared" si="2"/>
        <v>68.5442</v>
      </c>
      <c r="I494" s="1" t="s">
        <v>1785</v>
      </c>
      <c r="J494" s="5">
        <f t="shared" si="3"/>
        <v>6497.563792</v>
      </c>
      <c r="K494" s="1" t="s">
        <v>1786</v>
      </c>
      <c r="L494" s="5">
        <f t="shared" si="4"/>
        <v>23.9904</v>
      </c>
      <c r="M494" s="6" t="s">
        <v>4745</v>
      </c>
      <c r="N494" s="5">
        <f t="shared" si="5"/>
        <v>9709</v>
      </c>
    </row>
    <row r="495">
      <c r="A495" s="6" t="s">
        <v>183</v>
      </c>
      <c r="B495" s="6" t="s">
        <v>557</v>
      </c>
      <c r="C495" s="5">
        <f t="shared" si="1"/>
        <v>10</v>
      </c>
      <c r="D495" s="1" t="s">
        <v>68</v>
      </c>
      <c r="E495" s="1" t="s">
        <v>13</v>
      </c>
      <c r="F495" s="1" t="s">
        <v>21</v>
      </c>
      <c r="G495" s="6" t="s">
        <v>4747</v>
      </c>
      <c r="H495" s="5">
        <f t="shared" si="2"/>
        <v>7.1943</v>
      </c>
      <c r="I495" s="1" t="s">
        <v>1789</v>
      </c>
      <c r="J495" s="5">
        <f t="shared" si="3"/>
        <v>1051.550903</v>
      </c>
      <c r="K495" s="6" t="s">
        <v>4749</v>
      </c>
      <c r="L495" s="5">
        <f t="shared" si="4"/>
        <v>3.5971</v>
      </c>
      <c r="M495" s="6" t="s">
        <v>4750</v>
      </c>
      <c r="N495" s="5">
        <f t="shared" si="5"/>
        <v>1303</v>
      </c>
    </row>
    <row r="496">
      <c r="A496" s="6" t="s">
        <v>183</v>
      </c>
      <c r="B496" s="6" t="s">
        <v>557</v>
      </c>
      <c r="C496" s="5">
        <f t="shared" si="1"/>
        <v>10</v>
      </c>
      <c r="D496" s="1" t="s">
        <v>68</v>
      </c>
      <c r="E496" s="1" t="s">
        <v>13</v>
      </c>
      <c r="F496" s="1" t="s">
        <v>25</v>
      </c>
      <c r="G496" s="1" t="s">
        <v>1792</v>
      </c>
      <c r="H496" s="5">
        <f t="shared" si="2"/>
        <v>0.3737</v>
      </c>
      <c r="I496" s="1" t="s">
        <v>1793</v>
      </c>
      <c r="J496" s="5">
        <f t="shared" si="3"/>
        <v>60.48214</v>
      </c>
      <c r="K496" s="1" t="s">
        <v>1794</v>
      </c>
      <c r="L496" s="5">
        <f t="shared" si="4"/>
        <v>0.2803</v>
      </c>
      <c r="M496" s="6" t="s">
        <v>4752</v>
      </c>
      <c r="N496" s="5">
        <f t="shared" si="5"/>
        <v>252</v>
      </c>
    </row>
    <row r="497">
      <c r="A497" s="6" t="s">
        <v>183</v>
      </c>
      <c r="B497" s="6" t="s">
        <v>557</v>
      </c>
      <c r="C497" s="5">
        <f t="shared" si="1"/>
        <v>10</v>
      </c>
      <c r="D497" s="1" t="s">
        <v>68</v>
      </c>
      <c r="E497" s="1" t="s">
        <v>29</v>
      </c>
      <c r="F497" s="1" t="s">
        <v>21</v>
      </c>
      <c r="G497" s="6" t="s">
        <v>4754</v>
      </c>
      <c r="H497" s="5">
        <f t="shared" si="2"/>
        <v>9.9453</v>
      </c>
      <c r="I497" s="1" t="s">
        <v>1797</v>
      </c>
      <c r="J497" s="5">
        <f t="shared" si="3"/>
        <v>2087.819981</v>
      </c>
      <c r="K497" s="1" t="s">
        <v>1799</v>
      </c>
      <c r="L497" s="5">
        <f t="shared" si="4"/>
        <v>3.978</v>
      </c>
      <c r="M497" s="6" t="s">
        <v>4755</v>
      </c>
      <c r="N497" s="5">
        <f t="shared" si="5"/>
        <v>1419</v>
      </c>
    </row>
    <row r="498">
      <c r="A498" s="6" t="s">
        <v>183</v>
      </c>
      <c r="B498" s="6" t="s">
        <v>557</v>
      </c>
      <c r="C498" s="5">
        <f t="shared" si="1"/>
        <v>10</v>
      </c>
      <c r="D498" s="1" t="s">
        <v>68</v>
      </c>
      <c r="E498" s="1" t="s">
        <v>45</v>
      </c>
      <c r="F498" s="1" t="s">
        <v>17</v>
      </c>
      <c r="G498" s="1" t="s">
        <v>1802</v>
      </c>
      <c r="H498" s="5">
        <f t="shared" si="2"/>
        <v>18.3968</v>
      </c>
      <c r="I498" s="1" t="s">
        <v>1803</v>
      </c>
      <c r="J498" s="5">
        <f t="shared" si="3"/>
        <v>987.116457</v>
      </c>
      <c r="K498" s="6" t="s">
        <v>4757</v>
      </c>
      <c r="L498" s="5">
        <f t="shared" si="4"/>
        <v>6.6228</v>
      </c>
      <c r="M498" s="6" t="s">
        <v>4758</v>
      </c>
      <c r="N498" s="5">
        <f t="shared" si="5"/>
        <v>1872</v>
      </c>
    </row>
    <row r="499">
      <c r="A499" s="6" t="s">
        <v>183</v>
      </c>
      <c r="B499" s="6" t="s">
        <v>557</v>
      </c>
      <c r="C499" s="5">
        <f t="shared" si="1"/>
        <v>10</v>
      </c>
      <c r="D499" s="1" t="s">
        <v>68</v>
      </c>
      <c r="E499" s="1" t="s">
        <v>32</v>
      </c>
      <c r="F499" s="1" t="s">
        <v>14</v>
      </c>
      <c r="G499" s="6" t="s">
        <v>4759</v>
      </c>
      <c r="H499" s="5">
        <f t="shared" si="2"/>
        <v>2.4861</v>
      </c>
      <c r="I499" s="1" t="s">
        <v>1806</v>
      </c>
      <c r="J499" s="5">
        <f t="shared" si="3"/>
        <v>194.282214</v>
      </c>
      <c r="K499" s="1" t="s">
        <v>1808</v>
      </c>
      <c r="L499" s="5">
        <f t="shared" si="4"/>
        <v>0.5718</v>
      </c>
      <c r="M499" s="6" t="s">
        <v>4762</v>
      </c>
      <c r="N499" s="5">
        <f t="shared" si="5"/>
        <v>1454</v>
      </c>
    </row>
    <row r="500">
      <c r="A500" s="6" t="s">
        <v>183</v>
      </c>
      <c r="B500" s="6" t="s">
        <v>557</v>
      </c>
      <c r="C500" s="5">
        <f t="shared" si="1"/>
        <v>10</v>
      </c>
      <c r="D500" s="1" t="s">
        <v>68</v>
      </c>
      <c r="E500" s="1" t="s">
        <v>32</v>
      </c>
      <c r="F500" s="1" t="s">
        <v>21</v>
      </c>
      <c r="G500" s="1" t="s">
        <v>1811</v>
      </c>
      <c r="H500" s="5">
        <f t="shared" si="2"/>
        <v>0.6058</v>
      </c>
      <c r="I500" s="1" t="s">
        <v>1812</v>
      </c>
      <c r="J500" s="5">
        <f t="shared" si="3"/>
        <v>109.808417</v>
      </c>
      <c r="K500" s="1" t="s">
        <v>1814</v>
      </c>
      <c r="L500" s="5">
        <f t="shared" si="4"/>
        <v>0.2726</v>
      </c>
      <c r="M500" s="6" t="s">
        <v>4765</v>
      </c>
      <c r="N500" s="5">
        <f t="shared" si="5"/>
        <v>275</v>
      </c>
    </row>
    <row r="501">
      <c r="A501" s="6" t="s">
        <v>183</v>
      </c>
      <c r="B501" s="6" t="s">
        <v>557</v>
      </c>
      <c r="C501" s="5">
        <f t="shared" si="1"/>
        <v>10</v>
      </c>
      <c r="D501" s="1" t="s">
        <v>68</v>
      </c>
      <c r="E501" s="1" t="s">
        <v>544</v>
      </c>
      <c r="F501" s="1" t="s">
        <v>17</v>
      </c>
      <c r="G501" s="6" t="s">
        <v>4766</v>
      </c>
      <c r="H501" s="5">
        <f t="shared" si="2"/>
        <v>2.9654</v>
      </c>
      <c r="I501" s="1" t="s">
        <v>1816</v>
      </c>
      <c r="J501" s="5">
        <f t="shared" si="3"/>
        <v>165.082083</v>
      </c>
      <c r="K501" s="6" t="s">
        <v>1817</v>
      </c>
      <c r="L501" s="5">
        <f t="shared" si="4"/>
        <v>1.0379</v>
      </c>
      <c r="M501" s="6" t="s">
        <v>4270</v>
      </c>
      <c r="N501" s="5">
        <f t="shared" si="5"/>
        <v>249</v>
      </c>
    </row>
    <row r="502">
      <c r="A502" s="6" t="s">
        <v>183</v>
      </c>
      <c r="B502" s="6" t="s">
        <v>557</v>
      </c>
      <c r="C502" s="5">
        <f t="shared" si="1"/>
        <v>10</v>
      </c>
      <c r="D502" s="1" t="s">
        <v>68</v>
      </c>
      <c r="E502" s="1" t="s">
        <v>42</v>
      </c>
      <c r="F502" s="1" t="s">
        <v>17</v>
      </c>
      <c r="G502" s="1" t="s">
        <v>1821</v>
      </c>
      <c r="H502" s="5">
        <f t="shared" si="2"/>
        <v>0.768</v>
      </c>
      <c r="I502" s="1" t="s">
        <v>1822</v>
      </c>
      <c r="J502" s="5">
        <f t="shared" si="3"/>
        <v>129.934828</v>
      </c>
      <c r="K502" s="1" t="s">
        <v>1823</v>
      </c>
      <c r="L502" s="5">
        <f t="shared" si="4"/>
        <v>0.2841</v>
      </c>
      <c r="M502" s="6" t="s">
        <v>3881</v>
      </c>
      <c r="N502" s="5">
        <f t="shared" si="5"/>
        <v>201</v>
      </c>
    </row>
    <row r="503">
      <c r="A503" s="6" t="s">
        <v>183</v>
      </c>
      <c r="B503" s="6" t="s">
        <v>557</v>
      </c>
      <c r="C503" s="5">
        <f t="shared" si="1"/>
        <v>10</v>
      </c>
      <c r="D503" s="1" t="s">
        <v>68</v>
      </c>
      <c r="E503" s="1" t="s">
        <v>38</v>
      </c>
      <c r="F503" s="1" t="s">
        <v>39</v>
      </c>
      <c r="G503" s="6" t="s">
        <v>1060</v>
      </c>
      <c r="H503" s="5">
        <f t="shared" si="2"/>
        <v>1.1305</v>
      </c>
      <c r="I503" s="1" t="s">
        <v>1827</v>
      </c>
      <c r="J503" s="5">
        <f t="shared" si="3"/>
        <v>100.544796</v>
      </c>
      <c r="K503" s="1" t="s">
        <v>1829</v>
      </c>
      <c r="L503" s="5">
        <f t="shared" si="4"/>
        <v>0.2034</v>
      </c>
      <c r="M503" s="6" t="s">
        <v>4770</v>
      </c>
      <c r="N503" s="5">
        <f t="shared" si="5"/>
        <v>177</v>
      </c>
    </row>
    <row r="504">
      <c r="A504" s="6" t="s">
        <v>183</v>
      </c>
      <c r="B504" s="6" t="s">
        <v>557</v>
      </c>
      <c r="C504" s="5">
        <f t="shared" si="1"/>
        <v>10</v>
      </c>
      <c r="D504" s="1" t="s">
        <v>68</v>
      </c>
      <c r="E504" s="1" t="s">
        <v>102</v>
      </c>
      <c r="F504" s="1" t="s">
        <v>39</v>
      </c>
      <c r="G504" s="1" t="s">
        <v>1832</v>
      </c>
      <c r="H504" s="5">
        <f t="shared" si="2"/>
        <v>0.0634</v>
      </c>
      <c r="I504" s="1" t="s">
        <v>1833</v>
      </c>
      <c r="J504" s="5">
        <f t="shared" si="3"/>
        <v>21.322639</v>
      </c>
      <c r="K504" s="1" t="s">
        <v>639</v>
      </c>
      <c r="L504" s="5">
        <f t="shared" si="4"/>
        <v>0.0121</v>
      </c>
      <c r="M504" s="6" t="s">
        <v>291</v>
      </c>
      <c r="N504" s="5">
        <f t="shared" si="5"/>
        <v>0</v>
      </c>
    </row>
    <row r="505">
      <c r="A505" s="6" t="s">
        <v>183</v>
      </c>
      <c r="B505" s="6" t="s">
        <v>557</v>
      </c>
      <c r="C505" s="5">
        <f t="shared" si="1"/>
        <v>10</v>
      </c>
      <c r="D505" s="1" t="s">
        <v>68</v>
      </c>
      <c r="E505" s="1" t="s">
        <v>102</v>
      </c>
      <c r="F505" s="1" t="s">
        <v>21</v>
      </c>
      <c r="G505" s="1" t="s">
        <v>1836</v>
      </c>
      <c r="H505" s="5">
        <f t="shared" si="2"/>
        <v>0.1881</v>
      </c>
      <c r="I505" s="1" t="s">
        <v>1837</v>
      </c>
      <c r="J505" s="5">
        <f t="shared" si="3"/>
        <v>65.471207</v>
      </c>
      <c r="K505" s="1" t="s">
        <v>1839</v>
      </c>
      <c r="L505" s="5">
        <f t="shared" si="4"/>
        <v>0.0753</v>
      </c>
      <c r="M505" s="6" t="s">
        <v>291</v>
      </c>
      <c r="N505" s="5">
        <f t="shared" si="5"/>
        <v>0</v>
      </c>
    </row>
    <row r="506">
      <c r="A506" s="6" t="s">
        <v>183</v>
      </c>
      <c r="B506" s="6" t="s">
        <v>557</v>
      </c>
      <c r="C506" s="5">
        <f t="shared" si="1"/>
        <v>10</v>
      </c>
      <c r="D506" s="1" t="s">
        <v>68</v>
      </c>
      <c r="E506" s="1" t="s">
        <v>98</v>
      </c>
      <c r="F506" s="1" t="s">
        <v>17</v>
      </c>
      <c r="G506" s="1" t="s">
        <v>1842</v>
      </c>
      <c r="H506" s="5">
        <f t="shared" si="2"/>
        <v>0.3189</v>
      </c>
      <c r="I506" s="1" t="s">
        <v>1843</v>
      </c>
      <c r="J506" s="5">
        <f t="shared" si="3"/>
        <v>70.952597</v>
      </c>
      <c r="K506" s="1" t="s">
        <v>553</v>
      </c>
      <c r="L506" s="5">
        <f t="shared" si="4"/>
        <v>0.1117</v>
      </c>
      <c r="M506" s="6" t="s">
        <v>291</v>
      </c>
      <c r="N506" s="5">
        <f t="shared" si="5"/>
        <v>0</v>
      </c>
    </row>
    <row r="507">
      <c r="A507" s="6" t="s">
        <v>183</v>
      </c>
      <c r="B507" s="6" t="s">
        <v>557</v>
      </c>
      <c r="C507" s="5">
        <f t="shared" si="1"/>
        <v>10</v>
      </c>
      <c r="D507" s="1" t="s">
        <v>68</v>
      </c>
      <c r="E507" s="1" t="s">
        <v>48</v>
      </c>
      <c r="F507" s="1" t="s">
        <v>49</v>
      </c>
      <c r="G507" s="1" t="s">
        <v>331</v>
      </c>
      <c r="H507" s="5">
        <f t="shared" si="2"/>
        <v>0.0016</v>
      </c>
      <c r="I507" s="1" t="s">
        <v>1845</v>
      </c>
      <c r="J507" s="5">
        <f t="shared" si="3"/>
        <v>0.643301</v>
      </c>
      <c r="K507" s="1" t="s">
        <v>674</v>
      </c>
      <c r="L507" s="5">
        <f t="shared" si="4"/>
        <v>0.0005</v>
      </c>
      <c r="M507" s="6" t="s">
        <v>397</v>
      </c>
      <c r="N507" s="5">
        <f t="shared" si="5"/>
        <v>2</v>
      </c>
    </row>
    <row r="508">
      <c r="A508" s="6" t="s">
        <v>183</v>
      </c>
      <c r="B508" s="6" t="s">
        <v>557</v>
      </c>
      <c r="C508" s="5">
        <f t="shared" si="1"/>
        <v>10</v>
      </c>
      <c r="D508" s="1" t="s">
        <v>68</v>
      </c>
      <c r="E508" s="1" t="s">
        <v>48</v>
      </c>
      <c r="F508" s="1" t="s">
        <v>21</v>
      </c>
      <c r="G508" s="1" t="s">
        <v>1849</v>
      </c>
      <c r="H508" s="5">
        <f t="shared" si="2"/>
        <v>0.5194</v>
      </c>
      <c r="I508" s="1" t="s">
        <v>1850</v>
      </c>
      <c r="J508" s="5">
        <f t="shared" si="3"/>
        <v>68.15899</v>
      </c>
      <c r="K508" s="1" t="s">
        <v>1854</v>
      </c>
      <c r="L508" s="5">
        <f t="shared" si="4"/>
        <v>0.2077</v>
      </c>
      <c r="M508" s="6" t="s">
        <v>4246</v>
      </c>
      <c r="N508" s="5">
        <f t="shared" si="5"/>
        <v>270</v>
      </c>
    </row>
    <row r="509">
      <c r="A509" s="6" t="s">
        <v>183</v>
      </c>
      <c r="B509" s="6" t="s">
        <v>557</v>
      </c>
      <c r="C509" s="5">
        <f t="shared" si="1"/>
        <v>10</v>
      </c>
      <c r="D509" s="1" t="s">
        <v>116</v>
      </c>
      <c r="E509" s="1" t="s">
        <v>13</v>
      </c>
      <c r="F509" s="1" t="s">
        <v>14</v>
      </c>
      <c r="G509" s="1" t="s">
        <v>1856</v>
      </c>
      <c r="H509" s="5">
        <f t="shared" si="2"/>
        <v>131.0205</v>
      </c>
      <c r="I509" s="1" t="s">
        <v>1857</v>
      </c>
      <c r="J509" s="5">
        <f t="shared" si="3"/>
        <v>7190.91765</v>
      </c>
      <c r="K509" s="1" t="s">
        <v>1858</v>
      </c>
      <c r="L509" s="5">
        <f t="shared" si="4"/>
        <v>27.5144</v>
      </c>
      <c r="M509" s="6" t="s">
        <v>4782</v>
      </c>
      <c r="N509" s="5">
        <f t="shared" si="5"/>
        <v>11485</v>
      </c>
    </row>
    <row r="510">
      <c r="A510" s="6" t="s">
        <v>183</v>
      </c>
      <c r="B510" s="6" t="s">
        <v>557</v>
      </c>
      <c r="C510" s="5">
        <f t="shared" si="1"/>
        <v>10</v>
      </c>
      <c r="D510" s="1" t="s">
        <v>116</v>
      </c>
      <c r="E510" s="1" t="s">
        <v>13</v>
      </c>
      <c r="F510" s="1" t="s">
        <v>17</v>
      </c>
      <c r="G510" s="1" t="s">
        <v>1861</v>
      </c>
      <c r="H510" s="5">
        <f t="shared" si="2"/>
        <v>124.6685</v>
      </c>
      <c r="I510" s="1" t="s">
        <v>1862</v>
      </c>
      <c r="J510" s="5">
        <f t="shared" si="3"/>
        <v>10831.85388</v>
      </c>
      <c r="K510" s="1" t="s">
        <v>1864</v>
      </c>
      <c r="L510" s="5">
        <f t="shared" si="4"/>
        <v>43.634</v>
      </c>
      <c r="M510" s="6" t="s">
        <v>4783</v>
      </c>
      <c r="N510" s="5">
        <f t="shared" si="5"/>
        <v>14382</v>
      </c>
    </row>
    <row r="511">
      <c r="A511" s="6" t="s">
        <v>183</v>
      </c>
      <c r="B511" s="6" t="s">
        <v>557</v>
      </c>
      <c r="C511" s="5">
        <f t="shared" si="1"/>
        <v>10</v>
      </c>
      <c r="D511" s="1" t="s">
        <v>116</v>
      </c>
      <c r="E511" s="1" t="s">
        <v>13</v>
      </c>
      <c r="F511" s="1" t="s">
        <v>21</v>
      </c>
      <c r="G511" s="1" t="s">
        <v>1867</v>
      </c>
      <c r="H511" s="5">
        <f t="shared" si="2"/>
        <v>14.8151</v>
      </c>
      <c r="I511" s="1" t="s">
        <v>1868</v>
      </c>
      <c r="J511" s="5">
        <f t="shared" si="3"/>
        <v>1659.957871</v>
      </c>
      <c r="K511" s="6" t="s">
        <v>4784</v>
      </c>
      <c r="L511" s="5">
        <f t="shared" si="4"/>
        <v>7.4076</v>
      </c>
      <c r="M511" s="6" t="s">
        <v>4785</v>
      </c>
      <c r="N511" s="5">
        <f t="shared" si="5"/>
        <v>1165</v>
      </c>
    </row>
    <row r="512">
      <c r="A512" s="6" t="s">
        <v>183</v>
      </c>
      <c r="B512" s="6" t="s">
        <v>557</v>
      </c>
      <c r="C512" s="5">
        <f t="shared" si="1"/>
        <v>10</v>
      </c>
      <c r="D512" s="1" t="s">
        <v>116</v>
      </c>
      <c r="E512" s="1" t="s">
        <v>13</v>
      </c>
      <c r="F512" s="1" t="s">
        <v>25</v>
      </c>
      <c r="G512" s="1" t="s">
        <v>1870</v>
      </c>
      <c r="H512" s="5">
        <f t="shared" si="2"/>
        <v>0.1368</v>
      </c>
      <c r="I512" s="1" t="s">
        <v>1872</v>
      </c>
      <c r="J512" s="5">
        <f t="shared" si="3"/>
        <v>24.417541</v>
      </c>
      <c r="K512" s="1" t="s">
        <v>1874</v>
      </c>
      <c r="L512" s="5">
        <f t="shared" si="4"/>
        <v>0.1026</v>
      </c>
      <c r="M512" s="6" t="s">
        <v>4786</v>
      </c>
      <c r="N512" s="5">
        <f t="shared" si="5"/>
        <v>52</v>
      </c>
    </row>
    <row r="513">
      <c r="A513" s="6" t="s">
        <v>183</v>
      </c>
      <c r="B513" s="6" t="s">
        <v>557</v>
      </c>
      <c r="C513" s="5">
        <f t="shared" si="1"/>
        <v>10</v>
      </c>
      <c r="D513" s="1" t="s">
        <v>116</v>
      </c>
      <c r="E513" s="1" t="s">
        <v>29</v>
      </c>
      <c r="F513" s="1" t="s">
        <v>21</v>
      </c>
      <c r="G513" s="1" t="s">
        <v>1876</v>
      </c>
      <c r="H513" s="5">
        <f t="shared" si="2"/>
        <v>37.4777</v>
      </c>
      <c r="I513" s="1" t="s">
        <v>1877</v>
      </c>
      <c r="J513" s="5">
        <f t="shared" si="3"/>
        <v>6614.209094</v>
      </c>
      <c r="K513" s="1" t="s">
        <v>1880</v>
      </c>
      <c r="L513" s="5">
        <f t="shared" si="4"/>
        <v>14.9911</v>
      </c>
      <c r="M513" s="6" t="s">
        <v>4787</v>
      </c>
      <c r="N513" s="5">
        <f t="shared" si="5"/>
        <v>1918</v>
      </c>
    </row>
    <row r="514">
      <c r="A514" s="6" t="s">
        <v>183</v>
      </c>
      <c r="B514" s="6" t="s">
        <v>557</v>
      </c>
      <c r="C514" s="5">
        <f t="shared" si="1"/>
        <v>10</v>
      </c>
      <c r="D514" s="1" t="s">
        <v>116</v>
      </c>
      <c r="E514" s="1" t="s">
        <v>45</v>
      </c>
      <c r="F514" s="1" t="s">
        <v>17</v>
      </c>
      <c r="G514" s="1" t="s">
        <v>1882</v>
      </c>
      <c r="H514" s="5">
        <f t="shared" si="2"/>
        <v>28.3202</v>
      </c>
      <c r="I514" s="1" t="s">
        <v>1883</v>
      </c>
      <c r="J514" s="5">
        <f t="shared" si="3"/>
        <v>1773.875739</v>
      </c>
      <c r="K514" s="6" t="s">
        <v>4788</v>
      </c>
      <c r="L514" s="5">
        <f t="shared" si="4"/>
        <v>10.1952</v>
      </c>
      <c r="M514" s="6" t="s">
        <v>3588</v>
      </c>
      <c r="N514" s="5">
        <f t="shared" si="5"/>
        <v>2129</v>
      </c>
    </row>
    <row r="515">
      <c r="A515" s="6" t="s">
        <v>183</v>
      </c>
      <c r="B515" s="6" t="s">
        <v>557</v>
      </c>
      <c r="C515" s="5">
        <f t="shared" si="1"/>
        <v>10</v>
      </c>
      <c r="D515" s="1" t="s">
        <v>116</v>
      </c>
      <c r="E515" s="1" t="s">
        <v>32</v>
      </c>
      <c r="F515" s="1" t="s">
        <v>14</v>
      </c>
      <c r="G515" s="6" t="s">
        <v>1887</v>
      </c>
      <c r="H515" s="5">
        <f t="shared" si="2"/>
        <v>7.1822</v>
      </c>
      <c r="I515" s="1" t="s">
        <v>1888</v>
      </c>
      <c r="J515" s="5">
        <f t="shared" si="3"/>
        <v>465.369331</v>
      </c>
      <c r="K515" s="6" t="s">
        <v>4791</v>
      </c>
      <c r="L515" s="5">
        <f t="shared" si="4"/>
        <v>1.6519</v>
      </c>
      <c r="M515" s="6" t="s">
        <v>4792</v>
      </c>
      <c r="N515" s="5">
        <f t="shared" si="5"/>
        <v>1585</v>
      </c>
    </row>
    <row r="516">
      <c r="A516" s="6" t="s">
        <v>183</v>
      </c>
      <c r="B516" s="6" t="s">
        <v>557</v>
      </c>
      <c r="C516" s="5">
        <f t="shared" si="1"/>
        <v>10</v>
      </c>
      <c r="D516" s="1" t="s">
        <v>116</v>
      </c>
      <c r="E516" s="1" t="s">
        <v>32</v>
      </c>
      <c r="F516" s="1" t="s">
        <v>21</v>
      </c>
      <c r="G516" s="6" t="s">
        <v>4793</v>
      </c>
      <c r="H516" s="5">
        <f t="shared" si="2"/>
        <v>2.5769</v>
      </c>
      <c r="I516" s="1" t="s">
        <v>1891</v>
      </c>
      <c r="J516" s="5">
        <f t="shared" si="3"/>
        <v>433.62192</v>
      </c>
      <c r="K516" s="6" t="s">
        <v>1894</v>
      </c>
      <c r="L516" s="5">
        <f t="shared" si="4"/>
        <v>1.1595</v>
      </c>
      <c r="M516" s="6" t="s">
        <v>4794</v>
      </c>
      <c r="N516" s="5">
        <f t="shared" si="5"/>
        <v>1206</v>
      </c>
    </row>
    <row r="517">
      <c r="A517" s="6" t="s">
        <v>183</v>
      </c>
      <c r="B517" s="6" t="s">
        <v>557</v>
      </c>
      <c r="C517" s="5">
        <f t="shared" si="1"/>
        <v>10</v>
      </c>
      <c r="D517" s="1" t="s">
        <v>116</v>
      </c>
      <c r="E517" s="1" t="s">
        <v>147</v>
      </c>
      <c r="F517" s="1" t="s">
        <v>39</v>
      </c>
      <c r="G517" s="6" t="s">
        <v>4796</v>
      </c>
      <c r="H517" s="5">
        <f t="shared" si="2"/>
        <v>1.6569</v>
      </c>
      <c r="I517" s="1" t="s">
        <v>1896</v>
      </c>
      <c r="J517" s="5">
        <f t="shared" si="3"/>
        <v>472.904088</v>
      </c>
      <c r="K517" s="1" t="s">
        <v>1899</v>
      </c>
      <c r="L517" s="5">
        <f t="shared" si="4"/>
        <v>0.3148</v>
      </c>
      <c r="M517" s="6" t="s">
        <v>3499</v>
      </c>
      <c r="N517" s="5">
        <f t="shared" si="5"/>
        <v>94</v>
      </c>
    </row>
    <row r="518">
      <c r="A518" s="6" t="s">
        <v>183</v>
      </c>
      <c r="B518" s="6" t="s">
        <v>557</v>
      </c>
      <c r="C518" s="5">
        <f t="shared" si="1"/>
        <v>10</v>
      </c>
      <c r="D518" s="1" t="s">
        <v>116</v>
      </c>
      <c r="E518" s="1" t="s">
        <v>147</v>
      </c>
      <c r="F518" s="1" t="s">
        <v>17</v>
      </c>
      <c r="G518" s="1" t="s">
        <v>1193</v>
      </c>
      <c r="H518" s="5">
        <f t="shared" si="2"/>
        <v>0.0193</v>
      </c>
      <c r="I518" s="1" t="s">
        <v>1900</v>
      </c>
      <c r="J518" s="5">
        <f t="shared" si="3"/>
        <v>5.671158</v>
      </c>
      <c r="K518" s="1" t="s">
        <v>1437</v>
      </c>
      <c r="L518" s="5">
        <f t="shared" si="4"/>
        <v>0.0067</v>
      </c>
      <c r="M518" s="6" t="s">
        <v>600</v>
      </c>
      <c r="N518" s="5">
        <f t="shared" si="5"/>
        <v>7</v>
      </c>
    </row>
    <row r="519">
      <c r="A519" s="6" t="s">
        <v>183</v>
      </c>
      <c r="B519" s="6" t="s">
        <v>557</v>
      </c>
      <c r="C519" s="5">
        <f t="shared" si="1"/>
        <v>10</v>
      </c>
      <c r="D519" s="1" t="s">
        <v>116</v>
      </c>
      <c r="E519" s="1" t="s">
        <v>147</v>
      </c>
      <c r="F519" s="1" t="s">
        <v>21</v>
      </c>
      <c r="G519" s="1" t="s">
        <v>1903</v>
      </c>
      <c r="H519" s="5">
        <f t="shared" si="2"/>
        <v>0.0571</v>
      </c>
      <c r="I519" s="1" t="s">
        <v>1904</v>
      </c>
      <c r="J519" s="5">
        <f t="shared" si="3"/>
        <v>27.713615</v>
      </c>
      <c r="K519" s="1" t="s">
        <v>1907</v>
      </c>
      <c r="L519" s="5">
        <f t="shared" si="4"/>
        <v>0.0286</v>
      </c>
      <c r="M519" s="6" t="s">
        <v>3440</v>
      </c>
      <c r="N519" s="5">
        <f t="shared" si="5"/>
        <v>47</v>
      </c>
    </row>
    <row r="520">
      <c r="A520" s="6" t="s">
        <v>183</v>
      </c>
      <c r="B520" s="6" t="s">
        <v>557</v>
      </c>
      <c r="C520" s="5">
        <f t="shared" si="1"/>
        <v>10</v>
      </c>
      <c r="D520" s="1" t="s">
        <v>116</v>
      </c>
      <c r="E520" s="1" t="s">
        <v>42</v>
      </c>
      <c r="F520" s="1" t="s">
        <v>17</v>
      </c>
      <c r="G520" s="6" t="s">
        <v>4801</v>
      </c>
      <c r="H520" s="5">
        <f t="shared" si="2"/>
        <v>2.4586</v>
      </c>
      <c r="I520" s="1" t="s">
        <v>1908</v>
      </c>
      <c r="J520" s="5">
        <f t="shared" si="3"/>
        <v>381.161355</v>
      </c>
      <c r="K520" s="1" t="s">
        <v>1911</v>
      </c>
      <c r="L520" s="5">
        <f t="shared" si="4"/>
        <v>0.9097</v>
      </c>
      <c r="M520" s="6" t="s">
        <v>4802</v>
      </c>
      <c r="N520" s="5">
        <f t="shared" si="5"/>
        <v>584</v>
      </c>
    </row>
    <row r="521">
      <c r="A521" s="6" t="s">
        <v>183</v>
      </c>
      <c r="B521" s="6" t="s">
        <v>557</v>
      </c>
      <c r="C521" s="5">
        <f t="shared" si="1"/>
        <v>10</v>
      </c>
      <c r="D521" s="1" t="s">
        <v>116</v>
      </c>
      <c r="E521" s="1" t="s">
        <v>102</v>
      </c>
      <c r="F521" s="1" t="s">
        <v>39</v>
      </c>
      <c r="G521" s="1" t="s">
        <v>396</v>
      </c>
      <c r="H521" s="5">
        <f t="shared" si="2"/>
        <v>0.0027</v>
      </c>
      <c r="I521" s="1" t="s">
        <v>1913</v>
      </c>
      <c r="J521" s="5">
        <f t="shared" si="3"/>
        <v>0.563204</v>
      </c>
      <c r="K521" s="1" t="s">
        <v>674</v>
      </c>
      <c r="L521" s="5">
        <f t="shared" si="4"/>
        <v>0.0005</v>
      </c>
      <c r="M521" s="6" t="s">
        <v>273</v>
      </c>
      <c r="N521" s="5">
        <f t="shared" si="5"/>
        <v>4</v>
      </c>
    </row>
    <row r="522">
      <c r="A522" s="6" t="s">
        <v>183</v>
      </c>
      <c r="B522" s="6" t="s">
        <v>557</v>
      </c>
      <c r="C522" s="5">
        <f t="shared" si="1"/>
        <v>10</v>
      </c>
      <c r="D522" s="1" t="s">
        <v>116</v>
      </c>
      <c r="E522" s="1" t="s">
        <v>102</v>
      </c>
      <c r="F522" s="1" t="s">
        <v>17</v>
      </c>
      <c r="G522" s="1" t="s">
        <v>315</v>
      </c>
      <c r="H522" s="5">
        <f t="shared" si="2"/>
        <v>0.0033</v>
      </c>
      <c r="I522" s="1" t="s">
        <v>1917</v>
      </c>
      <c r="J522" s="5">
        <f t="shared" si="3"/>
        <v>1.279707</v>
      </c>
      <c r="K522" s="1" t="s">
        <v>1813</v>
      </c>
      <c r="L522" s="5">
        <f t="shared" si="4"/>
        <v>0.0012</v>
      </c>
      <c r="M522" s="6" t="s">
        <v>397</v>
      </c>
      <c r="N522" s="5">
        <f t="shared" si="5"/>
        <v>2</v>
      </c>
    </row>
    <row r="523">
      <c r="A523" s="6" t="s">
        <v>183</v>
      </c>
      <c r="B523" s="6" t="s">
        <v>557</v>
      </c>
      <c r="C523" s="5">
        <f t="shared" si="1"/>
        <v>10</v>
      </c>
      <c r="D523" s="1" t="s">
        <v>116</v>
      </c>
      <c r="E523" s="1" t="s">
        <v>102</v>
      </c>
      <c r="F523" s="1" t="s">
        <v>21</v>
      </c>
      <c r="G523" s="6" t="s">
        <v>4804</v>
      </c>
      <c r="H523" s="5">
        <f t="shared" si="2"/>
        <v>1.0029</v>
      </c>
      <c r="I523" s="1" t="s">
        <v>1919</v>
      </c>
      <c r="J523" s="5">
        <f t="shared" si="3"/>
        <v>318.321438</v>
      </c>
      <c r="K523" s="1" t="s">
        <v>1922</v>
      </c>
      <c r="L523" s="5">
        <f t="shared" si="4"/>
        <v>0.4013</v>
      </c>
      <c r="M523" s="6" t="s">
        <v>3683</v>
      </c>
      <c r="N523" s="5">
        <f t="shared" si="5"/>
        <v>151</v>
      </c>
    </row>
    <row r="524">
      <c r="A524" s="6" t="s">
        <v>183</v>
      </c>
      <c r="B524" s="6" t="s">
        <v>557</v>
      </c>
      <c r="C524" s="5">
        <f t="shared" si="1"/>
        <v>10</v>
      </c>
      <c r="D524" s="1" t="s">
        <v>116</v>
      </c>
      <c r="E524" s="1" t="s">
        <v>165</v>
      </c>
      <c r="F524" s="1" t="s">
        <v>39</v>
      </c>
      <c r="G524" s="1" t="s">
        <v>1923</v>
      </c>
      <c r="H524" s="5">
        <f t="shared" si="2"/>
        <v>0.3611</v>
      </c>
      <c r="I524" s="1" t="s">
        <v>1924</v>
      </c>
      <c r="J524" s="5">
        <f t="shared" si="3"/>
        <v>62.499038</v>
      </c>
      <c r="K524" s="1" t="s">
        <v>1926</v>
      </c>
      <c r="L524" s="5">
        <f t="shared" si="4"/>
        <v>0.065</v>
      </c>
      <c r="M524" s="6" t="s">
        <v>291</v>
      </c>
      <c r="N524" s="5">
        <f t="shared" si="5"/>
        <v>0</v>
      </c>
    </row>
    <row r="525">
      <c r="A525" s="6" t="s">
        <v>183</v>
      </c>
      <c r="B525" s="6" t="s">
        <v>557</v>
      </c>
      <c r="C525" s="5">
        <f t="shared" si="1"/>
        <v>10</v>
      </c>
      <c r="D525" s="1" t="s">
        <v>116</v>
      </c>
      <c r="E525" s="1" t="s">
        <v>165</v>
      </c>
      <c r="F525" s="1" t="s">
        <v>17</v>
      </c>
      <c r="G525" s="1" t="s">
        <v>1928</v>
      </c>
      <c r="H525" s="5">
        <f t="shared" si="2"/>
        <v>0.6881</v>
      </c>
      <c r="I525" s="1" t="s">
        <v>1929</v>
      </c>
      <c r="J525" s="5">
        <f t="shared" si="3"/>
        <v>160.841014</v>
      </c>
      <c r="K525" s="1" t="s">
        <v>1930</v>
      </c>
      <c r="L525" s="5">
        <f t="shared" si="4"/>
        <v>0.2408</v>
      </c>
      <c r="M525" s="6" t="s">
        <v>291</v>
      </c>
      <c r="N525" s="5">
        <f t="shared" si="5"/>
        <v>0</v>
      </c>
    </row>
    <row r="526">
      <c r="A526" s="6" t="s">
        <v>183</v>
      </c>
      <c r="B526" s="6" t="s">
        <v>557</v>
      </c>
      <c r="C526" s="5">
        <f t="shared" si="1"/>
        <v>10</v>
      </c>
      <c r="D526" s="1" t="s">
        <v>116</v>
      </c>
      <c r="E526" s="1" t="s">
        <v>158</v>
      </c>
      <c r="F526" s="1" t="s">
        <v>17</v>
      </c>
      <c r="G526" s="1" t="s">
        <v>1931</v>
      </c>
      <c r="H526" s="5">
        <f t="shared" si="2"/>
        <v>0.0674</v>
      </c>
      <c r="I526" s="1" t="s">
        <v>1932</v>
      </c>
      <c r="J526" s="5">
        <f t="shared" si="3"/>
        <v>31.004518</v>
      </c>
      <c r="K526" s="1" t="s">
        <v>916</v>
      </c>
      <c r="L526" s="5">
        <f t="shared" si="4"/>
        <v>0.0235</v>
      </c>
      <c r="M526" s="6" t="s">
        <v>291</v>
      </c>
      <c r="N526" s="5">
        <f t="shared" si="5"/>
        <v>0</v>
      </c>
    </row>
    <row r="527">
      <c r="A527" s="6" t="s">
        <v>183</v>
      </c>
      <c r="B527" s="6" t="s">
        <v>557</v>
      </c>
      <c r="C527" s="5">
        <f t="shared" si="1"/>
        <v>10</v>
      </c>
      <c r="D527" s="1" t="s">
        <v>116</v>
      </c>
      <c r="E527" s="1" t="s">
        <v>158</v>
      </c>
      <c r="F527" s="1" t="s">
        <v>21</v>
      </c>
      <c r="G527" s="1" t="s">
        <v>1936</v>
      </c>
      <c r="H527" s="5">
        <f t="shared" si="2"/>
        <v>0.3391</v>
      </c>
      <c r="I527" s="1" t="s">
        <v>1938</v>
      </c>
      <c r="J527" s="5">
        <f t="shared" si="3"/>
        <v>184.796269</v>
      </c>
      <c r="K527" s="1" t="s">
        <v>1941</v>
      </c>
      <c r="L527" s="5">
        <f t="shared" si="4"/>
        <v>0.1424</v>
      </c>
      <c r="M527" s="6" t="s">
        <v>291</v>
      </c>
      <c r="N527" s="5">
        <f t="shared" si="5"/>
        <v>0</v>
      </c>
    </row>
    <row r="528">
      <c r="A528" s="6" t="s">
        <v>183</v>
      </c>
      <c r="B528" s="6" t="s">
        <v>557</v>
      </c>
      <c r="C528" s="5">
        <f t="shared" si="1"/>
        <v>10</v>
      </c>
      <c r="D528" s="1" t="s">
        <v>116</v>
      </c>
      <c r="E528" s="1" t="s">
        <v>330</v>
      </c>
      <c r="F528" s="1" t="s">
        <v>17</v>
      </c>
      <c r="G528" s="1" t="s">
        <v>1942</v>
      </c>
      <c r="H528" s="5">
        <f t="shared" si="2"/>
        <v>0.8681</v>
      </c>
      <c r="I528" s="1" t="s">
        <v>1943</v>
      </c>
      <c r="J528" s="5">
        <f t="shared" si="3"/>
        <v>172.280999</v>
      </c>
      <c r="K528" s="1" t="s">
        <v>1945</v>
      </c>
      <c r="L528" s="5">
        <f t="shared" si="4"/>
        <v>0.3039</v>
      </c>
      <c r="M528" s="6" t="s">
        <v>2664</v>
      </c>
      <c r="N528" s="5">
        <f t="shared" si="5"/>
        <v>121</v>
      </c>
    </row>
    <row r="529">
      <c r="A529" s="6" t="s">
        <v>183</v>
      </c>
      <c r="B529" s="6" t="s">
        <v>2591</v>
      </c>
      <c r="C529" s="5">
        <f t="shared" si="1"/>
        <v>11</v>
      </c>
      <c r="D529" s="1" t="s">
        <v>12</v>
      </c>
      <c r="E529" s="1" t="s">
        <v>13</v>
      </c>
      <c r="F529" s="1" t="s">
        <v>14</v>
      </c>
      <c r="G529" s="1" t="s">
        <v>1947</v>
      </c>
      <c r="H529" s="5">
        <f t="shared" si="2"/>
        <v>11.162</v>
      </c>
      <c r="I529" s="1" t="s">
        <v>1948</v>
      </c>
      <c r="J529" s="5">
        <f t="shared" si="3"/>
        <v>693.523204</v>
      </c>
      <c r="K529" s="6" t="s">
        <v>4807</v>
      </c>
      <c r="L529" s="5">
        <f t="shared" si="4"/>
        <v>2.3441</v>
      </c>
      <c r="M529" s="6" t="s">
        <v>4808</v>
      </c>
      <c r="N529" s="5">
        <f t="shared" si="5"/>
        <v>539</v>
      </c>
    </row>
    <row r="530">
      <c r="A530" s="6" t="s">
        <v>183</v>
      </c>
      <c r="B530" s="6" t="s">
        <v>2591</v>
      </c>
      <c r="C530" s="5">
        <f t="shared" si="1"/>
        <v>11</v>
      </c>
      <c r="D530" s="1" t="s">
        <v>12</v>
      </c>
      <c r="E530" s="1" t="s">
        <v>13</v>
      </c>
      <c r="F530" s="1" t="s">
        <v>17</v>
      </c>
      <c r="G530" s="1" t="s">
        <v>1952</v>
      </c>
      <c r="H530" s="5">
        <f t="shared" si="2"/>
        <v>101.5784</v>
      </c>
      <c r="I530" s="1" t="s">
        <v>1953</v>
      </c>
      <c r="J530" s="5">
        <f t="shared" si="3"/>
        <v>8077.51338</v>
      </c>
      <c r="K530" s="1" t="s">
        <v>1954</v>
      </c>
      <c r="L530" s="5">
        <f t="shared" si="4"/>
        <v>35.5525</v>
      </c>
      <c r="M530" s="6" t="s">
        <v>2952</v>
      </c>
      <c r="N530" s="5">
        <f t="shared" si="5"/>
        <v>794</v>
      </c>
    </row>
    <row r="531">
      <c r="A531" s="6" t="s">
        <v>183</v>
      </c>
      <c r="B531" s="6" t="s">
        <v>2591</v>
      </c>
      <c r="C531" s="5">
        <f t="shared" si="1"/>
        <v>11</v>
      </c>
      <c r="D531" s="1" t="s">
        <v>12</v>
      </c>
      <c r="E531" s="1" t="s">
        <v>13</v>
      </c>
      <c r="F531" s="1" t="s">
        <v>21</v>
      </c>
      <c r="G531" s="1" t="s">
        <v>1955</v>
      </c>
      <c r="H531" s="5">
        <f t="shared" si="2"/>
        <v>33.7729</v>
      </c>
      <c r="I531" s="1" t="s">
        <v>1956</v>
      </c>
      <c r="J531" s="5">
        <f t="shared" si="3"/>
        <v>3444.500996</v>
      </c>
      <c r="K531" s="1" t="s">
        <v>1958</v>
      </c>
      <c r="L531" s="5">
        <f t="shared" si="4"/>
        <v>16.8864</v>
      </c>
      <c r="M531" s="6" t="s">
        <v>4810</v>
      </c>
      <c r="N531" s="5">
        <f t="shared" si="5"/>
        <v>551</v>
      </c>
    </row>
    <row r="532">
      <c r="A532" s="6" t="s">
        <v>183</v>
      </c>
      <c r="B532" s="6" t="s">
        <v>2591</v>
      </c>
      <c r="C532" s="5">
        <f t="shared" si="1"/>
        <v>11</v>
      </c>
      <c r="D532" s="1" t="s">
        <v>12</v>
      </c>
      <c r="E532" s="1" t="s">
        <v>13</v>
      </c>
      <c r="F532" s="1" t="s">
        <v>25</v>
      </c>
      <c r="G532" s="1" t="s">
        <v>73</v>
      </c>
      <c r="H532" s="5">
        <f t="shared" si="2"/>
        <v>0.0013</v>
      </c>
      <c r="I532" s="1" t="s">
        <v>1961</v>
      </c>
      <c r="J532" s="5">
        <f t="shared" si="3"/>
        <v>0.284586</v>
      </c>
      <c r="K532" s="1" t="s">
        <v>1962</v>
      </c>
      <c r="L532" s="5">
        <f t="shared" si="4"/>
        <v>0.001</v>
      </c>
      <c r="M532" s="6" t="s">
        <v>186</v>
      </c>
      <c r="N532" s="5">
        <f t="shared" si="5"/>
        <v>1</v>
      </c>
    </row>
    <row r="533">
      <c r="A533" s="6" t="s">
        <v>183</v>
      </c>
      <c r="B533" s="6" t="s">
        <v>2591</v>
      </c>
      <c r="C533" s="5">
        <f t="shared" si="1"/>
        <v>11</v>
      </c>
      <c r="D533" s="1" t="s">
        <v>12</v>
      </c>
      <c r="E533" s="1" t="s">
        <v>29</v>
      </c>
      <c r="F533" s="1" t="s">
        <v>14</v>
      </c>
      <c r="G533" s="1" t="s">
        <v>1964</v>
      </c>
      <c r="H533" s="5">
        <f t="shared" si="2"/>
        <v>0.0276</v>
      </c>
      <c r="I533" s="1" t="s">
        <v>1965</v>
      </c>
      <c r="J533" s="5">
        <f t="shared" si="3"/>
        <v>3.023822</v>
      </c>
      <c r="K533" s="1" t="s">
        <v>1968</v>
      </c>
      <c r="L533" s="5">
        <f t="shared" si="4"/>
        <v>0.0055</v>
      </c>
      <c r="M533" s="6" t="s">
        <v>273</v>
      </c>
      <c r="N533" s="5">
        <f t="shared" si="5"/>
        <v>4</v>
      </c>
    </row>
    <row r="534">
      <c r="A534" s="6" t="s">
        <v>183</v>
      </c>
      <c r="B534" s="6" t="s">
        <v>2591</v>
      </c>
      <c r="C534" s="5">
        <f t="shared" si="1"/>
        <v>11</v>
      </c>
      <c r="D534" s="1" t="s">
        <v>12</v>
      </c>
      <c r="E534" s="1" t="s">
        <v>29</v>
      </c>
      <c r="F534" s="1" t="s">
        <v>21</v>
      </c>
      <c r="G534" s="1" t="s">
        <v>1969</v>
      </c>
      <c r="H534" s="5">
        <f t="shared" si="2"/>
        <v>26.7345</v>
      </c>
      <c r="I534" s="1" t="s">
        <v>1971</v>
      </c>
      <c r="J534" s="5">
        <f t="shared" si="3"/>
        <v>4384.797147</v>
      </c>
      <c r="K534" s="1" t="s">
        <v>1973</v>
      </c>
      <c r="L534" s="5">
        <f t="shared" si="4"/>
        <v>10.694</v>
      </c>
      <c r="M534" s="6" t="s">
        <v>3934</v>
      </c>
      <c r="N534" s="5">
        <f t="shared" si="5"/>
        <v>645</v>
      </c>
    </row>
    <row r="535">
      <c r="A535" s="6" t="s">
        <v>183</v>
      </c>
      <c r="B535" s="6" t="s">
        <v>2591</v>
      </c>
      <c r="C535" s="5">
        <f t="shared" si="1"/>
        <v>11</v>
      </c>
      <c r="D535" s="1" t="s">
        <v>12</v>
      </c>
      <c r="E535" s="1" t="s">
        <v>32</v>
      </c>
      <c r="F535" s="1" t="s">
        <v>14</v>
      </c>
      <c r="G535" s="6" t="s">
        <v>4815</v>
      </c>
      <c r="H535" s="5">
        <f t="shared" si="2"/>
        <v>4.8132</v>
      </c>
      <c r="I535" s="1" t="s">
        <v>1975</v>
      </c>
      <c r="J535" s="5">
        <f t="shared" si="3"/>
        <v>319.938974</v>
      </c>
      <c r="K535" s="1" t="s">
        <v>1978</v>
      </c>
      <c r="L535" s="5">
        <f t="shared" si="4"/>
        <v>1.107</v>
      </c>
      <c r="M535" s="6" t="s">
        <v>4818</v>
      </c>
      <c r="N535" s="5">
        <f t="shared" si="5"/>
        <v>476</v>
      </c>
    </row>
    <row r="536">
      <c r="A536" s="6" t="s">
        <v>183</v>
      </c>
      <c r="B536" s="6" t="s">
        <v>2591</v>
      </c>
      <c r="C536" s="5">
        <f t="shared" si="1"/>
        <v>11</v>
      </c>
      <c r="D536" s="1" t="s">
        <v>12</v>
      </c>
      <c r="E536" s="1" t="s">
        <v>32</v>
      </c>
      <c r="F536" s="1" t="s">
        <v>21</v>
      </c>
      <c r="G536" s="1" t="s">
        <v>1980</v>
      </c>
      <c r="H536" s="5">
        <f t="shared" si="2"/>
        <v>1.108</v>
      </c>
      <c r="I536" s="1" t="s">
        <v>1981</v>
      </c>
      <c r="J536" s="5">
        <f t="shared" si="3"/>
        <v>174.651043</v>
      </c>
      <c r="K536" s="1" t="s">
        <v>1984</v>
      </c>
      <c r="L536" s="5">
        <f t="shared" si="4"/>
        <v>0.4987</v>
      </c>
      <c r="M536" s="6" t="s">
        <v>4822</v>
      </c>
      <c r="N536" s="5">
        <f t="shared" si="5"/>
        <v>314</v>
      </c>
    </row>
    <row r="537">
      <c r="A537" s="6" t="s">
        <v>183</v>
      </c>
      <c r="B537" s="6" t="s">
        <v>2591</v>
      </c>
      <c r="C537" s="5">
        <f t="shared" si="1"/>
        <v>11</v>
      </c>
      <c r="D537" s="1" t="s">
        <v>12</v>
      </c>
      <c r="E537" s="1" t="s">
        <v>45</v>
      </c>
      <c r="F537" s="1" t="s">
        <v>17</v>
      </c>
      <c r="G537" s="6" t="s">
        <v>4823</v>
      </c>
      <c r="H537" s="5">
        <f t="shared" si="2"/>
        <v>4.9585</v>
      </c>
      <c r="I537" s="1" t="s">
        <v>1985</v>
      </c>
      <c r="J537" s="5">
        <f t="shared" si="3"/>
        <v>300.082495</v>
      </c>
      <c r="K537" s="6" t="s">
        <v>4824</v>
      </c>
      <c r="L537" s="5">
        <f t="shared" si="4"/>
        <v>1.7851</v>
      </c>
      <c r="M537" s="6" t="s">
        <v>4574</v>
      </c>
      <c r="N537" s="5">
        <f t="shared" si="5"/>
        <v>175</v>
      </c>
    </row>
    <row r="538">
      <c r="A538" s="6" t="s">
        <v>183</v>
      </c>
      <c r="B538" s="6" t="s">
        <v>2591</v>
      </c>
      <c r="C538" s="5">
        <f t="shared" si="1"/>
        <v>11</v>
      </c>
      <c r="D538" s="1" t="s">
        <v>12</v>
      </c>
      <c r="E538" s="1" t="s">
        <v>38</v>
      </c>
      <c r="F538" s="1" t="s">
        <v>39</v>
      </c>
      <c r="G538" s="6" t="s">
        <v>4825</v>
      </c>
      <c r="H538" s="5">
        <f t="shared" si="2"/>
        <v>2.7119</v>
      </c>
      <c r="I538" s="1" t="s">
        <v>1988</v>
      </c>
      <c r="J538" s="5">
        <f t="shared" si="3"/>
        <v>283.880144</v>
      </c>
      <c r="K538" s="1" t="s">
        <v>1989</v>
      </c>
      <c r="L538" s="5">
        <f t="shared" si="4"/>
        <v>0.4881</v>
      </c>
      <c r="M538" s="6" t="s">
        <v>4720</v>
      </c>
      <c r="N538" s="5">
        <f t="shared" si="5"/>
        <v>103</v>
      </c>
    </row>
    <row r="539">
      <c r="A539" s="6" t="s">
        <v>183</v>
      </c>
      <c r="B539" s="6" t="s">
        <v>2591</v>
      </c>
      <c r="C539" s="5">
        <f t="shared" si="1"/>
        <v>11</v>
      </c>
      <c r="D539" s="1" t="s">
        <v>12</v>
      </c>
      <c r="E539" s="1" t="s">
        <v>42</v>
      </c>
      <c r="F539" s="1" t="s">
        <v>17</v>
      </c>
      <c r="G539" s="6" t="s">
        <v>4826</v>
      </c>
      <c r="H539" s="5">
        <f t="shared" si="2"/>
        <v>1.8088</v>
      </c>
      <c r="I539" s="1" t="s">
        <v>1992</v>
      </c>
      <c r="J539" s="5">
        <f t="shared" si="3"/>
        <v>249.376456</v>
      </c>
      <c r="K539" s="1" t="s">
        <v>1993</v>
      </c>
      <c r="L539" s="5">
        <f t="shared" si="4"/>
        <v>0.6694</v>
      </c>
      <c r="M539" s="6" t="s">
        <v>4827</v>
      </c>
      <c r="N539" s="5">
        <f t="shared" si="5"/>
        <v>160</v>
      </c>
    </row>
    <row r="540">
      <c r="A540" s="6" t="s">
        <v>183</v>
      </c>
      <c r="B540" s="6" t="s">
        <v>2591</v>
      </c>
      <c r="C540" s="5">
        <f t="shared" si="1"/>
        <v>11</v>
      </c>
      <c r="D540" s="1" t="s">
        <v>12</v>
      </c>
      <c r="E540" s="1" t="s">
        <v>48</v>
      </c>
      <c r="F540" s="1" t="s">
        <v>49</v>
      </c>
      <c r="G540" s="1" t="s">
        <v>1007</v>
      </c>
      <c r="H540" s="5">
        <f t="shared" si="2"/>
        <v>0.0093</v>
      </c>
      <c r="I540" s="1" t="s">
        <v>1995</v>
      </c>
      <c r="J540" s="5">
        <f t="shared" si="3"/>
        <v>2.947238</v>
      </c>
      <c r="K540" s="1" t="s">
        <v>1134</v>
      </c>
      <c r="L540" s="5">
        <f t="shared" si="4"/>
        <v>0.0026</v>
      </c>
      <c r="M540" s="6" t="s">
        <v>2677</v>
      </c>
      <c r="N540" s="5">
        <f t="shared" si="5"/>
        <v>3</v>
      </c>
    </row>
    <row r="541">
      <c r="A541" s="6" t="s">
        <v>183</v>
      </c>
      <c r="B541" s="6" t="s">
        <v>2591</v>
      </c>
      <c r="C541" s="5">
        <f t="shared" si="1"/>
        <v>11</v>
      </c>
      <c r="D541" s="1" t="s">
        <v>12</v>
      </c>
      <c r="E541" s="1" t="s">
        <v>48</v>
      </c>
      <c r="F541" s="1" t="s">
        <v>21</v>
      </c>
      <c r="G541" s="1" t="s">
        <v>1996</v>
      </c>
      <c r="H541" s="5">
        <f t="shared" si="2"/>
        <v>0.9145</v>
      </c>
      <c r="I541" s="1" t="s">
        <v>1997</v>
      </c>
      <c r="J541" s="5">
        <f t="shared" si="3"/>
        <v>111.772602</v>
      </c>
      <c r="K541" s="1" t="s">
        <v>1998</v>
      </c>
      <c r="L541" s="5">
        <f t="shared" si="4"/>
        <v>0.3658</v>
      </c>
      <c r="M541" s="6" t="s">
        <v>3179</v>
      </c>
      <c r="N541" s="5">
        <f t="shared" si="5"/>
        <v>123</v>
      </c>
    </row>
    <row r="542">
      <c r="A542" s="6" t="s">
        <v>183</v>
      </c>
      <c r="B542" s="6" t="s">
        <v>2591</v>
      </c>
      <c r="C542" s="5">
        <f t="shared" si="1"/>
        <v>11</v>
      </c>
      <c r="D542" s="1" t="s">
        <v>12</v>
      </c>
      <c r="E542" s="1" t="s">
        <v>56</v>
      </c>
      <c r="F542" s="1" t="s">
        <v>21</v>
      </c>
      <c r="G542" s="1" t="s">
        <v>1999</v>
      </c>
      <c r="H542" s="5">
        <f t="shared" si="2"/>
        <v>0.4599</v>
      </c>
      <c r="I542" s="1" t="s">
        <v>2000</v>
      </c>
      <c r="J542" s="5">
        <f t="shared" si="3"/>
        <v>98.216326</v>
      </c>
      <c r="K542" s="1" t="s">
        <v>2001</v>
      </c>
      <c r="L542" s="5">
        <f t="shared" si="4"/>
        <v>0.1839</v>
      </c>
      <c r="M542" s="6" t="s">
        <v>4836</v>
      </c>
      <c r="N542" s="5">
        <f t="shared" si="5"/>
        <v>194</v>
      </c>
    </row>
    <row r="543">
      <c r="A543" s="6" t="s">
        <v>183</v>
      </c>
      <c r="B543" s="6" t="s">
        <v>2591</v>
      </c>
      <c r="C543" s="5">
        <f t="shared" si="1"/>
        <v>11</v>
      </c>
      <c r="D543" s="1" t="s">
        <v>12</v>
      </c>
      <c r="E543" s="1" t="s">
        <v>848</v>
      </c>
      <c r="F543" s="1" t="s">
        <v>21</v>
      </c>
      <c r="G543" s="1" t="s">
        <v>1593</v>
      </c>
      <c r="H543" s="5">
        <f t="shared" si="2"/>
        <v>0.3055</v>
      </c>
      <c r="I543" s="1" t="s">
        <v>2002</v>
      </c>
      <c r="J543" s="5">
        <f t="shared" si="3"/>
        <v>50.607907</v>
      </c>
      <c r="K543" s="1" t="s">
        <v>2003</v>
      </c>
      <c r="L543" s="5">
        <f t="shared" si="4"/>
        <v>0.1222</v>
      </c>
      <c r="M543" s="6" t="s">
        <v>4845</v>
      </c>
      <c r="N543" s="5">
        <f t="shared" si="5"/>
        <v>61</v>
      </c>
    </row>
    <row r="544">
      <c r="A544" s="6" t="s">
        <v>183</v>
      </c>
      <c r="B544" s="6" t="s">
        <v>2591</v>
      </c>
      <c r="C544" s="5">
        <f t="shared" si="1"/>
        <v>11</v>
      </c>
      <c r="D544" s="1" t="s">
        <v>12</v>
      </c>
      <c r="E544" s="1" t="s">
        <v>60</v>
      </c>
      <c r="F544" s="1" t="s">
        <v>39</v>
      </c>
      <c r="G544" s="1" t="s">
        <v>2004</v>
      </c>
      <c r="H544" s="5">
        <f t="shared" si="2"/>
        <v>0.2297</v>
      </c>
      <c r="I544" s="1" t="s">
        <v>2005</v>
      </c>
      <c r="J544" s="5">
        <f t="shared" si="3"/>
        <v>39.360475</v>
      </c>
      <c r="K544" s="1" t="s">
        <v>2006</v>
      </c>
      <c r="L544" s="5">
        <f t="shared" si="4"/>
        <v>0.0436</v>
      </c>
      <c r="M544" s="6" t="s">
        <v>291</v>
      </c>
      <c r="N544" s="5">
        <f t="shared" si="5"/>
        <v>0</v>
      </c>
    </row>
    <row r="545">
      <c r="A545" s="6" t="s">
        <v>183</v>
      </c>
      <c r="B545" s="6" t="s">
        <v>2591</v>
      </c>
      <c r="C545" s="5">
        <f t="shared" si="1"/>
        <v>11</v>
      </c>
      <c r="D545" s="1" t="s">
        <v>12</v>
      </c>
      <c r="E545" s="1" t="s">
        <v>60</v>
      </c>
      <c r="F545" s="1" t="s">
        <v>17</v>
      </c>
      <c r="G545" s="1" t="s">
        <v>880</v>
      </c>
      <c r="H545" s="5">
        <f t="shared" si="2"/>
        <v>0.0023</v>
      </c>
      <c r="I545" s="1" t="s">
        <v>2007</v>
      </c>
      <c r="J545" s="5">
        <f t="shared" si="3"/>
        <v>0.327685</v>
      </c>
      <c r="K545" s="1" t="s">
        <v>574</v>
      </c>
      <c r="L545" s="5">
        <f t="shared" si="4"/>
        <v>0.0009</v>
      </c>
      <c r="M545" s="6" t="s">
        <v>291</v>
      </c>
      <c r="N545" s="5">
        <f t="shared" si="5"/>
        <v>0</v>
      </c>
    </row>
    <row r="546">
      <c r="A546" s="6" t="s">
        <v>183</v>
      </c>
      <c r="B546" s="6" t="s">
        <v>2591</v>
      </c>
      <c r="C546" s="5">
        <f t="shared" si="1"/>
        <v>11</v>
      </c>
      <c r="D546" s="1" t="s">
        <v>68</v>
      </c>
      <c r="E546" s="1" t="s">
        <v>13</v>
      </c>
      <c r="F546" s="1" t="s">
        <v>14</v>
      </c>
      <c r="G546" s="1" t="s">
        <v>2008</v>
      </c>
      <c r="H546" s="5">
        <f t="shared" si="2"/>
        <v>57.4102</v>
      </c>
      <c r="I546" s="1" t="s">
        <v>2009</v>
      </c>
      <c r="J546" s="5">
        <f t="shared" si="3"/>
        <v>3619.51712</v>
      </c>
      <c r="K546" s="6" t="s">
        <v>2010</v>
      </c>
      <c r="L546" s="5">
        <f t="shared" si="4"/>
        <v>12.0561</v>
      </c>
      <c r="M546" s="6" t="s">
        <v>4859</v>
      </c>
      <c r="N546" s="5">
        <f t="shared" si="5"/>
        <v>8353</v>
      </c>
    </row>
    <row r="547">
      <c r="A547" s="6" t="s">
        <v>183</v>
      </c>
      <c r="B547" s="6" t="s">
        <v>2591</v>
      </c>
      <c r="C547" s="5">
        <f t="shared" si="1"/>
        <v>11</v>
      </c>
      <c r="D547" s="1" t="s">
        <v>68</v>
      </c>
      <c r="E547" s="1" t="s">
        <v>13</v>
      </c>
      <c r="F547" s="1" t="s">
        <v>17</v>
      </c>
      <c r="G547" s="1" t="s">
        <v>2011</v>
      </c>
      <c r="H547" s="5">
        <f t="shared" si="2"/>
        <v>66.7912</v>
      </c>
      <c r="I547" s="1" t="s">
        <v>2012</v>
      </c>
      <c r="J547" s="5">
        <f t="shared" si="3"/>
        <v>6207.010473</v>
      </c>
      <c r="K547" s="1" t="s">
        <v>2013</v>
      </c>
      <c r="L547" s="5">
        <f t="shared" si="4"/>
        <v>23.3769</v>
      </c>
      <c r="M547" s="6" t="s">
        <v>4865</v>
      </c>
      <c r="N547" s="5">
        <f t="shared" si="5"/>
        <v>9988</v>
      </c>
    </row>
    <row r="548">
      <c r="A548" s="6" t="s">
        <v>183</v>
      </c>
      <c r="B548" s="6" t="s">
        <v>2591</v>
      </c>
      <c r="C548" s="5">
        <f t="shared" si="1"/>
        <v>11</v>
      </c>
      <c r="D548" s="1" t="s">
        <v>68</v>
      </c>
      <c r="E548" s="1" t="s">
        <v>13</v>
      </c>
      <c r="F548" s="1" t="s">
        <v>21</v>
      </c>
      <c r="G548" s="6" t="s">
        <v>4867</v>
      </c>
      <c r="H548" s="5">
        <f t="shared" si="2"/>
        <v>4.9462</v>
      </c>
      <c r="I548" s="1" t="s">
        <v>2014</v>
      </c>
      <c r="J548" s="5">
        <f t="shared" si="3"/>
        <v>718.497848</v>
      </c>
      <c r="K548" s="6" t="s">
        <v>4869</v>
      </c>
      <c r="L548" s="5">
        <f t="shared" si="4"/>
        <v>2.4733</v>
      </c>
      <c r="M548" s="6" t="s">
        <v>3642</v>
      </c>
      <c r="N548" s="5">
        <f t="shared" si="5"/>
        <v>1295</v>
      </c>
    </row>
    <row r="549">
      <c r="A549" s="6" t="s">
        <v>183</v>
      </c>
      <c r="B549" s="6" t="s">
        <v>2591</v>
      </c>
      <c r="C549" s="5">
        <f t="shared" si="1"/>
        <v>11</v>
      </c>
      <c r="D549" s="1" t="s">
        <v>68</v>
      </c>
      <c r="E549" s="1" t="s">
        <v>13</v>
      </c>
      <c r="F549" s="1" t="s">
        <v>25</v>
      </c>
      <c r="G549" s="1" t="s">
        <v>2015</v>
      </c>
      <c r="H549" s="5">
        <f t="shared" si="2"/>
        <v>0.3836</v>
      </c>
      <c r="I549" s="1" t="s">
        <v>2016</v>
      </c>
      <c r="J549" s="5">
        <f t="shared" si="3"/>
        <v>63.470422</v>
      </c>
      <c r="K549" s="1" t="s">
        <v>2017</v>
      </c>
      <c r="L549" s="5">
        <f t="shared" si="4"/>
        <v>0.2877</v>
      </c>
      <c r="M549" s="6" t="s">
        <v>2984</v>
      </c>
      <c r="N549" s="5">
        <f t="shared" si="5"/>
        <v>292</v>
      </c>
    </row>
    <row r="550">
      <c r="A550" s="6" t="s">
        <v>183</v>
      </c>
      <c r="B550" s="6" t="s">
        <v>2591</v>
      </c>
      <c r="C550" s="5">
        <f t="shared" si="1"/>
        <v>11</v>
      </c>
      <c r="D550" s="1" t="s">
        <v>68</v>
      </c>
      <c r="E550" s="1" t="s">
        <v>29</v>
      </c>
      <c r="F550" s="1" t="s">
        <v>14</v>
      </c>
      <c r="G550" s="1" t="s">
        <v>1341</v>
      </c>
      <c r="H550" s="5">
        <f t="shared" si="2"/>
        <v>0.0038</v>
      </c>
      <c r="I550" s="1" t="s">
        <v>2018</v>
      </c>
      <c r="J550" s="5">
        <f t="shared" si="3"/>
        <v>0.441797</v>
      </c>
      <c r="K550" s="1" t="s">
        <v>414</v>
      </c>
      <c r="L550" s="5">
        <f t="shared" si="4"/>
        <v>0.0007</v>
      </c>
      <c r="M550" s="6" t="s">
        <v>186</v>
      </c>
      <c r="N550" s="5">
        <f t="shared" si="5"/>
        <v>1</v>
      </c>
    </row>
    <row r="551">
      <c r="A551" s="6" t="s">
        <v>183</v>
      </c>
      <c r="B551" s="6" t="s">
        <v>2591</v>
      </c>
      <c r="C551" s="5">
        <f t="shared" si="1"/>
        <v>11</v>
      </c>
      <c r="D551" s="1" t="s">
        <v>68</v>
      </c>
      <c r="E551" s="1" t="s">
        <v>29</v>
      </c>
      <c r="F551" s="1" t="s">
        <v>21</v>
      </c>
      <c r="G551" s="6" t="s">
        <v>4884</v>
      </c>
      <c r="H551" s="5">
        <f t="shared" si="2"/>
        <v>9.3494</v>
      </c>
      <c r="I551" s="1" t="s">
        <v>2019</v>
      </c>
      <c r="J551" s="5">
        <f t="shared" si="3"/>
        <v>1891.763815</v>
      </c>
      <c r="K551" s="6" t="s">
        <v>4886</v>
      </c>
      <c r="L551" s="5">
        <f t="shared" si="4"/>
        <v>3.7399</v>
      </c>
      <c r="M551" s="6" t="s">
        <v>4889</v>
      </c>
      <c r="N551" s="5">
        <f t="shared" si="5"/>
        <v>1070</v>
      </c>
    </row>
    <row r="552">
      <c r="A552" s="6" t="s">
        <v>183</v>
      </c>
      <c r="B552" s="6" t="s">
        <v>2591</v>
      </c>
      <c r="C552" s="5">
        <f t="shared" si="1"/>
        <v>11</v>
      </c>
      <c r="D552" s="1" t="s">
        <v>68</v>
      </c>
      <c r="E552" s="1" t="s">
        <v>45</v>
      </c>
      <c r="F552" s="1" t="s">
        <v>17</v>
      </c>
      <c r="G552" s="6" t="s">
        <v>4891</v>
      </c>
      <c r="H552" s="5">
        <f t="shared" si="2"/>
        <v>8.8801</v>
      </c>
      <c r="I552" s="1" t="s">
        <v>2020</v>
      </c>
      <c r="J552" s="5">
        <f t="shared" si="3"/>
        <v>646.056945</v>
      </c>
      <c r="K552" s="6" t="s">
        <v>5059</v>
      </c>
      <c r="L552" s="5">
        <f t="shared" si="4"/>
        <v>3.1968</v>
      </c>
      <c r="M552" s="6" t="s">
        <v>5061</v>
      </c>
      <c r="N552" s="5">
        <f t="shared" si="5"/>
        <v>1860</v>
      </c>
    </row>
    <row r="553">
      <c r="A553" s="6" t="s">
        <v>183</v>
      </c>
      <c r="B553" s="6" t="s">
        <v>2591</v>
      </c>
      <c r="C553" s="5">
        <f t="shared" si="1"/>
        <v>11</v>
      </c>
      <c r="D553" s="1" t="s">
        <v>68</v>
      </c>
      <c r="E553" s="1" t="s">
        <v>32</v>
      </c>
      <c r="F553" s="1" t="s">
        <v>14</v>
      </c>
      <c r="G553" s="6" t="s">
        <v>5068</v>
      </c>
      <c r="H553" s="5">
        <f t="shared" si="2"/>
        <v>2.4161</v>
      </c>
      <c r="I553" s="1" t="s">
        <v>2021</v>
      </c>
      <c r="J553" s="5">
        <f t="shared" si="3"/>
        <v>198.720344</v>
      </c>
      <c r="K553" s="1" t="s">
        <v>2022</v>
      </c>
      <c r="L553" s="5">
        <f t="shared" si="4"/>
        <v>0.5557</v>
      </c>
      <c r="M553" s="6" t="s">
        <v>5072</v>
      </c>
      <c r="N553" s="5">
        <f t="shared" si="5"/>
        <v>1520</v>
      </c>
    </row>
    <row r="554">
      <c r="A554" s="6" t="s">
        <v>183</v>
      </c>
      <c r="B554" s="6" t="s">
        <v>2591</v>
      </c>
      <c r="C554" s="5">
        <f t="shared" si="1"/>
        <v>11</v>
      </c>
      <c r="D554" s="1" t="s">
        <v>68</v>
      </c>
      <c r="E554" s="1" t="s">
        <v>32</v>
      </c>
      <c r="F554" s="1" t="s">
        <v>21</v>
      </c>
      <c r="G554" s="1" t="s">
        <v>2023</v>
      </c>
      <c r="H554" s="5">
        <f t="shared" si="2"/>
        <v>0.6422</v>
      </c>
      <c r="I554" s="1" t="s">
        <v>2024</v>
      </c>
      <c r="J554" s="5">
        <f t="shared" si="3"/>
        <v>111.463019</v>
      </c>
      <c r="K554" s="1" t="s">
        <v>2025</v>
      </c>
      <c r="L554" s="5">
        <f t="shared" si="4"/>
        <v>0.289</v>
      </c>
      <c r="M554" s="6" t="s">
        <v>5081</v>
      </c>
      <c r="N554" s="5">
        <f t="shared" si="5"/>
        <v>362</v>
      </c>
    </row>
    <row r="555">
      <c r="A555" s="6" t="s">
        <v>183</v>
      </c>
      <c r="B555" s="6" t="s">
        <v>2591</v>
      </c>
      <c r="C555" s="5">
        <f t="shared" si="1"/>
        <v>11</v>
      </c>
      <c r="D555" s="1" t="s">
        <v>68</v>
      </c>
      <c r="E555" s="1" t="s">
        <v>38</v>
      </c>
      <c r="F555" s="1" t="s">
        <v>39</v>
      </c>
      <c r="G555" s="6" t="s">
        <v>5083</v>
      </c>
      <c r="H555" s="5">
        <f t="shared" si="2"/>
        <v>2.8004</v>
      </c>
      <c r="I555" s="1" t="s">
        <v>2026</v>
      </c>
      <c r="J555" s="5">
        <f t="shared" si="3"/>
        <v>304.455579</v>
      </c>
      <c r="K555" s="1" t="s">
        <v>2027</v>
      </c>
      <c r="L555" s="5">
        <f t="shared" si="4"/>
        <v>0.5041</v>
      </c>
      <c r="M555" s="6" t="s">
        <v>3458</v>
      </c>
      <c r="N555" s="5">
        <f t="shared" si="5"/>
        <v>257</v>
      </c>
    </row>
    <row r="556">
      <c r="A556" s="6" t="s">
        <v>183</v>
      </c>
      <c r="B556" s="6" t="s">
        <v>2591</v>
      </c>
      <c r="C556" s="5">
        <f t="shared" si="1"/>
        <v>11</v>
      </c>
      <c r="D556" s="1" t="s">
        <v>68</v>
      </c>
      <c r="E556" s="1" t="s">
        <v>102</v>
      </c>
      <c r="F556" s="1" t="s">
        <v>39</v>
      </c>
      <c r="G556" s="1" t="s">
        <v>2028</v>
      </c>
      <c r="H556" s="5">
        <f t="shared" si="2"/>
        <v>0.0925</v>
      </c>
      <c r="I556" s="1" t="s">
        <v>2029</v>
      </c>
      <c r="J556" s="5">
        <f t="shared" si="3"/>
        <v>30.896572</v>
      </c>
      <c r="K556" s="1" t="s">
        <v>2030</v>
      </c>
      <c r="L556" s="5">
        <f t="shared" si="4"/>
        <v>0.0176</v>
      </c>
      <c r="M556" s="6" t="s">
        <v>291</v>
      </c>
      <c r="N556" s="5">
        <f t="shared" si="5"/>
        <v>0</v>
      </c>
    </row>
    <row r="557">
      <c r="A557" s="6" t="s">
        <v>183</v>
      </c>
      <c r="B557" s="6" t="s">
        <v>2591</v>
      </c>
      <c r="C557" s="5">
        <f t="shared" si="1"/>
        <v>11</v>
      </c>
      <c r="D557" s="1" t="s">
        <v>68</v>
      </c>
      <c r="E557" s="1" t="s">
        <v>102</v>
      </c>
      <c r="F557" s="1" t="s">
        <v>21</v>
      </c>
      <c r="G557" s="1" t="s">
        <v>2031</v>
      </c>
      <c r="H557" s="5">
        <f t="shared" si="2"/>
        <v>0.3198</v>
      </c>
      <c r="I557" s="1" t="s">
        <v>2032</v>
      </c>
      <c r="J557" s="5">
        <f t="shared" si="3"/>
        <v>103.77125</v>
      </c>
      <c r="K557" s="1" t="s">
        <v>2033</v>
      </c>
      <c r="L557" s="5">
        <f t="shared" si="4"/>
        <v>0.128</v>
      </c>
      <c r="M557" s="6" t="s">
        <v>291</v>
      </c>
      <c r="N557" s="5">
        <f t="shared" si="5"/>
        <v>0</v>
      </c>
    </row>
    <row r="558">
      <c r="A558" s="6" t="s">
        <v>183</v>
      </c>
      <c r="B558" s="6" t="s">
        <v>2591</v>
      </c>
      <c r="C558" s="5">
        <f t="shared" si="1"/>
        <v>11</v>
      </c>
      <c r="D558" s="1" t="s">
        <v>68</v>
      </c>
      <c r="E558" s="1" t="s">
        <v>42</v>
      </c>
      <c r="F558" s="1" t="s">
        <v>17</v>
      </c>
      <c r="G558" s="1" t="s">
        <v>2034</v>
      </c>
      <c r="H558" s="5">
        <f t="shared" si="2"/>
        <v>0.7291</v>
      </c>
      <c r="I558" s="1" t="s">
        <v>2035</v>
      </c>
      <c r="J558" s="5">
        <f t="shared" si="3"/>
        <v>122.897301</v>
      </c>
      <c r="K558" s="1" t="s">
        <v>2036</v>
      </c>
      <c r="L558" s="5">
        <f t="shared" si="4"/>
        <v>0.2697</v>
      </c>
      <c r="M558" s="6" t="s">
        <v>5106</v>
      </c>
      <c r="N558" s="5">
        <f t="shared" si="5"/>
        <v>195</v>
      </c>
    </row>
    <row r="559">
      <c r="A559" s="6" t="s">
        <v>183</v>
      </c>
      <c r="B559" s="6" t="s">
        <v>2591</v>
      </c>
      <c r="C559" s="5">
        <f t="shared" si="1"/>
        <v>11</v>
      </c>
      <c r="D559" s="1" t="s">
        <v>68</v>
      </c>
      <c r="E559" s="1" t="s">
        <v>544</v>
      </c>
      <c r="F559" s="1" t="s">
        <v>17</v>
      </c>
      <c r="G559" s="6" t="s">
        <v>5110</v>
      </c>
      <c r="H559" s="5">
        <f t="shared" si="2"/>
        <v>1.5109</v>
      </c>
      <c r="I559" s="1" t="s">
        <v>2037</v>
      </c>
      <c r="J559" s="5">
        <f t="shared" si="3"/>
        <v>96.602635</v>
      </c>
      <c r="K559" s="1" t="s">
        <v>2038</v>
      </c>
      <c r="L559" s="5">
        <f t="shared" si="4"/>
        <v>0.5288</v>
      </c>
      <c r="M559" s="6" t="s">
        <v>3582</v>
      </c>
      <c r="N559" s="5">
        <f t="shared" si="5"/>
        <v>245</v>
      </c>
    </row>
    <row r="560">
      <c r="A560" s="6" t="s">
        <v>183</v>
      </c>
      <c r="B560" s="6" t="s">
        <v>2591</v>
      </c>
      <c r="C560" s="5">
        <f t="shared" si="1"/>
        <v>11</v>
      </c>
      <c r="D560" s="1" t="s">
        <v>68</v>
      </c>
      <c r="E560" s="1" t="s">
        <v>48</v>
      </c>
      <c r="F560" s="1" t="s">
        <v>49</v>
      </c>
      <c r="G560" s="1" t="s">
        <v>847</v>
      </c>
      <c r="H560" s="5">
        <f t="shared" si="2"/>
        <v>0.0042</v>
      </c>
      <c r="I560" s="1" t="s">
        <v>2039</v>
      </c>
      <c r="J560" s="5">
        <f t="shared" si="3"/>
        <v>1.544666</v>
      </c>
      <c r="K560" s="1" t="s">
        <v>1813</v>
      </c>
      <c r="L560" s="5">
        <f t="shared" si="4"/>
        <v>0.0012</v>
      </c>
      <c r="M560" s="6" t="s">
        <v>273</v>
      </c>
      <c r="N560" s="5">
        <f t="shared" si="5"/>
        <v>4</v>
      </c>
    </row>
    <row r="561">
      <c r="A561" s="6" t="s">
        <v>183</v>
      </c>
      <c r="B561" s="6" t="s">
        <v>2591</v>
      </c>
      <c r="C561" s="5">
        <f t="shared" si="1"/>
        <v>11</v>
      </c>
      <c r="D561" s="1" t="s">
        <v>68</v>
      </c>
      <c r="E561" s="1" t="s">
        <v>48</v>
      </c>
      <c r="F561" s="1" t="s">
        <v>21</v>
      </c>
      <c r="G561" s="1" t="s">
        <v>2040</v>
      </c>
      <c r="H561" s="5">
        <f t="shared" si="2"/>
        <v>0.4997</v>
      </c>
      <c r="I561" s="1" t="s">
        <v>2041</v>
      </c>
      <c r="J561" s="5">
        <f t="shared" si="3"/>
        <v>65.708517</v>
      </c>
      <c r="K561" s="1" t="s">
        <v>727</v>
      </c>
      <c r="L561" s="5">
        <f t="shared" si="4"/>
        <v>0.1999</v>
      </c>
      <c r="M561" s="6" t="s">
        <v>5126</v>
      </c>
      <c r="N561" s="5">
        <f t="shared" si="5"/>
        <v>272</v>
      </c>
    </row>
    <row r="562">
      <c r="A562" s="6" t="s">
        <v>183</v>
      </c>
      <c r="B562" s="6" t="s">
        <v>2591</v>
      </c>
      <c r="C562" s="5">
        <f t="shared" si="1"/>
        <v>11</v>
      </c>
      <c r="D562" s="1" t="s">
        <v>68</v>
      </c>
      <c r="E562" s="1" t="s">
        <v>165</v>
      </c>
      <c r="F562" s="1" t="s">
        <v>39</v>
      </c>
      <c r="G562" s="1" t="s">
        <v>2042</v>
      </c>
      <c r="H562" s="5">
        <f t="shared" si="2"/>
        <v>0.0325</v>
      </c>
      <c r="I562" s="1" t="s">
        <v>2043</v>
      </c>
      <c r="J562" s="5">
        <f t="shared" si="3"/>
        <v>5.813849</v>
      </c>
      <c r="K562" s="1" t="s">
        <v>487</v>
      </c>
      <c r="L562" s="5">
        <f t="shared" si="4"/>
        <v>0.0058</v>
      </c>
      <c r="M562" s="6" t="s">
        <v>291</v>
      </c>
      <c r="N562" s="5">
        <f t="shared" si="5"/>
        <v>0</v>
      </c>
    </row>
    <row r="563">
      <c r="A563" s="6" t="s">
        <v>183</v>
      </c>
      <c r="B563" s="6" t="s">
        <v>2591</v>
      </c>
      <c r="C563" s="5">
        <f t="shared" si="1"/>
        <v>11</v>
      </c>
      <c r="D563" s="1" t="s">
        <v>68</v>
      </c>
      <c r="E563" s="1" t="s">
        <v>165</v>
      </c>
      <c r="F563" s="1" t="s">
        <v>17</v>
      </c>
      <c r="G563" s="1" t="s">
        <v>2044</v>
      </c>
      <c r="H563" s="5">
        <f t="shared" si="2"/>
        <v>0.2228</v>
      </c>
      <c r="I563" s="1" t="s">
        <v>2045</v>
      </c>
      <c r="J563" s="5">
        <f t="shared" si="3"/>
        <v>51.098505</v>
      </c>
      <c r="K563" s="1" t="s">
        <v>2046</v>
      </c>
      <c r="L563" s="5">
        <f t="shared" si="4"/>
        <v>0.078</v>
      </c>
      <c r="M563" s="6" t="s">
        <v>291</v>
      </c>
      <c r="N563" s="5">
        <f t="shared" si="5"/>
        <v>0</v>
      </c>
    </row>
    <row r="564">
      <c r="A564" s="6" t="s">
        <v>183</v>
      </c>
      <c r="B564" s="6" t="s">
        <v>2591</v>
      </c>
      <c r="C564" s="5">
        <f t="shared" si="1"/>
        <v>11</v>
      </c>
      <c r="D564" s="1" t="s">
        <v>116</v>
      </c>
      <c r="E564" s="1" t="s">
        <v>13</v>
      </c>
      <c r="F564" s="1" t="s">
        <v>14</v>
      </c>
      <c r="G564" s="1" t="s">
        <v>2047</v>
      </c>
      <c r="H564" s="5">
        <f t="shared" si="2"/>
        <v>79.3713</v>
      </c>
      <c r="I564" s="1" t="s">
        <v>2048</v>
      </c>
      <c r="J564" s="5">
        <f t="shared" si="3"/>
        <v>5005.155319</v>
      </c>
      <c r="K564" s="1" t="s">
        <v>2049</v>
      </c>
      <c r="L564" s="5">
        <f t="shared" si="4"/>
        <v>16.668</v>
      </c>
      <c r="M564" s="6" t="s">
        <v>5145</v>
      </c>
      <c r="N564" s="5">
        <f t="shared" si="5"/>
        <v>10435</v>
      </c>
    </row>
    <row r="565">
      <c r="A565" s="6" t="s">
        <v>183</v>
      </c>
      <c r="B565" s="6" t="s">
        <v>2591</v>
      </c>
      <c r="C565" s="5">
        <f t="shared" si="1"/>
        <v>11</v>
      </c>
      <c r="D565" s="1" t="s">
        <v>116</v>
      </c>
      <c r="E565" s="1" t="s">
        <v>13</v>
      </c>
      <c r="F565" s="1" t="s">
        <v>17</v>
      </c>
      <c r="G565" s="1" t="s">
        <v>2050</v>
      </c>
      <c r="H565" s="5">
        <f t="shared" si="2"/>
        <v>157.7923</v>
      </c>
      <c r="I565" s="1" t="s">
        <v>2051</v>
      </c>
      <c r="J565" s="5">
        <f t="shared" si="3"/>
        <v>13396.30807</v>
      </c>
      <c r="K565" s="1" t="s">
        <v>2052</v>
      </c>
      <c r="L565" s="5">
        <f t="shared" si="4"/>
        <v>55.2272</v>
      </c>
      <c r="M565" s="6" t="s">
        <v>5155</v>
      </c>
      <c r="N565" s="5">
        <f t="shared" si="5"/>
        <v>15696</v>
      </c>
    </row>
    <row r="566">
      <c r="A566" s="6" t="s">
        <v>183</v>
      </c>
      <c r="B566" s="6" t="s">
        <v>2591</v>
      </c>
      <c r="C566" s="5">
        <f t="shared" si="1"/>
        <v>11</v>
      </c>
      <c r="D566" s="1" t="s">
        <v>116</v>
      </c>
      <c r="E566" s="1" t="s">
        <v>13</v>
      </c>
      <c r="F566" s="1" t="s">
        <v>21</v>
      </c>
      <c r="G566" s="1" t="s">
        <v>2053</v>
      </c>
      <c r="H566" s="5">
        <f t="shared" si="2"/>
        <v>11.558</v>
      </c>
      <c r="I566" s="1" t="s">
        <v>2054</v>
      </c>
      <c r="J566" s="5">
        <f t="shared" si="3"/>
        <v>1290.956385</v>
      </c>
      <c r="K566" s="1" t="s">
        <v>2055</v>
      </c>
      <c r="L566" s="5">
        <f t="shared" si="4"/>
        <v>5.779</v>
      </c>
      <c r="M566" s="6" t="s">
        <v>5160</v>
      </c>
      <c r="N566" s="5">
        <f t="shared" si="5"/>
        <v>1071</v>
      </c>
    </row>
    <row r="567">
      <c r="A567" s="6" t="s">
        <v>183</v>
      </c>
      <c r="B567" s="6" t="s">
        <v>2591</v>
      </c>
      <c r="C567" s="5">
        <f t="shared" si="1"/>
        <v>11</v>
      </c>
      <c r="D567" s="1" t="s">
        <v>116</v>
      </c>
      <c r="E567" s="1" t="s">
        <v>13</v>
      </c>
      <c r="F567" s="1" t="s">
        <v>25</v>
      </c>
      <c r="G567" s="1" t="s">
        <v>2056</v>
      </c>
      <c r="H567" s="5">
        <f t="shared" si="2"/>
        <v>0.0867</v>
      </c>
      <c r="I567" s="1" t="s">
        <v>2057</v>
      </c>
      <c r="J567" s="5">
        <f t="shared" si="3"/>
        <v>15.436583</v>
      </c>
      <c r="K567" s="1" t="s">
        <v>1926</v>
      </c>
      <c r="L567" s="5">
        <f t="shared" si="4"/>
        <v>0.065</v>
      </c>
      <c r="M567" s="6" t="s">
        <v>1699</v>
      </c>
      <c r="N567" s="5">
        <f t="shared" si="5"/>
        <v>51</v>
      </c>
    </row>
    <row r="568">
      <c r="A568" s="6" t="s">
        <v>183</v>
      </c>
      <c r="B568" s="6" t="s">
        <v>2591</v>
      </c>
      <c r="C568" s="5">
        <f t="shared" si="1"/>
        <v>11</v>
      </c>
      <c r="D568" s="1" t="s">
        <v>116</v>
      </c>
      <c r="E568" s="1" t="s">
        <v>29</v>
      </c>
      <c r="F568" s="1" t="s">
        <v>14</v>
      </c>
      <c r="G568" s="1" t="s">
        <v>396</v>
      </c>
      <c r="H568" s="5">
        <f t="shared" si="2"/>
        <v>0.0027</v>
      </c>
      <c r="I568" s="1" t="s">
        <v>2007</v>
      </c>
      <c r="J568" s="5">
        <f t="shared" si="3"/>
        <v>0.327685</v>
      </c>
      <c r="K568" s="1" t="s">
        <v>674</v>
      </c>
      <c r="L568" s="5">
        <f t="shared" si="4"/>
        <v>0.0005</v>
      </c>
      <c r="M568" s="6" t="s">
        <v>397</v>
      </c>
      <c r="N568" s="5">
        <f t="shared" si="5"/>
        <v>2</v>
      </c>
    </row>
    <row r="569">
      <c r="A569" s="6" t="s">
        <v>183</v>
      </c>
      <c r="B569" s="6" t="s">
        <v>2591</v>
      </c>
      <c r="C569" s="5">
        <f t="shared" si="1"/>
        <v>11</v>
      </c>
      <c r="D569" s="1" t="s">
        <v>116</v>
      </c>
      <c r="E569" s="1" t="s">
        <v>29</v>
      </c>
      <c r="F569" s="1" t="s">
        <v>21</v>
      </c>
      <c r="G569" s="1" t="s">
        <v>2058</v>
      </c>
      <c r="H569" s="5">
        <f t="shared" si="2"/>
        <v>41.1747</v>
      </c>
      <c r="I569" s="1" t="s">
        <v>2059</v>
      </c>
      <c r="J569" s="5">
        <f t="shared" si="3"/>
        <v>7167.156142</v>
      </c>
      <c r="K569" s="1" t="s">
        <v>2060</v>
      </c>
      <c r="L569" s="5">
        <f t="shared" si="4"/>
        <v>16.47</v>
      </c>
      <c r="M569" s="6" t="s">
        <v>4134</v>
      </c>
      <c r="N569" s="5">
        <f t="shared" si="5"/>
        <v>1973</v>
      </c>
    </row>
    <row r="570">
      <c r="A570" s="6" t="s">
        <v>183</v>
      </c>
      <c r="B570" s="6" t="s">
        <v>2591</v>
      </c>
      <c r="C570" s="5">
        <f t="shared" si="1"/>
        <v>11</v>
      </c>
      <c r="D570" s="1" t="s">
        <v>116</v>
      </c>
      <c r="E570" s="1" t="s">
        <v>45</v>
      </c>
      <c r="F570" s="1" t="s">
        <v>17</v>
      </c>
      <c r="G570" s="1" t="s">
        <v>2061</v>
      </c>
      <c r="H570" s="5">
        <f t="shared" si="2"/>
        <v>18.7049</v>
      </c>
      <c r="I570" s="1" t="s">
        <v>2062</v>
      </c>
      <c r="J570" s="5">
        <f t="shared" si="3"/>
        <v>1373.506643</v>
      </c>
      <c r="K570" s="6" t="s">
        <v>5190</v>
      </c>
      <c r="L570" s="5">
        <f t="shared" si="4"/>
        <v>6.7338</v>
      </c>
      <c r="M570" s="6" t="s">
        <v>5192</v>
      </c>
      <c r="N570" s="5">
        <f t="shared" si="5"/>
        <v>2071</v>
      </c>
    </row>
    <row r="571">
      <c r="A571" s="6" t="s">
        <v>183</v>
      </c>
      <c r="B571" s="6" t="s">
        <v>2591</v>
      </c>
      <c r="C571" s="5">
        <f t="shared" si="1"/>
        <v>11</v>
      </c>
      <c r="D571" s="1" t="s">
        <v>116</v>
      </c>
      <c r="E571" s="1" t="s">
        <v>32</v>
      </c>
      <c r="F571" s="1" t="s">
        <v>14</v>
      </c>
      <c r="G571" s="6" t="s">
        <v>5194</v>
      </c>
      <c r="H571" s="5">
        <f t="shared" si="2"/>
        <v>5.5669</v>
      </c>
      <c r="I571" s="1" t="s">
        <v>2063</v>
      </c>
      <c r="J571" s="5">
        <f t="shared" si="3"/>
        <v>347.846203</v>
      </c>
      <c r="K571" s="6" t="s">
        <v>5195</v>
      </c>
      <c r="L571" s="5">
        <f t="shared" si="4"/>
        <v>1.2804</v>
      </c>
      <c r="M571" s="6" t="s">
        <v>4360</v>
      </c>
      <c r="N571" s="5">
        <f t="shared" si="5"/>
        <v>1415</v>
      </c>
    </row>
    <row r="572">
      <c r="A572" s="6" t="s">
        <v>183</v>
      </c>
      <c r="B572" s="6" t="s">
        <v>2591</v>
      </c>
      <c r="C572" s="5">
        <f t="shared" si="1"/>
        <v>11</v>
      </c>
      <c r="D572" s="1" t="s">
        <v>116</v>
      </c>
      <c r="E572" s="1" t="s">
        <v>32</v>
      </c>
      <c r="F572" s="1" t="s">
        <v>21</v>
      </c>
      <c r="G572" s="6" t="s">
        <v>5198</v>
      </c>
      <c r="H572" s="5">
        <f t="shared" si="2"/>
        <v>3.2636</v>
      </c>
      <c r="I572" s="1" t="s">
        <v>2064</v>
      </c>
      <c r="J572" s="5">
        <f t="shared" si="3"/>
        <v>537.942316</v>
      </c>
      <c r="K572" s="6" t="s">
        <v>5201</v>
      </c>
      <c r="L572" s="5">
        <f t="shared" si="4"/>
        <v>1.4686</v>
      </c>
      <c r="M572" s="6" t="s">
        <v>5202</v>
      </c>
      <c r="N572" s="5">
        <f t="shared" si="5"/>
        <v>1914</v>
      </c>
    </row>
    <row r="573">
      <c r="A573" s="6" t="s">
        <v>183</v>
      </c>
      <c r="B573" s="6" t="s">
        <v>2591</v>
      </c>
      <c r="C573" s="5">
        <f t="shared" si="1"/>
        <v>11</v>
      </c>
      <c r="D573" s="1" t="s">
        <v>116</v>
      </c>
      <c r="E573" s="1" t="s">
        <v>147</v>
      </c>
      <c r="F573" s="1" t="s">
        <v>39</v>
      </c>
      <c r="G573" s="6" t="s">
        <v>5206</v>
      </c>
      <c r="H573" s="5">
        <f t="shared" si="2"/>
        <v>1.7462</v>
      </c>
      <c r="I573" s="1" t="s">
        <v>2065</v>
      </c>
      <c r="J573" s="5">
        <f t="shared" si="3"/>
        <v>471.874421</v>
      </c>
      <c r="K573" s="1" t="s">
        <v>2066</v>
      </c>
      <c r="L573" s="5">
        <f t="shared" si="4"/>
        <v>0.3317</v>
      </c>
      <c r="M573" s="6" t="s">
        <v>4485</v>
      </c>
      <c r="N573" s="5">
        <f t="shared" si="5"/>
        <v>99</v>
      </c>
    </row>
    <row r="574">
      <c r="A574" s="6" t="s">
        <v>183</v>
      </c>
      <c r="B574" s="6" t="s">
        <v>2591</v>
      </c>
      <c r="C574" s="5">
        <f t="shared" si="1"/>
        <v>11</v>
      </c>
      <c r="D574" s="1" t="s">
        <v>116</v>
      </c>
      <c r="E574" s="1" t="s">
        <v>147</v>
      </c>
      <c r="F574" s="1" t="s">
        <v>17</v>
      </c>
      <c r="G574" s="1" t="s">
        <v>2067</v>
      </c>
      <c r="H574" s="5">
        <f t="shared" si="2"/>
        <v>0.0338</v>
      </c>
      <c r="I574" s="1" t="s">
        <v>2068</v>
      </c>
      <c r="J574" s="5">
        <f t="shared" si="3"/>
        <v>7.738316</v>
      </c>
      <c r="K574" s="1" t="s">
        <v>2069</v>
      </c>
      <c r="L574" s="5">
        <f t="shared" si="4"/>
        <v>0.0119</v>
      </c>
      <c r="M574" s="6" t="s">
        <v>2672</v>
      </c>
      <c r="N574" s="5">
        <f t="shared" si="5"/>
        <v>8</v>
      </c>
    </row>
    <row r="575">
      <c r="A575" s="6" t="s">
        <v>183</v>
      </c>
      <c r="B575" s="6" t="s">
        <v>2591</v>
      </c>
      <c r="C575" s="5">
        <f t="shared" si="1"/>
        <v>11</v>
      </c>
      <c r="D575" s="1" t="s">
        <v>116</v>
      </c>
      <c r="E575" s="1" t="s">
        <v>147</v>
      </c>
      <c r="F575" s="1" t="s">
        <v>21</v>
      </c>
      <c r="G575" s="1" t="s">
        <v>641</v>
      </c>
      <c r="H575" s="5">
        <f t="shared" si="2"/>
        <v>0.0712</v>
      </c>
      <c r="I575" s="1" t="s">
        <v>2070</v>
      </c>
      <c r="J575" s="5">
        <f t="shared" si="3"/>
        <v>35.070207</v>
      </c>
      <c r="K575" s="1" t="s">
        <v>645</v>
      </c>
      <c r="L575" s="5">
        <f t="shared" si="4"/>
        <v>0.0356</v>
      </c>
      <c r="M575" s="6" t="s">
        <v>612</v>
      </c>
      <c r="N575" s="5">
        <f t="shared" si="5"/>
        <v>50</v>
      </c>
    </row>
    <row r="576">
      <c r="A576" s="6" t="s">
        <v>183</v>
      </c>
      <c r="B576" s="6" t="s">
        <v>2591</v>
      </c>
      <c r="C576" s="5">
        <f t="shared" si="1"/>
        <v>11</v>
      </c>
      <c r="D576" s="1" t="s">
        <v>116</v>
      </c>
      <c r="E576" s="1" t="s">
        <v>42</v>
      </c>
      <c r="F576" s="1" t="s">
        <v>17</v>
      </c>
      <c r="G576" s="6" t="s">
        <v>2071</v>
      </c>
      <c r="H576" s="5">
        <f t="shared" si="2"/>
        <v>3.1013</v>
      </c>
      <c r="I576" s="1" t="s">
        <v>2072</v>
      </c>
      <c r="J576" s="5">
        <f t="shared" si="3"/>
        <v>405.385216</v>
      </c>
      <c r="K576" s="6" t="s">
        <v>2073</v>
      </c>
      <c r="L576" s="5">
        <f t="shared" si="4"/>
        <v>1.1475</v>
      </c>
      <c r="M576" s="6" t="s">
        <v>5225</v>
      </c>
      <c r="N576" s="5">
        <f t="shared" si="5"/>
        <v>432</v>
      </c>
    </row>
    <row r="577">
      <c r="A577" s="6" t="s">
        <v>183</v>
      </c>
      <c r="B577" s="6" t="s">
        <v>2591</v>
      </c>
      <c r="C577" s="5">
        <f t="shared" si="1"/>
        <v>11</v>
      </c>
      <c r="D577" s="1" t="s">
        <v>116</v>
      </c>
      <c r="E577" s="1" t="s">
        <v>102</v>
      </c>
      <c r="F577" s="1" t="s">
        <v>39</v>
      </c>
      <c r="G577" s="1" t="s">
        <v>414</v>
      </c>
      <c r="H577" s="5">
        <f t="shared" si="2"/>
        <v>0.0007</v>
      </c>
      <c r="I577" s="1" t="s">
        <v>1343</v>
      </c>
      <c r="J577" s="5">
        <f t="shared" si="3"/>
        <v>0.242017</v>
      </c>
      <c r="K577" s="1" t="s">
        <v>596</v>
      </c>
      <c r="L577" s="5">
        <f t="shared" si="4"/>
        <v>0.0001</v>
      </c>
      <c r="M577" s="6" t="s">
        <v>397</v>
      </c>
      <c r="N577" s="5">
        <f t="shared" si="5"/>
        <v>2</v>
      </c>
    </row>
    <row r="578">
      <c r="A578" s="6" t="s">
        <v>183</v>
      </c>
      <c r="B578" s="6" t="s">
        <v>2591</v>
      </c>
      <c r="C578" s="5">
        <f t="shared" si="1"/>
        <v>11</v>
      </c>
      <c r="D578" s="1" t="s">
        <v>116</v>
      </c>
      <c r="E578" s="1" t="s">
        <v>102</v>
      </c>
      <c r="F578" s="1" t="s">
        <v>17</v>
      </c>
      <c r="G578" s="1" t="s">
        <v>448</v>
      </c>
      <c r="H578" s="5">
        <f t="shared" si="2"/>
        <v>0.0018</v>
      </c>
      <c r="I578" s="1" t="s">
        <v>2075</v>
      </c>
      <c r="J578" s="5">
        <f t="shared" si="3"/>
        <v>0.694689</v>
      </c>
      <c r="K578" s="1" t="s">
        <v>373</v>
      </c>
      <c r="L578" s="5">
        <f t="shared" si="4"/>
        <v>0.0006</v>
      </c>
      <c r="M578" s="6" t="s">
        <v>186</v>
      </c>
      <c r="N578" s="5">
        <f t="shared" si="5"/>
        <v>1</v>
      </c>
    </row>
    <row r="579">
      <c r="A579" s="6" t="s">
        <v>183</v>
      </c>
      <c r="B579" s="6" t="s">
        <v>2591</v>
      </c>
      <c r="C579" s="5">
        <f t="shared" si="1"/>
        <v>11</v>
      </c>
      <c r="D579" s="1" t="s">
        <v>116</v>
      </c>
      <c r="E579" s="1" t="s">
        <v>102</v>
      </c>
      <c r="F579" s="1" t="s">
        <v>21</v>
      </c>
      <c r="G579" s="1" t="s">
        <v>2076</v>
      </c>
      <c r="H579" s="5">
        <f t="shared" si="2"/>
        <v>0.9728</v>
      </c>
      <c r="I579" s="1" t="s">
        <v>2077</v>
      </c>
      <c r="J579" s="5">
        <f t="shared" si="3"/>
        <v>287.265068</v>
      </c>
      <c r="K579" s="1" t="s">
        <v>2078</v>
      </c>
      <c r="L579" s="5">
        <f t="shared" si="4"/>
        <v>0.3892</v>
      </c>
      <c r="M579" s="6" t="s">
        <v>2675</v>
      </c>
      <c r="N579" s="5">
        <f t="shared" si="5"/>
        <v>150</v>
      </c>
    </row>
    <row r="580">
      <c r="A580" s="6" t="s">
        <v>183</v>
      </c>
      <c r="B580" s="6" t="s">
        <v>2591</v>
      </c>
      <c r="C580" s="5">
        <f t="shared" si="1"/>
        <v>11</v>
      </c>
      <c r="D580" s="1" t="s">
        <v>116</v>
      </c>
      <c r="E580" s="1" t="s">
        <v>165</v>
      </c>
      <c r="F580" s="1" t="s">
        <v>39</v>
      </c>
      <c r="G580" s="1" t="s">
        <v>2079</v>
      </c>
      <c r="H580" s="5">
        <f t="shared" si="2"/>
        <v>0.3825</v>
      </c>
      <c r="I580" s="1" t="s">
        <v>2080</v>
      </c>
      <c r="J580" s="5">
        <f t="shared" si="3"/>
        <v>68.448018</v>
      </c>
      <c r="K580" s="1" t="s">
        <v>2081</v>
      </c>
      <c r="L580" s="5">
        <f t="shared" si="4"/>
        <v>0.0688</v>
      </c>
      <c r="M580" s="6" t="s">
        <v>5096</v>
      </c>
      <c r="N580" s="5">
        <f t="shared" si="5"/>
        <v>80</v>
      </c>
    </row>
    <row r="581">
      <c r="A581" s="6" t="s">
        <v>183</v>
      </c>
      <c r="B581" s="6" t="s">
        <v>2591</v>
      </c>
      <c r="C581" s="5">
        <f t="shared" si="1"/>
        <v>11</v>
      </c>
      <c r="D581" s="1" t="s">
        <v>116</v>
      </c>
      <c r="E581" s="1" t="s">
        <v>165</v>
      </c>
      <c r="F581" s="1" t="s">
        <v>17</v>
      </c>
      <c r="G581" s="6" t="s">
        <v>2084</v>
      </c>
      <c r="H581" s="5">
        <f t="shared" si="2"/>
        <v>1.0277</v>
      </c>
      <c r="I581" s="1" t="s">
        <v>2085</v>
      </c>
      <c r="J581" s="5">
        <f t="shared" si="3"/>
        <v>215.005711</v>
      </c>
      <c r="K581" s="1" t="s">
        <v>2086</v>
      </c>
      <c r="L581" s="5">
        <f t="shared" si="4"/>
        <v>0.3597</v>
      </c>
      <c r="M581" s="6" t="s">
        <v>4573</v>
      </c>
      <c r="N581" s="5">
        <f t="shared" si="5"/>
        <v>86</v>
      </c>
    </row>
    <row r="582">
      <c r="A582" s="6" t="s">
        <v>183</v>
      </c>
      <c r="B582" s="6" t="s">
        <v>2591</v>
      </c>
      <c r="C582" s="5">
        <f t="shared" si="1"/>
        <v>11</v>
      </c>
      <c r="D582" s="1" t="s">
        <v>116</v>
      </c>
      <c r="E582" s="1" t="s">
        <v>158</v>
      </c>
      <c r="F582" s="1" t="s">
        <v>39</v>
      </c>
      <c r="G582" s="1" t="s">
        <v>426</v>
      </c>
      <c r="H582" s="5">
        <f t="shared" si="2"/>
        <v>0.0025</v>
      </c>
      <c r="I582" s="1" t="s">
        <v>2087</v>
      </c>
      <c r="J582" s="5">
        <f t="shared" si="3"/>
        <v>1.226463</v>
      </c>
      <c r="K582" s="1" t="s">
        <v>674</v>
      </c>
      <c r="L582" s="5">
        <f t="shared" si="4"/>
        <v>0.0005</v>
      </c>
      <c r="M582" s="6" t="s">
        <v>291</v>
      </c>
      <c r="N582" s="5">
        <f t="shared" si="5"/>
        <v>0</v>
      </c>
    </row>
    <row r="583">
      <c r="A583" s="6" t="s">
        <v>183</v>
      </c>
      <c r="B583" s="6" t="s">
        <v>2591</v>
      </c>
      <c r="C583" s="5">
        <f t="shared" si="1"/>
        <v>11</v>
      </c>
      <c r="D583" s="1" t="s">
        <v>116</v>
      </c>
      <c r="E583" s="1" t="s">
        <v>158</v>
      </c>
      <c r="F583" s="1" t="s">
        <v>17</v>
      </c>
      <c r="G583" s="1" t="s">
        <v>2089</v>
      </c>
      <c r="H583" s="5">
        <f t="shared" si="2"/>
        <v>0.0711</v>
      </c>
      <c r="I583" s="1" t="s">
        <v>2090</v>
      </c>
      <c r="J583" s="5">
        <f t="shared" si="3"/>
        <v>30.765021</v>
      </c>
      <c r="K583" s="1" t="s">
        <v>2091</v>
      </c>
      <c r="L583" s="5">
        <f t="shared" si="4"/>
        <v>0.0249</v>
      </c>
      <c r="M583" s="6" t="s">
        <v>291</v>
      </c>
      <c r="N583" s="5">
        <f t="shared" si="5"/>
        <v>0</v>
      </c>
    </row>
    <row r="584">
      <c r="A584" s="6" t="s">
        <v>183</v>
      </c>
      <c r="B584" s="6" t="s">
        <v>2591</v>
      </c>
      <c r="C584" s="5">
        <f t="shared" si="1"/>
        <v>11</v>
      </c>
      <c r="D584" s="1" t="s">
        <v>116</v>
      </c>
      <c r="E584" s="1" t="s">
        <v>158</v>
      </c>
      <c r="F584" s="1" t="s">
        <v>21</v>
      </c>
      <c r="G584" s="1" t="s">
        <v>2092</v>
      </c>
      <c r="H584" s="5">
        <f t="shared" si="2"/>
        <v>0.3586</v>
      </c>
      <c r="I584" s="1" t="s">
        <v>2093</v>
      </c>
      <c r="J584" s="5">
        <f t="shared" si="3"/>
        <v>194.894285</v>
      </c>
      <c r="K584" s="1" t="s">
        <v>2094</v>
      </c>
      <c r="L584" s="5">
        <f t="shared" si="4"/>
        <v>0.1506</v>
      </c>
      <c r="M584" s="6" t="s">
        <v>291</v>
      </c>
      <c r="N584" s="5">
        <f t="shared" si="5"/>
        <v>0</v>
      </c>
    </row>
    <row r="585">
      <c r="A585" s="6" t="s">
        <v>183</v>
      </c>
      <c r="B585" s="6" t="s">
        <v>2591</v>
      </c>
      <c r="C585" s="5">
        <f t="shared" si="1"/>
        <v>11</v>
      </c>
      <c r="D585" s="1" t="s">
        <v>116</v>
      </c>
      <c r="E585" s="1" t="s">
        <v>1949</v>
      </c>
      <c r="F585" s="1" t="s">
        <v>14</v>
      </c>
      <c r="G585" s="1" t="s">
        <v>2095</v>
      </c>
      <c r="H585" s="5">
        <f t="shared" si="2"/>
        <v>0.143</v>
      </c>
      <c r="I585" s="1" t="s">
        <v>2096</v>
      </c>
      <c r="J585" s="5">
        <f t="shared" si="3"/>
        <v>65.889532</v>
      </c>
      <c r="K585" s="1" t="s">
        <v>1907</v>
      </c>
      <c r="L585" s="5">
        <f t="shared" si="4"/>
        <v>0.0286</v>
      </c>
      <c r="M585" s="6" t="s">
        <v>291</v>
      </c>
      <c r="N585" s="5">
        <f t="shared" si="5"/>
        <v>0</v>
      </c>
    </row>
    <row r="586">
      <c r="A586" s="6" t="s">
        <v>183</v>
      </c>
      <c r="B586" s="6" t="s">
        <v>2591</v>
      </c>
      <c r="C586" s="5">
        <f t="shared" si="1"/>
        <v>11</v>
      </c>
      <c r="D586" s="1" t="s">
        <v>116</v>
      </c>
      <c r="E586" s="1" t="s">
        <v>1949</v>
      </c>
      <c r="F586" s="1" t="s">
        <v>17</v>
      </c>
      <c r="G586" s="1" t="s">
        <v>2097</v>
      </c>
      <c r="H586" s="5">
        <f t="shared" si="2"/>
        <v>0.3131</v>
      </c>
      <c r="I586" s="1" t="s">
        <v>2098</v>
      </c>
      <c r="J586" s="5">
        <f t="shared" si="3"/>
        <v>155.941725</v>
      </c>
      <c r="K586" s="1" t="s">
        <v>2099</v>
      </c>
      <c r="L586" s="5">
        <f t="shared" si="4"/>
        <v>0.1096</v>
      </c>
      <c r="M586" s="6" t="s">
        <v>291</v>
      </c>
      <c r="N586" s="5">
        <f t="shared" si="5"/>
        <v>0</v>
      </c>
    </row>
    <row r="587">
      <c r="A587" s="6" t="s">
        <v>183</v>
      </c>
      <c r="B587" s="6" t="s">
        <v>2793</v>
      </c>
      <c r="C587" s="5">
        <f t="shared" si="1"/>
        <v>12</v>
      </c>
      <c r="D587" s="1" t="s">
        <v>12</v>
      </c>
      <c r="E587" s="1" t="s">
        <v>13</v>
      </c>
      <c r="F587" s="1" t="s">
        <v>14</v>
      </c>
      <c r="G587" s="6" t="s">
        <v>5292</v>
      </c>
      <c r="H587" s="5">
        <f t="shared" si="2"/>
        <v>12.7002</v>
      </c>
      <c r="I587" s="1" t="s">
        <v>2100</v>
      </c>
      <c r="J587" s="5">
        <f t="shared" si="3"/>
        <v>789.227923</v>
      </c>
      <c r="K587" s="1" t="s">
        <v>2101</v>
      </c>
      <c r="L587" s="5">
        <f t="shared" si="4"/>
        <v>2.667</v>
      </c>
      <c r="M587" s="6" t="s">
        <v>5293</v>
      </c>
      <c r="N587" s="5">
        <f t="shared" si="5"/>
        <v>543</v>
      </c>
    </row>
    <row r="588">
      <c r="A588" s="6" t="s">
        <v>183</v>
      </c>
      <c r="B588" s="6" t="s">
        <v>2793</v>
      </c>
      <c r="C588" s="5">
        <f t="shared" si="1"/>
        <v>12</v>
      </c>
      <c r="D588" s="1" t="s">
        <v>12</v>
      </c>
      <c r="E588" s="1" t="s">
        <v>13</v>
      </c>
      <c r="F588" s="1" t="s">
        <v>17</v>
      </c>
      <c r="G588" s="1" t="s">
        <v>2102</v>
      </c>
      <c r="H588" s="5">
        <f t="shared" si="2"/>
        <v>69.8036</v>
      </c>
      <c r="I588" s="1" t="s">
        <v>2103</v>
      </c>
      <c r="J588" s="5">
        <f t="shared" si="3"/>
        <v>5995.252831</v>
      </c>
      <c r="K588" s="1" t="s">
        <v>2105</v>
      </c>
      <c r="L588" s="5">
        <f t="shared" si="4"/>
        <v>24.4312</v>
      </c>
      <c r="M588" s="6" t="s">
        <v>5295</v>
      </c>
      <c r="N588" s="5">
        <f t="shared" si="5"/>
        <v>795</v>
      </c>
    </row>
    <row r="589">
      <c r="A589" s="6" t="s">
        <v>183</v>
      </c>
      <c r="B589" s="6" t="s">
        <v>2793</v>
      </c>
      <c r="C589" s="5">
        <f t="shared" si="1"/>
        <v>12</v>
      </c>
      <c r="D589" s="1" t="s">
        <v>12</v>
      </c>
      <c r="E589" s="1" t="s">
        <v>13</v>
      </c>
      <c r="F589" s="1" t="s">
        <v>21</v>
      </c>
      <c r="G589" s="1" t="s">
        <v>2106</v>
      </c>
      <c r="H589" s="5">
        <f t="shared" si="2"/>
        <v>40.6086</v>
      </c>
      <c r="I589" s="1" t="s">
        <v>2107</v>
      </c>
      <c r="J589" s="5">
        <f t="shared" si="3"/>
        <v>3857.811179</v>
      </c>
      <c r="K589" s="1" t="s">
        <v>2108</v>
      </c>
      <c r="L589" s="5">
        <f t="shared" si="4"/>
        <v>20.3044</v>
      </c>
      <c r="M589" s="6" t="s">
        <v>3258</v>
      </c>
      <c r="N589" s="5">
        <f t="shared" si="5"/>
        <v>568</v>
      </c>
    </row>
    <row r="590">
      <c r="A590" s="6" t="s">
        <v>183</v>
      </c>
      <c r="B590" s="6" t="s">
        <v>2793</v>
      </c>
      <c r="C590" s="5">
        <f t="shared" si="1"/>
        <v>12</v>
      </c>
      <c r="D590" s="1" t="s">
        <v>12</v>
      </c>
      <c r="E590" s="1" t="s">
        <v>13</v>
      </c>
      <c r="F590" s="1" t="s">
        <v>25</v>
      </c>
      <c r="G590" s="1" t="s">
        <v>2109</v>
      </c>
      <c r="H590" s="5">
        <f t="shared" si="2"/>
        <v>0.0029</v>
      </c>
      <c r="I590" s="1" t="s">
        <v>2110</v>
      </c>
      <c r="J590" s="5">
        <f t="shared" si="3"/>
        <v>0.233663</v>
      </c>
      <c r="K590" s="1" t="s">
        <v>103</v>
      </c>
      <c r="L590" s="5">
        <f t="shared" si="4"/>
        <v>0.0022</v>
      </c>
      <c r="M590" s="6" t="s">
        <v>397</v>
      </c>
      <c r="N590" s="5">
        <f t="shared" si="5"/>
        <v>2</v>
      </c>
    </row>
    <row r="591">
      <c r="A591" s="6" t="s">
        <v>183</v>
      </c>
      <c r="B591" s="6" t="s">
        <v>2793</v>
      </c>
      <c r="C591" s="5">
        <f t="shared" si="1"/>
        <v>12</v>
      </c>
      <c r="D591" s="1" t="s">
        <v>12</v>
      </c>
      <c r="E591" s="1" t="s">
        <v>29</v>
      </c>
      <c r="F591" s="1" t="s">
        <v>14</v>
      </c>
      <c r="G591" s="1" t="s">
        <v>2111</v>
      </c>
      <c r="H591" s="5">
        <f t="shared" si="2"/>
        <v>0.0399</v>
      </c>
      <c r="I591" s="1" t="s">
        <v>2112</v>
      </c>
      <c r="J591" s="5">
        <f t="shared" si="3"/>
        <v>4.374675</v>
      </c>
      <c r="K591" s="1" t="s">
        <v>1411</v>
      </c>
      <c r="L591" s="5">
        <f t="shared" si="4"/>
        <v>0.008</v>
      </c>
      <c r="M591" s="6" t="s">
        <v>3552</v>
      </c>
      <c r="N591" s="5">
        <f t="shared" si="5"/>
        <v>5</v>
      </c>
    </row>
    <row r="592">
      <c r="A592" s="6" t="s">
        <v>183</v>
      </c>
      <c r="B592" s="6" t="s">
        <v>2793</v>
      </c>
      <c r="C592" s="5">
        <f t="shared" si="1"/>
        <v>12</v>
      </c>
      <c r="D592" s="1" t="s">
        <v>12</v>
      </c>
      <c r="E592" s="1" t="s">
        <v>29</v>
      </c>
      <c r="F592" s="1" t="s">
        <v>21</v>
      </c>
      <c r="G592" s="1" t="s">
        <v>2113</v>
      </c>
      <c r="H592" s="5">
        <f t="shared" si="2"/>
        <v>40.6675</v>
      </c>
      <c r="I592" s="1" t="s">
        <v>2114</v>
      </c>
      <c r="J592" s="5">
        <f t="shared" si="3"/>
        <v>5995.073407</v>
      </c>
      <c r="K592" s="1" t="s">
        <v>2115</v>
      </c>
      <c r="L592" s="5">
        <f t="shared" si="4"/>
        <v>16.2671</v>
      </c>
      <c r="M592" s="6" t="s">
        <v>2532</v>
      </c>
      <c r="N592" s="5">
        <f t="shared" si="5"/>
        <v>658</v>
      </c>
    </row>
    <row r="593">
      <c r="A593" s="6" t="s">
        <v>183</v>
      </c>
      <c r="B593" s="6" t="s">
        <v>2793</v>
      </c>
      <c r="C593" s="5">
        <f t="shared" si="1"/>
        <v>12</v>
      </c>
      <c r="D593" s="1" t="s">
        <v>12</v>
      </c>
      <c r="E593" s="1" t="s">
        <v>32</v>
      </c>
      <c r="F593" s="1" t="s">
        <v>14</v>
      </c>
      <c r="G593" s="6" t="s">
        <v>5328</v>
      </c>
      <c r="H593" s="5">
        <f t="shared" si="2"/>
        <v>9.7943</v>
      </c>
      <c r="I593" s="1" t="s">
        <v>2116</v>
      </c>
      <c r="J593" s="5">
        <f t="shared" si="3"/>
        <v>542.253537</v>
      </c>
      <c r="K593" s="6" t="s">
        <v>5329</v>
      </c>
      <c r="L593" s="5">
        <f t="shared" si="4"/>
        <v>2.2527</v>
      </c>
      <c r="M593" s="6" t="s">
        <v>5330</v>
      </c>
      <c r="N593" s="5">
        <f t="shared" si="5"/>
        <v>466</v>
      </c>
    </row>
    <row r="594">
      <c r="A594" s="6" t="s">
        <v>183</v>
      </c>
      <c r="B594" s="6" t="s">
        <v>2793</v>
      </c>
      <c r="C594" s="5">
        <f t="shared" si="1"/>
        <v>12</v>
      </c>
      <c r="D594" s="1" t="s">
        <v>12</v>
      </c>
      <c r="E594" s="1" t="s">
        <v>32</v>
      </c>
      <c r="F594" s="1" t="s">
        <v>21</v>
      </c>
      <c r="G594" s="6" t="s">
        <v>5331</v>
      </c>
      <c r="H594" s="5">
        <f t="shared" si="2"/>
        <v>1.4949</v>
      </c>
      <c r="I594" s="1" t="s">
        <v>2117</v>
      </c>
      <c r="J594" s="5">
        <f t="shared" si="3"/>
        <v>208.699739</v>
      </c>
      <c r="K594" s="1" t="s">
        <v>2118</v>
      </c>
      <c r="L594" s="5">
        <f t="shared" si="4"/>
        <v>0.6727</v>
      </c>
      <c r="M594" s="6" t="s">
        <v>5332</v>
      </c>
      <c r="N594" s="5">
        <f t="shared" si="5"/>
        <v>341</v>
      </c>
    </row>
    <row r="595">
      <c r="A595" s="6" t="s">
        <v>183</v>
      </c>
      <c r="B595" s="6" t="s">
        <v>2793</v>
      </c>
      <c r="C595" s="5">
        <f t="shared" si="1"/>
        <v>12</v>
      </c>
      <c r="D595" s="1" t="s">
        <v>12</v>
      </c>
      <c r="E595" s="1" t="s">
        <v>32</v>
      </c>
      <c r="F595" s="1" t="s">
        <v>25</v>
      </c>
      <c r="G595" s="1" t="s">
        <v>414</v>
      </c>
      <c r="H595" s="5">
        <f t="shared" si="2"/>
        <v>0.0007</v>
      </c>
      <c r="I595" s="1" t="s">
        <v>2119</v>
      </c>
      <c r="J595" s="5">
        <f t="shared" si="3"/>
        <v>0.125915</v>
      </c>
      <c r="K595" s="1" t="s">
        <v>75</v>
      </c>
      <c r="L595" s="5">
        <f t="shared" si="4"/>
        <v>0.0004</v>
      </c>
      <c r="M595" s="6" t="s">
        <v>186</v>
      </c>
      <c r="N595" s="5">
        <f t="shared" si="5"/>
        <v>1</v>
      </c>
    </row>
    <row r="596">
      <c r="A596" s="6" t="s">
        <v>183</v>
      </c>
      <c r="B596" s="6" t="s">
        <v>2793</v>
      </c>
      <c r="C596" s="5">
        <f t="shared" si="1"/>
        <v>12</v>
      </c>
      <c r="D596" s="1" t="s">
        <v>12</v>
      </c>
      <c r="E596" s="1" t="s">
        <v>38</v>
      </c>
      <c r="F596" s="1" t="s">
        <v>39</v>
      </c>
      <c r="G596" s="6" t="s">
        <v>5333</v>
      </c>
      <c r="H596" s="5">
        <f t="shared" si="2"/>
        <v>2.8291</v>
      </c>
      <c r="I596" s="1" t="s">
        <v>2120</v>
      </c>
      <c r="J596" s="5">
        <f t="shared" si="3"/>
        <v>306.535534</v>
      </c>
      <c r="K596" s="1" t="s">
        <v>2121</v>
      </c>
      <c r="L596" s="5">
        <f t="shared" si="4"/>
        <v>0.5092</v>
      </c>
      <c r="M596" s="6" t="s">
        <v>4720</v>
      </c>
      <c r="N596" s="5">
        <f t="shared" si="5"/>
        <v>103</v>
      </c>
    </row>
    <row r="597">
      <c r="A597" s="6" t="s">
        <v>183</v>
      </c>
      <c r="B597" s="6" t="s">
        <v>2793</v>
      </c>
      <c r="C597" s="5">
        <f t="shared" si="1"/>
        <v>12</v>
      </c>
      <c r="D597" s="1" t="s">
        <v>12</v>
      </c>
      <c r="E597" s="1" t="s">
        <v>45</v>
      </c>
      <c r="F597" s="1" t="s">
        <v>17</v>
      </c>
      <c r="G597" s="6" t="s">
        <v>5334</v>
      </c>
      <c r="H597" s="5">
        <f t="shared" si="2"/>
        <v>4.4035</v>
      </c>
      <c r="I597" s="1" t="s">
        <v>2122</v>
      </c>
      <c r="J597" s="5">
        <f t="shared" si="3"/>
        <v>282.294567</v>
      </c>
      <c r="K597" s="6" t="s">
        <v>5335</v>
      </c>
      <c r="L597" s="5">
        <f t="shared" si="4"/>
        <v>1.5853</v>
      </c>
      <c r="M597" s="6" t="s">
        <v>5336</v>
      </c>
      <c r="N597" s="5">
        <f t="shared" si="5"/>
        <v>225</v>
      </c>
    </row>
    <row r="598">
      <c r="A598" s="6" t="s">
        <v>183</v>
      </c>
      <c r="B598" s="6" t="s">
        <v>2793</v>
      </c>
      <c r="C598" s="5">
        <f t="shared" si="1"/>
        <v>12</v>
      </c>
      <c r="D598" s="1" t="s">
        <v>12</v>
      </c>
      <c r="E598" s="1" t="s">
        <v>42</v>
      </c>
      <c r="F598" s="1" t="s">
        <v>17</v>
      </c>
      <c r="G598" s="6" t="s">
        <v>5337</v>
      </c>
      <c r="H598" s="5">
        <f t="shared" si="2"/>
        <v>1.1942</v>
      </c>
      <c r="I598" s="1" t="s">
        <v>2123</v>
      </c>
      <c r="J598" s="5">
        <f t="shared" si="3"/>
        <v>162.468894</v>
      </c>
      <c r="K598" s="1" t="s">
        <v>2124</v>
      </c>
      <c r="L598" s="5">
        <f t="shared" si="4"/>
        <v>0.4419</v>
      </c>
      <c r="M598" s="6" t="s">
        <v>5338</v>
      </c>
      <c r="N598" s="5">
        <f t="shared" si="5"/>
        <v>133</v>
      </c>
    </row>
    <row r="599">
      <c r="A599" s="6" t="s">
        <v>183</v>
      </c>
      <c r="B599" s="6" t="s">
        <v>2793</v>
      </c>
      <c r="C599" s="5">
        <f t="shared" si="1"/>
        <v>12</v>
      </c>
      <c r="D599" s="1" t="s">
        <v>12</v>
      </c>
      <c r="E599" s="1" t="s">
        <v>48</v>
      </c>
      <c r="F599" s="1" t="s">
        <v>49</v>
      </c>
      <c r="G599" s="1" t="s">
        <v>931</v>
      </c>
      <c r="H599" s="5">
        <f t="shared" si="2"/>
        <v>0.0048</v>
      </c>
      <c r="I599" s="1" t="s">
        <v>2125</v>
      </c>
      <c r="J599" s="5">
        <f t="shared" si="3"/>
        <v>1.588229</v>
      </c>
      <c r="K599" s="1" t="s">
        <v>1056</v>
      </c>
      <c r="L599" s="5">
        <f t="shared" si="4"/>
        <v>0.0014</v>
      </c>
      <c r="M599" s="6" t="s">
        <v>2677</v>
      </c>
      <c r="N599" s="5">
        <f t="shared" si="5"/>
        <v>3</v>
      </c>
    </row>
    <row r="600">
      <c r="A600" s="6" t="s">
        <v>183</v>
      </c>
      <c r="B600" s="6" t="s">
        <v>2793</v>
      </c>
      <c r="C600" s="5">
        <f t="shared" si="1"/>
        <v>12</v>
      </c>
      <c r="D600" s="1" t="s">
        <v>12</v>
      </c>
      <c r="E600" s="1" t="s">
        <v>48</v>
      </c>
      <c r="F600" s="1" t="s">
        <v>21</v>
      </c>
      <c r="G600" s="1" t="s">
        <v>2126</v>
      </c>
      <c r="H600" s="5">
        <f t="shared" si="2"/>
        <v>0.9457</v>
      </c>
      <c r="I600" s="1" t="s">
        <v>2127</v>
      </c>
      <c r="J600" s="5">
        <f t="shared" si="3"/>
        <v>117.209566</v>
      </c>
      <c r="K600" s="1" t="s">
        <v>707</v>
      </c>
      <c r="L600" s="5">
        <f t="shared" si="4"/>
        <v>0.3783</v>
      </c>
      <c r="M600" s="6" t="s">
        <v>3503</v>
      </c>
      <c r="N600" s="5">
        <f t="shared" si="5"/>
        <v>119</v>
      </c>
    </row>
    <row r="601">
      <c r="A601" s="6" t="s">
        <v>183</v>
      </c>
      <c r="B601" s="6" t="s">
        <v>2793</v>
      </c>
      <c r="C601" s="5">
        <f t="shared" si="1"/>
        <v>12</v>
      </c>
      <c r="D601" s="1" t="s">
        <v>12</v>
      </c>
      <c r="E601" s="1" t="s">
        <v>56</v>
      </c>
      <c r="F601" s="1" t="s">
        <v>21</v>
      </c>
      <c r="G601" s="1" t="s">
        <v>2128</v>
      </c>
      <c r="H601" s="5">
        <f t="shared" si="2"/>
        <v>0.4026</v>
      </c>
      <c r="I601" s="1" t="s">
        <v>2129</v>
      </c>
      <c r="J601" s="5">
        <f t="shared" si="3"/>
        <v>87.407708</v>
      </c>
      <c r="K601" s="1" t="s">
        <v>2130</v>
      </c>
      <c r="L601" s="5">
        <f t="shared" si="4"/>
        <v>0.1611</v>
      </c>
      <c r="M601" s="6" t="s">
        <v>3603</v>
      </c>
      <c r="N601" s="5">
        <f t="shared" si="5"/>
        <v>202</v>
      </c>
    </row>
    <row r="602">
      <c r="A602" s="6" t="s">
        <v>183</v>
      </c>
      <c r="B602" s="6" t="s">
        <v>2793</v>
      </c>
      <c r="C602" s="5">
        <f t="shared" si="1"/>
        <v>12</v>
      </c>
      <c r="D602" s="1" t="s">
        <v>12</v>
      </c>
      <c r="E602" s="1" t="s">
        <v>60</v>
      </c>
      <c r="F602" s="1" t="s">
        <v>39</v>
      </c>
      <c r="G602" s="1" t="s">
        <v>2131</v>
      </c>
      <c r="H602" s="5">
        <f t="shared" si="2"/>
        <v>0.2968</v>
      </c>
      <c r="I602" s="1" t="s">
        <v>2132</v>
      </c>
      <c r="J602" s="5">
        <f t="shared" si="3"/>
        <v>50.525289</v>
      </c>
      <c r="K602" s="1" t="s">
        <v>2133</v>
      </c>
      <c r="L602" s="5">
        <f t="shared" si="4"/>
        <v>0.0564</v>
      </c>
      <c r="M602" s="6" t="s">
        <v>291</v>
      </c>
      <c r="N602" s="5">
        <f t="shared" si="5"/>
        <v>0</v>
      </c>
    </row>
    <row r="603">
      <c r="A603" s="6" t="s">
        <v>183</v>
      </c>
      <c r="B603" s="6" t="s">
        <v>2793</v>
      </c>
      <c r="C603" s="5">
        <f t="shared" si="1"/>
        <v>12</v>
      </c>
      <c r="D603" s="1" t="s">
        <v>12</v>
      </c>
      <c r="E603" s="1" t="s">
        <v>60</v>
      </c>
      <c r="F603" s="1" t="s">
        <v>17</v>
      </c>
      <c r="G603" s="1" t="s">
        <v>2134</v>
      </c>
      <c r="H603" s="5">
        <f t="shared" si="2"/>
        <v>0.005</v>
      </c>
      <c r="I603" s="1" t="s">
        <v>2135</v>
      </c>
      <c r="J603" s="5">
        <f t="shared" si="3"/>
        <v>0.61837</v>
      </c>
      <c r="K603" s="1" t="s">
        <v>1460</v>
      </c>
      <c r="L603" s="5">
        <f t="shared" si="4"/>
        <v>0.002</v>
      </c>
      <c r="M603" s="6" t="s">
        <v>291</v>
      </c>
      <c r="N603" s="5">
        <f t="shared" si="5"/>
        <v>0</v>
      </c>
    </row>
    <row r="604">
      <c r="A604" s="6" t="s">
        <v>183</v>
      </c>
      <c r="B604" s="6" t="s">
        <v>2793</v>
      </c>
      <c r="C604" s="5">
        <f t="shared" si="1"/>
        <v>12</v>
      </c>
      <c r="D604" s="1" t="s">
        <v>12</v>
      </c>
      <c r="E604" s="1" t="s">
        <v>848</v>
      </c>
      <c r="F604" s="1" t="s">
        <v>21</v>
      </c>
      <c r="G604" s="1" t="s">
        <v>2136</v>
      </c>
      <c r="H604" s="5">
        <f t="shared" si="2"/>
        <v>0.2248</v>
      </c>
      <c r="I604" s="1" t="s">
        <v>2137</v>
      </c>
      <c r="J604" s="5">
        <f t="shared" si="3"/>
        <v>41.788139</v>
      </c>
      <c r="K604" s="1" t="s">
        <v>2138</v>
      </c>
      <c r="L604" s="5">
        <f t="shared" si="4"/>
        <v>0.0899</v>
      </c>
      <c r="M604" s="6" t="s">
        <v>3639</v>
      </c>
      <c r="N604" s="5">
        <f t="shared" si="5"/>
        <v>60</v>
      </c>
    </row>
    <row r="605">
      <c r="A605" s="6" t="s">
        <v>183</v>
      </c>
      <c r="B605" s="6" t="s">
        <v>2793</v>
      </c>
      <c r="C605" s="5">
        <f t="shared" si="1"/>
        <v>12</v>
      </c>
      <c r="D605" s="1" t="s">
        <v>68</v>
      </c>
      <c r="E605" s="1" t="s">
        <v>13</v>
      </c>
      <c r="F605" s="1" t="s">
        <v>14</v>
      </c>
      <c r="G605" s="1" t="s">
        <v>2139</v>
      </c>
      <c r="H605" s="5">
        <f t="shared" si="2"/>
        <v>74.8629</v>
      </c>
      <c r="I605" s="1" t="s">
        <v>2140</v>
      </c>
      <c r="J605" s="5">
        <f t="shared" si="3"/>
        <v>4235.577133</v>
      </c>
      <c r="K605" s="1" t="s">
        <v>2141</v>
      </c>
      <c r="L605" s="5">
        <f t="shared" si="4"/>
        <v>15.7212</v>
      </c>
      <c r="M605" s="6" t="s">
        <v>5339</v>
      </c>
      <c r="N605" s="5">
        <f t="shared" si="5"/>
        <v>8742</v>
      </c>
    </row>
    <row r="606">
      <c r="A606" s="6" t="s">
        <v>183</v>
      </c>
      <c r="B606" s="6" t="s">
        <v>2793</v>
      </c>
      <c r="C606" s="5">
        <f t="shared" si="1"/>
        <v>12</v>
      </c>
      <c r="D606" s="1" t="s">
        <v>68</v>
      </c>
      <c r="E606" s="1" t="s">
        <v>13</v>
      </c>
      <c r="F606" s="1" t="s">
        <v>17</v>
      </c>
      <c r="G606" s="1" t="s">
        <v>2142</v>
      </c>
      <c r="H606" s="5">
        <f t="shared" si="2"/>
        <v>44.2276</v>
      </c>
      <c r="I606" s="1" t="s">
        <v>2143</v>
      </c>
      <c r="J606" s="5">
        <f t="shared" si="3"/>
        <v>4566.001749</v>
      </c>
      <c r="K606" s="1" t="s">
        <v>2144</v>
      </c>
      <c r="L606" s="5">
        <f t="shared" si="4"/>
        <v>15.4797</v>
      </c>
      <c r="M606" s="6" t="s">
        <v>5340</v>
      </c>
      <c r="N606" s="5">
        <f t="shared" si="5"/>
        <v>8900</v>
      </c>
    </row>
    <row r="607">
      <c r="A607" s="6" t="s">
        <v>183</v>
      </c>
      <c r="B607" s="6" t="s">
        <v>2793</v>
      </c>
      <c r="C607" s="5">
        <f t="shared" si="1"/>
        <v>12</v>
      </c>
      <c r="D607" s="1" t="s">
        <v>68</v>
      </c>
      <c r="E607" s="1" t="s">
        <v>13</v>
      </c>
      <c r="F607" s="1" t="s">
        <v>21</v>
      </c>
      <c r="G607" s="6" t="s">
        <v>2145</v>
      </c>
      <c r="H607" s="5">
        <f t="shared" si="2"/>
        <v>5.0658</v>
      </c>
      <c r="I607" s="1" t="s">
        <v>2146</v>
      </c>
      <c r="J607" s="5">
        <f t="shared" si="3"/>
        <v>764.229077</v>
      </c>
      <c r="K607" s="1" t="s">
        <v>2147</v>
      </c>
      <c r="L607" s="5">
        <f t="shared" si="4"/>
        <v>2.533</v>
      </c>
      <c r="M607" s="6" t="s">
        <v>2999</v>
      </c>
      <c r="N607" s="5">
        <f t="shared" si="5"/>
        <v>869</v>
      </c>
    </row>
    <row r="608">
      <c r="A608" s="6" t="s">
        <v>183</v>
      </c>
      <c r="B608" s="6" t="s">
        <v>2793</v>
      </c>
      <c r="C608" s="5">
        <f t="shared" si="1"/>
        <v>12</v>
      </c>
      <c r="D608" s="1" t="s">
        <v>68</v>
      </c>
      <c r="E608" s="1" t="s">
        <v>13</v>
      </c>
      <c r="F608" s="1" t="s">
        <v>25</v>
      </c>
      <c r="G608" s="1" t="s">
        <v>2148</v>
      </c>
      <c r="H608" s="5">
        <f t="shared" si="2"/>
        <v>0.2796</v>
      </c>
      <c r="I608" s="1" t="s">
        <v>2149</v>
      </c>
      <c r="J608" s="5">
        <f t="shared" si="3"/>
        <v>45.269075</v>
      </c>
      <c r="K608" s="1" t="s">
        <v>1489</v>
      </c>
      <c r="L608" s="5">
        <f t="shared" si="4"/>
        <v>0.2097</v>
      </c>
      <c r="M608" s="6" t="s">
        <v>5056</v>
      </c>
      <c r="N608" s="5">
        <f t="shared" si="5"/>
        <v>178</v>
      </c>
    </row>
    <row r="609">
      <c r="A609" s="6" t="s">
        <v>183</v>
      </c>
      <c r="B609" s="6" t="s">
        <v>2793</v>
      </c>
      <c r="C609" s="5">
        <f t="shared" si="1"/>
        <v>12</v>
      </c>
      <c r="D609" s="1" t="s">
        <v>68</v>
      </c>
      <c r="E609" s="1" t="s">
        <v>29</v>
      </c>
      <c r="F609" s="1" t="s">
        <v>14</v>
      </c>
      <c r="G609" s="1" t="s">
        <v>639</v>
      </c>
      <c r="H609" s="5">
        <f t="shared" si="2"/>
        <v>0.0121</v>
      </c>
      <c r="I609" s="1" t="s">
        <v>2150</v>
      </c>
      <c r="J609" s="5">
        <f t="shared" si="3"/>
        <v>1.127402</v>
      </c>
      <c r="K609" s="1" t="s">
        <v>426</v>
      </c>
      <c r="L609" s="5">
        <f t="shared" si="4"/>
        <v>0.0025</v>
      </c>
      <c r="M609" s="6" t="s">
        <v>397</v>
      </c>
      <c r="N609" s="5">
        <f t="shared" si="5"/>
        <v>2</v>
      </c>
    </row>
    <row r="610">
      <c r="A610" s="6" t="s">
        <v>183</v>
      </c>
      <c r="B610" s="6" t="s">
        <v>2793</v>
      </c>
      <c r="C610" s="5">
        <f t="shared" si="1"/>
        <v>12</v>
      </c>
      <c r="D610" s="1" t="s">
        <v>68</v>
      </c>
      <c r="E610" s="1" t="s">
        <v>29</v>
      </c>
      <c r="F610" s="1" t="s">
        <v>21</v>
      </c>
      <c r="G610" s="6" t="s">
        <v>5341</v>
      </c>
      <c r="H610" s="5">
        <f t="shared" si="2"/>
        <v>6.5758</v>
      </c>
      <c r="I610" s="1" t="s">
        <v>2151</v>
      </c>
      <c r="J610" s="5">
        <f t="shared" si="3"/>
        <v>1391.71104</v>
      </c>
      <c r="K610" s="6" t="s">
        <v>5342</v>
      </c>
      <c r="L610" s="5">
        <f t="shared" si="4"/>
        <v>2.6303</v>
      </c>
      <c r="M610" s="6" t="s">
        <v>5343</v>
      </c>
      <c r="N610" s="5">
        <f t="shared" si="5"/>
        <v>939</v>
      </c>
    </row>
    <row r="611">
      <c r="A611" s="6" t="s">
        <v>183</v>
      </c>
      <c r="B611" s="6" t="s">
        <v>2793</v>
      </c>
      <c r="C611" s="5">
        <f t="shared" si="1"/>
        <v>12</v>
      </c>
      <c r="D611" s="1" t="s">
        <v>68</v>
      </c>
      <c r="E611" s="1" t="s">
        <v>45</v>
      </c>
      <c r="F611" s="1" t="s">
        <v>17</v>
      </c>
      <c r="G611" s="1" t="s">
        <v>2152</v>
      </c>
      <c r="H611" s="5">
        <f t="shared" si="2"/>
        <v>7.557</v>
      </c>
      <c r="I611" s="1" t="s">
        <v>2153</v>
      </c>
      <c r="J611" s="5">
        <f t="shared" si="3"/>
        <v>574.505007</v>
      </c>
      <c r="K611" s="6" t="s">
        <v>5344</v>
      </c>
      <c r="L611" s="5">
        <f t="shared" si="4"/>
        <v>2.7206</v>
      </c>
      <c r="M611" s="6" t="s">
        <v>5345</v>
      </c>
      <c r="N611" s="5">
        <f t="shared" si="5"/>
        <v>1595</v>
      </c>
    </row>
    <row r="612">
      <c r="A612" s="6" t="s">
        <v>183</v>
      </c>
      <c r="B612" s="6" t="s">
        <v>2793</v>
      </c>
      <c r="C612" s="5">
        <f t="shared" si="1"/>
        <v>12</v>
      </c>
      <c r="D612" s="1" t="s">
        <v>68</v>
      </c>
      <c r="E612" s="1" t="s">
        <v>32</v>
      </c>
      <c r="F612" s="1" t="s">
        <v>14</v>
      </c>
      <c r="G612" s="6" t="s">
        <v>2154</v>
      </c>
      <c r="H612" s="5">
        <f t="shared" si="2"/>
        <v>3.0648</v>
      </c>
      <c r="I612" s="1" t="s">
        <v>2155</v>
      </c>
      <c r="J612" s="5">
        <f t="shared" si="3"/>
        <v>238.161845</v>
      </c>
      <c r="K612" s="1" t="s">
        <v>2156</v>
      </c>
      <c r="L612" s="5">
        <f t="shared" si="4"/>
        <v>0.7049</v>
      </c>
      <c r="M612" s="6" t="s">
        <v>5346</v>
      </c>
      <c r="N612" s="5">
        <f t="shared" si="5"/>
        <v>1181</v>
      </c>
    </row>
    <row r="613">
      <c r="A613" s="6" t="s">
        <v>183</v>
      </c>
      <c r="B613" s="6" t="s">
        <v>2793</v>
      </c>
      <c r="C613" s="5">
        <f t="shared" si="1"/>
        <v>12</v>
      </c>
      <c r="D613" s="1" t="s">
        <v>68</v>
      </c>
      <c r="E613" s="1" t="s">
        <v>32</v>
      </c>
      <c r="F613" s="1" t="s">
        <v>21</v>
      </c>
      <c r="G613" s="1" t="s">
        <v>2157</v>
      </c>
      <c r="H613" s="5">
        <f t="shared" si="2"/>
        <v>0.667</v>
      </c>
      <c r="I613" s="1" t="s">
        <v>2158</v>
      </c>
      <c r="J613" s="5">
        <f t="shared" si="3"/>
        <v>117.184238</v>
      </c>
      <c r="K613" s="1" t="s">
        <v>2159</v>
      </c>
      <c r="L613" s="5">
        <f t="shared" si="4"/>
        <v>0.3002</v>
      </c>
      <c r="M613" s="6" t="s">
        <v>5347</v>
      </c>
      <c r="N613" s="5">
        <f t="shared" si="5"/>
        <v>439</v>
      </c>
    </row>
    <row r="614">
      <c r="A614" s="6" t="s">
        <v>183</v>
      </c>
      <c r="B614" s="6" t="s">
        <v>2793</v>
      </c>
      <c r="C614" s="5">
        <f t="shared" si="1"/>
        <v>12</v>
      </c>
      <c r="D614" s="1" t="s">
        <v>68</v>
      </c>
      <c r="E614" s="1" t="s">
        <v>42</v>
      </c>
      <c r="F614" s="1" t="s">
        <v>17</v>
      </c>
      <c r="G614" s="6" t="s">
        <v>5348</v>
      </c>
      <c r="H614" s="5">
        <f t="shared" si="2"/>
        <v>1.0039</v>
      </c>
      <c r="I614" s="1" t="s">
        <v>2160</v>
      </c>
      <c r="J614" s="5">
        <f t="shared" si="3"/>
        <v>159.756048</v>
      </c>
      <c r="K614" s="1" t="s">
        <v>2161</v>
      </c>
      <c r="L614" s="5">
        <f t="shared" si="4"/>
        <v>0.3714</v>
      </c>
      <c r="M614" s="6" t="s">
        <v>5349</v>
      </c>
      <c r="N614" s="5">
        <f t="shared" si="5"/>
        <v>460</v>
      </c>
    </row>
    <row r="615">
      <c r="A615" s="6" t="s">
        <v>183</v>
      </c>
      <c r="B615" s="6" t="s">
        <v>2793</v>
      </c>
      <c r="C615" s="5">
        <f t="shared" si="1"/>
        <v>12</v>
      </c>
      <c r="D615" s="1" t="s">
        <v>68</v>
      </c>
      <c r="E615" s="1" t="s">
        <v>38</v>
      </c>
      <c r="F615" s="1" t="s">
        <v>39</v>
      </c>
      <c r="G615" s="6" t="s">
        <v>5350</v>
      </c>
      <c r="H615" s="5">
        <f t="shared" si="2"/>
        <v>1.5923</v>
      </c>
      <c r="I615" s="1" t="s">
        <v>2162</v>
      </c>
      <c r="J615" s="5">
        <f t="shared" si="3"/>
        <v>134.403459</v>
      </c>
      <c r="K615" s="1" t="s">
        <v>2163</v>
      </c>
      <c r="L615" s="5">
        <f t="shared" si="4"/>
        <v>0.2866</v>
      </c>
      <c r="M615" s="6" t="s">
        <v>3672</v>
      </c>
      <c r="N615" s="5">
        <f t="shared" si="5"/>
        <v>220</v>
      </c>
    </row>
    <row r="616">
      <c r="A616" s="6" t="s">
        <v>183</v>
      </c>
      <c r="B616" s="6" t="s">
        <v>2793</v>
      </c>
      <c r="C616" s="5">
        <f t="shared" si="1"/>
        <v>12</v>
      </c>
      <c r="D616" s="1" t="s">
        <v>68</v>
      </c>
      <c r="E616" s="1" t="s">
        <v>544</v>
      </c>
      <c r="F616" s="1" t="s">
        <v>17</v>
      </c>
      <c r="G616" s="1" t="s">
        <v>2164</v>
      </c>
      <c r="H616" s="5">
        <f t="shared" si="2"/>
        <v>0.6812</v>
      </c>
      <c r="I616" s="1" t="s">
        <v>2165</v>
      </c>
      <c r="J616" s="5">
        <f t="shared" si="3"/>
        <v>60.933021</v>
      </c>
      <c r="K616" s="1" t="s">
        <v>2166</v>
      </c>
      <c r="L616" s="5">
        <f t="shared" si="4"/>
        <v>0.2384</v>
      </c>
      <c r="M616" s="6" t="s">
        <v>573</v>
      </c>
      <c r="N616" s="5">
        <f t="shared" si="5"/>
        <v>223</v>
      </c>
    </row>
    <row r="617">
      <c r="A617" s="6" t="s">
        <v>183</v>
      </c>
      <c r="B617" s="6" t="s">
        <v>2793</v>
      </c>
      <c r="C617" s="5">
        <f t="shared" si="1"/>
        <v>12</v>
      </c>
      <c r="D617" s="1" t="s">
        <v>68</v>
      </c>
      <c r="E617" s="1" t="s">
        <v>165</v>
      </c>
      <c r="F617" s="1" t="s">
        <v>39</v>
      </c>
      <c r="G617" s="1" t="s">
        <v>2167</v>
      </c>
      <c r="H617" s="5">
        <f t="shared" si="2"/>
        <v>0.0372</v>
      </c>
      <c r="I617" s="1" t="s">
        <v>2168</v>
      </c>
      <c r="J617" s="5">
        <f t="shared" si="3"/>
        <v>6.713224</v>
      </c>
      <c r="K617" s="1" t="s">
        <v>1437</v>
      </c>
      <c r="L617" s="5">
        <f t="shared" si="4"/>
        <v>0.0067</v>
      </c>
      <c r="M617" s="6" t="s">
        <v>291</v>
      </c>
      <c r="N617" s="5">
        <f t="shared" si="5"/>
        <v>0</v>
      </c>
    </row>
    <row r="618">
      <c r="A618" s="6" t="s">
        <v>183</v>
      </c>
      <c r="B618" s="6" t="s">
        <v>2793</v>
      </c>
      <c r="C618" s="5">
        <f t="shared" si="1"/>
        <v>12</v>
      </c>
      <c r="D618" s="1" t="s">
        <v>68</v>
      </c>
      <c r="E618" s="1" t="s">
        <v>165</v>
      </c>
      <c r="F618" s="1" t="s">
        <v>17</v>
      </c>
      <c r="G618" s="1" t="s">
        <v>2169</v>
      </c>
      <c r="H618" s="5">
        <f t="shared" si="2"/>
        <v>0.1953</v>
      </c>
      <c r="I618" s="1" t="s">
        <v>2170</v>
      </c>
      <c r="J618" s="5">
        <f t="shared" si="3"/>
        <v>45.258333</v>
      </c>
      <c r="K618" s="1" t="s">
        <v>2171</v>
      </c>
      <c r="L618" s="5">
        <f t="shared" si="4"/>
        <v>0.0684</v>
      </c>
      <c r="M618" s="6" t="s">
        <v>291</v>
      </c>
      <c r="N618" s="5">
        <f t="shared" si="5"/>
        <v>0</v>
      </c>
    </row>
    <row r="619">
      <c r="A619" s="6" t="s">
        <v>183</v>
      </c>
      <c r="B619" s="6" t="s">
        <v>2793</v>
      </c>
      <c r="C619" s="5">
        <f t="shared" si="1"/>
        <v>12</v>
      </c>
      <c r="D619" s="1" t="s">
        <v>68</v>
      </c>
      <c r="E619" s="1" t="s">
        <v>48</v>
      </c>
      <c r="F619" s="1" t="s">
        <v>49</v>
      </c>
      <c r="G619" s="1" t="s">
        <v>2109</v>
      </c>
      <c r="H619" s="5">
        <f t="shared" si="2"/>
        <v>0.0029</v>
      </c>
      <c r="I619" s="1" t="s">
        <v>2172</v>
      </c>
      <c r="J619" s="5">
        <f t="shared" si="3"/>
        <v>1.11613</v>
      </c>
      <c r="K619" s="1" t="s">
        <v>429</v>
      </c>
      <c r="L619" s="5">
        <f t="shared" si="4"/>
        <v>0.0008</v>
      </c>
      <c r="M619" s="6" t="s">
        <v>397</v>
      </c>
      <c r="N619" s="5">
        <f t="shared" si="5"/>
        <v>2</v>
      </c>
    </row>
    <row r="620">
      <c r="A620" s="6" t="s">
        <v>183</v>
      </c>
      <c r="B620" s="6" t="s">
        <v>2793</v>
      </c>
      <c r="C620" s="5">
        <f t="shared" si="1"/>
        <v>12</v>
      </c>
      <c r="D620" s="1" t="s">
        <v>68</v>
      </c>
      <c r="E620" s="1" t="s">
        <v>48</v>
      </c>
      <c r="F620" s="1" t="s">
        <v>21</v>
      </c>
      <c r="G620" s="1" t="s">
        <v>2173</v>
      </c>
      <c r="H620" s="5">
        <f t="shared" si="2"/>
        <v>0.3372</v>
      </c>
      <c r="I620" s="1" t="s">
        <v>2174</v>
      </c>
      <c r="J620" s="5">
        <f t="shared" si="3"/>
        <v>35.861902</v>
      </c>
      <c r="K620" s="1" t="s">
        <v>2175</v>
      </c>
      <c r="L620" s="5">
        <f t="shared" si="4"/>
        <v>0.1349</v>
      </c>
      <c r="M620" s="6" t="s">
        <v>4245</v>
      </c>
      <c r="N620" s="5">
        <f t="shared" si="5"/>
        <v>212</v>
      </c>
    </row>
    <row r="621">
      <c r="A621" s="6" t="s">
        <v>183</v>
      </c>
      <c r="B621" s="6" t="s">
        <v>2793</v>
      </c>
      <c r="C621" s="5">
        <f t="shared" si="1"/>
        <v>12</v>
      </c>
      <c r="D621" s="1" t="s">
        <v>68</v>
      </c>
      <c r="E621" s="1" t="s">
        <v>2176</v>
      </c>
      <c r="F621" s="1" t="s">
        <v>17</v>
      </c>
      <c r="G621" s="1" t="s">
        <v>2177</v>
      </c>
      <c r="H621" s="5">
        <f t="shared" si="2"/>
        <v>0.5115</v>
      </c>
      <c r="I621" s="1" t="s">
        <v>2178</v>
      </c>
      <c r="J621" s="5">
        <f t="shared" si="3"/>
        <v>35.519099</v>
      </c>
      <c r="K621" s="1" t="s">
        <v>2179</v>
      </c>
      <c r="L621" s="5">
        <f t="shared" si="4"/>
        <v>0.1867</v>
      </c>
      <c r="M621" s="6" t="s">
        <v>291</v>
      </c>
      <c r="N621" s="5">
        <f t="shared" si="5"/>
        <v>0</v>
      </c>
    </row>
    <row r="622">
      <c r="A622" s="6" t="s">
        <v>183</v>
      </c>
      <c r="B622" s="6" t="s">
        <v>2793</v>
      </c>
      <c r="C622" s="5">
        <f t="shared" si="1"/>
        <v>12</v>
      </c>
      <c r="D622" s="1" t="s">
        <v>116</v>
      </c>
      <c r="E622" s="1" t="s">
        <v>13</v>
      </c>
      <c r="F622" s="1" t="s">
        <v>14</v>
      </c>
      <c r="G622" s="1" t="s">
        <v>2180</v>
      </c>
      <c r="H622" s="5">
        <f t="shared" si="2"/>
        <v>124.8704</v>
      </c>
      <c r="I622" s="1" t="s">
        <v>2181</v>
      </c>
      <c r="J622" s="5">
        <f t="shared" si="3"/>
        <v>7039.56404</v>
      </c>
      <c r="K622" s="1" t="s">
        <v>2182</v>
      </c>
      <c r="L622" s="5">
        <f t="shared" si="4"/>
        <v>26.2228</v>
      </c>
      <c r="M622" s="6" t="s">
        <v>5351</v>
      </c>
      <c r="N622" s="5">
        <f t="shared" si="5"/>
        <v>11727</v>
      </c>
    </row>
    <row r="623">
      <c r="A623" s="6" t="s">
        <v>183</v>
      </c>
      <c r="B623" s="6" t="s">
        <v>2793</v>
      </c>
      <c r="C623" s="5">
        <f t="shared" si="1"/>
        <v>12</v>
      </c>
      <c r="D623" s="1" t="s">
        <v>116</v>
      </c>
      <c r="E623" s="1" t="s">
        <v>13</v>
      </c>
      <c r="F623" s="1" t="s">
        <v>17</v>
      </c>
      <c r="G623" s="1" t="s">
        <v>2183</v>
      </c>
      <c r="H623" s="5">
        <f t="shared" si="2"/>
        <v>110.6414</v>
      </c>
      <c r="I623" s="1" t="s">
        <v>2184</v>
      </c>
      <c r="J623" s="5">
        <f t="shared" si="3"/>
        <v>10476.18569</v>
      </c>
      <c r="K623" s="1" t="s">
        <v>2185</v>
      </c>
      <c r="L623" s="5">
        <f t="shared" si="4"/>
        <v>38.7245</v>
      </c>
      <c r="M623" s="6" t="s">
        <v>5570</v>
      </c>
      <c r="N623" s="5">
        <f t="shared" si="5"/>
        <v>15236</v>
      </c>
    </row>
    <row r="624">
      <c r="A624" s="6" t="s">
        <v>183</v>
      </c>
      <c r="B624" s="6" t="s">
        <v>2793</v>
      </c>
      <c r="C624" s="5">
        <f t="shared" si="1"/>
        <v>12</v>
      </c>
      <c r="D624" s="1" t="s">
        <v>116</v>
      </c>
      <c r="E624" s="1" t="s">
        <v>13</v>
      </c>
      <c r="F624" s="1" t="s">
        <v>21</v>
      </c>
      <c r="G624" s="6" t="s">
        <v>5575</v>
      </c>
      <c r="H624" s="5">
        <f t="shared" si="2"/>
        <v>9.7353</v>
      </c>
      <c r="I624" s="1" t="s">
        <v>2186</v>
      </c>
      <c r="J624" s="5">
        <f t="shared" si="3"/>
        <v>1248.6311</v>
      </c>
      <c r="K624" s="6" t="s">
        <v>5579</v>
      </c>
      <c r="L624" s="5">
        <f t="shared" si="4"/>
        <v>4.8675</v>
      </c>
      <c r="M624" s="6" t="s">
        <v>5580</v>
      </c>
      <c r="N624" s="5">
        <f t="shared" si="5"/>
        <v>1006</v>
      </c>
    </row>
    <row r="625">
      <c r="A625" s="6" t="s">
        <v>183</v>
      </c>
      <c r="B625" s="6" t="s">
        <v>2793</v>
      </c>
      <c r="C625" s="5">
        <f t="shared" si="1"/>
        <v>12</v>
      </c>
      <c r="D625" s="1" t="s">
        <v>116</v>
      </c>
      <c r="E625" s="1" t="s">
        <v>13</v>
      </c>
      <c r="F625" s="1" t="s">
        <v>25</v>
      </c>
      <c r="G625" s="1" t="s">
        <v>2187</v>
      </c>
      <c r="H625" s="5">
        <f t="shared" si="2"/>
        <v>0.0755</v>
      </c>
      <c r="I625" s="1" t="s">
        <v>2188</v>
      </c>
      <c r="J625" s="5">
        <f t="shared" si="3"/>
        <v>12.065848</v>
      </c>
      <c r="K625" s="1" t="s">
        <v>992</v>
      </c>
      <c r="L625" s="5">
        <f t="shared" si="4"/>
        <v>0.0566</v>
      </c>
      <c r="M625" s="6" t="s">
        <v>5588</v>
      </c>
      <c r="N625" s="5">
        <f t="shared" si="5"/>
        <v>45</v>
      </c>
    </row>
    <row r="626">
      <c r="A626" s="6" t="s">
        <v>183</v>
      </c>
      <c r="B626" s="6" t="s">
        <v>2793</v>
      </c>
      <c r="C626" s="5">
        <f t="shared" si="1"/>
        <v>12</v>
      </c>
      <c r="D626" s="1" t="s">
        <v>116</v>
      </c>
      <c r="E626" s="1" t="s">
        <v>29</v>
      </c>
      <c r="F626" s="1" t="s">
        <v>14</v>
      </c>
      <c r="G626" s="1" t="s">
        <v>1331</v>
      </c>
      <c r="H626" s="5">
        <f t="shared" si="2"/>
        <v>0.004</v>
      </c>
      <c r="I626" s="1" t="s">
        <v>2189</v>
      </c>
      <c r="J626" s="5">
        <f t="shared" si="3"/>
        <v>0.49345</v>
      </c>
      <c r="K626" s="1" t="s">
        <v>429</v>
      </c>
      <c r="L626" s="5">
        <f t="shared" si="4"/>
        <v>0.0008</v>
      </c>
      <c r="M626" s="6" t="s">
        <v>397</v>
      </c>
      <c r="N626" s="5">
        <f t="shared" si="5"/>
        <v>2</v>
      </c>
    </row>
    <row r="627">
      <c r="A627" s="6" t="s">
        <v>183</v>
      </c>
      <c r="B627" s="6" t="s">
        <v>2793</v>
      </c>
      <c r="C627" s="5">
        <f t="shared" si="1"/>
        <v>12</v>
      </c>
      <c r="D627" s="1" t="s">
        <v>116</v>
      </c>
      <c r="E627" s="1" t="s">
        <v>29</v>
      </c>
      <c r="F627" s="1" t="s">
        <v>21</v>
      </c>
      <c r="G627" s="1" t="s">
        <v>2190</v>
      </c>
      <c r="H627" s="5">
        <f t="shared" si="2"/>
        <v>24.9785</v>
      </c>
      <c r="I627" s="1" t="s">
        <v>2191</v>
      </c>
      <c r="J627" s="5">
        <f t="shared" si="3"/>
        <v>4973.572214</v>
      </c>
      <c r="K627" s="6" t="s">
        <v>5601</v>
      </c>
      <c r="L627" s="5">
        <f t="shared" si="4"/>
        <v>9.9914</v>
      </c>
      <c r="M627" s="6" t="s">
        <v>5603</v>
      </c>
      <c r="N627" s="5">
        <f t="shared" si="5"/>
        <v>1907</v>
      </c>
    </row>
    <row r="628">
      <c r="A628" s="6" t="s">
        <v>183</v>
      </c>
      <c r="B628" s="6" t="s">
        <v>2793</v>
      </c>
      <c r="C628" s="5">
        <f t="shared" si="1"/>
        <v>12</v>
      </c>
      <c r="D628" s="1" t="s">
        <v>116</v>
      </c>
      <c r="E628" s="1" t="s">
        <v>45</v>
      </c>
      <c r="F628" s="1" t="s">
        <v>17</v>
      </c>
      <c r="G628" s="1" t="s">
        <v>2192</v>
      </c>
      <c r="H628" s="5">
        <f t="shared" si="2"/>
        <v>18.1118</v>
      </c>
      <c r="I628" s="1" t="s">
        <v>2193</v>
      </c>
      <c r="J628" s="5">
        <f t="shared" si="3"/>
        <v>1362.937588</v>
      </c>
      <c r="K628" s="6" t="s">
        <v>5610</v>
      </c>
      <c r="L628" s="5">
        <f t="shared" si="4"/>
        <v>6.5203</v>
      </c>
      <c r="M628" s="6" t="s">
        <v>5612</v>
      </c>
      <c r="N628" s="5">
        <f t="shared" si="5"/>
        <v>2078</v>
      </c>
    </row>
    <row r="629">
      <c r="A629" s="6" t="s">
        <v>183</v>
      </c>
      <c r="B629" s="6" t="s">
        <v>2793</v>
      </c>
      <c r="C629" s="5">
        <f t="shared" si="1"/>
        <v>12</v>
      </c>
      <c r="D629" s="1" t="s">
        <v>116</v>
      </c>
      <c r="E629" s="1" t="s">
        <v>32</v>
      </c>
      <c r="F629" s="1" t="s">
        <v>14</v>
      </c>
      <c r="G629" s="6" t="s">
        <v>2194</v>
      </c>
      <c r="H629" s="5">
        <f t="shared" si="2"/>
        <v>5.1247</v>
      </c>
      <c r="I629" s="1" t="s">
        <v>2195</v>
      </c>
      <c r="J629" s="5">
        <f t="shared" si="3"/>
        <v>297.628508</v>
      </c>
      <c r="K629" s="6" t="s">
        <v>2196</v>
      </c>
      <c r="L629" s="5">
        <f t="shared" si="4"/>
        <v>1.1787</v>
      </c>
      <c r="M629" s="6" t="s">
        <v>5621</v>
      </c>
      <c r="N629" s="5">
        <f t="shared" si="5"/>
        <v>1031</v>
      </c>
    </row>
    <row r="630">
      <c r="A630" s="6" t="s">
        <v>183</v>
      </c>
      <c r="B630" s="6" t="s">
        <v>2793</v>
      </c>
      <c r="C630" s="5">
        <f t="shared" si="1"/>
        <v>12</v>
      </c>
      <c r="D630" s="1" t="s">
        <v>116</v>
      </c>
      <c r="E630" s="1" t="s">
        <v>32</v>
      </c>
      <c r="F630" s="1" t="s">
        <v>72</v>
      </c>
      <c r="G630" s="1" t="s">
        <v>2197</v>
      </c>
      <c r="H630" s="5">
        <f t="shared" si="2"/>
        <v>0.0078</v>
      </c>
      <c r="I630" s="1" t="s">
        <v>2198</v>
      </c>
      <c r="J630" s="5">
        <f t="shared" si="3"/>
        <v>0.852696</v>
      </c>
      <c r="K630" s="1" t="s">
        <v>880</v>
      </c>
      <c r="L630" s="5">
        <f t="shared" si="4"/>
        <v>0.0023</v>
      </c>
      <c r="M630" s="6" t="s">
        <v>3927</v>
      </c>
      <c r="N630" s="5">
        <f t="shared" si="5"/>
        <v>9</v>
      </c>
    </row>
    <row r="631">
      <c r="A631" s="6" t="s">
        <v>183</v>
      </c>
      <c r="B631" s="6" t="s">
        <v>2793</v>
      </c>
      <c r="C631" s="5">
        <f t="shared" si="1"/>
        <v>12</v>
      </c>
      <c r="D631" s="1" t="s">
        <v>116</v>
      </c>
      <c r="E631" s="1" t="s">
        <v>32</v>
      </c>
      <c r="F631" s="1" t="s">
        <v>21</v>
      </c>
      <c r="G631" s="6" t="s">
        <v>5633</v>
      </c>
      <c r="H631" s="5">
        <f t="shared" si="2"/>
        <v>6.2071</v>
      </c>
      <c r="I631" s="1" t="s">
        <v>2199</v>
      </c>
      <c r="J631" s="5">
        <f t="shared" si="3"/>
        <v>923.409919</v>
      </c>
      <c r="K631" s="6" t="s">
        <v>5636</v>
      </c>
      <c r="L631" s="5">
        <f t="shared" si="4"/>
        <v>2.7931</v>
      </c>
      <c r="M631" s="6" t="s">
        <v>5639</v>
      </c>
      <c r="N631" s="5">
        <f t="shared" si="5"/>
        <v>2067</v>
      </c>
    </row>
    <row r="632">
      <c r="A632" s="6" t="s">
        <v>183</v>
      </c>
      <c r="B632" s="6" t="s">
        <v>2793</v>
      </c>
      <c r="C632" s="5">
        <f t="shared" si="1"/>
        <v>12</v>
      </c>
      <c r="D632" s="1" t="s">
        <v>116</v>
      </c>
      <c r="E632" s="1" t="s">
        <v>147</v>
      </c>
      <c r="F632" s="1" t="s">
        <v>39</v>
      </c>
      <c r="G632" s="6" t="s">
        <v>5643</v>
      </c>
      <c r="H632" s="5">
        <f t="shared" si="2"/>
        <v>1.2878</v>
      </c>
      <c r="I632" s="1" t="s">
        <v>2200</v>
      </c>
      <c r="J632" s="5">
        <f t="shared" si="3"/>
        <v>365.322427</v>
      </c>
      <c r="K632" s="1" t="s">
        <v>2201</v>
      </c>
      <c r="L632" s="5">
        <f t="shared" si="4"/>
        <v>0.2448</v>
      </c>
      <c r="M632" s="6" t="s">
        <v>3836</v>
      </c>
      <c r="N632" s="5">
        <f t="shared" si="5"/>
        <v>107</v>
      </c>
    </row>
    <row r="633">
      <c r="A633" s="6" t="s">
        <v>183</v>
      </c>
      <c r="B633" s="6" t="s">
        <v>2793</v>
      </c>
      <c r="C633" s="5">
        <f t="shared" si="1"/>
        <v>12</v>
      </c>
      <c r="D633" s="1" t="s">
        <v>116</v>
      </c>
      <c r="E633" s="1" t="s">
        <v>147</v>
      </c>
      <c r="F633" s="1" t="s">
        <v>17</v>
      </c>
      <c r="G633" s="1" t="s">
        <v>2202</v>
      </c>
      <c r="H633" s="5">
        <f t="shared" si="2"/>
        <v>0.0215</v>
      </c>
      <c r="I633" s="1" t="s">
        <v>2203</v>
      </c>
      <c r="J633" s="5">
        <f t="shared" si="3"/>
        <v>5.839443</v>
      </c>
      <c r="K633" s="1" t="s">
        <v>2204</v>
      </c>
      <c r="L633" s="5">
        <f t="shared" si="4"/>
        <v>0.0075</v>
      </c>
      <c r="M633" s="6" t="s">
        <v>2672</v>
      </c>
      <c r="N633" s="5">
        <f t="shared" si="5"/>
        <v>8</v>
      </c>
    </row>
    <row r="634">
      <c r="A634" s="6" t="s">
        <v>183</v>
      </c>
      <c r="B634" s="6" t="s">
        <v>2793</v>
      </c>
      <c r="C634" s="5">
        <f t="shared" si="1"/>
        <v>12</v>
      </c>
      <c r="D634" s="1" t="s">
        <v>116</v>
      </c>
      <c r="E634" s="1" t="s">
        <v>147</v>
      </c>
      <c r="F634" s="1" t="s">
        <v>21</v>
      </c>
      <c r="G634" s="1" t="s">
        <v>2205</v>
      </c>
      <c r="H634" s="5">
        <f t="shared" si="2"/>
        <v>0.0856</v>
      </c>
      <c r="I634" s="1" t="s">
        <v>2206</v>
      </c>
      <c r="J634" s="5">
        <f t="shared" si="3"/>
        <v>42.079687</v>
      </c>
      <c r="K634" s="1" t="s">
        <v>2207</v>
      </c>
      <c r="L634" s="5">
        <f t="shared" si="4"/>
        <v>0.0428</v>
      </c>
      <c r="M634" s="6" t="s">
        <v>3203</v>
      </c>
      <c r="N634" s="5">
        <f t="shared" si="5"/>
        <v>56</v>
      </c>
    </row>
    <row r="635">
      <c r="A635" s="6" t="s">
        <v>183</v>
      </c>
      <c r="B635" s="6" t="s">
        <v>2793</v>
      </c>
      <c r="C635" s="5">
        <f t="shared" si="1"/>
        <v>12</v>
      </c>
      <c r="D635" s="1" t="s">
        <v>116</v>
      </c>
      <c r="E635" s="1" t="s">
        <v>42</v>
      </c>
      <c r="F635" s="1" t="s">
        <v>17</v>
      </c>
      <c r="G635" s="6" t="s">
        <v>5658</v>
      </c>
      <c r="H635" s="5">
        <f t="shared" si="2"/>
        <v>2.1985</v>
      </c>
      <c r="I635" s="1" t="s">
        <v>2208</v>
      </c>
      <c r="J635" s="5">
        <f t="shared" si="3"/>
        <v>309.219405</v>
      </c>
      <c r="K635" s="1" t="s">
        <v>2209</v>
      </c>
      <c r="L635" s="5">
        <f t="shared" si="4"/>
        <v>0.8134</v>
      </c>
      <c r="M635" s="6" t="s">
        <v>5662</v>
      </c>
      <c r="N635" s="5">
        <f t="shared" si="5"/>
        <v>511</v>
      </c>
    </row>
    <row r="636">
      <c r="A636" s="6" t="s">
        <v>183</v>
      </c>
      <c r="B636" s="6" t="s">
        <v>2793</v>
      </c>
      <c r="C636" s="5">
        <f t="shared" si="1"/>
        <v>12</v>
      </c>
      <c r="D636" s="1" t="s">
        <v>116</v>
      </c>
      <c r="E636" s="1" t="s">
        <v>158</v>
      </c>
      <c r="F636" s="1" t="s">
        <v>39</v>
      </c>
      <c r="G636" s="1" t="s">
        <v>376</v>
      </c>
      <c r="H636" s="5">
        <f t="shared" si="2"/>
        <v>0.0002</v>
      </c>
      <c r="I636" s="1" t="s">
        <v>2210</v>
      </c>
      <c r="J636" s="5">
        <f t="shared" si="3"/>
        <v>0.094354</v>
      </c>
      <c r="K636" s="1" t="s">
        <v>596</v>
      </c>
      <c r="L636" s="5">
        <f t="shared" si="4"/>
        <v>0.0001</v>
      </c>
      <c r="M636" s="6" t="s">
        <v>291</v>
      </c>
      <c r="N636" s="5">
        <f t="shared" si="5"/>
        <v>0</v>
      </c>
    </row>
    <row r="637">
      <c r="A637" s="6" t="s">
        <v>183</v>
      </c>
      <c r="B637" s="6" t="s">
        <v>2793</v>
      </c>
      <c r="C637" s="5">
        <f t="shared" si="1"/>
        <v>12</v>
      </c>
      <c r="D637" s="1" t="s">
        <v>116</v>
      </c>
      <c r="E637" s="1" t="s">
        <v>158</v>
      </c>
      <c r="F637" s="1" t="s">
        <v>17</v>
      </c>
      <c r="G637" s="1" t="s">
        <v>2211</v>
      </c>
      <c r="H637" s="5">
        <f t="shared" si="2"/>
        <v>0.084</v>
      </c>
      <c r="I637" s="1" t="s">
        <v>2212</v>
      </c>
      <c r="J637" s="5">
        <f t="shared" si="3"/>
        <v>33.376419</v>
      </c>
      <c r="K637" s="1" t="s">
        <v>2213</v>
      </c>
      <c r="L637" s="5">
        <f t="shared" si="4"/>
        <v>0.0294</v>
      </c>
      <c r="M637" s="6" t="s">
        <v>291</v>
      </c>
      <c r="N637" s="5">
        <f t="shared" si="5"/>
        <v>0</v>
      </c>
    </row>
    <row r="638">
      <c r="A638" s="6" t="s">
        <v>183</v>
      </c>
      <c r="B638" s="6" t="s">
        <v>2793</v>
      </c>
      <c r="C638" s="5">
        <f t="shared" si="1"/>
        <v>12</v>
      </c>
      <c r="D638" s="1" t="s">
        <v>116</v>
      </c>
      <c r="E638" s="1" t="s">
        <v>158</v>
      </c>
      <c r="F638" s="1" t="s">
        <v>21</v>
      </c>
      <c r="G638" s="1" t="s">
        <v>2214</v>
      </c>
      <c r="H638" s="5">
        <f t="shared" si="2"/>
        <v>0.4299</v>
      </c>
      <c r="I638" s="1" t="s">
        <v>2215</v>
      </c>
      <c r="J638" s="5">
        <f t="shared" si="3"/>
        <v>232.877716</v>
      </c>
      <c r="K638" s="1" t="s">
        <v>2216</v>
      </c>
      <c r="L638" s="5">
        <f t="shared" si="4"/>
        <v>0.1805</v>
      </c>
      <c r="M638" s="6" t="s">
        <v>291</v>
      </c>
      <c r="N638" s="5">
        <f t="shared" si="5"/>
        <v>0</v>
      </c>
    </row>
    <row r="639">
      <c r="A639" s="6" t="s">
        <v>183</v>
      </c>
      <c r="B639" s="6" t="s">
        <v>2793</v>
      </c>
      <c r="C639" s="5">
        <f t="shared" si="1"/>
        <v>12</v>
      </c>
      <c r="D639" s="1" t="s">
        <v>116</v>
      </c>
      <c r="E639" s="1" t="s">
        <v>165</v>
      </c>
      <c r="F639" s="1" t="s">
        <v>39</v>
      </c>
      <c r="G639" s="1" t="s">
        <v>1476</v>
      </c>
      <c r="H639" s="5">
        <f t="shared" si="2"/>
        <v>0.3527</v>
      </c>
      <c r="I639" s="1" t="s">
        <v>2218</v>
      </c>
      <c r="J639" s="5">
        <f t="shared" si="3"/>
        <v>63.560267</v>
      </c>
      <c r="K639" s="1" t="s">
        <v>1478</v>
      </c>
      <c r="L639" s="5">
        <f t="shared" si="4"/>
        <v>0.0635</v>
      </c>
      <c r="M639" s="6" t="s">
        <v>5539</v>
      </c>
      <c r="N639" s="5">
        <f t="shared" si="5"/>
        <v>81</v>
      </c>
    </row>
    <row r="640">
      <c r="A640" s="6" t="s">
        <v>183</v>
      </c>
      <c r="B640" s="6" t="s">
        <v>2793</v>
      </c>
      <c r="C640" s="5">
        <f t="shared" si="1"/>
        <v>12</v>
      </c>
      <c r="D640" s="1" t="s">
        <v>116</v>
      </c>
      <c r="E640" s="1" t="s">
        <v>165</v>
      </c>
      <c r="F640" s="1" t="s">
        <v>17</v>
      </c>
      <c r="G640" s="1" t="s">
        <v>2219</v>
      </c>
      <c r="H640" s="5">
        <f t="shared" si="2"/>
        <v>0.7694</v>
      </c>
      <c r="I640" s="1" t="s">
        <v>2220</v>
      </c>
      <c r="J640" s="5">
        <f t="shared" si="3"/>
        <v>174.461142</v>
      </c>
      <c r="K640" s="1" t="s">
        <v>1102</v>
      </c>
      <c r="L640" s="5">
        <f t="shared" si="4"/>
        <v>0.2693</v>
      </c>
      <c r="M640" s="6" t="s">
        <v>2769</v>
      </c>
      <c r="N640" s="5">
        <f t="shared" si="5"/>
        <v>87</v>
      </c>
    </row>
    <row r="641">
      <c r="A641" s="6" t="s">
        <v>183</v>
      </c>
      <c r="B641" s="6" t="s">
        <v>2793</v>
      </c>
      <c r="C641" s="5">
        <f t="shared" si="1"/>
        <v>12</v>
      </c>
      <c r="D641" s="1" t="s">
        <v>116</v>
      </c>
      <c r="E641" s="1" t="s">
        <v>102</v>
      </c>
      <c r="F641" s="1" t="s">
        <v>17</v>
      </c>
      <c r="G641" s="1" t="s">
        <v>376</v>
      </c>
      <c r="H641" s="5">
        <f t="shared" si="2"/>
        <v>0.0002</v>
      </c>
      <c r="I641" s="1" t="s">
        <v>2221</v>
      </c>
      <c r="J641" s="5">
        <f t="shared" si="3"/>
        <v>0.073136</v>
      </c>
      <c r="K641" s="1" t="s">
        <v>596</v>
      </c>
      <c r="L641" s="5">
        <f t="shared" si="4"/>
        <v>0.0001</v>
      </c>
      <c r="M641" s="6" t="s">
        <v>186</v>
      </c>
      <c r="N641" s="5">
        <f t="shared" si="5"/>
        <v>1</v>
      </c>
    </row>
    <row r="642">
      <c r="A642" s="6" t="s">
        <v>183</v>
      </c>
      <c r="B642" s="6" t="s">
        <v>2793</v>
      </c>
      <c r="C642" s="5">
        <f t="shared" si="1"/>
        <v>12</v>
      </c>
      <c r="D642" s="1" t="s">
        <v>116</v>
      </c>
      <c r="E642" s="1" t="s">
        <v>102</v>
      </c>
      <c r="F642" s="1" t="s">
        <v>21</v>
      </c>
      <c r="G642" s="1" t="s">
        <v>250</v>
      </c>
      <c r="H642" s="5">
        <f t="shared" si="2"/>
        <v>0.6204</v>
      </c>
      <c r="I642" s="1" t="s">
        <v>2222</v>
      </c>
      <c r="J642" s="5">
        <f t="shared" si="3"/>
        <v>191.647874</v>
      </c>
      <c r="K642" s="1" t="s">
        <v>965</v>
      </c>
      <c r="L642" s="5">
        <f t="shared" si="4"/>
        <v>0.2481</v>
      </c>
      <c r="M642" s="6" t="s">
        <v>2767</v>
      </c>
      <c r="N642" s="5">
        <f t="shared" si="5"/>
        <v>124</v>
      </c>
    </row>
    <row r="643">
      <c r="A643" s="6" t="s">
        <v>183</v>
      </c>
      <c r="B643" s="6" t="s">
        <v>2793</v>
      </c>
      <c r="C643" s="5">
        <f t="shared" si="1"/>
        <v>12</v>
      </c>
      <c r="D643" s="1" t="s">
        <v>116</v>
      </c>
      <c r="E643" s="1" t="s">
        <v>1949</v>
      </c>
      <c r="F643" s="1" t="s">
        <v>14</v>
      </c>
      <c r="G643" s="1" t="s">
        <v>2223</v>
      </c>
      <c r="H643" s="5">
        <f t="shared" si="2"/>
        <v>0.0765</v>
      </c>
      <c r="I643" s="1" t="s">
        <v>2224</v>
      </c>
      <c r="J643" s="5">
        <f t="shared" si="3"/>
        <v>35.958112</v>
      </c>
      <c r="K643" s="1" t="s">
        <v>2225</v>
      </c>
      <c r="L643" s="5">
        <f t="shared" si="4"/>
        <v>0.0153</v>
      </c>
      <c r="M643" s="6" t="s">
        <v>291</v>
      </c>
      <c r="N643" s="5">
        <f t="shared" si="5"/>
        <v>0</v>
      </c>
    </row>
    <row r="644">
      <c r="A644" s="6" t="s">
        <v>183</v>
      </c>
      <c r="B644" s="6" t="s">
        <v>2793</v>
      </c>
      <c r="C644" s="5">
        <f t="shared" si="1"/>
        <v>12</v>
      </c>
      <c r="D644" s="1" t="s">
        <v>116</v>
      </c>
      <c r="E644" s="1" t="s">
        <v>1949</v>
      </c>
      <c r="F644" s="1" t="s">
        <v>17</v>
      </c>
      <c r="G644" s="1" t="s">
        <v>2226</v>
      </c>
      <c r="H644" s="5">
        <f t="shared" si="2"/>
        <v>0.2849</v>
      </c>
      <c r="I644" s="1" t="s">
        <v>2227</v>
      </c>
      <c r="J644" s="5">
        <f t="shared" si="3"/>
        <v>140.160417</v>
      </c>
      <c r="K644" s="1" t="s">
        <v>2228</v>
      </c>
      <c r="L644" s="5">
        <f t="shared" si="4"/>
        <v>0.0997</v>
      </c>
      <c r="M644" s="6" t="s">
        <v>291</v>
      </c>
      <c r="N644" s="5">
        <f t="shared" si="5"/>
        <v>0</v>
      </c>
    </row>
    <row r="645">
      <c r="A645" s="6" t="s">
        <v>183</v>
      </c>
      <c r="B645" s="6" t="s">
        <v>557</v>
      </c>
      <c r="C645" s="5">
        <f t="shared" si="1"/>
        <v>10</v>
      </c>
      <c r="D645" s="1" t="s">
        <v>12</v>
      </c>
      <c r="E645" s="1" t="s">
        <v>13</v>
      </c>
      <c r="F645" s="1" t="s">
        <v>2230</v>
      </c>
      <c r="G645" s="1" t="s">
        <v>2231</v>
      </c>
      <c r="H645" s="5">
        <f t="shared" si="2"/>
        <v>0.7753</v>
      </c>
      <c r="I645" s="1" t="s">
        <v>2232</v>
      </c>
      <c r="J645" s="5">
        <f t="shared" si="3"/>
        <v>41.856</v>
      </c>
      <c r="K645" s="1" t="s">
        <v>2233</v>
      </c>
      <c r="L645" s="5">
        <f t="shared" si="4"/>
        <v>0.155</v>
      </c>
      <c r="M645" s="6" t="s">
        <v>2669</v>
      </c>
      <c r="N645" s="5">
        <f t="shared" si="5"/>
        <v>13</v>
      </c>
    </row>
    <row r="646">
      <c r="A646" s="6" t="s">
        <v>183</v>
      </c>
      <c r="B646" s="6" t="s">
        <v>557</v>
      </c>
      <c r="C646" s="5">
        <f t="shared" si="1"/>
        <v>10</v>
      </c>
      <c r="D646" s="1" t="s">
        <v>68</v>
      </c>
      <c r="E646" s="1" t="s">
        <v>13</v>
      </c>
      <c r="F646" s="1" t="s">
        <v>2230</v>
      </c>
      <c r="G646" s="6" t="s">
        <v>5710</v>
      </c>
      <c r="H646" s="5">
        <f t="shared" si="2"/>
        <v>1.2062</v>
      </c>
      <c r="I646" s="1" t="s">
        <v>2234</v>
      </c>
      <c r="J646" s="5">
        <f t="shared" si="3"/>
        <v>76.9093</v>
      </c>
      <c r="K646" s="1" t="s">
        <v>1089</v>
      </c>
      <c r="L646" s="5">
        <f t="shared" si="4"/>
        <v>0.2412</v>
      </c>
      <c r="M646" s="6" t="s">
        <v>3651</v>
      </c>
      <c r="N646" s="5">
        <f t="shared" si="5"/>
        <v>367</v>
      </c>
    </row>
    <row r="647">
      <c r="A647" s="6" t="s">
        <v>183</v>
      </c>
      <c r="B647" s="6" t="s">
        <v>557</v>
      </c>
      <c r="C647" s="5">
        <f t="shared" si="1"/>
        <v>10</v>
      </c>
      <c r="D647" s="1" t="s">
        <v>116</v>
      </c>
      <c r="E647" s="1" t="s">
        <v>13</v>
      </c>
      <c r="F647" s="1" t="s">
        <v>2230</v>
      </c>
      <c r="G647" s="6" t="s">
        <v>5717</v>
      </c>
      <c r="H647" s="5">
        <f t="shared" si="2"/>
        <v>2.4604</v>
      </c>
      <c r="I647" s="1" t="s">
        <v>2235</v>
      </c>
      <c r="J647" s="5">
        <f t="shared" si="3"/>
        <v>151.083</v>
      </c>
      <c r="K647" s="1" t="s">
        <v>2237</v>
      </c>
      <c r="L647" s="5">
        <f t="shared" si="4"/>
        <v>0.4921</v>
      </c>
      <c r="M647" s="6" t="s">
        <v>5722</v>
      </c>
      <c r="N647" s="5">
        <f t="shared" si="5"/>
        <v>271</v>
      </c>
    </row>
    <row r="648">
      <c r="A648" s="6" t="s">
        <v>183</v>
      </c>
      <c r="B648" s="6" t="s">
        <v>2591</v>
      </c>
      <c r="C648" s="5">
        <f t="shared" si="1"/>
        <v>11</v>
      </c>
      <c r="D648" s="1" t="s">
        <v>12</v>
      </c>
      <c r="E648" s="1" t="s">
        <v>13</v>
      </c>
      <c r="F648" s="1" t="s">
        <v>2230</v>
      </c>
      <c r="G648" s="6" t="s">
        <v>5726</v>
      </c>
      <c r="H648" s="5">
        <f t="shared" si="2"/>
        <v>2.4715</v>
      </c>
      <c r="I648" s="1" t="s">
        <v>2238</v>
      </c>
      <c r="J648" s="5">
        <f t="shared" si="3"/>
        <v>173.9148</v>
      </c>
      <c r="K648" s="1" t="s">
        <v>2239</v>
      </c>
      <c r="L648" s="5">
        <f t="shared" si="4"/>
        <v>0.4943</v>
      </c>
      <c r="M648" s="6" t="s">
        <v>4508</v>
      </c>
      <c r="N648" s="5">
        <f t="shared" si="5"/>
        <v>170</v>
      </c>
    </row>
    <row r="649">
      <c r="A649" s="6" t="s">
        <v>183</v>
      </c>
      <c r="B649" s="6" t="s">
        <v>2591</v>
      </c>
      <c r="C649" s="5">
        <f t="shared" si="1"/>
        <v>11</v>
      </c>
      <c r="D649" s="1" t="s">
        <v>68</v>
      </c>
      <c r="E649" s="1" t="s">
        <v>13</v>
      </c>
      <c r="F649" s="1" t="s">
        <v>2230</v>
      </c>
      <c r="G649" s="1" t="s">
        <v>2240</v>
      </c>
      <c r="H649" s="5">
        <f t="shared" si="2"/>
        <v>17.7682</v>
      </c>
      <c r="I649" s="1" t="s">
        <v>2241</v>
      </c>
      <c r="J649" s="5">
        <f t="shared" si="3"/>
        <v>1109.3931</v>
      </c>
      <c r="K649" s="6" t="s">
        <v>5735</v>
      </c>
      <c r="L649" s="5">
        <f t="shared" si="4"/>
        <v>3.5537</v>
      </c>
      <c r="M649" s="6" t="s">
        <v>5737</v>
      </c>
      <c r="N649" s="5">
        <f t="shared" si="5"/>
        <v>1713</v>
      </c>
    </row>
    <row r="650">
      <c r="A650" s="6" t="s">
        <v>183</v>
      </c>
      <c r="B650" s="6" t="s">
        <v>2591</v>
      </c>
      <c r="C650" s="5">
        <f t="shared" si="1"/>
        <v>11</v>
      </c>
      <c r="D650" s="1" t="s">
        <v>116</v>
      </c>
      <c r="E650" s="1" t="s">
        <v>13</v>
      </c>
      <c r="F650" s="1" t="s">
        <v>2230</v>
      </c>
      <c r="G650" s="1" t="s">
        <v>2242</v>
      </c>
      <c r="H650" s="5">
        <f t="shared" si="2"/>
        <v>18.8734</v>
      </c>
      <c r="I650" s="1" t="s">
        <v>2243</v>
      </c>
      <c r="J650" s="5">
        <f t="shared" si="3"/>
        <v>1317.4916</v>
      </c>
      <c r="K650" s="6" t="s">
        <v>5740</v>
      </c>
      <c r="L650" s="5">
        <f t="shared" si="4"/>
        <v>3.7747</v>
      </c>
      <c r="M650" s="6" t="s">
        <v>5741</v>
      </c>
      <c r="N650" s="5">
        <f t="shared" si="5"/>
        <v>1607</v>
      </c>
    </row>
    <row r="651">
      <c r="A651" s="6" t="s">
        <v>183</v>
      </c>
      <c r="B651" s="6" t="s">
        <v>2793</v>
      </c>
      <c r="C651" s="5">
        <f t="shared" si="1"/>
        <v>12</v>
      </c>
      <c r="D651" s="1" t="s">
        <v>12</v>
      </c>
      <c r="E651" s="1" t="s">
        <v>13</v>
      </c>
      <c r="F651" s="1" t="s">
        <v>2230</v>
      </c>
      <c r="G651" s="1" t="s">
        <v>2244</v>
      </c>
      <c r="H651" s="5">
        <f t="shared" si="2"/>
        <v>36.9079</v>
      </c>
      <c r="I651" s="1" t="s">
        <v>2245</v>
      </c>
      <c r="J651" s="5">
        <f t="shared" si="3"/>
        <v>2267.3183</v>
      </c>
      <c r="K651" s="6" t="s">
        <v>5743</v>
      </c>
      <c r="L651" s="5">
        <f t="shared" si="4"/>
        <v>7.3816</v>
      </c>
      <c r="M651" s="6" t="s">
        <v>5744</v>
      </c>
      <c r="N651" s="5">
        <f t="shared" si="5"/>
        <v>468</v>
      </c>
    </row>
    <row r="652">
      <c r="A652" s="6" t="s">
        <v>183</v>
      </c>
      <c r="B652" s="6" t="s">
        <v>2793</v>
      </c>
      <c r="C652" s="5">
        <f t="shared" si="1"/>
        <v>12</v>
      </c>
      <c r="D652" s="1" t="s">
        <v>68</v>
      </c>
      <c r="E652" s="1" t="s">
        <v>13</v>
      </c>
      <c r="F652" s="1" t="s">
        <v>2230</v>
      </c>
      <c r="G652" s="1" t="s">
        <v>2246</v>
      </c>
      <c r="H652" s="5">
        <f t="shared" si="2"/>
        <v>20.2285</v>
      </c>
      <c r="I652" s="1" t="s">
        <v>2247</v>
      </c>
      <c r="J652" s="5">
        <f t="shared" si="3"/>
        <v>1371.255</v>
      </c>
      <c r="K652" s="6" t="s">
        <v>2248</v>
      </c>
      <c r="L652" s="5">
        <f t="shared" si="4"/>
        <v>4.0456</v>
      </c>
      <c r="M652" s="6" t="s">
        <v>5745</v>
      </c>
      <c r="N652" s="5">
        <f t="shared" si="5"/>
        <v>1889</v>
      </c>
    </row>
    <row r="653">
      <c r="A653" s="6" t="s">
        <v>183</v>
      </c>
      <c r="B653" s="6" t="s">
        <v>2793</v>
      </c>
      <c r="C653" s="5">
        <f t="shared" si="1"/>
        <v>12</v>
      </c>
      <c r="D653" s="1" t="s">
        <v>116</v>
      </c>
      <c r="E653" s="1" t="s">
        <v>13</v>
      </c>
      <c r="F653" s="1" t="s">
        <v>2230</v>
      </c>
      <c r="G653" s="1" t="s">
        <v>2249</v>
      </c>
      <c r="H653" s="5">
        <f t="shared" si="2"/>
        <v>40.6617</v>
      </c>
      <c r="I653" s="1" t="s">
        <v>2250</v>
      </c>
      <c r="J653" s="5">
        <f t="shared" si="3"/>
        <v>2642.1648</v>
      </c>
      <c r="K653" s="6" t="s">
        <v>2251</v>
      </c>
      <c r="L653" s="5">
        <f t="shared" si="4"/>
        <v>8.1324</v>
      </c>
      <c r="M653" s="6" t="s">
        <v>5746</v>
      </c>
      <c r="N653" s="5">
        <f t="shared" si="5"/>
        <v>2079</v>
      </c>
    </row>
    <row r="654">
      <c r="C654" s="13"/>
      <c r="H654" s="13"/>
      <c r="J654" s="13"/>
      <c r="L654" s="13"/>
      <c r="N654" s="13"/>
    </row>
    <row r="655">
      <c r="C655" s="13"/>
      <c r="H655" s="13"/>
      <c r="J655" s="13"/>
      <c r="L655" s="13"/>
      <c r="N655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  <col customWidth="1" min="3" max="3" width="16.88"/>
    <col customWidth="1" min="4" max="4" width="15.75"/>
    <col customWidth="1" min="5" max="5" width="24.1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366</v>
      </c>
      <c r="H1" s="8" t="s">
        <v>7</v>
      </c>
      <c r="I1" s="1" t="s">
        <v>9</v>
      </c>
      <c r="J1" s="1" t="s">
        <v>11</v>
      </c>
    </row>
    <row r="2">
      <c r="A2" s="1">
        <v>2021.0</v>
      </c>
      <c r="B2" s="1">
        <v>1.0</v>
      </c>
      <c r="C2" s="1" t="s">
        <v>12</v>
      </c>
      <c r="D2" s="1" t="s">
        <v>13</v>
      </c>
      <c r="E2" s="1" t="s">
        <v>14</v>
      </c>
      <c r="F2" s="3">
        <v>2076009.0</v>
      </c>
      <c r="G2" s="1" t="s">
        <v>375</v>
      </c>
      <c r="H2" s="1">
        <f t="shared" ref="H2:H676" si="1">VALUE(SUBSTITUTE(G2,".",","))/1000</f>
        <v>817.789128</v>
      </c>
      <c r="I2" s="3">
        <v>1786799.0</v>
      </c>
      <c r="J2" s="1">
        <v>545.0</v>
      </c>
      <c r="L2" s="7" t="b">
        <f>ISNUMBER(G2)</f>
        <v>0</v>
      </c>
    </row>
    <row r="3">
      <c r="A3" s="1">
        <v>2021.0</v>
      </c>
      <c r="B3" s="1">
        <v>1.0</v>
      </c>
      <c r="C3" s="1" t="s">
        <v>12</v>
      </c>
      <c r="D3" s="1" t="s">
        <v>13</v>
      </c>
      <c r="E3" s="1" t="s">
        <v>17</v>
      </c>
      <c r="F3" s="1" t="s">
        <v>385</v>
      </c>
      <c r="G3" s="1" t="s">
        <v>387</v>
      </c>
      <c r="H3" s="1">
        <f t="shared" si="1"/>
        <v>5598.975814</v>
      </c>
      <c r="I3" s="1" t="s">
        <v>389</v>
      </c>
      <c r="J3" s="1">
        <v>798.0</v>
      </c>
    </row>
    <row r="4">
      <c r="A4" s="1">
        <v>2021.0</v>
      </c>
      <c r="B4" s="1">
        <v>1.0</v>
      </c>
      <c r="C4" s="1" t="s">
        <v>12</v>
      </c>
      <c r="D4" s="1" t="s">
        <v>13</v>
      </c>
      <c r="E4" s="1" t="s">
        <v>21</v>
      </c>
      <c r="F4" s="1" t="s">
        <v>391</v>
      </c>
      <c r="G4" s="1" t="s">
        <v>392</v>
      </c>
      <c r="H4" s="1">
        <f t="shared" si="1"/>
        <v>4638.537271</v>
      </c>
      <c r="I4" s="1" t="s">
        <v>395</v>
      </c>
      <c r="J4" s="1">
        <v>569.0</v>
      </c>
    </row>
    <row r="5">
      <c r="A5" s="1">
        <v>2021.0</v>
      </c>
      <c r="B5" s="1">
        <v>1.0</v>
      </c>
      <c r="C5" s="1" t="s">
        <v>12</v>
      </c>
      <c r="D5" s="1" t="s">
        <v>13</v>
      </c>
      <c r="E5" s="1" t="s">
        <v>25</v>
      </c>
      <c r="F5" s="1" t="s">
        <v>144</v>
      </c>
      <c r="G5" s="1" t="s">
        <v>398</v>
      </c>
      <c r="H5" s="1">
        <f t="shared" si="1"/>
        <v>0.123992</v>
      </c>
      <c r="I5" s="1" t="s">
        <v>73</v>
      </c>
      <c r="J5" s="1">
        <v>1.0</v>
      </c>
    </row>
    <row r="6">
      <c r="A6" s="1">
        <v>2021.0</v>
      </c>
      <c r="B6" s="1">
        <v>1.0</v>
      </c>
      <c r="C6" s="1" t="s">
        <v>12</v>
      </c>
      <c r="D6" s="1" t="s">
        <v>29</v>
      </c>
      <c r="E6" s="1" t="s">
        <v>14</v>
      </c>
      <c r="F6" s="1" t="s">
        <v>402</v>
      </c>
      <c r="G6" s="1" t="s">
        <v>403</v>
      </c>
      <c r="H6" s="1">
        <f t="shared" si="1"/>
        <v>5.628921</v>
      </c>
      <c r="I6" s="1" t="s">
        <v>406</v>
      </c>
      <c r="J6" s="1">
        <v>6.0</v>
      </c>
    </row>
    <row r="7">
      <c r="A7" s="1">
        <v>2021.0</v>
      </c>
      <c r="B7" s="1">
        <v>1.0</v>
      </c>
      <c r="C7" s="1" t="s">
        <v>12</v>
      </c>
      <c r="D7" s="1" t="s">
        <v>29</v>
      </c>
      <c r="E7" s="1" t="s">
        <v>21</v>
      </c>
      <c r="F7" s="1" t="s">
        <v>408</v>
      </c>
      <c r="G7" s="1" t="s">
        <v>411</v>
      </c>
      <c r="H7" s="1">
        <f t="shared" si="1"/>
        <v>5589.670023</v>
      </c>
      <c r="I7" s="1" t="s">
        <v>413</v>
      </c>
      <c r="J7" s="1">
        <v>658.0</v>
      </c>
    </row>
    <row r="8">
      <c r="A8" s="1">
        <v>2021.0</v>
      </c>
      <c r="B8" s="1">
        <v>1.0</v>
      </c>
      <c r="C8" s="1" t="s">
        <v>12</v>
      </c>
      <c r="D8" s="1" t="s">
        <v>32</v>
      </c>
      <c r="E8" s="1" t="s">
        <v>14</v>
      </c>
      <c r="F8" s="3">
        <v>626452.0</v>
      </c>
      <c r="G8" s="1" t="s">
        <v>416</v>
      </c>
      <c r="H8" s="1">
        <f t="shared" si="1"/>
        <v>224.651122</v>
      </c>
      <c r="I8" s="1" t="s">
        <v>418</v>
      </c>
      <c r="J8" s="1">
        <v>366.0</v>
      </c>
    </row>
    <row r="9">
      <c r="A9" s="1">
        <v>2021.0</v>
      </c>
      <c r="B9" s="1">
        <v>1.0</v>
      </c>
      <c r="C9" s="1" t="s">
        <v>12</v>
      </c>
      <c r="D9" s="1" t="s">
        <v>32</v>
      </c>
      <c r="E9" s="1" t="s">
        <v>21</v>
      </c>
      <c r="F9" s="3">
        <v>821067.0</v>
      </c>
      <c r="G9" s="1" t="s">
        <v>422</v>
      </c>
      <c r="H9" s="1">
        <f t="shared" si="1"/>
        <v>172.739041</v>
      </c>
      <c r="I9" s="1" t="s">
        <v>425</v>
      </c>
      <c r="J9" s="1">
        <v>281.0</v>
      </c>
    </row>
    <row r="10">
      <c r="A10" s="1">
        <v>2021.0</v>
      </c>
      <c r="B10" s="1">
        <v>1.0</v>
      </c>
      <c r="C10" s="1" t="s">
        <v>12</v>
      </c>
      <c r="D10" s="1" t="s">
        <v>45</v>
      </c>
      <c r="E10" s="1" t="s">
        <v>17</v>
      </c>
      <c r="F10" s="3">
        <v>686383.0</v>
      </c>
      <c r="G10" s="1" t="s">
        <v>427</v>
      </c>
      <c r="H10" s="1">
        <f t="shared" si="1"/>
        <v>295.583894</v>
      </c>
      <c r="I10" s="3">
        <v>1410204.0</v>
      </c>
      <c r="J10" s="1">
        <v>234.0</v>
      </c>
    </row>
    <row r="11">
      <c r="A11" s="1">
        <v>2021.0</v>
      </c>
      <c r="B11" s="1">
        <v>1.0</v>
      </c>
      <c r="C11" s="1" t="s">
        <v>12</v>
      </c>
      <c r="D11" s="1" t="s">
        <v>38</v>
      </c>
      <c r="E11" s="1" t="s">
        <v>39</v>
      </c>
      <c r="F11" s="1" t="s">
        <v>432</v>
      </c>
      <c r="G11" s="1" t="s">
        <v>433</v>
      </c>
      <c r="H11" s="1">
        <f t="shared" si="1"/>
        <v>286.247337</v>
      </c>
      <c r="I11" s="1" t="s">
        <v>435</v>
      </c>
      <c r="J11" s="1">
        <v>102.0</v>
      </c>
    </row>
    <row r="12">
      <c r="A12" s="1">
        <v>2021.0</v>
      </c>
      <c r="B12" s="1">
        <v>1.0</v>
      </c>
      <c r="C12" s="1" t="s">
        <v>12</v>
      </c>
      <c r="D12" s="1" t="s">
        <v>42</v>
      </c>
      <c r="E12" s="1" t="s">
        <v>17</v>
      </c>
      <c r="F12" s="1" t="s">
        <v>437</v>
      </c>
      <c r="G12" s="1" t="s">
        <v>439</v>
      </c>
      <c r="H12" s="1">
        <f t="shared" si="1"/>
        <v>144.051522</v>
      </c>
      <c r="I12" s="1" t="s">
        <v>440</v>
      </c>
      <c r="J12" s="1">
        <v>93.0</v>
      </c>
    </row>
    <row r="13">
      <c r="A13" s="1">
        <v>2021.0</v>
      </c>
      <c r="B13" s="1">
        <v>1.0</v>
      </c>
      <c r="C13" s="1" t="s">
        <v>12</v>
      </c>
      <c r="D13" s="1" t="s">
        <v>48</v>
      </c>
      <c r="E13" s="1" t="s">
        <v>49</v>
      </c>
      <c r="F13" s="1" t="s">
        <v>445</v>
      </c>
      <c r="G13" s="1" t="s">
        <v>446</v>
      </c>
      <c r="H13" s="1">
        <f t="shared" si="1"/>
        <v>2.099316</v>
      </c>
      <c r="I13" s="1" t="s">
        <v>448</v>
      </c>
      <c r="J13" s="1">
        <v>2.0</v>
      </c>
    </row>
    <row r="14">
      <c r="A14" s="1">
        <v>2021.0</v>
      </c>
      <c r="B14" s="1">
        <v>1.0</v>
      </c>
      <c r="C14" s="1" t="s">
        <v>12</v>
      </c>
      <c r="D14" s="1" t="s">
        <v>48</v>
      </c>
      <c r="E14" s="1" t="s">
        <v>21</v>
      </c>
      <c r="F14" s="3">
        <v>39814.0</v>
      </c>
      <c r="G14" s="1" t="s">
        <v>450</v>
      </c>
      <c r="H14" s="1">
        <f t="shared" si="1"/>
        <v>128.384194</v>
      </c>
      <c r="I14" s="1" t="s">
        <v>452</v>
      </c>
      <c r="J14" s="1">
        <v>122.0</v>
      </c>
    </row>
    <row r="15">
      <c r="A15" s="1">
        <v>2021.0</v>
      </c>
      <c r="B15" s="1">
        <v>1.0</v>
      </c>
      <c r="C15" s="1" t="s">
        <v>12</v>
      </c>
      <c r="D15" s="1" t="s">
        <v>56</v>
      </c>
      <c r="E15" s="1" t="s">
        <v>21</v>
      </c>
      <c r="F15" s="1" t="s">
        <v>454</v>
      </c>
      <c r="G15" s="1" t="s">
        <v>456</v>
      </c>
      <c r="H15" s="1">
        <f t="shared" si="1"/>
        <v>72.269303</v>
      </c>
      <c r="I15" s="1" t="s">
        <v>458</v>
      </c>
      <c r="J15" s="1">
        <v>167.0</v>
      </c>
    </row>
    <row r="16">
      <c r="A16" s="1">
        <v>2021.0</v>
      </c>
      <c r="B16" s="1">
        <v>1.0</v>
      </c>
      <c r="C16" s="1" t="s">
        <v>12</v>
      </c>
      <c r="D16" s="1" t="s">
        <v>64</v>
      </c>
      <c r="E16" s="1" t="s">
        <v>39</v>
      </c>
      <c r="F16" s="1" t="s">
        <v>460</v>
      </c>
      <c r="G16" s="1" t="s">
        <v>462</v>
      </c>
      <c r="H16" s="1">
        <f t="shared" si="1"/>
        <v>35.374751</v>
      </c>
      <c r="I16" s="1" t="s">
        <v>464</v>
      </c>
      <c r="J16" s="1">
        <v>88.0</v>
      </c>
    </row>
    <row r="17">
      <c r="A17" s="1">
        <v>2021.0</v>
      </c>
      <c r="B17" s="1">
        <v>1.0</v>
      </c>
      <c r="C17" s="1" t="s">
        <v>12</v>
      </c>
      <c r="D17" s="1" t="s">
        <v>64</v>
      </c>
      <c r="E17" s="1" t="s">
        <v>21</v>
      </c>
      <c r="F17" s="1" t="s">
        <v>467</v>
      </c>
      <c r="G17" s="1" t="s">
        <v>469</v>
      </c>
      <c r="H17" s="1">
        <f t="shared" si="1"/>
        <v>3.081309</v>
      </c>
      <c r="I17" s="1" t="s">
        <v>470</v>
      </c>
      <c r="J17" s="1">
        <v>11.0</v>
      </c>
    </row>
    <row r="18">
      <c r="A18" s="1">
        <v>2021.0</v>
      </c>
      <c r="B18" s="1">
        <v>1.0</v>
      </c>
      <c r="C18" s="1" t="s">
        <v>12</v>
      </c>
      <c r="D18" s="1" t="s">
        <v>60</v>
      </c>
      <c r="E18" s="1" t="s">
        <v>39</v>
      </c>
      <c r="F18" s="1" t="s">
        <v>473</v>
      </c>
      <c r="G18" s="1" t="s">
        <v>474</v>
      </c>
      <c r="H18" s="1">
        <f t="shared" si="1"/>
        <v>37.134448</v>
      </c>
      <c r="I18" s="1" t="s">
        <v>476</v>
      </c>
      <c r="J18" s="1">
        <v>0.0</v>
      </c>
    </row>
    <row r="19">
      <c r="A19" s="1">
        <v>2021.0</v>
      </c>
      <c r="B19" s="1">
        <v>1.0</v>
      </c>
      <c r="C19" s="1" t="s">
        <v>12</v>
      </c>
      <c r="D19" s="1" t="s">
        <v>60</v>
      </c>
      <c r="E19" s="1" t="s">
        <v>17</v>
      </c>
      <c r="F19" s="1" t="s">
        <v>479</v>
      </c>
      <c r="G19" s="1" t="s">
        <v>480</v>
      </c>
      <c r="H19" s="1">
        <f t="shared" si="1"/>
        <v>0.156283</v>
      </c>
      <c r="I19" s="1" t="s">
        <v>75</v>
      </c>
      <c r="J19" s="1">
        <v>0.0</v>
      </c>
    </row>
    <row r="20">
      <c r="A20" s="1">
        <v>2021.0</v>
      </c>
      <c r="B20" s="1">
        <v>1.0</v>
      </c>
      <c r="C20" s="1" t="s">
        <v>68</v>
      </c>
      <c r="D20" s="1" t="s">
        <v>13</v>
      </c>
      <c r="E20" s="1" t="s">
        <v>14</v>
      </c>
      <c r="F20" s="1" t="s">
        <v>485</v>
      </c>
      <c r="G20" s="1" t="s">
        <v>486</v>
      </c>
      <c r="H20" s="1">
        <f t="shared" si="1"/>
        <v>3633.450875</v>
      </c>
      <c r="I20" s="3">
        <v>2061765.0</v>
      </c>
      <c r="J20" s="1">
        <v>8174.0</v>
      </c>
    </row>
    <row r="21">
      <c r="A21" s="1">
        <v>2021.0</v>
      </c>
      <c r="B21" s="1">
        <v>1.0</v>
      </c>
      <c r="C21" s="1" t="s">
        <v>68</v>
      </c>
      <c r="D21" s="1" t="s">
        <v>13</v>
      </c>
      <c r="E21" s="1" t="s">
        <v>17</v>
      </c>
      <c r="F21" s="1" t="s">
        <v>489</v>
      </c>
      <c r="G21" s="1" t="s">
        <v>490</v>
      </c>
      <c r="H21" s="1">
        <f t="shared" si="1"/>
        <v>5188.030768</v>
      </c>
      <c r="I21" s="1" t="s">
        <v>493</v>
      </c>
      <c r="J21" s="1">
        <v>8539.0</v>
      </c>
    </row>
    <row r="22">
      <c r="A22" s="1">
        <v>2021.0</v>
      </c>
      <c r="B22" s="1">
        <v>1.0</v>
      </c>
      <c r="C22" s="1" t="s">
        <v>68</v>
      </c>
      <c r="D22" s="1" t="s">
        <v>13</v>
      </c>
      <c r="E22" s="1" t="s">
        <v>21</v>
      </c>
      <c r="F22" s="3">
        <v>1949027.0</v>
      </c>
      <c r="G22" s="1" t="s">
        <v>496</v>
      </c>
      <c r="H22" s="1">
        <f t="shared" si="1"/>
        <v>698.288024</v>
      </c>
      <c r="I22" s="3">
        <v>627520.0</v>
      </c>
      <c r="J22" s="1">
        <v>791.0</v>
      </c>
    </row>
    <row r="23">
      <c r="A23" s="1">
        <v>2021.0</v>
      </c>
      <c r="B23" s="1">
        <v>1.0</v>
      </c>
      <c r="C23" s="1" t="s">
        <v>68</v>
      </c>
      <c r="D23" s="1" t="s">
        <v>13</v>
      </c>
      <c r="E23" s="1" t="s">
        <v>25</v>
      </c>
      <c r="F23" s="1" t="s">
        <v>500</v>
      </c>
      <c r="G23" s="1" t="s">
        <v>501</v>
      </c>
      <c r="H23" s="1">
        <f t="shared" si="1"/>
        <v>44.558407</v>
      </c>
      <c r="I23" s="1" t="s">
        <v>504</v>
      </c>
      <c r="J23" s="1">
        <v>174.0</v>
      </c>
    </row>
    <row r="24">
      <c r="A24" s="1">
        <v>2021.0</v>
      </c>
      <c r="B24" s="1">
        <v>1.0</v>
      </c>
      <c r="C24" s="1" t="s">
        <v>68</v>
      </c>
      <c r="D24" s="1" t="s">
        <v>29</v>
      </c>
      <c r="E24" s="1" t="s">
        <v>14</v>
      </c>
      <c r="F24" s="1" t="s">
        <v>507</v>
      </c>
      <c r="G24" s="1" t="s">
        <v>508</v>
      </c>
      <c r="H24" s="1">
        <f t="shared" si="1"/>
        <v>0.976688</v>
      </c>
      <c r="I24" s="1" t="s">
        <v>103</v>
      </c>
      <c r="J24" s="1">
        <v>2.0</v>
      </c>
    </row>
    <row r="25">
      <c r="A25" s="1">
        <v>2021.0</v>
      </c>
      <c r="B25" s="1">
        <v>1.0</v>
      </c>
      <c r="C25" s="1" t="s">
        <v>68</v>
      </c>
      <c r="D25" s="1" t="s">
        <v>29</v>
      </c>
      <c r="E25" s="1" t="s">
        <v>21</v>
      </c>
      <c r="F25" s="1" t="s">
        <v>512</v>
      </c>
      <c r="G25" s="1" t="s">
        <v>513</v>
      </c>
      <c r="H25" s="1">
        <f t="shared" si="1"/>
        <v>1395.983538</v>
      </c>
      <c r="I25" s="3">
        <v>1644720.0</v>
      </c>
      <c r="J25" s="1">
        <v>704.0</v>
      </c>
    </row>
    <row r="26">
      <c r="A26" s="1">
        <v>2021.0</v>
      </c>
      <c r="B26" s="1">
        <v>1.0</v>
      </c>
      <c r="C26" s="1" t="s">
        <v>68</v>
      </c>
      <c r="D26" s="1" t="s">
        <v>45</v>
      </c>
      <c r="E26" s="1" t="s">
        <v>17</v>
      </c>
      <c r="F26" s="1" t="s">
        <v>518</v>
      </c>
      <c r="G26" s="1" t="s">
        <v>519</v>
      </c>
      <c r="H26" s="1">
        <f t="shared" si="1"/>
        <v>1012.00119</v>
      </c>
      <c r="I26" s="3">
        <v>2674854.0</v>
      </c>
      <c r="J26" s="1">
        <v>1738.0</v>
      </c>
    </row>
    <row r="27">
      <c r="A27" s="1">
        <v>2021.0</v>
      </c>
      <c r="B27" s="1">
        <v>1.0</v>
      </c>
      <c r="C27" s="1" t="s">
        <v>68</v>
      </c>
      <c r="D27" s="1" t="s">
        <v>32</v>
      </c>
      <c r="E27" s="1" t="s">
        <v>14</v>
      </c>
      <c r="F27" s="1" t="s">
        <v>523</v>
      </c>
      <c r="G27" s="1" t="s">
        <v>525</v>
      </c>
      <c r="H27" s="1">
        <f t="shared" si="1"/>
        <v>248.807815</v>
      </c>
      <c r="I27" s="1" t="s">
        <v>527</v>
      </c>
      <c r="J27" s="1">
        <v>1602.0</v>
      </c>
    </row>
    <row r="28">
      <c r="A28" s="1">
        <v>2021.0</v>
      </c>
      <c r="B28" s="1">
        <v>1.0</v>
      </c>
      <c r="C28" s="1" t="s">
        <v>68</v>
      </c>
      <c r="D28" s="1" t="s">
        <v>32</v>
      </c>
      <c r="E28" s="1" t="s">
        <v>21</v>
      </c>
      <c r="F28" s="1" t="s">
        <v>529</v>
      </c>
      <c r="G28" s="1" t="s">
        <v>531</v>
      </c>
      <c r="H28" s="1">
        <f t="shared" si="1"/>
        <v>121.949721</v>
      </c>
      <c r="I28" s="1" t="s">
        <v>532</v>
      </c>
      <c r="J28" s="1">
        <v>498.0</v>
      </c>
    </row>
    <row r="29">
      <c r="A29" s="1">
        <v>2021.0</v>
      </c>
      <c r="B29" s="1">
        <v>1.0</v>
      </c>
      <c r="C29" s="1" t="s">
        <v>68</v>
      </c>
      <c r="D29" s="1" t="s">
        <v>38</v>
      </c>
      <c r="E29" s="1" t="s">
        <v>39</v>
      </c>
      <c r="F29" s="3">
        <v>1344825.0</v>
      </c>
      <c r="G29" s="1" t="s">
        <v>535</v>
      </c>
      <c r="H29" s="1">
        <f t="shared" si="1"/>
        <v>144.102644</v>
      </c>
      <c r="I29" s="1" t="s">
        <v>536</v>
      </c>
      <c r="J29" s="1">
        <v>254.0</v>
      </c>
    </row>
    <row r="30">
      <c r="A30" s="1">
        <v>2021.0</v>
      </c>
      <c r="B30" s="1">
        <v>1.0</v>
      </c>
      <c r="C30" s="1" t="s">
        <v>68</v>
      </c>
      <c r="D30" s="1" t="s">
        <v>42</v>
      </c>
      <c r="E30" s="1" t="s">
        <v>17</v>
      </c>
      <c r="F30" s="1" t="s">
        <v>540</v>
      </c>
      <c r="G30" s="1" t="s">
        <v>541</v>
      </c>
      <c r="H30" s="1">
        <f t="shared" si="1"/>
        <v>139.276358</v>
      </c>
      <c r="I30" s="1" t="s">
        <v>542</v>
      </c>
      <c r="J30" s="1">
        <v>390.0</v>
      </c>
    </row>
    <row r="31">
      <c r="A31" s="1">
        <v>2021.0</v>
      </c>
      <c r="B31" s="1">
        <v>1.0</v>
      </c>
      <c r="C31" s="1" t="s">
        <v>68</v>
      </c>
      <c r="D31" s="1" t="s">
        <v>544</v>
      </c>
      <c r="E31" s="1" t="s">
        <v>17</v>
      </c>
      <c r="F31" s="1" t="s">
        <v>546</v>
      </c>
      <c r="G31" s="1" t="s">
        <v>548</v>
      </c>
      <c r="H31" s="1">
        <f t="shared" si="1"/>
        <v>69.099011</v>
      </c>
      <c r="I31" s="1" t="s">
        <v>549</v>
      </c>
      <c r="J31" s="1">
        <v>222.0</v>
      </c>
    </row>
    <row r="32">
      <c r="A32" s="1">
        <v>2021.0</v>
      </c>
      <c r="B32" s="1">
        <v>1.0</v>
      </c>
      <c r="C32" s="1" t="s">
        <v>68</v>
      </c>
      <c r="D32" s="1" t="s">
        <v>98</v>
      </c>
      <c r="E32" s="1" t="s">
        <v>17</v>
      </c>
      <c r="F32" s="1" t="s">
        <v>162</v>
      </c>
      <c r="G32" s="1" t="s">
        <v>551</v>
      </c>
      <c r="H32" s="1">
        <f t="shared" si="1"/>
        <v>68.459953</v>
      </c>
      <c r="I32" s="1" t="s">
        <v>553</v>
      </c>
      <c r="J32" s="1">
        <v>121.0</v>
      </c>
    </row>
    <row r="33">
      <c r="A33" s="1">
        <v>2021.0</v>
      </c>
      <c r="B33" s="1">
        <v>1.0</v>
      </c>
      <c r="C33" s="1" t="s">
        <v>68</v>
      </c>
      <c r="D33" s="1" t="s">
        <v>165</v>
      </c>
      <c r="E33" s="1" t="s">
        <v>39</v>
      </c>
      <c r="F33" s="1" t="s">
        <v>555</v>
      </c>
      <c r="G33" s="1" t="s">
        <v>558</v>
      </c>
      <c r="H33" s="1">
        <f t="shared" si="1"/>
        <v>3.688142</v>
      </c>
      <c r="I33" s="1" t="s">
        <v>561</v>
      </c>
      <c r="J33" s="1">
        <v>0.0</v>
      </c>
    </row>
    <row r="34">
      <c r="A34" s="1">
        <v>2021.0</v>
      </c>
      <c r="B34" s="1">
        <v>1.0</v>
      </c>
      <c r="C34" s="1" t="s">
        <v>68</v>
      </c>
      <c r="D34" s="1" t="s">
        <v>165</v>
      </c>
      <c r="E34" s="1" t="s">
        <v>17</v>
      </c>
      <c r="F34" s="1" t="s">
        <v>565</v>
      </c>
      <c r="G34" s="1" t="s">
        <v>566</v>
      </c>
      <c r="H34" s="1">
        <f t="shared" si="1"/>
        <v>52.410371</v>
      </c>
      <c r="I34" s="1" t="s">
        <v>568</v>
      </c>
      <c r="J34" s="1">
        <v>0.0</v>
      </c>
    </row>
    <row r="35">
      <c r="A35" s="1">
        <v>2021.0</v>
      </c>
      <c r="B35" s="1">
        <v>1.0</v>
      </c>
      <c r="C35" s="1" t="s">
        <v>68</v>
      </c>
      <c r="D35" s="1" t="s">
        <v>48</v>
      </c>
      <c r="E35" s="1" t="s">
        <v>49</v>
      </c>
      <c r="F35" s="1" t="s">
        <v>315</v>
      </c>
      <c r="G35" s="1" t="s">
        <v>571</v>
      </c>
      <c r="H35" s="1">
        <f t="shared" si="1"/>
        <v>1.31717</v>
      </c>
      <c r="I35" s="1" t="s">
        <v>574</v>
      </c>
      <c r="J35" s="1">
        <v>2.0</v>
      </c>
    </row>
    <row r="36">
      <c r="A36" s="1">
        <v>2021.0</v>
      </c>
      <c r="B36" s="1">
        <v>1.0</v>
      </c>
      <c r="C36" s="1" t="s">
        <v>68</v>
      </c>
      <c r="D36" s="1" t="s">
        <v>48</v>
      </c>
      <c r="E36" s="1" t="s">
        <v>21</v>
      </c>
      <c r="F36" s="1" t="s">
        <v>578</v>
      </c>
      <c r="G36" s="1" t="s">
        <v>579</v>
      </c>
      <c r="H36" s="1">
        <f t="shared" si="1"/>
        <v>44.008199</v>
      </c>
      <c r="I36" s="1" t="s">
        <v>581</v>
      </c>
      <c r="J36" s="1">
        <v>280.0</v>
      </c>
    </row>
    <row r="37">
      <c r="A37" s="1">
        <v>2021.0</v>
      </c>
      <c r="B37" s="1">
        <v>1.0</v>
      </c>
      <c r="C37" s="1" t="s">
        <v>116</v>
      </c>
      <c r="D37" s="1" t="s">
        <v>13</v>
      </c>
      <c r="E37" s="1" t="s">
        <v>14</v>
      </c>
      <c r="F37" s="1" t="s">
        <v>584</v>
      </c>
      <c r="G37" s="1" t="s">
        <v>586</v>
      </c>
      <c r="H37" s="1">
        <f t="shared" si="1"/>
        <v>5815.674717</v>
      </c>
      <c r="I37" s="1" t="s">
        <v>588</v>
      </c>
      <c r="J37" s="1">
        <v>11628.0</v>
      </c>
    </row>
    <row r="38">
      <c r="A38" s="1">
        <v>2021.0</v>
      </c>
      <c r="B38" s="1">
        <v>1.0</v>
      </c>
      <c r="C38" s="1" t="s">
        <v>116</v>
      </c>
      <c r="D38" s="1" t="s">
        <v>13</v>
      </c>
      <c r="E38" s="1" t="s">
        <v>17</v>
      </c>
      <c r="F38" s="1" t="s">
        <v>591</v>
      </c>
      <c r="G38" s="1" t="s">
        <v>593</v>
      </c>
      <c r="H38" s="1">
        <f t="shared" si="1"/>
        <v>13070.82816</v>
      </c>
      <c r="I38" s="1" t="s">
        <v>594</v>
      </c>
      <c r="J38" s="1">
        <v>15787.0</v>
      </c>
    </row>
    <row r="39">
      <c r="A39" s="1">
        <v>2021.0</v>
      </c>
      <c r="B39" s="1">
        <v>1.0</v>
      </c>
      <c r="C39" s="1" t="s">
        <v>116</v>
      </c>
      <c r="D39" s="1" t="s">
        <v>13</v>
      </c>
      <c r="E39" s="1" t="s">
        <v>21</v>
      </c>
      <c r="F39" s="1" t="s">
        <v>597</v>
      </c>
      <c r="G39" s="1" t="s">
        <v>598</v>
      </c>
      <c r="H39" s="1">
        <f t="shared" si="1"/>
        <v>1152.899461</v>
      </c>
      <c r="I39" s="3">
        <v>1776266.0</v>
      </c>
      <c r="J39" s="1">
        <v>796.0</v>
      </c>
    </row>
    <row r="40">
      <c r="A40" s="1">
        <v>2021.0</v>
      </c>
      <c r="B40" s="1">
        <v>1.0</v>
      </c>
      <c r="C40" s="1" t="s">
        <v>116</v>
      </c>
      <c r="D40" s="1" t="s">
        <v>13</v>
      </c>
      <c r="E40" s="1" t="s">
        <v>25</v>
      </c>
      <c r="F40" s="1" t="s">
        <v>602</v>
      </c>
      <c r="G40" s="1" t="s">
        <v>603</v>
      </c>
      <c r="H40" s="1">
        <f t="shared" si="1"/>
        <v>9.090562</v>
      </c>
      <c r="I40" s="1" t="s">
        <v>605</v>
      </c>
      <c r="J40" s="1">
        <v>34.0</v>
      </c>
    </row>
    <row r="41">
      <c r="A41" s="1">
        <v>2021.0</v>
      </c>
      <c r="B41" s="1">
        <v>1.0</v>
      </c>
      <c r="C41" s="1" t="s">
        <v>116</v>
      </c>
      <c r="D41" s="1" t="s">
        <v>29</v>
      </c>
      <c r="E41" s="1" t="s">
        <v>14</v>
      </c>
      <c r="F41" s="1" t="s">
        <v>608</v>
      </c>
      <c r="G41" s="1" t="s">
        <v>609</v>
      </c>
      <c r="H41" s="1">
        <f t="shared" si="1"/>
        <v>0.655369</v>
      </c>
      <c r="I41" s="1" t="s">
        <v>479</v>
      </c>
      <c r="J41" s="1">
        <v>2.0</v>
      </c>
    </row>
    <row r="42">
      <c r="A42" s="1">
        <v>2021.0</v>
      </c>
      <c r="B42" s="1">
        <v>1.0</v>
      </c>
      <c r="C42" s="1" t="s">
        <v>116</v>
      </c>
      <c r="D42" s="1" t="s">
        <v>29</v>
      </c>
      <c r="E42" s="1" t="s">
        <v>21</v>
      </c>
      <c r="F42" s="1" t="s">
        <v>614</v>
      </c>
      <c r="G42" s="1" t="s">
        <v>615</v>
      </c>
      <c r="H42" s="1">
        <f t="shared" si="1"/>
        <v>8107.083433</v>
      </c>
      <c r="I42" s="1" t="s">
        <v>617</v>
      </c>
      <c r="J42" s="1">
        <v>1820.0</v>
      </c>
    </row>
    <row r="43">
      <c r="A43" s="1">
        <v>2021.0</v>
      </c>
      <c r="B43" s="1">
        <v>1.0</v>
      </c>
      <c r="C43" s="1" t="s">
        <v>116</v>
      </c>
      <c r="D43" s="1" t="s">
        <v>45</v>
      </c>
      <c r="E43" s="1" t="s">
        <v>17</v>
      </c>
      <c r="F43" s="1" t="s">
        <v>621</v>
      </c>
      <c r="G43" s="1" t="s">
        <v>622</v>
      </c>
      <c r="H43" s="1">
        <f t="shared" si="1"/>
        <v>2073.765747</v>
      </c>
      <c r="I43" s="1" t="s">
        <v>623</v>
      </c>
      <c r="J43" s="1">
        <v>2184.0</v>
      </c>
    </row>
    <row r="44">
      <c r="A44" s="1">
        <v>2021.0</v>
      </c>
      <c r="B44" s="1">
        <v>1.0</v>
      </c>
      <c r="C44" s="1" t="s">
        <v>116</v>
      </c>
      <c r="D44" s="1" t="s">
        <v>32</v>
      </c>
      <c r="E44" s="1" t="s">
        <v>14</v>
      </c>
      <c r="F44" s="3">
        <v>2158981.0</v>
      </c>
      <c r="G44" s="1" t="s">
        <v>628</v>
      </c>
      <c r="H44" s="1">
        <f t="shared" si="1"/>
        <v>190.909025</v>
      </c>
      <c r="I44" s="1" t="s">
        <v>629</v>
      </c>
      <c r="J44" s="1">
        <v>842.0</v>
      </c>
    </row>
    <row r="45">
      <c r="A45" s="1">
        <v>2021.0</v>
      </c>
      <c r="B45" s="1">
        <v>1.0</v>
      </c>
      <c r="C45" s="1" t="s">
        <v>116</v>
      </c>
      <c r="D45" s="1" t="s">
        <v>32</v>
      </c>
      <c r="E45" s="1" t="s">
        <v>21</v>
      </c>
      <c r="F45" s="3">
        <v>606059.0</v>
      </c>
      <c r="G45" s="1" t="s">
        <v>632</v>
      </c>
      <c r="H45" s="1">
        <f t="shared" si="1"/>
        <v>807.009751</v>
      </c>
      <c r="I45" s="3">
        <v>804297.0</v>
      </c>
      <c r="J45" s="1">
        <v>1879.0</v>
      </c>
    </row>
    <row r="46">
      <c r="A46" s="1">
        <v>2021.0</v>
      </c>
      <c r="B46" s="1">
        <v>1.0</v>
      </c>
      <c r="C46" s="1" t="s">
        <v>116</v>
      </c>
      <c r="D46" s="1" t="s">
        <v>147</v>
      </c>
      <c r="E46" s="1" t="s">
        <v>39</v>
      </c>
      <c r="F46" s="3">
        <v>2230538.0</v>
      </c>
      <c r="G46" s="1" t="s">
        <v>634</v>
      </c>
      <c r="H46" s="1">
        <f t="shared" si="1"/>
        <v>496.770161</v>
      </c>
      <c r="I46" s="1" t="s">
        <v>635</v>
      </c>
      <c r="J46" s="1">
        <v>96.0</v>
      </c>
    </row>
    <row r="47">
      <c r="A47" s="1">
        <v>2021.0</v>
      </c>
      <c r="B47" s="1">
        <v>1.0</v>
      </c>
      <c r="C47" s="1" t="s">
        <v>116</v>
      </c>
      <c r="D47" s="1" t="s">
        <v>147</v>
      </c>
      <c r="E47" s="1" t="s">
        <v>17</v>
      </c>
      <c r="F47" s="1" t="s">
        <v>637</v>
      </c>
      <c r="G47" s="1" t="s">
        <v>638</v>
      </c>
      <c r="H47" s="1">
        <f t="shared" si="1"/>
        <v>10.777786</v>
      </c>
      <c r="I47" s="1" t="s">
        <v>639</v>
      </c>
      <c r="J47" s="1">
        <v>8.0</v>
      </c>
    </row>
    <row r="48">
      <c r="A48" s="1">
        <v>2021.0</v>
      </c>
      <c r="B48" s="1">
        <v>1.0</v>
      </c>
      <c r="C48" s="1" t="s">
        <v>116</v>
      </c>
      <c r="D48" s="1" t="s">
        <v>147</v>
      </c>
      <c r="E48" s="1" t="s">
        <v>21</v>
      </c>
      <c r="F48" s="1" t="s">
        <v>641</v>
      </c>
      <c r="G48" s="1" t="s">
        <v>643</v>
      </c>
      <c r="H48" s="1">
        <f t="shared" si="1"/>
        <v>35.072661</v>
      </c>
      <c r="I48" s="1" t="s">
        <v>645</v>
      </c>
      <c r="J48" s="1">
        <v>48.0</v>
      </c>
    </row>
    <row r="49">
      <c r="A49" s="1">
        <v>2021.0</v>
      </c>
      <c r="B49" s="1">
        <v>1.0</v>
      </c>
      <c r="C49" s="1" t="s">
        <v>116</v>
      </c>
      <c r="D49" s="1" t="s">
        <v>42</v>
      </c>
      <c r="E49" s="1" t="s">
        <v>17</v>
      </c>
      <c r="F49" s="3" t="s">
        <v>647</v>
      </c>
      <c r="G49" s="1" t="s">
        <v>648</v>
      </c>
      <c r="H49" s="1">
        <f t="shared" si="1"/>
        <v>341.345026</v>
      </c>
      <c r="I49" s="1" t="s">
        <v>649</v>
      </c>
      <c r="J49" s="1">
        <v>289.0</v>
      </c>
    </row>
    <row r="50">
      <c r="A50" s="1">
        <v>2021.0</v>
      </c>
      <c r="B50" s="1">
        <v>1.0</v>
      </c>
      <c r="C50" s="1" t="s">
        <v>116</v>
      </c>
      <c r="D50" s="1" t="s">
        <v>165</v>
      </c>
      <c r="E50" s="1" t="s">
        <v>39</v>
      </c>
      <c r="F50" s="1" t="s">
        <v>652</v>
      </c>
      <c r="G50" s="1" t="s">
        <v>653</v>
      </c>
      <c r="H50" s="1">
        <f t="shared" si="1"/>
        <v>59.056692</v>
      </c>
      <c r="I50" s="1" t="s">
        <v>654</v>
      </c>
      <c r="J50" s="1">
        <v>75.0</v>
      </c>
    </row>
    <row r="51">
      <c r="A51" s="1">
        <v>2021.0</v>
      </c>
      <c r="B51" s="1">
        <v>1.0</v>
      </c>
      <c r="C51" s="1" t="s">
        <v>116</v>
      </c>
      <c r="D51" s="1" t="s">
        <v>165</v>
      </c>
      <c r="E51" s="1" t="s">
        <v>17</v>
      </c>
      <c r="F51" s="1" t="s">
        <v>657</v>
      </c>
      <c r="G51" s="1" t="s">
        <v>659</v>
      </c>
      <c r="H51" s="1">
        <f t="shared" si="1"/>
        <v>246.981215</v>
      </c>
      <c r="I51" s="1" t="s">
        <v>661</v>
      </c>
      <c r="J51" s="1">
        <v>88.0</v>
      </c>
    </row>
    <row r="52">
      <c r="A52" s="1">
        <v>2021.0</v>
      </c>
      <c r="B52" s="1">
        <v>1.0</v>
      </c>
      <c r="C52" s="1" t="s">
        <v>116</v>
      </c>
      <c r="D52" s="1" t="s">
        <v>330</v>
      </c>
      <c r="E52" s="1" t="s">
        <v>17</v>
      </c>
      <c r="F52" s="3">
        <v>356114.0</v>
      </c>
      <c r="G52" s="1" t="s">
        <v>663</v>
      </c>
      <c r="H52" s="1">
        <f t="shared" si="1"/>
        <v>233.906123</v>
      </c>
      <c r="I52" s="1" t="s">
        <v>667</v>
      </c>
      <c r="J52" s="1">
        <v>114.0</v>
      </c>
    </row>
    <row r="53">
      <c r="A53" s="1">
        <v>2021.0</v>
      </c>
      <c r="B53" s="1">
        <v>1.0</v>
      </c>
      <c r="C53" s="1" t="s">
        <v>116</v>
      </c>
      <c r="D53" s="1" t="s">
        <v>102</v>
      </c>
      <c r="E53" s="1" t="s">
        <v>17</v>
      </c>
      <c r="F53" s="1" t="s">
        <v>73</v>
      </c>
      <c r="G53" s="1" t="s">
        <v>672</v>
      </c>
      <c r="H53" s="1">
        <f t="shared" si="1"/>
        <v>0.511883</v>
      </c>
      <c r="I53" s="1" t="s">
        <v>674</v>
      </c>
      <c r="J53" s="1">
        <v>1.0</v>
      </c>
    </row>
    <row r="54">
      <c r="A54" s="1">
        <v>2021.0</v>
      </c>
      <c r="B54" s="1">
        <v>1.0</v>
      </c>
      <c r="C54" s="1" t="s">
        <v>116</v>
      </c>
      <c r="D54" s="1" t="s">
        <v>102</v>
      </c>
      <c r="E54" s="1" t="s">
        <v>21</v>
      </c>
      <c r="F54" s="1" t="s">
        <v>677</v>
      </c>
      <c r="G54" s="1" t="s">
        <v>678</v>
      </c>
      <c r="H54" s="1">
        <f t="shared" si="1"/>
        <v>221.027694</v>
      </c>
      <c r="I54" s="1" t="s">
        <v>681</v>
      </c>
      <c r="J54" s="1">
        <v>96.0</v>
      </c>
    </row>
    <row r="55">
      <c r="A55" s="1">
        <v>2021.0</v>
      </c>
      <c r="B55" s="1">
        <v>1.0</v>
      </c>
      <c r="C55" s="1" t="s">
        <v>116</v>
      </c>
      <c r="D55" s="1" t="s">
        <v>158</v>
      </c>
      <c r="E55" s="1" t="s">
        <v>39</v>
      </c>
      <c r="F55" s="1" t="s">
        <v>414</v>
      </c>
      <c r="G55" s="1" t="s">
        <v>687</v>
      </c>
      <c r="H55" s="1">
        <f t="shared" si="1"/>
        <v>0.330204</v>
      </c>
      <c r="I55" s="1" t="s">
        <v>596</v>
      </c>
      <c r="J55" s="1">
        <v>0.0</v>
      </c>
    </row>
    <row r="56">
      <c r="A56" s="1">
        <v>2021.0</v>
      </c>
      <c r="B56" s="1">
        <v>1.0</v>
      </c>
      <c r="C56" s="1" t="s">
        <v>116</v>
      </c>
      <c r="D56" s="1" t="s">
        <v>158</v>
      </c>
      <c r="E56" s="1" t="s">
        <v>17</v>
      </c>
      <c r="F56" s="1" t="s">
        <v>582</v>
      </c>
      <c r="G56" s="1" t="s">
        <v>691</v>
      </c>
      <c r="H56" s="1">
        <f t="shared" si="1"/>
        <v>27.053737</v>
      </c>
      <c r="I56" s="1" t="s">
        <v>585</v>
      </c>
      <c r="J56" s="1">
        <v>0.0</v>
      </c>
    </row>
    <row r="57">
      <c r="A57" s="1">
        <v>2021.0</v>
      </c>
      <c r="B57" s="1">
        <v>1.0</v>
      </c>
      <c r="C57" s="1" t="s">
        <v>116</v>
      </c>
      <c r="D57" s="1" t="s">
        <v>158</v>
      </c>
      <c r="E57" s="1" t="s">
        <v>21</v>
      </c>
      <c r="F57" s="1" t="s">
        <v>695</v>
      </c>
      <c r="G57" s="1" t="s">
        <v>697</v>
      </c>
      <c r="H57" s="1">
        <f t="shared" si="1"/>
        <v>167.434489</v>
      </c>
      <c r="I57" s="1" t="s">
        <v>700</v>
      </c>
      <c r="J57" s="1">
        <v>0.0</v>
      </c>
    </row>
    <row r="58">
      <c r="A58" s="1">
        <v>2021.0</v>
      </c>
      <c r="B58" s="1">
        <v>2.0</v>
      </c>
      <c r="C58" s="1" t="s">
        <v>12</v>
      </c>
      <c r="D58" s="1" t="s">
        <v>13</v>
      </c>
      <c r="E58" s="1" t="s">
        <v>14</v>
      </c>
      <c r="F58" s="3" t="s">
        <v>763</v>
      </c>
      <c r="G58" s="1" t="s">
        <v>766</v>
      </c>
      <c r="H58" s="1">
        <f t="shared" si="1"/>
        <v>740.731002</v>
      </c>
      <c r="I58" s="3">
        <v>499685.0</v>
      </c>
      <c r="J58" s="1">
        <v>558.0</v>
      </c>
      <c r="L58" s="7" t="b">
        <f>ISNUMBER(G58)</f>
        <v>0</v>
      </c>
    </row>
    <row r="59">
      <c r="A59" s="1">
        <v>2021.0</v>
      </c>
      <c r="B59" s="1">
        <v>2.0</v>
      </c>
      <c r="C59" s="1" t="s">
        <v>12</v>
      </c>
      <c r="D59" s="1" t="s">
        <v>13</v>
      </c>
      <c r="E59" s="1" t="s">
        <v>17</v>
      </c>
      <c r="F59" s="1" t="s">
        <v>769</v>
      </c>
      <c r="G59" s="1" t="s">
        <v>771</v>
      </c>
      <c r="H59" s="1">
        <f t="shared" si="1"/>
        <v>6362.673845</v>
      </c>
      <c r="I59" s="1" t="s">
        <v>772</v>
      </c>
      <c r="J59" s="1">
        <v>810.0</v>
      </c>
    </row>
    <row r="60">
      <c r="A60" s="1">
        <v>2021.0</v>
      </c>
      <c r="B60" s="1">
        <v>2.0</v>
      </c>
      <c r="C60" s="1" t="s">
        <v>12</v>
      </c>
      <c r="D60" s="1" t="s">
        <v>13</v>
      </c>
      <c r="E60" s="1" t="s">
        <v>21</v>
      </c>
      <c r="F60" s="1" t="s">
        <v>774</v>
      </c>
      <c r="G60" s="1" t="s">
        <v>775</v>
      </c>
      <c r="H60" s="1">
        <f t="shared" si="1"/>
        <v>3418.376272</v>
      </c>
      <c r="I60" s="1" t="s">
        <v>778</v>
      </c>
      <c r="J60" s="1">
        <v>587.0</v>
      </c>
    </row>
    <row r="61">
      <c r="A61" s="1">
        <v>2021.0</v>
      </c>
      <c r="B61" s="1">
        <v>2.0</v>
      </c>
      <c r="C61" s="1" t="s">
        <v>12</v>
      </c>
      <c r="D61" s="1" t="s">
        <v>29</v>
      </c>
      <c r="E61" s="1" t="s">
        <v>14</v>
      </c>
      <c r="F61" s="1" t="s">
        <v>780</v>
      </c>
      <c r="G61" s="1" t="s">
        <v>781</v>
      </c>
      <c r="H61" s="1">
        <f t="shared" si="1"/>
        <v>8.411521</v>
      </c>
      <c r="I61" s="1" t="s">
        <v>784</v>
      </c>
      <c r="J61" s="1">
        <v>10.0</v>
      </c>
    </row>
    <row r="62">
      <c r="A62" s="1">
        <v>2021.0</v>
      </c>
      <c r="B62" s="1">
        <v>2.0</v>
      </c>
      <c r="C62" s="1" t="s">
        <v>12</v>
      </c>
      <c r="D62" s="1" t="s">
        <v>29</v>
      </c>
      <c r="E62" s="1" t="s">
        <v>21</v>
      </c>
      <c r="F62" s="1" t="s">
        <v>786</v>
      </c>
      <c r="G62" s="1" t="s">
        <v>787</v>
      </c>
      <c r="H62" s="1">
        <f t="shared" si="1"/>
        <v>4399.865798</v>
      </c>
      <c r="I62" s="1" t="s">
        <v>790</v>
      </c>
      <c r="J62" s="1">
        <v>668.0</v>
      </c>
    </row>
    <row r="63">
      <c r="A63" s="1">
        <v>2021.0</v>
      </c>
      <c r="B63" s="1">
        <v>2.0</v>
      </c>
      <c r="C63" s="1" t="s">
        <v>12</v>
      </c>
      <c r="D63" s="1" t="s">
        <v>45</v>
      </c>
      <c r="E63" s="1" t="s">
        <v>17</v>
      </c>
      <c r="F63" s="1" t="s">
        <v>792</v>
      </c>
      <c r="G63" s="1" t="s">
        <v>794</v>
      </c>
      <c r="H63" s="1">
        <f t="shared" si="1"/>
        <v>323.528652</v>
      </c>
      <c r="I63" s="3">
        <v>1949302.0</v>
      </c>
      <c r="J63" s="1">
        <v>237.0</v>
      </c>
    </row>
    <row r="64">
      <c r="A64" s="1">
        <v>2021.0</v>
      </c>
      <c r="B64" s="1">
        <v>2.0</v>
      </c>
      <c r="C64" s="1" t="s">
        <v>12</v>
      </c>
      <c r="D64" s="1" t="s">
        <v>38</v>
      </c>
      <c r="E64" s="1" t="s">
        <v>39</v>
      </c>
      <c r="F64" s="3">
        <v>1422288.0</v>
      </c>
      <c r="G64" s="1" t="s">
        <v>798</v>
      </c>
      <c r="H64" s="1">
        <f t="shared" si="1"/>
        <v>284.872613</v>
      </c>
      <c r="I64" s="1" t="s">
        <v>799</v>
      </c>
      <c r="J64" s="1">
        <v>105.0</v>
      </c>
    </row>
    <row r="65">
      <c r="A65" s="1">
        <v>2021.0</v>
      </c>
      <c r="B65" s="1">
        <v>2.0</v>
      </c>
      <c r="C65" s="1" t="s">
        <v>12</v>
      </c>
      <c r="D65" s="1" t="s">
        <v>32</v>
      </c>
      <c r="E65" s="1" t="s">
        <v>14</v>
      </c>
      <c r="F65" s="3">
        <v>868945.0</v>
      </c>
      <c r="G65" s="1" t="s">
        <v>801</v>
      </c>
      <c r="H65" s="1">
        <f t="shared" si="1"/>
        <v>182.747544</v>
      </c>
      <c r="I65" s="1" t="s">
        <v>803</v>
      </c>
      <c r="J65" s="1">
        <v>343.0</v>
      </c>
    </row>
    <row r="66">
      <c r="A66" s="1">
        <v>2021.0</v>
      </c>
      <c r="B66" s="1">
        <v>2.0</v>
      </c>
      <c r="C66" s="1" t="s">
        <v>12</v>
      </c>
      <c r="D66" s="1" t="s">
        <v>32</v>
      </c>
      <c r="E66" s="1" t="s">
        <v>21</v>
      </c>
      <c r="F66" s="1" t="s">
        <v>807</v>
      </c>
      <c r="G66" s="1" t="s">
        <v>808</v>
      </c>
      <c r="H66" s="1">
        <f t="shared" si="1"/>
        <v>89.899092</v>
      </c>
      <c r="I66" s="1" t="s">
        <v>811</v>
      </c>
      <c r="J66" s="1">
        <v>208.0</v>
      </c>
    </row>
    <row r="67">
      <c r="A67" s="1">
        <v>2021.0</v>
      </c>
      <c r="B67" s="1">
        <v>2.0</v>
      </c>
      <c r="C67" s="1" t="s">
        <v>12</v>
      </c>
      <c r="D67" s="1" t="s">
        <v>42</v>
      </c>
      <c r="E67" s="1" t="s">
        <v>17</v>
      </c>
      <c r="F67" s="1" t="s">
        <v>813</v>
      </c>
      <c r="G67" s="1" t="s">
        <v>815</v>
      </c>
      <c r="H67" s="1">
        <f t="shared" si="1"/>
        <v>147.664938</v>
      </c>
      <c r="I67" s="1" t="s">
        <v>818</v>
      </c>
      <c r="J67" s="1">
        <v>77.0</v>
      </c>
    </row>
    <row r="68">
      <c r="A68" s="1">
        <v>2021.0</v>
      </c>
      <c r="B68" s="1">
        <v>2.0</v>
      </c>
      <c r="C68" s="1" t="s">
        <v>12</v>
      </c>
      <c r="D68" s="1" t="s">
        <v>48</v>
      </c>
      <c r="E68" s="1" t="s">
        <v>49</v>
      </c>
      <c r="F68" s="1" t="s">
        <v>487</v>
      </c>
      <c r="G68" s="1" t="s">
        <v>821</v>
      </c>
      <c r="H68" s="1">
        <f t="shared" si="1"/>
        <v>1.908023</v>
      </c>
      <c r="I68" s="1" t="s">
        <v>331</v>
      </c>
      <c r="J68" s="1">
        <v>2.0</v>
      </c>
    </row>
    <row r="69">
      <c r="A69" s="1">
        <v>2021.0</v>
      </c>
      <c r="B69" s="1">
        <v>2.0</v>
      </c>
      <c r="C69" s="1" t="s">
        <v>12</v>
      </c>
      <c r="D69" s="1" t="s">
        <v>48</v>
      </c>
      <c r="E69" s="1" t="s">
        <v>21</v>
      </c>
      <c r="F69" s="3" t="s">
        <v>825</v>
      </c>
      <c r="G69" s="1" t="s">
        <v>826</v>
      </c>
      <c r="H69" s="1">
        <f t="shared" si="1"/>
        <v>136.397282</v>
      </c>
      <c r="I69" s="1" t="s">
        <v>829</v>
      </c>
      <c r="J69" s="1">
        <v>124.0</v>
      </c>
    </row>
    <row r="70">
      <c r="A70" s="1">
        <v>2021.0</v>
      </c>
      <c r="B70" s="1">
        <v>2.0</v>
      </c>
      <c r="C70" s="1" t="s">
        <v>12</v>
      </c>
      <c r="D70" s="1" t="s">
        <v>56</v>
      </c>
      <c r="E70" s="1" t="s">
        <v>21</v>
      </c>
      <c r="F70" s="1" t="s">
        <v>831</v>
      </c>
      <c r="G70" s="1" t="s">
        <v>832</v>
      </c>
      <c r="H70" s="1">
        <f t="shared" si="1"/>
        <v>59.318734</v>
      </c>
      <c r="I70" s="1" t="s">
        <v>835</v>
      </c>
      <c r="J70" s="1">
        <v>165.0</v>
      </c>
    </row>
    <row r="71">
      <c r="A71" s="1">
        <v>2021.0</v>
      </c>
      <c r="B71" s="1">
        <v>2.0</v>
      </c>
      <c r="C71" s="1" t="s">
        <v>12</v>
      </c>
      <c r="D71" s="1" t="s">
        <v>64</v>
      </c>
      <c r="E71" s="1" t="s">
        <v>39</v>
      </c>
      <c r="F71" s="1" t="s">
        <v>837</v>
      </c>
      <c r="G71" s="1" t="s">
        <v>838</v>
      </c>
      <c r="H71" s="1">
        <f t="shared" si="1"/>
        <v>46.850674</v>
      </c>
      <c r="I71" s="1" t="s">
        <v>841</v>
      </c>
      <c r="J71" s="1">
        <v>87.0</v>
      </c>
    </row>
    <row r="72">
      <c r="A72" s="1">
        <v>2021.0</v>
      </c>
      <c r="B72" s="1">
        <v>2.0</v>
      </c>
      <c r="C72" s="1" t="s">
        <v>12</v>
      </c>
      <c r="D72" s="1" t="s">
        <v>64</v>
      </c>
      <c r="E72" s="1" t="s">
        <v>21</v>
      </c>
      <c r="F72" s="1" t="s">
        <v>845</v>
      </c>
      <c r="G72" s="1" t="s">
        <v>846</v>
      </c>
      <c r="H72" s="1">
        <f t="shared" si="1"/>
        <v>1.650026</v>
      </c>
      <c r="I72" s="1" t="s">
        <v>847</v>
      </c>
      <c r="J72" s="1">
        <v>8.0</v>
      </c>
    </row>
    <row r="73">
      <c r="A73" s="1">
        <v>2021.0</v>
      </c>
      <c r="B73" s="1">
        <v>2.0</v>
      </c>
      <c r="C73" s="1" t="s">
        <v>12</v>
      </c>
      <c r="D73" s="1" t="s">
        <v>848</v>
      </c>
      <c r="E73" s="1" t="s">
        <v>21</v>
      </c>
      <c r="F73" s="1" t="s">
        <v>851</v>
      </c>
      <c r="G73" s="1" t="s">
        <v>852</v>
      </c>
      <c r="H73" s="1">
        <f t="shared" si="1"/>
        <v>41.075017</v>
      </c>
      <c r="I73" s="1" t="s">
        <v>853</v>
      </c>
      <c r="J73" s="1">
        <v>62.0</v>
      </c>
    </row>
    <row r="74">
      <c r="A74" s="1">
        <v>2021.0</v>
      </c>
      <c r="B74" s="1">
        <v>2.0</v>
      </c>
      <c r="C74" s="1" t="s">
        <v>68</v>
      </c>
      <c r="D74" s="1" t="s">
        <v>13</v>
      </c>
      <c r="E74" s="1" t="s">
        <v>14</v>
      </c>
      <c r="F74" s="1" t="s">
        <v>856</v>
      </c>
      <c r="G74" s="1" t="s">
        <v>858</v>
      </c>
      <c r="H74" s="1">
        <f t="shared" si="1"/>
        <v>3357.609547</v>
      </c>
      <c r="I74" s="1" t="s">
        <v>861</v>
      </c>
      <c r="J74" s="1">
        <v>8226.0</v>
      </c>
    </row>
    <row r="75">
      <c r="A75" s="1">
        <v>2021.0</v>
      </c>
      <c r="B75" s="1">
        <v>2.0</v>
      </c>
      <c r="C75" s="1" t="s">
        <v>68</v>
      </c>
      <c r="D75" s="1" t="s">
        <v>13</v>
      </c>
      <c r="E75" s="1" t="s">
        <v>17</v>
      </c>
      <c r="F75" s="1" t="s">
        <v>862</v>
      </c>
      <c r="G75" s="1" t="s">
        <v>864</v>
      </c>
      <c r="H75" s="1">
        <f t="shared" si="1"/>
        <v>4194.076763</v>
      </c>
      <c r="I75" s="1" t="s">
        <v>866</v>
      </c>
      <c r="J75" s="1">
        <v>8143.0</v>
      </c>
    </row>
    <row r="76">
      <c r="A76" s="1">
        <v>2021.0</v>
      </c>
      <c r="B76" s="1">
        <v>2.0</v>
      </c>
      <c r="C76" s="1" t="s">
        <v>68</v>
      </c>
      <c r="D76" s="1" t="s">
        <v>13</v>
      </c>
      <c r="E76" s="1" t="s">
        <v>21</v>
      </c>
      <c r="F76" s="3">
        <v>2701061.0</v>
      </c>
      <c r="G76" s="1" t="s">
        <v>868</v>
      </c>
      <c r="H76" s="1">
        <f t="shared" si="1"/>
        <v>735.410338</v>
      </c>
      <c r="I76" s="3">
        <v>1003354.0</v>
      </c>
      <c r="J76" s="1">
        <v>777.0</v>
      </c>
    </row>
    <row r="77">
      <c r="A77" s="1">
        <v>2021.0</v>
      </c>
      <c r="B77" s="1">
        <v>2.0</v>
      </c>
      <c r="C77" s="1" t="s">
        <v>68</v>
      </c>
      <c r="D77" s="1" t="s">
        <v>13</v>
      </c>
      <c r="E77" s="1" t="s">
        <v>25</v>
      </c>
      <c r="F77" s="1" t="s">
        <v>871</v>
      </c>
      <c r="G77" s="1" t="s">
        <v>873</v>
      </c>
      <c r="H77" s="1">
        <f t="shared" si="1"/>
        <v>66.64688</v>
      </c>
      <c r="I77" s="1" t="s">
        <v>875</v>
      </c>
      <c r="J77" s="1">
        <v>273.0</v>
      </c>
    </row>
    <row r="78">
      <c r="A78" s="1">
        <v>2021.0</v>
      </c>
      <c r="B78" s="1">
        <v>2.0</v>
      </c>
      <c r="C78" s="1" t="s">
        <v>68</v>
      </c>
      <c r="D78" s="1" t="s">
        <v>29</v>
      </c>
      <c r="E78" s="1" t="s">
        <v>14</v>
      </c>
      <c r="F78" s="1" t="s">
        <v>878</v>
      </c>
      <c r="G78" s="1" t="s">
        <v>879</v>
      </c>
      <c r="H78" s="1">
        <f t="shared" si="1"/>
        <v>0.385702</v>
      </c>
      <c r="I78" s="1" t="s">
        <v>574</v>
      </c>
      <c r="J78" s="1">
        <v>2.0</v>
      </c>
    </row>
    <row r="79">
      <c r="A79" s="1">
        <v>2021.0</v>
      </c>
      <c r="B79" s="1">
        <v>2.0</v>
      </c>
      <c r="C79" s="1" t="s">
        <v>68</v>
      </c>
      <c r="D79" s="1" t="s">
        <v>29</v>
      </c>
      <c r="E79" s="1" t="s">
        <v>21</v>
      </c>
      <c r="F79" s="3">
        <v>659446.0</v>
      </c>
      <c r="G79" s="1" t="s">
        <v>884</v>
      </c>
      <c r="H79" s="1">
        <f t="shared" si="1"/>
        <v>1552.946177</v>
      </c>
      <c r="I79" s="3">
        <v>2769302.0</v>
      </c>
      <c r="J79" s="1">
        <v>941.0</v>
      </c>
    </row>
    <row r="80">
      <c r="A80" s="1">
        <v>2021.0</v>
      </c>
      <c r="B80" s="1">
        <v>2.0</v>
      </c>
      <c r="C80" s="1" t="s">
        <v>68</v>
      </c>
      <c r="D80" s="1" t="s">
        <v>45</v>
      </c>
      <c r="E80" s="1" t="s">
        <v>17</v>
      </c>
      <c r="F80" s="1" t="s">
        <v>887</v>
      </c>
      <c r="G80" s="1" t="s">
        <v>888</v>
      </c>
      <c r="H80" s="1">
        <f t="shared" si="1"/>
        <v>547.562863</v>
      </c>
      <c r="I80" s="3">
        <v>2054887.0</v>
      </c>
      <c r="J80" s="1">
        <v>1592.0</v>
      </c>
    </row>
    <row r="81">
      <c r="A81" s="1">
        <v>2021.0</v>
      </c>
      <c r="B81" s="1">
        <v>2.0</v>
      </c>
      <c r="C81" s="1" t="s">
        <v>68</v>
      </c>
      <c r="D81" s="1" t="s">
        <v>32</v>
      </c>
      <c r="E81" s="1" t="s">
        <v>14</v>
      </c>
      <c r="F81" s="3" t="s">
        <v>891</v>
      </c>
      <c r="G81" s="1" t="s">
        <v>892</v>
      </c>
      <c r="H81" s="1">
        <f t="shared" si="1"/>
        <v>299.708529</v>
      </c>
      <c r="I81" s="1" t="s">
        <v>893</v>
      </c>
      <c r="J81" s="1">
        <v>1955.0</v>
      </c>
    </row>
    <row r="82">
      <c r="A82" s="1">
        <v>2021.0</v>
      </c>
      <c r="B82" s="1">
        <v>2.0</v>
      </c>
      <c r="C82" s="1" t="s">
        <v>68</v>
      </c>
      <c r="D82" s="1" t="s">
        <v>32</v>
      </c>
      <c r="E82" s="1" t="s">
        <v>21</v>
      </c>
      <c r="F82" s="1" t="s">
        <v>897</v>
      </c>
      <c r="G82" s="1" t="s">
        <v>898</v>
      </c>
      <c r="H82" s="1">
        <f t="shared" si="1"/>
        <v>82.924092</v>
      </c>
      <c r="I82" s="1" t="s">
        <v>899</v>
      </c>
      <c r="J82" s="1">
        <v>507.0</v>
      </c>
    </row>
    <row r="83">
      <c r="A83" s="1">
        <v>2021.0</v>
      </c>
      <c r="B83" s="1">
        <v>2.0</v>
      </c>
      <c r="C83" s="1" t="s">
        <v>68</v>
      </c>
      <c r="D83" s="1" t="s">
        <v>38</v>
      </c>
      <c r="E83" s="1" t="s">
        <v>39</v>
      </c>
      <c r="F83" s="3">
        <v>800980.0</v>
      </c>
      <c r="G83" s="1" t="s">
        <v>903</v>
      </c>
      <c r="H83" s="1">
        <f t="shared" si="1"/>
        <v>132.623274</v>
      </c>
      <c r="I83" s="1" t="s">
        <v>904</v>
      </c>
      <c r="J83" s="1">
        <v>222.0</v>
      </c>
    </row>
    <row r="84">
      <c r="A84" s="1">
        <v>2021.0</v>
      </c>
      <c r="B84" s="1">
        <v>2.0</v>
      </c>
      <c r="C84" s="1" t="s">
        <v>68</v>
      </c>
      <c r="D84" s="1" t="s">
        <v>42</v>
      </c>
      <c r="E84" s="1" t="s">
        <v>17</v>
      </c>
      <c r="F84" s="1" t="s">
        <v>906</v>
      </c>
      <c r="G84" s="1" t="s">
        <v>907</v>
      </c>
      <c r="H84" s="1">
        <f t="shared" si="1"/>
        <v>82.262954</v>
      </c>
      <c r="I84" s="1" t="s">
        <v>909</v>
      </c>
      <c r="J84" s="1">
        <v>279.0</v>
      </c>
    </row>
    <row r="85">
      <c r="A85" s="1">
        <v>2021.0</v>
      </c>
      <c r="B85" s="1">
        <v>2.0</v>
      </c>
      <c r="C85" s="1" t="s">
        <v>68</v>
      </c>
      <c r="D85" s="1" t="s">
        <v>544</v>
      </c>
      <c r="E85" s="1" t="s">
        <v>17</v>
      </c>
      <c r="F85" s="1" t="s">
        <v>912</v>
      </c>
      <c r="G85" s="1" t="s">
        <v>913</v>
      </c>
      <c r="H85" s="1">
        <f t="shared" si="1"/>
        <v>77.771447</v>
      </c>
      <c r="I85" s="1" t="s">
        <v>111</v>
      </c>
      <c r="J85" s="1">
        <v>213.0</v>
      </c>
    </row>
    <row r="86">
      <c r="A86" s="1">
        <v>2021.0</v>
      </c>
      <c r="B86" s="1">
        <v>2.0</v>
      </c>
      <c r="C86" s="1" t="s">
        <v>68</v>
      </c>
      <c r="D86" s="1" t="s">
        <v>165</v>
      </c>
      <c r="E86" s="1" t="s">
        <v>39</v>
      </c>
      <c r="F86" s="1" t="s">
        <v>916</v>
      </c>
      <c r="G86" s="1" t="s">
        <v>917</v>
      </c>
      <c r="H86" s="1">
        <f t="shared" si="1"/>
        <v>4.290931</v>
      </c>
      <c r="I86" s="1" t="s">
        <v>847</v>
      </c>
      <c r="J86" s="1">
        <v>0.0</v>
      </c>
    </row>
    <row r="87">
      <c r="A87" s="1">
        <v>2021.0</v>
      </c>
      <c r="B87" s="1">
        <v>2.0</v>
      </c>
      <c r="C87" s="1" t="s">
        <v>68</v>
      </c>
      <c r="D87" s="1" t="s">
        <v>165</v>
      </c>
      <c r="E87" s="1" t="s">
        <v>17</v>
      </c>
      <c r="F87" s="1" t="s">
        <v>921</v>
      </c>
      <c r="G87" s="1" t="s">
        <v>922</v>
      </c>
      <c r="H87" s="1">
        <f t="shared" si="1"/>
        <v>48.938784</v>
      </c>
      <c r="I87" s="1" t="s">
        <v>924</v>
      </c>
      <c r="J87" s="1">
        <v>0.0</v>
      </c>
    </row>
    <row r="88">
      <c r="A88" s="1">
        <v>2021.0</v>
      </c>
      <c r="B88" s="1">
        <v>2.0</v>
      </c>
      <c r="C88" s="1" t="s">
        <v>68</v>
      </c>
      <c r="D88" s="1" t="s">
        <v>48</v>
      </c>
      <c r="E88" s="1" t="s">
        <v>49</v>
      </c>
      <c r="F88" s="1" t="s">
        <v>315</v>
      </c>
      <c r="G88" s="1" t="s">
        <v>925</v>
      </c>
      <c r="H88" s="1">
        <f t="shared" si="1"/>
        <v>1.308484</v>
      </c>
      <c r="I88" s="1" t="s">
        <v>574</v>
      </c>
      <c r="J88" s="1">
        <v>2.0</v>
      </c>
    </row>
    <row r="89">
      <c r="A89" s="1">
        <v>2021.0</v>
      </c>
      <c r="B89" s="1">
        <v>2.0</v>
      </c>
      <c r="C89" s="1" t="s">
        <v>68</v>
      </c>
      <c r="D89" s="1" t="s">
        <v>48</v>
      </c>
      <c r="E89" s="1" t="s">
        <v>72</v>
      </c>
      <c r="F89" s="1" t="s">
        <v>928</v>
      </c>
      <c r="G89" s="1" t="s">
        <v>929</v>
      </c>
      <c r="H89" s="1">
        <f t="shared" si="1"/>
        <v>3.317889</v>
      </c>
      <c r="I89" s="1" t="s">
        <v>931</v>
      </c>
      <c r="J89" s="1">
        <v>2.0</v>
      </c>
    </row>
    <row r="90">
      <c r="A90" s="1">
        <v>2021.0</v>
      </c>
      <c r="B90" s="1">
        <v>2.0</v>
      </c>
      <c r="C90" s="1" t="s">
        <v>68</v>
      </c>
      <c r="D90" s="1" t="s">
        <v>48</v>
      </c>
      <c r="E90" s="1" t="s">
        <v>21</v>
      </c>
      <c r="F90" s="1" t="s">
        <v>933</v>
      </c>
      <c r="G90" s="1" t="s">
        <v>934</v>
      </c>
      <c r="H90" s="1">
        <f t="shared" si="1"/>
        <v>38.380471</v>
      </c>
      <c r="I90" s="1" t="s">
        <v>937</v>
      </c>
      <c r="J90" s="1">
        <v>206.0</v>
      </c>
    </row>
    <row r="91">
      <c r="A91" s="1">
        <v>2021.0</v>
      </c>
      <c r="B91" s="1">
        <v>2.0</v>
      </c>
      <c r="C91" s="1" t="s">
        <v>68</v>
      </c>
      <c r="D91" s="1" t="s">
        <v>102</v>
      </c>
      <c r="E91" s="1" t="s">
        <v>39</v>
      </c>
      <c r="F91" s="1" t="s">
        <v>333</v>
      </c>
      <c r="G91" s="1" t="s">
        <v>940</v>
      </c>
      <c r="H91" s="1">
        <f t="shared" si="1"/>
        <v>0.060471</v>
      </c>
      <c r="I91" s="1" t="s">
        <v>596</v>
      </c>
      <c r="J91" s="1">
        <v>0.0</v>
      </c>
    </row>
    <row r="92">
      <c r="A92" s="1">
        <v>2021.0</v>
      </c>
      <c r="B92" s="1">
        <v>2.0</v>
      </c>
      <c r="C92" s="1" t="s">
        <v>68</v>
      </c>
      <c r="D92" s="1" t="s">
        <v>102</v>
      </c>
      <c r="E92" s="1" t="s">
        <v>21</v>
      </c>
      <c r="F92" s="1" t="s">
        <v>943</v>
      </c>
      <c r="G92" s="1" t="s">
        <v>945</v>
      </c>
      <c r="H92" s="1">
        <f t="shared" si="1"/>
        <v>37.05183</v>
      </c>
      <c r="I92" s="1" t="s">
        <v>947</v>
      </c>
      <c r="J92" s="1">
        <v>0.0</v>
      </c>
    </row>
    <row r="93">
      <c r="A93" s="1">
        <v>2021.0</v>
      </c>
      <c r="B93" s="1">
        <v>2.0</v>
      </c>
      <c r="C93" s="1" t="s">
        <v>116</v>
      </c>
      <c r="D93" s="1" t="s">
        <v>13</v>
      </c>
      <c r="E93" s="1" t="s">
        <v>14</v>
      </c>
      <c r="F93" s="1" t="s">
        <v>949</v>
      </c>
      <c r="G93" s="1" t="s">
        <v>951</v>
      </c>
      <c r="H93" s="1">
        <f t="shared" si="1"/>
        <v>8438.52704</v>
      </c>
      <c r="I93" s="1" t="s">
        <v>952</v>
      </c>
      <c r="J93" s="1">
        <v>11647.0</v>
      </c>
    </row>
    <row r="94">
      <c r="A94" s="1">
        <v>2021.0</v>
      </c>
      <c r="B94" s="1">
        <v>2.0</v>
      </c>
      <c r="C94" s="1" t="s">
        <v>116</v>
      </c>
      <c r="D94" s="1" t="s">
        <v>13</v>
      </c>
      <c r="E94" s="1" t="s">
        <v>17</v>
      </c>
      <c r="F94" s="1" t="s">
        <v>954</v>
      </c>
      <c r="G94" s="1" t="s">
        <v>955</v>
      </c>
      <c r="H94" s="1">
        <f t="shared" si="1"/>
        <v>10562.12869</v>
      </c>
      <c r="I94" s="1" t="s">
        <v>956</v>
      </c>
      <c r="J94" s="1">
        <v>15152.0</v>
      </c>
    </row>
    <row r="95">
      <c r="A95" s="1">
        <v>2021.0</v>
      </c>
      <c r="B95" s="1">
        <v>2.0</v>
      </c>
      <c r="C95" s="1" t="s">
        <v>116</v>
      </c>
      <c r="D95" s="1" t="s">
        <v>13</v>
      </c>
      <c r="E95" s="1" t="s">
        <v>21</v>
      </c>
      <c r="F95" s="3">
        <v>776659.0</v>
      </c>
      <c r="G95" s="1" t="s">
        <v>958</v>
      </c>
      <c r="H95" s="1">
        <f t="shared" si="1"/>
        <v>912.741207</v>
      </c>
      <c r="I95" s="3">
        <v>41334.0</v>
      </c>
      <c r="J95" s="1">
        <v>780.0</v>
      </c>
      <c r="L95" s="7" t="b">
        <f>ISNUMBER(G95)</f>
        <v>0</v>
      </c>
    </row>
    <row r="96">
      <c r="A96" s="1">
        <v>2021.0</v>
      </c>
      <c r="B96" s="1">
        <v>2.0</v>
      </c>
      <c r="C96" s="1" t="s">
        <v>116</v>
      </c>
      <c r="D96" s="1" t="s">
        <v>13</v>
      </c>
      <c r="E96" s="1" t="s">
        <v>25</v>
      </c>
      <c r="F96" s="1" t="s">
        <v>567</v>
      </c>
      <c r="G96" s="1" t="s">
        <v>969</v>
      </c>
      <c r="H96" s="1">
        <f t="shared" si="1"/>
        <v>5.509437</v>
      </c>
      <c r="I96" s="1" t="s">
        <v>972</v>
      </c>
      <c r="J96" s="1">
        <v>30.0</v>
      </c>
    </row>
    <row r="97">
      <c r="A97" s="1">
        <v>2021.0</v>
      </c>
      <c r="B97" s="1">
        <v>2.0</v>
      </c>
      <c r="C97" s="1" t="s">
        <v>116</v>
      </c>
      <c r="D97" s="1" t="s">
        <v>29</v>
      </c>
      <c r="E97" s="1" t="s">
        <v>14</v>
      </c>
      <c r="F97" s="1" t="s">
        <v>974</v>
      </c>
      <c r="G97" s="1" t="s">
        <v>975</v>
      </c>
      <c r="H97" s="1">
        <f t="shared" si="1"/>
        <v>2.359302</v>
      </c>
      <c r="I97" s="1" t="s">
        <v>315</v>
      </c>
      <c r="J97" s="1">
        <v>12.0</v>
      </c>
    </row>
    <row r="98">
      <c r="A98" s="1">
        <v>2021.0</v>
      </c>
      <c r="B98" s="1">
        <v>2.0</v>
      </c>
      <c r="C98" s="1" t="s">
        <v>116</v>
      </c>
      <c r="D98" s="1" t="s">
        <v>29</v>
      </c>
      <c r="E98" s="1" t="s">
        <v>21</v>
      </c>
      <c r="F98" s="1" t="s">
        <v>982</v>
      </c>
      <c r="G98" s="1" t="s">
        <v>983</v>
      </c>
      <c r="H98" s="1">
        <f t="shared" si="1"/>
        <v>4419.943142</v>
      </c>
      <c r="I98" s="1" t="s">
        <v>987</v>
      </c>
      <c r="J98" s="1">
        <v>1675.0</v>
      </c>
    </row>
    <row r="99">
      <c r="A99" s="1">
        <v>2021.0</v>
      </c>
      <c r="B99" s="1">
        <v>2.0</v>
      </c>
      <c r="C99" s="1" t="s">
        <v>116</v>
      </c>
      <c r="D99" s="1" t="s">
        <v>45</v>
      </c>
      <c r="E99" s="1" t="s">
        <v>17</v>
      </c>
      <c r="F99" s="1" t="s">
        <v>988</v>
      </c>
      <c r="G99" s="1" t="s">
        <v>990</v>
      </c>
      <c r="H99" s="1">
        <f t="shared" si="1"/>
        <v>1418.480059</v>
      </c>
      <c r="I99" s="3" t="s">
        <v>1159</v>
      </c>
      <c r="J99" s="1">
        <v>2062.0</v>
      </c>
    </row>
    <row r="100">
      <c r="A100" s="1">
        <v>2021.0</v>
      </c>
      <c r="B100" s="1">
        <v>2.0</v>
      </c>
      <c r="C100" s="1" t="s">
        <v>116</v>
      </c>
      <c r="D100" s="1" t="s">
        <v>32</v>
      </c>
      <c r="E100" s="1" t="s">
        <v>14</v>
      </c>
      <c r="F100" s="1" t="s">
        <v>1163</v>
      </c>
      <c r="G100" s="1" t="s">
        <v>1164</v>
      </c>
      <c r="H100" s="1">
        <f t="shared" si="1"/>
        <v>170.088854</v>
      </c>
      <c r="I100" s="1" t="s">
        <v>1166</v>
      </c>
      <c r="J100" s="1">
        <v>800.0</v>
      </c>
    </row>
    <row r="101">
      <c r="A101" s="1">
        <v>2021.0</v>
      </c>
      <c r="B101" s="1">
        <v>2.0</v>
      </c>
      <c r="C101" s="1" t="s">
        <v>116</v>
      </c>
      <c r="D101" s="1" t="s">
        <v>32</v>
      </c>
      <c r="E101" s="1" t="s">
        <v>21</v>
      </c>
      <c r="F101" s="3">
        <v>187066.0</v>
      </c>
      <c r="G101" s="1" t="s">
        <v>1169</v>
      </c>
      <c r="H101" s="1">
        <f t="shared" si="1"/>
        <v>503.776524</v>
      </c>
      <c r="I101" s="3">
        <v>980679.0</v>
      </c>
      <c r="J101" s="1">
        <v>2043.0</v>
      </c>
    </row>
    <row r="102">
      <c r="A102" s="1">
        <v>2021.0</v>
      </c>
      <c r="B102" s="1">
        <v>2.0</v>
      </c>
      <c r="C102" s="1" t="s">
        <v>116</v>
      </c>
      <c r="D102" s="1" t="s">
        <v>147</v>
      </c>
      <c r="E102" s="1" t="s">
        <v>39</v>
      </c>
      <c r="F102" s="1" t="s">
        <v>1171</v>
      </c>
      <c r="G102" s="1" t="s">
        <v>1173</v>
      </c>
      <c r="H102" s="1">
        <f t="shared" si="1"/>
        <v>407.293637</v>
      </c>
      <c r="I102" s="1" t="s">
        <v>1174</v>
      </c>
      <c r="J102" s="1">
        <v>101.0</v>
      </c>
    </row>
    <row r="103">
      <c r="A103" s="1">
        <v>2021.0</v>
      </c>
      <c r="B103" s="1">
        <v>2.0</v>
      </c>
      <c r="C103" s="1" t="s">
        <v>116</v>
      </c>
      <c r="D103" s="1" t="s">
        <v>147</v>
      </c>
      <c r="E103" s="1" t="s">
        <v>17</v>
      </c>
      <c r="F103" s="1" t="s">
        <v>1176</v>
      </c>
      <c r="G103" s="1" t="s">
        <v>1178</v>
      </c>
      <c r="H103" s="1">
        <f t="shared" si="1"/>
        <v>6.792725</v>
      </c>
      <c r="I103" s="1" t="s">
        <v>1179</v>
      </c>
      <c r="J103" s="1">
        <v>7.0</v>
      </c>
    </row>
    <row r="104">
      <c r="A104" s="1">
        <v>2021.0</v>
      </c>
      <c r="B104" s="1">
        <v>2.0</v>
      </c>
      <c r="C104" s="1" t="s">
        <v>116</v>
      </c>
      <c r="D104" s="1" t="s">
        <v>147</v>
      </c>
      <c r="E104" s="1" t="s">
        <v>21</v>
      </c>
      <c r="F104" s="1" t="s">
        <v>1182</v>
      </c>
      <c r="G104" s="1" t="s">
        <v>1183</v>
      </c>
      <c r="H104" s="1">
        <f t="shared" si="1"/>
        <v>36.475166</v>
      </c>
      <c r="I104" s="1" t="s">
        <v>1185</v>
      </c>
      <c r="J104" s="1">
        <v>54.0</v>
      </c>
    </row>
    <row r="105">
      <c r="A105" s="1">
        <v>2021.0</v>
      </c>
      <c r="B105" s="1">
        <v>2.0</v>
      </c>
      <c r="C105" s="1" t="s">
        <v>116</v>
      </c>
      <c r="D105" s="1" t="s">
        <v>158</v>
      </c>
      <c r="E105" s="1" t="s">
        <v>39</v>
      </c>
      <c r="F105" s="1" t="s">
        <v>73</v>
      </c>
      <c r="G105" s="1" t="s">
        <v>1188</v>
      </c>
      <c r="H105" s="1">
        <f t="shared" si="1"/>
        <v>0.660408</v>
      </c>
      <c r="I105" s="1" t="s">
        <v>333</v>
      </c>
      <c r="J105" s="1">
        <v>0.0</v>
      </c>
    </row>
    <row r="106">
      <c r="A106" s="1">
        <v>2021.0</v>
      </c>
      <c r="B106" s="1">
        <v>2.0</v>
      </c>
      <c r="C106" s="1" t="s">
        <v>116</v>
      </c>
      <c r="D106" s="1" t="s">
        <v>158</v>
      </c>
      <c r="E106" s="1" t="s">
        <v>17</v>
      </c>
      <c r="F106" s="1" t="s">
        <v>1191</v>
      </c>
      <c r="G106" s="1" t="s">
        <v>1192</v>
      </c>
      <c r="H106" s="1">
        <f t="shared" si="1"/>
        <v>25.322154</v>
      </c>
      <c r="I106" s="1" t="s">
        <v>1193</v>
      </c>
      <c r="J106" s="1">
        <v>0.0</v>
      </c>
    </row>
    <row r="107">
      <c r="A107" s="1">
        <v>2021.0</v>
      </c>
      <c r="B107" s="1">
        <v>2.0</v>
      </c>
      <c r="C107" s="1" t="s">
        <v>116</v>
      </c>
      <c r="D107" s="1" t="s">
        <v>158</v>
      </c>
      <c r="E107" s="1" t="s">
        <v>21</v>
      </c>
      <c r="F107" s="1" t="s">
        <v>1196</v>
      </c>
      <c r="G107" s="1" t="s">
        <v>1197</v>
      </c>
      <c r="H107" s="1">
        <f t="shared" si="1"/>
        <v>222.275641</v>
      </c>
      <c r="I107" s="1" t="s">
        <v>1199</v>
      </c>
      <c r="J107" s="1">
        <v>0.0</v>
      </c>
    </row>
    <row r="108">
      <c r="A108" s="1">
        <v>2021.0</v>
      </c>
      <c r="B108" s="1">
        <v>2.0</v>
      </c>
      <c r="C108" s="1" t="s">
        <v>116</v>
      </c>
      <c r="D108" s="1" t="s">
        <v>165</v>
      </c>
      <c r="E108" s="1" t="s">
        <v>39</v>
      </c>
      <c r="F108" s="1" t="s">
        <v>1202</v>
      </c>
      <c r="G108" s="1" t="s">
        <v>1204</v>
      </c>
      <c r="H108" s="1">
        <f t="shared" si="1"/>
        <v>53.936471</v>
      </c>
      <c r="I108" s="1" t="s">
        <v>1205</v>
      </c>
      <c r="J108" s="1">
        <v>78.0</v>
      </c>
    </row>
    <row r="109">
      <c r="A109" s="1">
        <v>2021.0</v>
      </c>
      <c r="B109" s="1">
        <v>2.0</v>
      </c>
      <c r="C109" s="1" t="s">
        <v>116</v>
      </c>
      <c r="D109" s="1" t="s">
        <v>165</v>
      </c>
      <c r="E109" s="1" t="s">
        <v>17</v>
      </c>
      <c r="F109" s="1" t="s">
        <v>1208</v>
      </c>
      <c r="G109" s="1" t="s">
        <v>1209</v>
      </c>
      <c r="H109" s="1">
        <f t="shared" si="1"/>
        <v>187.833551</v>
      </c>
      <c r="I109" s="1" t="s">
        <v>1210</v>
      </c>
      <c r="J109" s="1">
        <v>88.0</v>
      </c>
    </row>
    <row r="110">
      <c r="A110" s="1">
        <v>2021.0</v>
      </c>
      <c r="B110" s="1">
        <v>2.0</v>
      </c>
      <c r="C110" s="1" t="s">
        <v>116</v>
      </c>
      <c r="D110" s="1" t="s">
        <v>42</v>
      </c>
      <c r="E110" s="1" t="s">
        <v>17</v>
      </c>
      <c r="F110" s="1" t="s">
        <v>1212</v>
      </c>
      <c r="G110" s="1" t="s">
        <v>1213</v>
      </c>
      <c r="H110" s="1">
        <f t="shared" si="1"/>
        <v>229.581509</v>
      </c>
      <c r="I110" s="1" t="s">
        <v>1214</v>
      </c>
      <c r="J110" s="1">
        <v>266.0</v>
      </c>
    </row>
    <row r="111">
      <c r="A111" s="1">
        <v>2021.0</v>
      </c>
      <c r="B111" s="1">
        <v>2.0</v>
      </c>
      <c r="C111" s="1" t="s">
        <v>116</v>
      </c>
      <c r="D111" s="1" t="s">
        <v>330</v>
      </c>
      <c r="E111" s="1" t="s">
        <v>17</v>
      </c>
      <c r="F111" s="3" t="s">
        <v>1217</v>
      </c>
      <c r="G111" s="1" t="s">
        <v>1218</v>
      </c>
      <c r="H111" s="1">
        <f t="shared" si="1"/>
        <v>201.002334</v>
      </c>
      <c r="I111" s="1" t="s">
        <v>1220</v>
      </c>
      <c r="J111" s="1">
        <v>117.0</v>
      </c>
    </row>
    <row r="112">
      <c r="A112" s="1">
        <v>2021.0</v>
      </c>
      <c r="B112" s="1">
        <v>2.0</v>
      </c>
      <c r="C112" s="1" t="s">
        <v>116</v>
      </c>
      <c r="D112" s="1" t="s">
        <v>102</v>
      </c>
      <c r="E112" s="1" t="s">
        <v>39</v>
      </c>
      <c r="F112" s="1" t="s">
        <v>73</v>
      </c>
      <c r="G112" s="1" t="s">
        <v>1221</v>
      </c>
      <c r="H112" s="1">
        <f t="shared" si="1"/>
        <v>0.51301</v>
      </c>
      <c r="I112" s="1" t="s">
        <v>333</v>
      </c>
      <c r="J112" s="1">
        <v>2.0</v>
      </c>
    </row>
    <row r="113">
      <c r="A113" s="1">
        <v>2021.0</v>
      </c>
      <c r="B113" s="1">
        <v>2.0</v>
      </c>
      <c r="C113" s="1" t="s">
        <v>116</v>
      </c>
      <c r="D113" s="1" t="s">
        <v>102</v>
      </c>
      <c r="E113" s="1" t="s">
        <v>21</v>
      </c>
      <c r="F113" s="1" t="s">
        <v>1225</v>
      </c>
      <c r="G113" s="1" t="s">
        <v>1226</v>
      </c>
      <c r="H113" s="1">
        <f t="shared" si="1"/>
        <v>184.811387</v>
      </c>
      <c r="I113" s="1" t="s">
        <v>1229</v>
      </c>
      <c r="J113" s="1">
        <v>87.0</v>
      </c>
    </row>
    <row r="114">
      <c r="A114" s="1">
        <v>2021.0</v>
      </c>
      <c r="B114" s="1">
        <v>3.0</v>
      </c>
      <c r="C114" s="1" t="s">
        <v>12</v>
      </c>
      <c r="D114" s="1" t="s">
        <v>13</v>
      </c>
      <c r="E114" s="1" t="s">
        <v>14</v>
      </c>
      <c r="F114" s="3">
        <v>1966803.0</v>
      </c>
      <c r="G114" s="1" t="s">
        <v>1232</v>
      </c>
      <c r="H114" s="1">
        <f t="shared" si="1"/>
        <v>883.86949</v>
      </c>
      <c r="I114" s="1" t="s">
        <v>1233</v>
      </c>
      <c r="J114" s="1">
        <v>565.0</v>
      </c>
    </row>
    <row r="115">
      <c r="A115" s="1">
        <v>2021.0</v>
      </c>
      <c r="B115" s="1">
        <v>3.0</v>
      </c>
      <c r="C115" s="1" t="s">
        <v>12</v>
      </c>
      <c r="D115" s="1" t="s">
        <v>13</v>
      </c>
      <c r="E115" s="1" t="s">
        <v>17</v>
      </c>
      <c r="F115" s="1" t="s">
        <v>1235</v>
      </c>
      <c r="G115" s="1" t="s">
        <v>1236</v>
      </c>
      <c r="H115" s="1">
        <f t="shared" si="1"/>
        <v>6611.277901</v>
      </c>
      <c r="I115" s="1" t="s">
        <v>1237</v>
      </c>
      <c r="J115" s="1">
        <v>794.0</v>
      </c>
    </row>
    <row r="116">
      <c r="A116" s="1">
        <v>2021.0</v>
      </c>
      <c r="B116" s="1">
        <v>3.0</v>
      </c>
      <c r="C116" s="1" t="s">
        <v>12</v>
      </c>
      <c r="D116" s="1" t="s">
        <v>13</v>
      </c>
      <c r="E116" s="1" t="s">
        <v>21</v>
      </c>
      <c r="F116" s="1" t="s">
        <v>1240</v>
      </c>
      <c r="G116" s="1" t="s">
        <v>1241</v>
      </c>
      <c r="H116" s="1">
        <f t="shared" si="1"/>
        <v>4368.40284</v>
      </c>
      <c r="I116" s="1" t="s">
        <v>1242</v>
      </c>
      <c r="J116" s="1">
        <v>580.0</v>
      </c>
    </row>
    <row r="117">
      <c r="A117" s="1">
        <v>2021.0</v>
      </c>
      <c r="B117" s="1">
        <v>3.0</v>
      </c>
      <c r="C117" s="1" t="s">
        <v>12</v>
      </c>
      <c r="D117" s="1" t="s">
        <v>29</v>
      </c>
      <c r="E117" s="1" t="s">
        <v>14</v>
      </c>
      <c r="F117" s="1" t="s">
        <v>1244</v>
      </c>
      <c r="G117" s="1" t="s">
        <v>1246</v>
      </c>
      <c r="H117" s="1">
        <f t="shared" si="1"/>
        <v>8.987191</v>
      </c>
      <c r="I117" s="1" t="s">
        <v>1247</v>
      </c>
      <c r="J117" s="1">
        <v>11.0</v>
      </c>
    </row>
    <row r="118">
      <c r="A118" s="1">
        <v>2021.0</v>
      </c>
      <c r="B118" s="1">
        <v>3.0</v>
      </c>
      <c r="C118" s="1" t="s">
        <v>12</v>
      </c>
      <c r="D118" s="1" t="s">
        <v>29</v>
      </c>
      <c r="E118" s="1" t="s">
        <v>21</v>
      </c>
      <c r="F118" s="1" t="s">
        <v>1250</v>
      </c>
      <c r="G118" s="1" t="s">
        <v>1251</v>
      </c>
      <c r="H118" s="1">
        <f t="shared" si="1"/>
        <v>5080.932744</v>
      </c>
      <c r="I118" s="3">
        <v>278590.0</v>
      </c>
      <c r="J118" s="1">
        <v>664.0</v>
      </c>
    </row>
    <row r="119">
      <c r="A119" s="1">
        <v>2021.0</v>
      </c>
      <c r="B119" s="1">
        <v>3.0</v>
      </c>
      <c r="C119" s="1" t="s">
        <v>12</v>
      </c>
      <c r="D119" s="1" t="s">
        <v>38</v>
      </c>
      <c r="E119" s="1" t="s">
        <v>39</v>
      </c>
      <c r="F119" s="3">
        <v>1557821.0</v>
      </c>
      <c r="G119" s="1" t="s">
        <v>1255</v>
      </c>
      <c r="H119" s="1">
        <f t="shared" si="1"/>
        <v>381.379502</v>
      </c>
      <c r="I119" s="1" t="s">
        <v>1256</v>
      </c>
      <c r="J119" s="1">
        <v>102.0</v>
      </c>
    </row>
    <row r="120">
      <c r="A120" s="1">
        <v>2021.0</v>
      </c>
      <c r="B120" s="1">
        <v>3.0</v>
      </c>
      <c r="C120" s="1" t="s">
        <v>12</v>
      </c>
      <c r="D120" s="1" t="s">
        <v>45</v>
      </c>
      <c r="E120" s="1" t="s">
        <v>17</v>
      </c>
      <c r="F120" s="3">
        <v>2077957.0</v>
      </c>
      <c r="G120" s="1" t="s">
        <v>1258</v>
      </c>
      <c r="H120" s="1">
        <f t="shared" si="1"/>
        <v>326.445788</v>
      </c>
      <c r="I120" s="3">
        <v>1910950.0</v>
      </c>
      <c r="J120" s="1">
        <v>236.0</v>
      </c>
    </row>
    <row r="121">
      <c r="A121" s="1">
        <v>2021.0</v>
      </c>
      <c r="B121" s="1">
        <v>3.0</v>
      </c>
      <c r="C121" s="1" t="s">
        <v>12</v>
      </c>
      <c r="D121" s="1" t="s">
        <v>32</v>
      </c>
      <c r="E121" s="1" t="s">
        <v>14</v>
      </c>
      <c r="F121" s="3">
        <v>1421923.0</v>
      </c>
      <c r="G121" s="1" t="s">
        <v>1262</v>
      </c>
      <c r="H121" s="1">
        <f t="shared" si="1"/>
        <v>194.223798</v>
      </c>
      <c r="I121" s="1" t="s">
        <v>1264</v>
      </c>
      <c r="J121" s="1">
        <v>310.0</v>
      </c>
    </row>
    <row r="122">
      <c r="A122" s="1">
        <v>2021.0</v>
      </c>
      <c r="B122" s="1">
        <v>3.0</v>
      </c>
      <c r="C122" s="1" t="s">
        <v>12</v>
      </c>
      <c r="D122" s="1" t="s">
        <v>32</v>
      </c>
      <c r="E122" s="1" t="s">
        <v>21</v>
      </c>
      <c r="F122" s="1" t="s">
        <v>1267</v>
      </c>
      <c r="G122" s="1" t="s">
        <v>1268</v>
      </c>
      <c r="H122" s="1">
        <f t="shared" si="1"/>
        <v>59.907001</v>
      </c>
      <c r="I122" s="1" t="s">
        <v>1269</v>
      </c>
      <c r="J122" s="1">
        <v>148.0</v>
      </c>
    </row>
    <row r="123">
      <c r="A123" s="1">
        <v>2021.0</v>
      </c>
      <c r="B123" s="1">
        <v>3.0</v>
      </c>
      <c r="C123" s="1" t="s">
        <v>12</v>
      </c>
      <c r="D123" s="1" t="s">
        <v>48</v>
      </c>
      <c r="E123" s="1" t="s">
        <v>49</v>
      </c>
      <c r="F123" s="1" t="s">
        <v>1272</v>
      </c>
      <c r="G123" s="1" t="s">
        <v>1273</v>
      </c>
      <c r="H123" s="1">
        <f t="shared" si="1"/>
        <v>2.719411</v>
      </c>
      <c r="I123" s="1" t="s">
        <v>880</v>
      </c>
      <c r="J123" s="1">
        <v>3.0</v>
      </c>
    </row>
    <row r="124">
      <c r="A124" s="1">
        <v>2021.0</v>
      </c>
      <c r="B124" s="1">
        <v>3.0</v>
      </c>
      <c r="C124" s="1" t="s">
        <v>12</v>
      </c>
      <c r="D124" s="1" t="s">
        <v>48</v>
      </c>
      <c r="E124" s="1" t="s">
        <v>21</v>
      </c>
      <c r="F124" s="3" t="s">
        <v>1277</v>
      </c>
      <c r="G124" s="1" t="s">
        <v>1278</v>
      </c>
      <c r="H124" s="1">
        <f t="shared" si="1"/>
        <v>140.99037</v>
      </c>
      <c r="I124" s="1" t="s">
        <v>1280</v>
      </c>
      <c r="J124" s="1">
        <v>123.0</v>
      </c>
    </row>
    <row r="125">
      <c r="A125" s="1">
        <v>2021.0</v>
      </c>
      <c r="B125" s="1">
        <v>3.0</v>
      </c>
      <c r="C125" s="1" t="s">
        <v>12</v>
      </c>
      <c r="D125" s="1" t="s">
        <v>42</v>
      </c>
      <c r="E125" s="1" t="s">
        <v>17</v>
      </c>
      <c r="F125" s="1" t="s">
        <v>1283</v>
      </c>
      <c r="G125" s="1" t="s">
        <v>1284</v>
      </c>
      <c r="H125" s="1">
        <f t="shared" si="1"/>
        <v>112.194176</v>
      </c>
      <c r="I125" s="1" t="s">
        <v>1286</v>
      </c>
      <c r="J125" s="1">
        <v>73.0</v>
      </c>
    </row>
    <row r="126">
      <c r="A126" s="1">
        <v>2021.0</v>
      </c>
      <c r="B126" s="1">
        <v>3.0</v>
      </c>
      <c r="C126" s="1" t="s">
        <v>12</v>
      </c>
      <c r="D126" s="1" t="s">
        <v>60</v>
      </c>
      <c r="E126" s="1" t="s">
        <v>39</v>
      </c>
      <c r="F126" s="1" t="s">
        <v>1289</v>
      </c>
      <c r="G126" s="1" t="s">
        <v>1290</v>
      </c>
      <c r="H126" s="1">
        <f t="shared" si="1"/>
        <v>45.09343</v>
      </c>
      <c r="I126" s="1" t="s">
        <v>1292</v>
      </c>
      <c r="J126" s="1">
        <v>87.0</v>
      </c>
    </row>
    <row r="127">
      <c r="A127" s="1">
        <v>2021.0</v>
      </c>
      <c r="B127" s="1">
        <v>3.0</v>
      </c>
      <c r="C127" s="1" t="s">
        <v>12</v>
      </c>
      <c r="D127" s="1" t="s">
        <v>60</v>
      </c>
      <c r="E127" s="1" t="s">
        <v>17</v>
      </c>
      <c r="F127" s="1" t="s">
        <v>414</v>
      </c>
      <c r="G127" s="1" t="s">
        <v>1294</v>
      </c>
      <c r="H127" s="1">
        <f t="shared" si="1"/>
        <v>0.069555</v>
      </c>
      <c r="I127" s="1" t="s">
        <v>333</v>
      </c>
      <c r="J127" s="1">
        <v>2.0</v>
      </c>
    </row>
    <row r="128">
      <c r="A128" s="1">
        <v>2021.0</v>
      </c>
      <c r="B128" s="1">
        <v>3.0</v>
      </c>
      <c r="C128" s="1" t="s">
        <v>12</v>
      </c>
      <c r="D128" s="1" t="s">
        <v>848</v>
      </c>
      <c r="E128" s="1" t="s">
        <v>21</v>
      </c>
      <c r="F128" s="1" t="s">
        <v>1297</v>
      </c>
      <c r="G128" s="1" t="s">
        <v>1298</v>
      </c>
      <c r="H128" s="1">
        <f t="shared" si="1"/>
        <v>42.177223</v>
      </c>
      <c r="I128" s="1" t="s">
        <v>1301</v>
      </c>
      <c r="J128" s="1">
        <v>56.0</v>
      </c>
    </row>
    <row r="129">
      <c r="A129" s="1">
        <v>2021.0</v>
      </c>
      <c r="B129" s="1">
        <v>3.0</v>
      </c>
      <c r="C129" s="1" t="s">
        <v>12</v>
      </c>
      <c r="D129" s="1" t="s">
        <v>64</v>
      </c>
      <c r="E129" s="1" t="s">
        <v>39</v>
      </c>
      <c r="F129" s="1" t="s">
        <v>1303</v>
      </c>
      <c r="G129" s="1" t="s">
        <v>1304</v>
      </c>
      <c r="H129" s="1">
        <f t="shared" si="1"/>
        <v>38.224321</v>
      </c>
      <c r="I129" s="1" t="s">
        <v>1307</v>
      </c>
      <c r="J129" s="1">
        <v>91.0</v>
      </c>
    </row>
    <row r="130">
      <c r="A130" s="1">
        <v>2021.0</v>
      </c>
      <c r="B130" s="1">
        <v>3.0</v>
      </c>
      <c r="C130" s="1" t="s">
        <v>12</v>
      </c>
      <c r="D130" s="1" t="s">
        <v>64</v>
      </c>
      <c r="E130" s="1" t="s">
        <v>21</v>
      </c>
      <c r="F130" s="1" t="s">
        <v>152</v>
      </c>
      <c r="G130" s="1" t="s">
        <v>1309</v>
      </c>
      <c r="H130" s="1">
        <f t="shared" si="1"/>
        <v>1.612696</v>
      </c>
      <c r="I130" s="1" t="s">
        <v>878</v>
      </c>
      <c r="J130" s="1">
        <v>6.0</v>
      </c>
    </row>
    <row r="131">
      <c r="A131" s="1">
        <v>2021.0</v>
      </c>
      <c r="B131" s="1">
        <v>3.0</v>
      </c>
      <c r="C131" s="1" t="s">
        <v>68</v>
      </c>
      <c r="D131" s="1" t="s">
        <v>13</v>
      </c>
      <c r="E131" s="1" t="s">
        <v>14</v>
      </c>
      <c r="F131" s="1" t="s">
        <v>1313</v>
      </c>
      <c r="G131" s="1" t="s">
        <v>1314</v>
      </c>
      <c r="H131" s="1">
        <f t="shared" si="1"/>
        <v>3420.009855</v>
      </c>
      <c r="I131" s="3">
        <v>724978.0</v>
      </c>
      <c r="J131" s="1">
        <v>7304.0</v>
      </c>
    </row>
    <row r="132">
      <c r="A132" s="1">
        <v>2021.0</v>
      </c>
      <c r="B132" s="1">
        <v>3.0</v>
      </c>
      <c r="C132" s="1" t="s">
        <v>68</v>
      </c>
      <c r="D132" s="1" t="s">
        <v>13</v>
      </c>
      <c r="E132" s="1" t="s">
        <v>17</v>
      </c>
      <c r="F132" s="1" t="s">
        <v>1318</v>
      </c>
      <c r="G132" s="1" t="s">
        <v>1319</v>
      </c>
      <c r="H132" s="1">
        <f t="shared" si="1"/>
        <v>5533.045968</v>
      </c>
      <c r="I132" s="1" t="s">
        <v>1321</v>
      </c>
      <c r="J132" s="1">
        <v>8857.0</v>
      </c>
    </row>
    <row r="133">
      <c r="A133" s="1">
        <v>2021.0</v>
      </c>
      <c r="B133" s="1">
        <v>3.0</v>
      </c>
      <c r="C133" s="1" t="s">
        <v>68</v>
      </c>
      <c r="D133" s="1" t="s">
        <v>13</v>
      </c>
      <c r="E133" s="1" t="s">
        <v>21</v>
      </c>
      <c r="F133" s="3" t="s">
        <v>1323</v>
      </c>
      <c r="G133" s="1" t="s">
        <v>1324</v>
      </c>
      <c r="H133" s="1">
        <f t="shared" si="1"/>
        <v>751.429353</v>
      </c>
      <c r="I133" s="3">
        <v>1310158.0</v>
      </c>
      <c r="J133" s="1">
        <v>568.0</v>
      </c>
    </row>
    <row r="134">
      <c r="A134" s="1">
        <v>2021.0</v>
      </c>
      <c r="B134" s="1">
        <v>3.0</v>
      </c>
      <c r="C134" s="1" t="s">
        <v>68</v>
      </c>
      <c r="D134" s="1" t="s">
        <v>13</v>
      </c>
      <c r="E134" s="1" t="s">
        <v>25</v>
      </c>
      <c r="F134" s="1" t="s">
        <v>1327</v>
      </c>
      <c r="G134" s="1" t="s">
        <v>1328</v>
      </c>
      <c r="H134" s="1">
        <f t="shared" si="1"/>
        <v>67.253647</v>
      </c>
      <c r="I134" s="1" t="s">
        <v>1329</v>
      </c>
      <c r="J134" s="1">
        <v>203.0</v>
      </c>
    </row>
    <row r="135">
      <c r="A135" s="1">
        <v>2021.0</v>
      </c>
      <c r="B135" s="1">
        <v>3.0</v>
      </c>
      <c r="C135" s="1" t="s">
        <v>68</v>
      </c>
      <c r="D135" s="1" t="s">
        <v>29</v>
      </c>
      <c r="E135" s="1" t="s">
        <v>14</v>
      </c>
      <c r="F135" s="1" t="s">
        <v>1331</v>
      </c>
      <c r="G135" s="1" t="s">
        <v>1332</v>
      </c>
      <c r="H135" s="1">
        <f t="shared" si="1"/>
        <v>0.587074</v>
      </c>
      <c r="I135" s="1" t="s">
        <v>429</v>
      </c>
      <c r="J135" s="1">
        <v>1.0</v>
      </c>
    </row>
    <row r="136">
      <c r="A136" s="1">
        <v>2021.0</v>
      </c>
      <c r="B136" s="1">
        <v>3.0</v>
      </c>
      <c r="C136" s="1" t="s">
        <v>68</v>
      </c>
      <c r="D136" s="1" t="s">
        <v>29</v>
      </c>
      <c r="E136" s="1" t="s">
        <v>21</v>
      </c>
      <c r="F136" s="1" t="s">
        <v>1334</v>
      </c>
      <c r="G136" s="1" t="s">
        <v>1335</v>
      </c>
      <c r="H136" s="1">
        <f t="shared" si="1"/>
        <v>1257.186042</v>
      </c>
      <c r="I136" s="3">
        <v>743666.0</v>
      </c>
      <c r="J136" s="1">
        <v>874.0</v>
      </c>
    </row>
    <row r="137">
      <c r="A137" s="1">
        <v>2021.0</v>
      </c>
      <c r="B137" s="1">
        <v>3.0</v>
      </c>
      <c r="C137" s="1" t="s">
        <v>68</v>
      </c>
      <c r="D137" s="1" t="s">
        <v>45</v>
      </c>
      <c r="E137" s="1" t="s">
        <v>17</v>
      </c>
      <c r="F137" s="1" t="s">
        <v>1339</v>
      </c>
      <c r="G137" s="1" t="s">
        <v>1340</v>
      </c>
      <c r="H137" s="1">
        <f t="shared" si="1"/>
        <v>957.650107</v>
      </c>
      <c r="I137" s="3" t="s">
        <v>1342</v>
      </c>
      <c r="J137" s="1">
        <v>1817.0</v>
      </c>
    </row>
    <row r="138">
      <c r="A138" s="1">
        <v>2021.0</v>
      </c>
      <c r="B138" s="1">
        <v>3.0</v>
      </c>
      <c r="C138" s="1" t="s">
        <v>68</v>
      </c>
      <c r="D138" s="1" t="s">
        <v>32</v>
      </c>
      <c r="E138" s="1" t="s">
        <v>14</v>
      </c>
      <c r="F138" s="3">
        <v>1649954.0</v>
      </c>
      <c r="G138" s="1" t="s">
        <v>1344</v>
      </c>
      <c r="H138" s="1">
        <f t="shared" si="1"/>
        <v>461.544797</v>
      </c>
      <c r="I138" s="3">
        <v>1233061.0</v>
      </c>
      <c r="J138" s="1">
        <v>2390.0</v>
      </c>
    </row>
    <row r="139">
      <c r="A139" s="1">
        <v>2021.0</v>
      </c>
      <c r="B139" s="1">
        <v>3.0</v>
      </c>
      <c r="C139" s="1" t="s">
        <v>68</v>
      </c>
      <c r="D139" s="1" t="s">
        <v>32</v>
      </c>
      <c r="E139" s="1" t="s">
        <v>21</v>
      </c>
      <c r="F139" s="1" t="s">
        <v>1346</v>
      </c>
      <c r="G139" s="1" t="s">
        <v>1347</v>
      </c>
      <c r="H139" s="1">
        <f t="shared" si="1"/>
        <v>85.414349</v>
      </c>
      <c r="I139" s="1" t="s">
        <v>1349</v>
      </c>
      <c r="J139" s="1">
        <v>446.0</v>
      </c>
    </row>
    <row r="140">
      <c r="A140" s="1">
        <v>2021.0</v>
      </c>
      <c r="B140" s="1">
        <v>3.0</v>
      </c>
      <c r="C140" s="1" t="s">
        <v>68</v>
      </c>
      <c r="D140" s="1" t="s">
        <v>42</v>
      </c>
      <c r="E140" s="1" t="s">
        <v>17</v>
      </c>
      <c r="F140" s="3">
        <v>370358.0</v>
      </c>
      <c r="G140" s="1" t="s">
        <v>1352</v>
      </c>
      <c r="H140" s="1">
        <f t="shared" si="1"/>
        <v>193.421163</v>
      </c>
      <c r="I140" s="1" t="s">
        <v>1354</v>
      </c>
      <c r="J140" s="1">
        <v>475.0</v>
      </c>
    </row>
    <row r="141">
      <c r="A141" s="1">
        <v>2021.0</v>
      </c>
      <c r="B141" s="1">
        <v>3.0</v>
      </c>
      <c r="C141" s="1" t="s">
        <v>68</v>
      </c>
      <c r="D141" s="1" t="s">
        <v>38</v>
      </c>
      <c r="E141" s="1" t="s">
        <v>39</v>
      </c>
      <c r="F141" s="3">
        <v>1943458.0</v>
      </c>
      <c r="G141" s="1" t="s">
        <v>1358</v>
      </c>
      <c r="H141" s="1">
        <f t="shared" si="1"/>
        <v>162.790081</v>
      </c>
      <c r="I141" s="1" t="s">
        <v>1359</v>
      </c>
      <c r="J141" s="1">
        <v>232.0</v>
      </c>
    </row>
    <row r="142">
      <c r="A142" s="1">
        <v>2021.0</v>
      </c>
      <c r="B142" s="1">
        <v>3.0</v>
      </c>
      <c r="C142" s="1" t="s">
        <v>68</v>
      </c>
      <c r="D142" s="1" t="s">
        <v>544</v>
      </c>
      <c r="E142" s="1" t="s">
        <v>17</v>
      </c>
      <c r="F142" s="3" t="s">
        <v>1363</v>
      </c>
      <c r="G142" s="1" t="s">
        <v>1364</v>
      </c>
      <c r="H142" s="1">
        <f t="shared" si="1"/>
        <v>97.76571</v>
      </c>
      <c r="I142" s="1" t="s">
        <v>1366</v>
      </c>
      <c r="J142" s="1">
        <v>221.0</v>
      </c>
    </row>
    <row r="143">
      <c r="A143" s="1">
        <v>2021.0</v>
      </c>
      <c r="B143" s="1">
        <v>3.0</v>
      </c>
      <c r="C143" s="1" t="s">
        <v>68</v>
      </c>
      <c r="D143" s="1" t="s">
        <v>281</v>
      </c>
      <c r="E143" s="1" t="s">
        <v>72</v>
      </c>
      <c r="F143" s="1" t="s">
        <v>1369</v>
      </c>
      <c r="G143" s="1" t="s">
        <v>1371</v>
      </c>
      <c r="H143" s="1">
        <f t="shared" si="1"/>
        <v>50.093305</v>
      </c>
      <c r="I143" s="1" t="s">
        <v>1373</v>
      </c>
      <c r="J143" s="1">
        <v>0.0</v>
      </c>
    </row>
    <row r="144">
      <c r="A144" s="1">
        <v>2021.0</v>
      </c>
      <c r="B144" s="1">
        <v>3.0</v>
      </c>
      <c r="C144" s="1" t="s">
        <v>68</v>
      </c>
      <c r="D144" s="1" t="s">
        <v>48</v>
      </c>
      <c r="E144" s="1" t="s">
        <v>49</v>
      </c>
      <c r="F144" s="1" t="s">
        <v>414</v>
      </c>
      <c r="G144" s="1" t="s">
        <v>1375</v>
      </c>
      <c r="H144" s="1">
        <f t="shared" si="1"/>
        <v>0.274441</v>
      </c>
      <c r="I144" s="1" t="s">
        <v>376</v>
      </c>
      <c r="J144" s="1">
        <v>2.0</v>
      </c>
    </row>
    <row r="145">
      <c r="A145" s="1">
        <v>2021.0</v>
      </c>
      <c r="B145" s="1">
        <v>3.0</v>
      </c>
      <c r="C145" s="1" t="s">
        <v>68</v>
      </c>
      <c r="D145" s="1" t="s">
        <v>48</v>
      </c>
      <c r="E145" s="1" t="s">
        <v>72</v>
      </c>
      <c r="F145" s="1" t="s">
        <v>414</v>
      </c>
      <c r="G145" s="1" t="s">
        <v>1377</v>
      </c>
      <c r="H145" s="1">
        <f t="shared" si="1"/>
        <v>0.138314</v>
      </c>
      <c r="I145" s="1" t="s">
        <v>376</v>
      </c>
      <c r="J145" s="1">
        <v>1.0</v>
      </c>
    </row>
    <row r="146">
      <c r="A146" s="1">
        <v>2021.0</v>
      </c>
      <c r="B146" s="1">
        <v>3.0</v>
      </c>
      <c r="C146" s="1" t="s">
        <v>68</v>
      </c>
      <c r="D146" s="1" t="s">
        <v>48</v>
      </c>
      <c r="E146" s="1" t="s">
        <v>21</v>
      </c>
      <c r="F146" s="1" t="s">
        <v>1381</v>
      </c>
      <c r="G146" s="1" t="s">
        <v>1382</v>
      </c>
      <c r="H146" s="1">
        <f t="shared" si="1"/>
        <v>47.505247</v>
      </c>
      <c r="I146" s="1" t="s">
        <v>1385</v>
      </c>
      <c r="J146" s="1">
        <v>256.0</v>
      </c>
    </row>
    <row r="147">
      <c r="A147" s="1">
        <v>2021.0</v>
      </c>
      <c r="B147" s="1">
        <v>3.0</v>
      </c>
      <c r="C147" s="1" t="s">
        <v>68</v>
      </c>
      <c r="D147" s="1" t="s">
        <v>165</v>
      </c>
      <c r="E147" s="1" t="s">
        <v>39</v>
      </c>
      <c r="F147" s="1" t="s">
        <v>1387</v>
      </c>
      <c r="G147" s="1" t="s">
        <v>1388</v>
      </c>
      <c r="H147" s="1">
        <f t="shared" si="1"/>
        <v>6.911678</v>
      </c>
      <c r="I147" s="1" t="s">
        <v>50</v>
      </c>
      <c r="J147" s="1">
        <v>0.0</v>
      </c>
    </row>
    <row r="148">
      <c r="A148" s="1">
        <v>2021.0</v>
      </c>
      <c r="B148" s="1">
        <v>3.0</v>
      </c>
      <c r="C148" s="1" t="s">
        <v>68</v>
      </c>
      <c r="D148" s="1" t="s">
        <v>165</v>
      </c>
      <c r="E148" s="1" t="s">
        <v>17</v>
      </c>
      <c r="F148" s="1" t="s">
        <v>1391</v>
      </c>
      <c r="G148" s="1" t="s">
        <v>1392</v>
      </c>
      <c r="H148" s="1">
        <f t="shared" si="1"/>
        <v>35.343786</v>
      </c>
      <c r="I148" s="1" t="s">
        <v>1394</v>
      </c>
      <c r="J148" s="1">
        <v>0.0</v>
      </c>
    </row>
    <row r="149">
      <c r="A149" s="1">
        <v>2021.0</v>
      </c>
      <c r="B149" s="1">
        <v>3.0</v>
      </c>
      <c r="C149" s="1" t="s">
        <v>116</v>
      </c>
      <c r="D149" s="1" t="s">
        <v>13</v>
      </c>
      <c r="E149" s="1" t="s">
        <v>14</v>
      </c>
      <c r="F149" s="1" t="s">
        <v>1396</v>
      </c>
      <c r="G149" s="1" t="s">
        <v>1398</v>
      </c>
      <c r="H149" s="1">
        <f t="shared" si="1"/>
        <v>8375.874438</v>
      </c>
      <c r="I149" s="1" t="s">
        <v>1399</v>
      </c>
      <c r="J149" s="1">
        <v>11876.0</v>
      </c>
    </row>
    <row r="150">
      <c r="A150" s="1">
        <v>2021.0</v>
      </c>
      <c r="B150" s="1">
        <v>3.0</v>
      </c>
      <c r="C150" s="1" t="s">
        <v>116</v>
      </c>
      <c r="D150" s="1" t="s">
        <v>13</v>
      </c>
      <c r="E150" s="1" t="s">
        <v>17</v>
      </c>
      <c r="F150" s="1" t="s">
        <v>1402</v>
      </c>
      <c r="G150" s="1" t="s">
        <v>1404</v>
      </c>
      <c r="H150" s="1">
        <f t="shared" si="1"/>
        <v>12122.70285</v>
      </c>
      <c r="I150" s="1" t="s">
        <v>1405</v>
      </c>
      <c r="J150" s="1">
        <v>15756.0</v>
      </c>
    </row>
    <row r="151">
      <c r="A151" s="1">
        <v>2021.0</v>
      </c>
      <c r="B151" s="1">
        <v>3.0</v>
      </c>
      <c r="C151" s="1" t="s">
        <v>116</v>
      </c>
      <c r="D151" s="1" t="s">
        <v>13</v>
      </c>
      <c r="E151" s="1" t="s">
        <v>21</v>
      </c>
      <c r="F151" s="3">
        <v>1095273.0</v>
      </c>
      <c r="G151" s="1" t="s">
        <v>1408</v>
      </c>
      <c r="H151" s="1">
        <f t="shared" si="1"/>
        <v>1390.042249</v>
      </c>
      <c r="I151" s="3">
        <v>200641.0</v>
      </c>
      <c r="J151" s="1">
        <v>762.0</v>
      </c>
    </row>
    <row r="152">
      <c r="A152" s="1">
        <v>2021.0</v>
      </c>
      <c r="B152" s="1">
        <v>3.0</v>
      </c>
      <c r="C152" s="1" t="s">
        <v>116</v>
      </c>
      <c r="D152" s="1" t="s">
        <v>13</v>
      </c>
      <c r="E152" s="1" t="s">
        <v>25</v>
      </c>
      <c r="F152" s="1" t="s">
        <v>1411</v>
      </c>
      <c r="G152" s="1" t="s">
        <v>1412</v>
      </c>
      <c r="H152" s="1">
        <f t="shared" si="1"/>
        <v>1.284879</v>
      </c>
      <c r="I152" s="1" t="s">
        <v>1413</v>
      </c>
      <c r="J152" s="1">
        <v>3.0</v>
      </c>
    </row>
    <row r="153">
      <c r="A153" s="1">
        <v>2021.0</v>
      </c>
      <c r="B153" s="1">
        <v>3.0</v>
      </c>
      <c r="C153" s="1" t="s">
        <v>116</v>
      </c>
      <c r="D153" s="1" t="s">
        <v>29</v>
      </c>
      <c r="E153" s="1" t="s">
        <v>14</v>
      </c>
      <c r="F153" s="1" t="s">
        <v>1416</v>
      </c>
      <c r="G153" s="1" t="s">
        <v>1417</v>
      </c>
      <c r="H153" s="1">
        <f t="shared" si="1"/>
        <v>12.614995</v>
      </c>
      <c r="I153" s="1" t="s">
        <v>1418</v>
      </c>
      <c r="J153" s="1">
        <v>48.0</v>
      </c>
    </row>
    <row r="154">
      <c r="A154" s="1">
        <v>2021.0</v>
      </c>
      <c r="B154" s="1">
        <v>3.0</v>
      </c>
      <c r="C154" s="1" t="s">
        <v>116</v>
      </c>
      <c r="D154" s="1" t="s">
        <v>29</v>
      </c>
      <c r="E154" s="1" t="s">
        <v>21</v>
      </c>
      <c r="F154" s="1" t="s">
        <v>1421</v>
      </c>
      <c r="G154" s="1" t="s">
        <v>1422</v>
      </c>
      <c r="H154" s="1">
        <f t="shared" si="1"/>
        <v>6994.548254</v>
      </c>
      <c r="I154" s="1" t="s">
        <v>1423</v>
      </c>
      <c r="J154" s="1">
        <v>1692.0</v>
      </c>
    </row>
    <row r="155">
      <c r="A155" s="1">
        <v>2021.0</v>
      </c>
      <c r="B155" s="1">
        <v>3.0</v>
      </c>
      <c r="C155" s="1" t="s">
        <v>116</v>
      </c>
      <c r="D155" s="1" t="s">
        <v>45</v>
      </c>
      <c r="E155" s="1" t="s">
        <v>17</v>
      </c>
      <c r="F155" s="1" t="s">
        <v>1425</v>
      </c>
      <c r="G155" s="1" t="s">
        <v>1426</v>
      </c>
      <c r="H155" s="1">
        <f t="shared" si="1"/>
        <v>1774.121005</v>
      </c>
      <c r="I155" s="3">
        <v>828616.0</v>
      </c>
      <c r="J155" s="1">
        <v>1981.0</v>
      </c>
    </row>
    <row r="156">
      <c r="A156" s="1">
        <v>2021.0</v>
      </c>
      <c r="B156" s="1">
        <v>3.0</v>
      </c>
      <c r="C156" s="1" t="s">
        <v>116</v>
      </c>
      <c r="D156" s="1" t="s">
        <v>147</v>
      </c>
      <c r="E156" s="1" t="s">
        <v>39</v>
      </c>
      <c r="F156" s="3">
        <v>2137767.0</v>
      </c>
      <c r="G156" s="1" t="s">
        <v>1429</v>
      </c>
      <c r="H156" s="1">
        <f t="shared" si="1"/>
        <v>504.261818</v>
      </c>
      <c r="I156" s="1" t="s">
        <v>1431</v>
      </c>
      <c r="J156" s="1">
        <v>95.0</v>
      </c>
    </row>
    <row r="157">
      <c r="A157" s="1">
        <v>2021.0</v>
      </c>
      <c r="B157" s="1">
        <v>3.0</v>
      </c>
      <c r="C157" s="1" t="s">
        <v>116</v>
      </c>
      <c r="D157" s="1" t="s">
        <v>147</v>
      </c>
      <c r="E157" s="1" t="s">
        <v>17</v>
      </c>
      <c r="F157" s="1" t="s">
        <v>1434</v>
      </c>
      <c r="G157" s="1" t="s">
        <v>1435</v>
      </c>
      <c r="H157" s="1">
        <f t="shared" si="1"/>
        <v>6.121244</v>
      </c>
      <c r="I157" s="1" t="s">
        <v>1437</v>
      </c>
      <c r="J157" s="1">
        <v>8.0</v>
      </c>
    </row>
    <row r="158">
      <c r="A158" s="1">
        <v>2021.0</v>
      </c>
      <c r="B158" s="1">
        <v>3.0</v>
      </c>
      <c r="C158" s="1" t="s">
        <v>116</v>
      </c>
      <c r="D158" s="1" t="s">
        <v>147</v>
      </c>
      <c r="E158" s="1" t="s">
        <v>21</v>
      </c>
      <c r="F158" s="1" t="s">
        <v>1439</v>
      </c>
      <c r="G158" s="1" t="s">
        <v>1440</v>
      </c>
      <c r="H158" s="1">
        <f t="shared" si="1"/>
        <v>47.773322</v>
      </c>
      <c r="I158" s="1" t="s">
        <v>1442</v>
      </c>
      <c r="J158" s="1">
        <v>62.0</v>
      </c>
    </row>
    <row r="159">
      <c r="A159" s="1">
        <v>2021.0</v>
      </c>
      <c r="B159" s="1">
        <v>3.0</v>
      </c>
      <c r="C159" s="1" t="s">
        <v>116</v>
      </c>
      <c r="D159" s="1" t="s">
        <v>32</v>
      </c>
      <c r="E159" s="1" t="s">
        <v>14</v>
      </c>
      <c r="F159" s="1" t="s">
        <v>1445</v>
      </c>
      <c r="G159" s="1" t="s">
        <v>1446</v>
      </c>
      <c r="H159" s="1">
        <f t="shared" si="1"/>
        <v>151.434106</v>
      </c>
      <c r="I159" s="1" t="s">
        <v>1448</v>
      </c>
      <c r="J159" s="1">
        <v>707.0</v>
      </c>
    </row>
    <row r="160">
      <c r="A160" s="1">
        <v>2021.0</v>
      </c>
      <c r="B160" s="1">
        <v>3.0</v>
      </c>
      <c r="C160" s="1" t="s">
        <v>116</v>
      </c>
      <c r="D160" s="1" t="s">
        <v>32</v>
      </c>
      <c r="E160" s="1" t="s">
        <v>21</v>
      </c>
      <c r="F160" s="3">
        <v>1479995.0</v>
      </c>
      <c r="G160" s="1" t="s">
        <v>1451</v>
      </c>
      <c r="H160" s="1">
        <f t="shared" si="1"/>
        <v>395.922213</v>
      </c>
      <c r="I160" s="3" t="s">
        <v>1452</v>
      </c>
      <c r="J160" s="1">
        <v>1904.0</v>
      </c>
    </row>
    <row r="161">
      <c r="A161" s="1">
        <v>2021.0</v>
      </c>
      <c r="B161" s="1">
        <v>3.0</v>
      </c>
      <c r="C161" s="1" t="s">
        <v>116</v>
      </c>
      <c r="D161" s="1" t="s">
        <v>42</v>
      </c>
      <c r="E161" s="1" t="s">
        <v>17</v>
      </c>
      <c r="F161" s="3">
        <v>2011058.0</v>
      </c>
      <c r="G161" s="1" t="s">
        <v>1455</v>
      </c>
      <c r="H161" s="1">
        <f t="shared" si="1"/>
        <v>481.704229</v>
      </c>
      <c r="I161" s="1" t="s">
        <v>1457</v>
      </c>
      <c r="J161" s="1">
        <v>353.0</v>
      </c>
    </row>
    <row r="162">
      <c r="A162" s="1">
        <v>2021.0</v>
      </c>
      <c r="B162" s="1">
        <v>3.0</v>
      </c>
      <c r="C162" s="1" t="s">
        <v>116</v>
      </c>
      <c r="D162" s="1" t="s">
        <v>158</v>
      </c>
      <c r="E162" s="1" t="s">
        <v>39</v>
      </c>
      <c r="F162" s="1" t="s">
        <v>1460</v>
      </c>
      <c r="G162" s="1" t="s">
        <v>1462</v>
      </c>
      <c r="H162" s="1">
        <f t="shared" si="1"/>
        <v>0.990613</v>
      </c>
      <c r="I162" s="1" t="s">
        <v>75</v>
      </c>
      <c r="J162" s="1">
        <v>0.0</v>
      </c>
    </row>
    <row r="163">
      <c r="A163" s="1">
        <v>2021.0</v>
      </c>
      <c r="B163" s="1">
        <v>3.0</v>
      </c>
      <c r="C163" s="1" t="s">
        <v>116</v>
      </c>
      <c r="D163" s="1" t="s">
        <v>158</v>
      </c>
      <c r="E163" s="1" t="s">
        <v>17</v>
      </c>
      <c r="F163" s="1" t="s">
        <v>1465</v>
      </c>
      <c r="G163" s="1" t="s">
        <v>1466</v>
      </c>
      <c r="H163" s="1">
        <f t="shared" si="1"/>
        <v>28.385296</v>
      </c>
      <c r="I163" s="1" t="s">
        <v>1467</v>
      </c>
      <c r="J163" s="1">
        <v>0.0</v>
      </c>
    </row>
    <row r="164">
      <c r="A164" s="1">
        <v>2021.0</v>
      </c>
      <c r="B164" s="1">
        <v>3.0</v>
      </c>
      <c r="C164" s="1" t="s">
        <v>116</v>
      </c>
      <c r="D164" s="1" t="s">
        <v>158</v>
      </c>
      <c r="E164" s="1" t="s">
        <v>21</v>
      </c>
      <c r="F164" s="1" t="s">
        <v>1470</v>
      </c>
      <c r="G164" s="1" t="s">
        <v>1471</v>
      </c>
      <c r="H164" s="1">
        <f t="shared" si="1"/>
        <v>255.430531</v>
      </c>
      <c r="I164" s="1" t="s">
        <v>1473</v>
      </c>
      <c r="J164" s="1">
        <v>0.0</v>
      </c>
    </row>
    <row r="165">
      <c r="A165" s="1">
        <v>2021.0</v>
      </c>
      <c r="B165" s="1">
        <v>3.0</v>
      </c>
      <c r="C165" s="1" t="s">
        <v>116</v>
      </c>
      <c r="D165" s="1" t="s">
        <v>165</v>
      </c>
      <c r="E165" s="1" t="s">
        <v>39</v>
      </c>
      <c r="F165" s="1" t="s">
        <v>1476</v>
      </c>
      <c r="G165" s="1" t="s">
        <v>1477</v>
      </c>
      <c r="H165" s="1">
        <f t="shared" si="1"/>
        <v>64.167697</v>
      </c>
      <c r="I165" s="1" t="s">
        <v>1478</v>
      </c>
      <c r="J165" s="1">
        <v>77.0</v>
      </c>
    </row>
    <row r="166">
      <c r="A166" s="1">
        <v>2021.0</v>
      </c>
      <c r="B166" s="1">
        <v>3.0</v>
      </c>
      <c r="C166" s="1" t="s">
        <v>116</v>
      </c>
      <c r="D166" s="1" t="s">
        <v>165</v>
      </c>
      <c r="E166" s="1" t="s">
        <v>17</v>
      </c>
      <c r="F166" s="3" t="s">
        <v>1481</v>
      </c>
      <c r="G166" s="1" t="s">
        <v>1482</v>
      </c>
      <c r="H166" s="1">
        <f t="shared" si="1"/>
        <v>211.265253</v>
      </c>
      <c r="I166" s="1" t="s">
        <v>1483</v>
      </c>
      <c r="J166" s="1">
        <v>87.0</v>
      </c>
    </row>
    <row r="167">
      <c r="A167" s="1">
        <v>2021.0</v>
      </c>
      <c r="B167" s="1">
        <v>3.0</v>
      </c>
      <c r="C167" s="1" t="s">
        <v>116</v>
      </c>
      <c r="D167" s="1" t="s">
        <v>102</v>
      </c>
      <c r="E167" s="1" t="s">
        <v>21</v>
      </c>
      <c r="F167" s="1" t="s">
        <v>1486</v>
      </c>
      <c r="G167" s="1" t="s">
        <v>1487</v>
      </c>
      <c r="H167" s="1">
        <f t="shared" si="1"/>
        <v>198.851962</v>
      </c>
      <c r="I167" s="1" t="s">
        <v>1489</v>
      </c>
      <c r="J167" s="1">
        <v>0.0</v>
      </c>
    </row>
    <row r="168">
      <c r="A168" s="1">
        <v>2021.0</v>
      </c>
      <c r="B168" s="1">
        <v>3.0</v>
      </c>
      <c r="C168" s="1" t="s">
        <v>116</v>
      </c>
      <c r="D168" s="1" t="s">
        <v>330</v>
      </c>
      <c r="E168" s="1" t="s">
        <v>17</v>
      </c>
      <c r="F168" s="3">
        <v>42370.0</v>
      </c>
      <c r="G168" s="1" t="s">
        <v>1491</v>
      </c>
      <c r="H168" s="1">
        <f t="shared" si="1"/>
        <v>197.967969</v>
      </c>
      <c r="I168" s="1" t="s">
        <v>1492</v>
      </c>
      <c r="J168" s="1">
        <v>118.0</v>
      </c>
    </row>
    <row r="169">
      <c r="A169" s="1">
        <v>2021.0</v>
      </c>
      <c r="B169" s="1">
        <v>4.0</v>
      </c>
      <c r="C169" s="1" t="s">
        <v>12</v>
      </c>
      <c r="D169" s="1" t="s">
        <v>13</v>
      </c>
      <c r="E169" s="1" t="s">
        <v>14</v>
      </c>
      <c r="F169" s="1" t="s">
        <v>1494</v>
      </c>
      <c r="G169" s="1" t="s">
        <v>1495</v>
      </c>
      <c r="H169" s="1">
        <f t="shared" si="1"/>
        <v>961.059632</v>
      </c>
      <c r="I169" s="1" t="s">
        <v>1496</v>
      </c>
      <c r="J169" s="1">
        <v>565.0</v>
      </c>
    </row>
    <row r="170">
      <c r="A170" s="1">
        <v>2021.0</v>
      </c>
      <c r="B170" s="1">
        <v>4.0</v>
      </c>
      <c r="C170" s="1" t="s">
        <v>12</v>
      </c>
      <c r="D170" s="1" t="s">
        <v>13</v>
      </c>
      <c r="E170" s="1" t="s">
        <v>17</v>
      </c>
      <c r="F170" s="1" t="s">
        <v>1705</v>
      </c>
      <c r="G170" s="1" t="s">
        <v>1707</v>
      </c>
      <c r="H170" s="1">
        <f t="shared" si="1"/>
        <v>5859.277454</v>
      </c>
      <c r="I170" s="1" t="s">
        <v>1710</v>
      </c>
      <c r="J170" s="1">
        <v>796.0</v>
      </c>
    </row>
    <row r="171">
      <c r="A171" s="1">
        <v>2021.0</v>
      </c>
      <c r="B171" s="1">
        <v>4.0</v>
      </c>
      <c r="C171" s="1" t="s">
        <v>12</v>
      </c>
      <c r="D171" s="1" t="s">
        <v>13</v>
      </c>
      <c r="E171" s="1" t="s">
        <v>21</v>
      </c>
      <c r="F171" s="1" t="s">
        <v>1714</v>
      </c>
      <c r="G171" s="1" t="s">
        <v>1716</v>
      </c>
      <c r="H171" s="1">
        <f t="shared" si="1"/>
        <v>2930.864958</v>
      </c>
      <c r="I171" s="3">
        <v>2079601.0</v>
      </c>
      <c r="J171" s="1">
        <v>570.0</v>
      </c>
    </row>
    <row r="172">
      <c r="A172" s="1">
        <v>2021.0</v>
      </c>
      <c r="B172" s="1">
        <v>4.0</v>
      </c>
      <c r="C172" s="1" t="s">
        <v>12</v>
      </c>
      <c r="D172" s="1" t="s">
        <v>29</v>
      </c>
      <c r="E172" s="1" t="s">
        <v>14</v>
      </c>
      <c r="F172" s="1" t="s">
        <v>1720</v>
      </c>
      <c r="G172" s="1" t="s">
        <v>1721</v>
      </c>
      <c r="H172" s="1">
        <f t="shared" si="1"/>
        <v>10.429016</v>
      </c>
      <c r="I172" s="1" t="s">
        <v>1723</v>
      </c>
      <c r="J172" s="1">
        <v>11.0</v>
      </c>
    </row>
    <row r="173">
      <c r="A173" s="1">
        <v>2021.0</v>
      </c>
      <c r="B173" s="1">
        <v>4.0</v>
      </c>
      <c r="C173" s="1" t="s">
        <v>12</v>
      </c>
      <c r="D173" s="1" t="s">
        <v>29</v>
      </c>
      <c r="E173" s="1" t="s">
        <v>21</v>
      </c>
      <c r="F173" s="1" t="s">
        <v>1726</v>
      </c>
      <c r="G173" s="1" t="s">
        <v>1727</v>
      </c>
      <c r="H173" s="1">
        <f t="shared" si="1"/>
        <v>3419.515013</v>
      </c>
      <c r="I173" s="3" t="s">
        <v>1729</v>
      </c>
      <c r="J173" s="1">
        <v>628.0</v>
      </c>
    </row>
    <row r="174">
      <c r="A174" s="1">
        <v>2021.0</v>
      </c>
      <c r="B174" s="1">
        <v>4.0</v>
      </c>
      <c r="C174" s="1" t="s">
        <v>12</v>
      </c>
      <c r="D174" s="1" t="s">
        <v>45</v>
      </c>
      <c r="E174" s="1" t="s">
        <v>17</v>
      </c>
      <c r="F174" s="3" t="s">
        <v>1731</v>
      </c>
      <c r="G174" s="1" t="s">
        <v>1732</v>
      </c>
      <c r="H174" s="1">
        <f t="shared" si="1"/>
        <v>308.450321</v>
      </c>
      <c r="I174" s="3">
        <v>964973.0</v>
      </c>
      <c r="J174" s="1">
        <v>232.0</v>
      </c>
    </row>
    <row r="175">
      <c r="A175" s="1">
        <v>2021.0</v>
      </c>
      <c r="B175" s="1">
        <v>4.0</v>
      </c>
      <c r="C175" s="1" t="s">
        <v>12</v>
      </c>
      <c r="D175" s="1" t="s">
        <v>38</v>
      </c>
      <c r="E175" s="1" t="s">
        <v>39</v>
      </c>
      <c r="F175" s="1" t="s">
        <v>1735</v>
      </c>
      <c r="G175" s="1" t="s">
        <v>1737</v>
      </c>
      <c r="H175" s="1">
        <f t="shared" si="1"/>
        <v>305.049151</v>
      </c>
      <c r="I175" s="1" t="s">
        <v>1738</v>
      </c>
      <c r="J175" s="1">
        <v>101.0</v>
      </c>
    </row>
    <row r="176">
      <c r="A176" s="1">
        <v>2021.0</v>
      </c>
      <c r="B176" s="1">
        <v>4.0</v>
      </c>
      <c r="C176" s="1" t="s">
        <v>12</v>
      </c>
      <c r="D176" s="1" t="s">
        <v>32</v>
      </c>
      <c r="E176" s="1" t="s">
        <v>14</v>
      </c>
      <c r="F176" s="3" t="s">
        <v>1740</v>
      </c>
      <c r="G176" s="1" t="s">
        <v>1741</v>
      </c>
      <c r="H176" s="1">
        <f t="shared" si="1"/>
        <v>138.82256</v>
      </c>
      <c r="I176" s="1" t="s">
        <v>554</v>
      </c>
      <c r="J176" s="1">
        <v>260.0</v>
      </c>
    </row>
    <row r="177">
      <c r="A177" s="1">
        <v>2021.0</v>
      </c>
      <c r="B177" s="1">
        <v>4.0</v>
      </c>
      <c r="C177" s="1" t="s">
        <v>12</v>
      </c>
      <c r="D177" s="1" t="s">
        <v>32</v>
      </c>
      <c r="E177" s="1" t="s">
        <v>21</v>
      </c>
      <c r="F177" s="1" t="s">
        <v>959</v>
      </c>
      <c r="G177" s="1" t="s">
        <v>1743</v>
      </c>
      <c r="H177" s="1">
        <f t="shared" si="1"/>
        <v>59.11902</v>
      </c>
      <c r="I177" s="1" t="s">
        <v>1744</v>
      </c>
      <c r="J177" s="1">
        <v>100.0</v>
      </c>
    </row>
    <row r="178">
      <c r="A178" s="1">
        <v>2021.0</v>
      </c>
      <c r="B178" s="1">
        <v>4.0</v>
      </c>
      <c r="C178" s="1" t="s">
        <v>12</v>
      </c>
      <c r="D178" s="1" t="s">
        <v>48</v>
      </c>
      <c r="E178" s="1" t="s">
        <v>49</v>
      </c>
      <c r="F178" s="1" t="s">
        <v>1746</v>
      </c>
      <c r="G178" s="1" t="s">
        <v>1747</v>
      </c>
      <c r="H178" s="1">
        <f t="shared" si="1"/>
        <v>17.027862</v>
      </c>
      <c r="I178" s="1" t="s">
        <v>1749</v>
      </c>
      <c r="J178" s="1">
        <v>21.0</v>
      </c>
    </row>
    <row r="179">
      <c r="A179" s="1">
        <v>2021.0</v>
      </c>
      <c r="B179" s="1">
        <v>4.0</v>
      </c>
      <c r="C179" s="1" t="s">
        <v>12</v>
      </c>
      <c r="D179" s="1" t="s">
        <v>48</v>
      </c>
      <c r="E179" s="1" t="s">
        <v>21</v>
      </c>
      <c r="F179" s="1" t="s">
        <v>1753</v>
      </c>
      <c r="G179" s="1" t="s">
        <v>1754</v>
      </c>
      <c r="H179" s="1">
        <f t="shared" si="1"/>
        <v>122.809512</v>
      </c>
      <c r="I179" s="1" t="s">
        <v>1756</v>
      </c>
      <c r="J179" s="1">
        <v>131.0</v>
      </c>
    </row>
    <row r="180">
      <c r="A180" s="1">
        <v>2021.0</v>
      </c>
      <c r="B180" s="1">
        <v>4.0</v>
      </c>
      <c r="C180" s="1" t="s">
        <v>12</v>
      </c>
      <c r="D180" s="1" t="s">
        <v>42</v>
      </c>
      <c r="E180" s="1" t="s">
        <v>17</v>
      </c>
      <c r="F180" s="1" t="s">
        <v>1759</v>
      </c>
      <c r="G180" s="1" t="s">
        <v>1760</v>
      </c>
      <c r="H180" s="1">
        <f t="shared" si="1"/>
        <v>91.436464</v>
      </c>
      <c r="I180" s="1" t="s">
        <v>1762</v>
      </c>
      <c r="J180" s="1">
        <v>60.0</v>
      </c>
    </row>
    <row r="181">
      <c r="A181" s="1">
        <v>2021.0</v>
      </c>
      <c r="B181" s="1">
        <v>4.0</v>
      </c>
      <c r="C181" s="1" t="s">
        <v>12</v>
      </c>
      <c r="D181" s="1" t="s">
        <v>64</v>
      </c>
      <c r="E181" s="1" t="s">
        <v>39</v>
      </c>
      <c r="F181" s="1" t="s">
        <v>1765</v>
      </c>
      <c r="G181" s="1" t="s">
        <v>1766</v>
      </c>
      <c r="H181" s="1">
        <f t="shared" si="1"/>
        <v>46.874411</v>
      </c>
      <c r="I181" s="1" t="s">
        <v>1768</v>
      </c>
      <c r="J181" s="1">
        <v>91.0</v>
      </c>
    </row>
    <row r="182">
      <c r="A182" s="1">
        <v>2021.0</v>
      </c>
      <c r="B182" s="1">
        <v>4.0</v>
      </c>
      <c r="C182" s="1" t="s">
        <v>12</v>
      </c>
      <c r="D182" s="1" t="s">
        <v>64</v>
      </c>
      <c r="E182" s="1" t="s">
        <v>21</v>
      </c>
      <c r="F182" s="1" t="s">
        <v>1771</v>
      </c>
      <c r="G182" s="1" t="s">
        <v>1772</v>
      </c>
      <c r="H182" s="1">
        <f t="shared" si="1"/>
        <v>2.096333</v>
      </c>
      <c r="I182" s="1" t="s">
        <v>1777</v>
      </c>
      <c r="J182" s="1">
        <v>6.0</v>
      </c>
    </row>
    <row r="183">
      <c r="A183" s="1">
        <v>2021.0</v>
      </c>
      <c r="B183" s="1">
        <v>4.0</v>
      </c>
      <c r="C183" s="1" t="s">
        <v>12</v>
      </c>
      <c r="D183" s="1" t="s">
        <v>56</v>
      </c>
      <c r="E183" s="1" t="s">
        <v>21</v>
      </c>
      <c r="F183" s="1" t="s">
        <v>1780</v>
      </c>
      <c r="G183" s="1" t="s">
        <v>1781</v>
      </c>
      <c r="H183" s="1">
        <f t="shared" si="1"/>
        <v>45.806486</v>
      </c>
      <c r="I183" s="1" t="s">
        <v>1783</v>
      </c>
      <c r="J183" s="1">
        <v>154.0</v>
      </c>
    </row>
    <row r="184">
      <c r="A184" s="1">
        <v>2021.0</v>
      </c>
      <c r="B184" s="1">
        <v>4.0</v>
      </c>
      <c r="C184" s="1" t="s">
        <v>12</v>
      </c>
      <c r="D184" s="1" t="s">
        <v>848</v>
      </c>
      <c r="E184" s="1" t="s">
        <v>21</v>
      </c>
      <c r="F184" s="1" t="s">
        <v>734</v>
      </c>
      <c r="G184" s="1" t="s">
        <v>1787</v>
      </c>
      <c r="H184" s="1">
        <f t="shared" si="1"/>
        <v>42.238225</v>
      </c>
      <c r="I184" s="1" t="s">
        <v>1788</v>
      </c>
      <c r="J184" s="1">
        <v>0.0</v>
      </c>
    </row>
    <row r="185">
      <c r="A185" s="1">
        <v>2021.0</v>
      </c>
      <c r="B185" s="1">
        <v>4.0</v>
      </c>
      <c r="C185" s="1" t="s">
        <v>68</v>
      </c>
      <c r="D185" s="1" t="s">
        <v>13</v>
      </c>
      <c r="E185" s="1" t="s">
        <v>14</v>
      </c>
      <c r="F185" s="1" t="s">
        <v>1790</v>
      </c>
      <c r="G185" s="1" t="s">
        <v>1791</v>
      </c>
      <c r="H185" s="1">
        <f t="shared" si="1"/>
        <v>2655.292965</v>
      </c>
      <c r="I185" s="3">
        <v>2402019.0</v>
      </c>
      <c r="J185" s="1">
        <v>6542.0</v>
      </c>
    </row>
    <row r="186">
      <c r="A186" s="1">
        <v>2021.0</v>
      </c>
      <c r="B186" s="1">
        <v>4.0</v>
      </c>
      <c r="C186" s="1" t="s">
        <v>68</v>
      </c>
      <c r="D186" s="1" t="s">
        <v>13</v>
      </c>
      <c r="E186" s="1" t="s">
        <v>17</v>
      </c>
      <c r="F186" s="1" t="s">
        <v>1795</v>
      </c>
      <c r="G186" s="1" t="s">
        <v>1796</v>
      </c>
      <c r="H186" s="1">
        <f t="shared" si="1"/>
        <v>5564.252255</v>
      </c>
      <c r="I186" s="1" t="s">
        <v>1798</v>
      </c>
      <c r="J186" s="1">
        <v>9222.0</v>
      </c>
    </row>
    <row r="187">
      <c r="A187" s="1">
        <v>2021.0</v>
      </c>
      <c r="B187" s="1">
        <v>4.0</v>
      </c>
      <c r="C187" s="1" t="s">
        <v>68</v>
      </c>
      <c r="D187" s="1" t="s">
        <v>13</v>
      </c>
      <c r="E187" s="1" t="s">
        <v>21</v>
      </c>
      <c r="F187" s="1" t="s">
        <v>1800</v>
      </c>
      <c r="G187" s="1" t="s">
        <v>1801</v>
      </c>
      <c r="H187" s="1">
        <f t="shared" si="1"/>
        <v>594.287953</v>
      </c>
      <c r="I187" s="3">
        <v>21217.0</v>
      </c>
      <c r="J187" s="1">
        <v>625.0</v>
      </c>
    </row>
    <row r="188">
      <c r="A188" s="1">
        <v>2021.0</v>
      </c>
      <c r="B188" s="1">
        <v>4.0</v>
      </c>
      <c r="C188" s="1" t="s">
        <v>68</v>
      </c>
      <c r="D188" s="1" t="s">
        <v>13</v>
      </c>
      <c r="E188" s="1" t="s">
        <v>25</v>
      </c>
      <c r="F188" s="1" t="s">
        <v>1804</v>
      </c>
      <c r="G188" s="1" t="s">
        <v>1805</v>
      </c>
      <c r="H188" s="1">
        <f t="shared" si="1"/>
        <v>65.343701</v>
      </c>
      <c r="I188" s="1" t="s">
        <v>1807</v>
      </c>
      <c r="J188" s="1">
        <v>203.0</v>
      </c>
    </row>
    <row r="189">
      <c r="A189" s="1">
        <v>2021.0</v>
      </c>
      <c r="B189" s="1">
        <v>4.0</v>
      </c>
      <c r="C189" s="1" t="s">
        <v>68</v>
      </c>
      <c r="D189" s="1" t="s">
        <v>29</v>
      </c>
      <c r="E189" s="1" t="s">
        <v>14</v>
      </c>
      <c r="F189" s="1" t="s">
        <v>1809</v>
      </c>
      <c r="G189" s="1" t="s">
        <v>1810</v>
      </c>
      <c r="H189" s="1">
        <f t="shared" si="1"/>
        <v>0.770477</v>
      </c>
      <c r="I189" s="1" t="s">
        <v>1813</v>
      </c>
      <c r="J189" s="1">
        <v>3.0</v>
      </c>
    </row>
    <row r="190">
      <c r="A190" s="1">
        <v>2021.0</v>
      </c>
      <c r="B190" s="1">
        <v>4.0</v>
      </c>
      <c r="C190" s="1" t="s">
        <v>68</v>
      </c>
      <c r="D190" s="1" t="s">
        <v>29</v>
      </c>
      <c r="E190" s="1" t="s">
        <v>21</v>
      </c>
      <c r="F190" s="3">
        <v>2822717.0</v>
      </c>
      <c r="G190" s="1" t="s">
        <v>1815</v>
      </c>
      <c r="H190" s="1">
        <f t="shared" si="1"/>
        <v>1136.385272</v>
      </c>
      <c r="I190" s="3">
        <v>712986.0</v>
      </c>
      <c r="J190" s="1">
        <v>846.0</v>
      </c>
    </row>
    <row r="191">
      <c r="A191" s="1">
        <v>2021.0</v>
      </c>
      <c r="B191" s="1">
        <v>4.0</v>
      </c>
      <c r="C191" s="1" t="s">
        <v>68</v>
      </c>
      <c r="D191" s="1" t="s">
        <v>45</v>
      </c>
      <c r="E191" s="1" t="s">
        <v>17</v>
      </c>
      <c r="F191" s="1" t="s">
        <v>1818</v>
      </c>
      <c r="G191" s="1" t="s">
        <v>1819</v>
      </c>
      <c r="H191" s="1">
        <f t="shared" si="1"/>
        <v>993.906198</v>
      </c>
      <c r="I191" s="3" t="s">
        <v>1820</v>
      </c>
      <c r="J191" s="1">
        <v>1853.0</v>
      </c>
    </row>
    <row r="192">
      <c r="A192" s="1">
        <v>2021.0</v>
      </c>
      <c r="B192" s="1">
        <v>4.0</v>
      </c>
      <c r="C192" s="1" t="s">
        <v>68</v>
      </c>
      <c r="D192" s="1" t="s">
        <v>32</v>
      </c>
      <c r="E192" s="1" t="s">
        <v>14</v>
      </c>
      <c r="F192" s="3">
        <v>3044.0</v>
      </c>
      <c r="G192" s="1" t="s">
        <v>1824</v>
      </c>
      <c r="H192" s="1">
        <f t="shared" si="1"/>
        <v>360.733782</v>
      </c>
      <c r="I192" s="3">
        <v>14246.0</v>
      </c>
      <c r="J192" s="1">
        <v>1868.0</v>
      </c>
    </row>
    <row r="193">
      <c r="A193" s="1">
        <v>2021.0</v>
      </c>
      <c r="B193" s="1">
        <v>4.0</v>
      </c>
      <c r="C193" s="1" t="s">
        <v>68</v>
      </c>
      <c r="D193" s="1" t="s">
        <v>32</v>
      </c>
      <c r="E193" s="1" t="s">
        <v>21</v>
      </c>
      <c r="F193" s="1" t="s">
        <v>1825</v>
      </c>
      <c r="G193" s="1" t="s">
        <v>1826</v>
      </c>
      <c r="H193" s="1">
        <f t="shared" si="1"/>
        <v>79.828062</v>
      </c>
      <c r="I193" s="1" t="s">
        <v>1828</v>
      </c>
      <c r="J193" s="1">
        <v>461.0</v>
      </c>
    </row>
    <row r="194">
      <c r="A194" s="1">
        <v>2021.0</v>
      </c>
      <c r="B194" s="1">
        <v>4.0</v>
      </c>
      <c r="C194" s="1" t="s">
        <v>68</v>
      </c>
      <c r="D194" s="1" t="s">
        <v>1830</v>
      </c>
      <c r="E194" s="1" t="s">
        <v>72</v>
      </c>
      <c r="F194" s="3">
        <v>619147.0</v>
      </c>
      <c r="G194" s="1" t="s">
        <v>1831</v>
      </c>
      <c r="H194" s="1">
        <f t="shared" si="1"/>
        <v>300.151785</v>
      </c>
      <c r="I194" s="1" t="s">
        <v>1834</v>
      </c>
      <c r="J194" s="1">
        <v>3105.0</v>
      </c>
    </row>
    <row r="195">
      <c r="A195" s="1">
        <v>2021.0</v>
      </c>
      <c r="B195" s="1">
        <v>4.0</v>
      </c>
      <c r="C195" s="1" t="s">
        <v>68</v>
      </c>
      <c r="D195" s="1" t="s">
        <v>38</v>
      </c>
      <c r="E195" s="1" t="s">
        <v>39</v>
      </c>
      <c r="F195" s="3">
        <v>946346.0</v>
      </c>
      <c r="G195" s="1" t="s">
        <v>1835</v>
      </c>
      <c r="H195" s="1">
        <f t="shared" si="1"/>
        <v>133.116458</v>
      </c>
      <c r="I195" s="1" t="s">
        <v>1838</v>
      </c>
      <c r="J195" s="1">
        <v>245.0</v>
      </c>
    </row>
    <row r="196">
      <c r="A196" s="1">
        <v>2021.0</v>
      </c>
      <c r="B196" s="1">
        <v>4.0</v>
      </c>
      <c r="C196" s="1" t="s">
        <v>68</v>
      </c>
      <c r="D196" s="1" t="s">
        <v>42</v>
      </c>
      <c r="E196" s="1" t="s">
        <v>17</v>
      </c>
      <c r="F196" s="1" t="s">
        <v>1840</v>
      </c>
      <c r="G196" s="1" t="s">
        <v>1841</v>
      </c>
      <c r="H196" s="1">
        <f t="shared" si="1"/>
        <v>112.223814</v>
      </c>
      <c r="I196" s="1" t="s">
        <v>1844</v>
      </c>
      <c r="J196" s="1">
        <v>223.0</v>
      </c>
    </row>
    <row r="197">
      <c r="A197" s="1">
        <v>2021.0</v>
      </c>
      <c r="B197" s="1">
        <v>4.0</v>
      </c>
      <c r="C197" s="1" t="s">
        <v>68</v>
      </c>
      <c r="D197" s="1" t="s">
        <v>544</v>
      </c>
      <c r="E197" s="1" t="s">
        <v>17</v>
      </c>
      <c r="F197" s="3" t="s">
        <v>1846</v>
      </c>
      <c r="G197" s="1" t="s">
        <v>1847</v>
      </c>
      <c r="H197" s="1">
        <f t="shared" si="1"/>
        <v>93.809293</v>
      </c>
      <c r="I197" s="1" t="s">
        <v>1848</v>
      </c>
      <c r="J197" s="1">
        <v>525.0</v>
      </c>
    </row>
    <row r="198">
      <c r="A198" s="1">
        <v>2021.0</v>
      </c>
      <c r="B198" s="1">
        <v>4.0</v>
      </c>
      <c r="C198" s="1" t="s">
        <v>68</v>
      </c>
      <c r="D198" s="1" t="s">
        <v>1851</v>
      </c>
      <c r="E198" s="1" t="s">
        <v>17</v>
      </c>
      <c r="F198" s="1" t="s">
        <v>1852</v>
      </c>
      <c r="G198" s="1" t="s">
        <v>1853</v>
      </c>
      <c r="H198" s="1">
        <f t="shared" si="1"/>
        <v>73.01591</v>
      </c>
      <c r="I198" s="1" t="s">
        <v>1855</v>
      </c>
      <c r="J198" s="1">
        <v>1065.0</v>
      </c>
    </row>
    <row r="199">
      <c r="A199" s="1">
        <v>2021.0</v>
      </c>
      <c r="B199" s="1">
        <v>4.0</v>
      </c>
      <c r="C199" s="1" t="s">
        <v>68</v>
      </c>
      <c r="D199" s="1" t="s">
        <v>330</v>
      </c>
      <c r="E199" s="1" t="s">
        <v>17</v>
      </c>
      <c r="F199" s="1" t="s">
        <v>1859</v>
      </c>
      <c r="G199" s="1" t="s">
        <v>1860</v>
      </c>
      <c r="H199" s="1">
        <f t="shared" si="1"/>
        <v>66.834195</v>
      </c>
      <c r="I199" s="1" t="s">
        <v>1863</v>
      </c>
      <c r="J199" s="1">
        <v>0.0</v>
      </c>
    </row>
    <row r="200">
      <c r="A200" s="1">
        <v>2021.0</v>
      </c>
      <c r="B200" s="1">
        <v>4.0</v>
      </c>
      <c r="C200" s="1" t="s">
        <v>116</v>
      </c>
      <c r="D200" s="1" t="s">
        <v>13</v>
      </c>
      <c r="E200" s="1" t="s">
        <v>14</v>
      </c>
      <c r="F200" s="1" t="s">
        <v>1865</v>
      </c>
      <c r="G200" s="1" t="s">
        <v>1866</v>
      </c>
      <c r="H200" s="1">
        <f t="shared" si="1"/>
        <v>5634.594107</v>
      </c>
      <c r="I200" s="1" t="s">
        <v>1869</v>
      </c>
      <c r="J200" s="1">
        <v>10675.0</v>
      </c>
    </row>
    <row r="201">
      <c r="A201" s="1">
        <v>2021.0</v>
      </c>
      <c r="B201" s="1">
        <v>4.0</v>
      </c>
      <c r="C201" s="1" t="s">
        <v>116</v>
      </c>
      <c r="D201" s="1" t="s">
        <v>13</v>
      </c>
      <c r="E201" s="1" t="s">
        <v>17</v>
      </c>
      <c r="F201" s="1" t="s">
        <v>1871</v>
      </c>
      <c r="G201" s="1" t="s">
        <v>1873</v>
      </c>
      <c r="H201" s="1">
        <f t="shared" si="1"/>
        <v>13515.3636</v>
      </c>
      <c r="I201" s="1" t="s">
        <v>1875</v>
      </c>
      <c r="J201" s="1">
        <v>15822.0</v>
      </c>
    </row>
    <row r="202">
      <c r="A202" s="1">
        <v>2021.0</v>
      </c>
      <c r="B202" s="1">
        <v>4.0</v>
      </c>
      <c r="C202" s="1" t="s">
        <v>116</v>
      </c>
      <c r="D202" s="1" t="s">
        <v>13</v>
      </c>
      <c r="E202" s="1" t="s">
        <v>21</v>
      </c>
      <c r="F202" s="3" t="s">
        <v>1878</v>
      </c>
      <c r="G202" s="1" t="s">
        <v>1879</v>
      </c>
      <c r="H202" s="1">
        <f t="shared" si="1"/>
        <v>921.747494</v>
      </c>
      <c r="I202" s="3" t="s">
        <v>1881</v>
      </c>
      <c r="J202" s="1">
        <v>644.0</v>
      </c>
    </row>
    <row r="203">
      <c r="A203" s="1">
        <v>2021.0</v>
      </c>
      <c r="B203" s="1">
        <v>4.0</v>
      </c>
      <c r="C203" s="1" t="s">
        <v>116</v>
      </c>
      <c r="D203" s="1" t="s">
        <v>13</v>
      </c>
      <c r="E203" s="1" t="s">
        <v>25</v>
      </c>
      <c r="F203" s="1" t="s">
        <v>1884</v>
      </c>
      <c r="G203" s="1" t="s">
        <v>1885</v>
      </c>
      <c r="H203" s="1">
        <f t="shared" si="1"/>
        <v>0.769681</v>
      </c>
      <c r="I203" s="1" t="s">
        <v>1886</v>
      </c>
      <c r="J203" s="1">
        <v>2.0</v>
      </c>
    </row>
    <row r="204">
      <c r="A204" s="1">
        <v>2021.0</v>
      </c>
      <c r="B204" s="1">
        <v>4.0</v>
      </c>
      <c r="C204" s="1" t="s">
        <v>116</v>
      </c>
      <c r="D204" s="1" t="s">
        <v>29</v>
      </c>
      <c r="E204" s="1" t="s">
        <v>14</v>
      </c>
      <c r="F204" s="3">
        <v>94600.0</v>
      </c>
      <c r="G204" s="1" t="s">
        <v>1889</v>
      </c>
      <c r="H204" s="1">
        <f t="shared" si="1"/>
        <v>130.732092</v>
      </c>
      <c r="I204" s="1" t="s">
        <v>1890</v>
      </c>
      <c r="J204" s="1">
        <v>190.0</v>
      </c>
    </row>
    <row r="205">
      <c r="A205" s="1">
        <v>2021.0</v>
      </c>
      <c r="B205" s="1">
        <v>4.0</v>
      </c>
      <c r="C205" s="1" t="s">
        <v>116</v>
      </c>
      <c r="D205" s="1" t="s">
        <v>29</v>
      </c>
      <c r="E205" s="1" t="s">
        <v>21</v>
      </c>
      <c r="F205" s="1" t="s">
        <v>1892</v>
      </c>
      <c r="G205" s="1" t="s">
        <v>1893</v>
      </c>
      <c r="H205" s="1">
        <f t="shared" si="1"/>
        <v>4574.937022</v>
      </c>
      <c r="I205" s="3" t="s">
        <v>1895</v>
      </c>
      <c r="J205" s="1">
        <v>1774.0</v>
      </c>
    </row>
    <row r="206">
      <c r="A206" s="1">
        <v>2021.0</v>
      </c>
      <c r="B206" s="1">
        <v>4.0</v>
      </c>
      <c r="C206" s="1" t="s">
        <v>116</v>
      </c>
      <c r="D206" s="1" t="s">
        <v>45</v>
      </c>
      <c r="E206" s="1" t="s">
        <v>17</v>
      </c>
      <c r="F206" s="1" t="s">
        <v>1897</v>
      </c>
      <c r="G206" s="1" t="s">
        <v>1898</v>
      </c>
      <c r="H206" s="1">
        <f t="shared" si="1"/>
        <v>2209.3594</v>
      </c>
      <c r="I206" s="3">
        <v>1691774.0</v>
      </c>
      <c r="J206" s="1">
        <v>1975.0</v>
      </c>
    </row>
    <row r="207">
      <c r="A207" s="1">
        <v>2021.0</v>
      </c>
      <c r="B207" s="1">
        <v>4.0</v>
      </c>
      <c r="C207" s="1" t="s">
        <v>116</v>
      </c>
      <c r="D207" s="1" t="s">
        <v>147</v>
      </c>
      <c r="E207" s="1" t="s">
        <v>39</v>
      </c>
      <c r="F207" s="3">
        <v>2725807.0</v>
      </c>
      <c r="G207" s="1" t="s">
        <v>1901</v>
      </c>
      <c r="H207" s="1">
        <f t="shared" si="1"/>
        <v>590.075329</v>
      </c>
      <c r="I207" s="1" t="s">
        <v>1902</v>
      </c>
      <c r="J207" s="1">
        <v>107.0</v>
      </c>
    </row>
    <row r="208">
      <c r="A208" s="1">
        <v>2021.0</v>
      </c>
      <c r="B208" s="1">
        <v>4.0</v>
      </c>
      <c r="C208" s="1" t="s">
        <v>116</v>
      </c>
      <c r="D208" s="1" t="s">
        <v>147</v>
      </c>
      <c r="E208" s="1" t="s">
        <v>17</v>
      </c>
      <c r="F208" s="1" t="s">
        <v>1905</v>
      </c>
      <c r="G208" s="1" t="s">
        <v>1906</v>
      </c>
      <c r="H208" s="1">
        <f t="shared" si="1"/>
        <v>11.345499</v>
      </c>
      <c r="I208" s="1" t="s">
        <v>507</v>
      </c>
      <c r="J208" s="1">
        <v>7.0</v>
      </c>
    </row>
    <row r="209">
      <c r="A209" s="1">
        <v>2021.0</v>
      </c>
      <c r="B209" s="1">
        <v>4.0</v>
      </c>
      <c r="C209" s="1" t="s">
        <v>116</v>
      </c>
      <c r="D209" s="1" t="s">
        <v>147</v>
      </c>
      <c r="E209" s="1" t="s">
        <v>21</v>
      </c>
      <c r="F209" s="1" t="s">
        <v>1909</v>
      </c>
      <c r="G209" s="1" t="s">
        <v>1910</v>
      </c>
      <c r="H209" s="1">
        <f t="shared" si="1"/>
        <v>36.270745</v>
      </c>
      <c r="I209" s="1" t="s">
        <v>1912</v>
      </c>
      <c r="J209" s="1">
        <v>49.0</v>
      </c>
    </row>
    <row r="210">
      <c r="A210" s="1">
        <v>2021.0</v>
      </c>
      <c r="B210" s="1">
        <v>4.0</v>
      </c>
      <c r="C210" s="1" t="s">
        <v>116</v>
      </c>
      <c r="D210" s="1" t="s">
        <v>32</v>
      </c>
      <c r="E210" s="1" t="s">
        <v>14</v>
      </c>
      <c r="F210" s="1" t="s">
        <v>1914</v>
      </c>
      <c r="G210" s="1" t="s">
        <v>1915</v>
      </c>
      <c r="H210" s="1">
        <f t="shared" si="1"/>
        <v>96.486401</v>
      </c>
      <c r="I210" s="1" t="s">
        <v>1916</v>
      </c>
      <c r="J210" s="1">
        <v>421.0</v>
      </c>
    </row>
    <row r="211">
      <c r="A211" s="1">
        <v>2021.0</v>
      </c>
      <c r="B211" s="1">
        <v>4.0</v>
      </c>
      <c r="C211" s="1" t="s">
        <v>116</v>
      </c>
      <c r="D211" s="1" t="s">
        <v>32</v>
      </c>
      <c r="E211" s="1" t="s">
        <v>21</v>
      </c>
      <c r="F211" s="3">
        <v>14305.0</v>
      </c>
      <c r="G211" s="1" t="s">
        <v>1918</v>
      </c>
      <c r="H211" s="1">
        <f t="shared" si="1"/>
        <v>374.999533</v>
      </c>
      <c r="I211" s="3">
        <v>903247.0</v>
      </c>
      <c r="J211" s="1">
        <v>1777.0</v>
      </c>
    </row>
    <row r="212">
      <c r="A212" s="1">
        <v>2021.0</v>
      </c>
      <c r="B212" s="1">
        <v>4.0</v>
      </c>
      <c r="C212" s="1" t="s">
        <v>116</v>
      </c>
      <c r="D212" s="1" t="s">
        <v>1830</v>
      </c>
      <c r="E212" s="1" t="s">
        <v>72</v>
      </c>
      <c r="F212" s="3" t="s">
        <v>1920</v>
      </c>
      <c r="G212" s="1" t="s">
        <v>1921</v>
      </c>
      <c r="H212" s="1">
        <f t="shared" si="1"/>
        <v>458.184074</v>
      </c>
      <c r="I212" s="3">
        <v>1660030.0</v>
      </c>
      <c r="J212" s="1">
        <v>3919.0</v>
      </c>
    </row>
    <row r="213">
      <c r="A213" s="1">
        <v>2021.0</v>
      </c>
      <c r="B213" s="1">
        <v>4.0</v>
      </c>
      <c r="C213" s="1" t="s">
        <v>116</v>
      </c>
      <c r="D213" s="1" t="s">
        <v>42</v>
      </c>
      <c r="E213" s="1" t="s">
        <v>17</v>
      </c>
      <c r="F213" s="3">
        <v>1220643.0</v>
      </c>
      <c r="G213" s="1" t="s">
        <v>1925</v>
      </c>
      <c r="H213" s="1">
        <f t="shared" si="1"/>
        <v>283.17352</v>
      </c>
      <c r="I213" s="1" t="s">
        <v>1927</v>
      </c>
      <c r="J213" s="1">
        <v>201.0</v>
      </c>
    </row>
    <row r="214">
      <c r="A214" s="1">
        <v>2021.0</v>
      </c>
      <c r="B214" s="1">
        <v>4.0</v>
      </c>
      <c r="C214" s="1" t="s">
        <v>116</v>
      </c>
      <c r="D214" s="1" t="s">
        <v>158</v>
      </c>
      <c r="E214" s="1" t="s">
        <v>39</v>
      </c>
      <c r="F214" s="1" t="s">
        <v>414</v>
      </c>
      <c r="G214" s="1" t="s">
        <v>687</v>
      </c>
      <c r="H214" s="1">
        <f t="shared" si="1"/>
        <v>0.330204</v>
      </c>
      <c r="I214" s="1" t="s">
        <v>596</v>
      </c>
      <c r="J214" s="1">
        <v>0.0</v>
      </c>
    </row>
    <row r="215">
      <c r="A215" s="1">
        <v>2021.0</v>
      </c>
      <c r="B215" s="1">
        <v>4.0</v>
      </c>
      <c r="C215" s="1" t="s">
        <v>116</v>
      </c>
      <c r="D215" s="1" t="s">
        <v>158</v>
      </c>
      <c r="E215" s="1" t="s">
        <v>17</v>
      </c>
      <c r="F215" s="1" t="s">
        <v>1933</v>
      </c>
      <c r="G215" s="1" t="s">
        <v>1934</v>
      </c>
      <c r="H215" s="1">
        <f t="shared" si="1"/>
        <v>38.515669</v>
      </c>
      <c r="I215" s="1" t="s">
        <v>1935</v>
      </c>
      <c r="J215" s="1">
        <v>0.0</v>
      </c>
    </row>
    <row r="216">
      <c r="A216" s="1">
        <v>2021.0</v>
      </c>
      <c r="B216" s="1">
        <v>4.0</v>
      </c>
      <c r="C216" s="1" t="s">
        <v>116</v>
      </c>
      <c r="D216" s="1" t="s">
        <v>158</v>
      </c>
      <c r="E216" s="1" t="s">
        <v>21</v>
      </c>
      <c r="F216" s="1" t="s">
        <v>1937</v>
      </c>
      <c r="G216" s="1" t="s">
        <v>1939</v>
      </c>
      <c r="H216" s="1">
        <f t="shared" si="1"/>
        <v>191.166691</v>
      </c>
      <c r="I216" s="1" t="s">
        <v>1940</v>
      </c>
      <c r="J216" s="1">
        <v>0.0</v>
      </c>
    </row>
    <row r="217">
      <c r="A217" s="1">
        <v>2021.0</v>
      </c>
      <c r="B217" s="1">
        <v>4.0</v>
      </c>
      <c r="C217" s="1" t="s">
        <v>116</v>
      </c>
      <c r="D217" s="1" t="s">
        <v>330</v>
      </c>
      <c r="E217" s="1" t="s">
        <v>17</v>
      </c>
      <c r="F217" s="3" t="s">
        <v>1622</v>
      </c>
      <c r="G217" s="1" t="s">
        <v>1944</v>
      </c>
      <c r="H217" s="1">
        <f t="shared" si="1"/>
        <v>213.325979</v>
      </c>
      <c r="I217" s="1" t="s">
        <v>1946</v>
      </c>
      <c r="J217" s="1">
        <v>116.0</v>
      </c>
    </row>
    <row r="218">
      <c r="A218" s="1">
        <v>2021.0</v>
      </c>
      <c r="B218" s="1">
        <v>4.0</v>
      </c>
      <c r="C218" s="1" t="s">
        <v>116</v>
      </c>
      <c r="D218" s="1" t="s">
        <v>1949</v>
      </c>
      <c r="E218" s="1" t="s">
        <v>14</v>
      </c>
      <c r="F218" s="1" t="s">
        <v>1950</v>
      </c>
      <c r="G218" s="1" t="s">
        <v>1951</v>
      </c>
      <c r="H218" s="1">
        <f t="shared" si="1"/>
        <v>83.72971</v>
      </c>
      <c r="I218" s="1" t="s">
        <v>1957</v>
      </c>
      <c r="J218" s="1">
        <v>0.0</v>
      </c>
    </row>
    <row r="219">
      <c r="A219" s="1">
        <v>2021.0</v>
      </c>
      <c r="B219" s="1">
        <v>4.0</v>
      </c>
      <c r="C219" s="1" t="s">
        <v>116</v>
      </c>
      <c r="D219" s="1" t="s">
        <v>1949</v>
      </c>
      <c r="E219" s="1" t="s">
        <v>17</v>
      </c>
      <c r="F219" s="1" t="s">
        <v>1959</v>
      </c>
      <c r="G219" s="1" t="s">
        <v>1960</v>
      </c>
      <c r="H219" s="1">
        <f t="shared" si="1"/>
        <v>124.685178</v>
      </c>
      <c r="I219" s="1" t="s">
        <v>1963</v>
      </c>
      <c r="J219" s="1">
        <v>0.0</v>
      </c>
    </row>
    <row r="220">
      <c r="A220" s="1">
        <v>2021.0</v>
      </c>
      <c r="B220" s="1">
        <v>5.0</v>
      </c>
      <c r="C220" s="1" t="s">
        <v>12</v>
      </c>
      <c r="D220" s="1" t="s">
        <v>13</v>
      </c>
      <c r="E220" s="1" t="s">
        <v>14</v>
      </c>
      <c r="F220" s="1" t="s">
        <v>1966</v>
      </c>
      <c r="G220" s="1" t="s">
        <v>1967</v>
      </c>
      <c r="H220" s="1">
        <f t="shared" si="1"/>
        <v>911.409847</v>
      </c>
      <c r="I220" s="3">
        <v>2400042.0</v>
      </c>
      <c r="J220" s="1">
        <v>558.0</v>
      </c>
    </row>
    <row r="221">
      <c r="A221" s="1">
        <v>2021.0</v>
      </c>
      <c r="B221" s="1">
        <v>5.0</v>
      </c>
      <c r="C221" s="1" t="s">
        <v>12</v>
      </c>
      <c r="D221" s="1" t="s">
        <v>13</v>
      </c>
      <c r="E221" s="1" t="s">
        <v>17</v>
      </c>
      <c r="F221" s="1" t="s">
        <v>1970</v>
      </c>
      <c r="G221" s="1" t="s">
        <v>1972</v>
      </c>
      <c r="H221" s="1">
        <f t="shared" si="1"/>
        <v>4885.222894</v>
      </c>
      <c r="I221" s="1" t="s">
        <v>1974</v>
      </c>
      <c r="J221" s="1">
        <v>788.0</v>
      </c>
    </row>
    <row r="222">
      <c r="A222" s="1">
        <v>2021.0</v>
      </c>
      <c r="B222" s="1">
        <v>5.0</v>
      </c>
      <c r="C222" s="1" t="s">
        <v>12</v>
      </c>
      <c r="D222" s="1" t="s">
        <v>13</v>
      </c>
      <c r="E222" s="1" t="s">
        <v>21</v>
      </c>
      <c r="F222" s="1" t="s">
        <v>1976</v>
      </c>
      <c r="G222" s="1" t="s">
        <v>1977</v>
      </c>
      <c r="H222" s="1">
        <f t="shared" si="1"/>
        <v>4601.925382</v>
      </c>
      <c r="I222" s="1" t="s">
        <v>1979</v>
      </c>
      <c r="J222" s="1">
        <v>573.0</v>
      </c>
    </row>
    <row r="223">
      <c r="A223" s="1">
        <v>2021.0</v>
      </c>
      <c r="B223" s="1">
        <v>5.0</v>
      </c>
      <c r="C223" s="1" t="s">
        <v>12</v>
      </c>
      <c r="D223" s="1" t="s">
        <v>29</v>
      </c>
      <c r="E223" s="1" t="s">
        <v>14</v>
      </c>
      <c r="F223" s="1" t="s">
        <v>1982</v>
      </c>
      <c r="G223" s="1" t="s">
        <v>1983</v>
      </c>
      <c r="H223" s="1">
        <f t="shared" si="1"/>
        <v>10.906751</v>
      </c>
      <c r="I223" s="1" t="s">
        <v>1771</v>
      </c>
      <c r="J223" s="1">
        <v>9.0</v>
      </c>
    </row>
    <row r="224">
      <c r="A224" s="1">
        <v>2021.0</v>
      </c>
      <c r="B224" s="1">
        <v>5.0</v>
      </c>
      <c r="C224" s="1" t="s">
        <v>12</v>
      </c>
      <c r="D224" s="1" t="s">
        <v>29</v>
      </c>
      <c r="E224" s="1" t="s">
        <v>21</v>
      </c>
      <c r="F224" s="1" t="s">
        <v>1986</v>
      </c>
      <c r="G224" s="1" t="s">
        <v>1987</v>
      </c>
      <c r="H224" s="1">
        <f t="shared" si="1"/>
        <v>5422.175792</v>
      </c>
      <c r="I224" s="3">
        <v>676766.0</v>
      </c>
      <c r="J224" s="1">
        <v>645.0</v>
      </c>
    </row>
    <row r="225">
      <c r="A225" s="1">
        <v>2021.0</v>
      </c>
      <c r="B225" s="1">
        <v>5.0</v>
      </c>
      <c r="C225" s="1" t="s">
        <v>12</v>
      </c>
      <c r="D225" s="1" t="s">
        <v>38</v>
      </c>
      <c r="E225" s="1" t="s">
        <v>39</v>
      </c>
      <c r="F225" s="3">
        <v>893781.0</v>
      </c>
      <c r="G225" s="1" t="s">
        <v>1990</v>
      </c>
      <c r="H225" s="1">
        <f t="shared" si="1"/>
        <v>266.134121</v>
      </c>
      <c r="I225" s="1" t="s">
        <v>1991</v>
      </c>
      <c r="J225" s="1">
        <v>98.0</v>
      </c>
    </row>
    <row r="226">
      <c r="A226" s="1">
        <v>2021.0</v>
      </c>
      <c r="B226" s="1">
        <v>5.0</v>
      </c>
      <c r="C226" s="1" t="s">
        <v>12</v>
      </c>
      <c r="D226" s="1" t="s">
        <v>45</v>
      </c>
      <c r="E226" s="1" t="s">
        <v>17</v>
      </c>
      <c r="F226" s="3">
        <v>30742.0</v>
      </c>
      <c r="G226" s="1" t="s">
        <v>1994</v>
      </c>
      <c r="H226" s="1">
        <f t="shared" si="1"/>
        <v>254.339266</v>
      </c>
      <c r="I226" s="1" t="s">
        <v>2260</v>
      </c>
      <c r="J226" s="1">
        <v>229.0</v>
      </c>
    </row>
    <row r="227">
      <c r="A227" s="1">
        <v>2021.0</v>
      </c>
      <c r="B227" s="1">
        <v>5.0</v>
      </c>
      <c r="C227" s="1" t="s">
        <v>12</v>
      </c>
      <c r="D227" s="1" t="s">
        <v>32</v>
      </c>
      <c r="E227" s="1" t="s">
        <v>14</v>
      </c>
      <c r="F227" s="3">
        <v>199425.0</v>
      </c>
      <c r="G227" s="1" t="s">
        <v>2261</v>
      </c>
      <c r="H227" s="1">
        <f t="shared" si="1"/>
        <v>82.654955</v>
      </c>
      <c r="I227" s="1" t="s">
        <v>2262</v>
      </c>
      <c r="J227" s="1">
        <v>205.0</v>
      </c>
    </row>
    <row r="228">
      <c r="A228" s="1">
        <v>2021.0</v>
      </c>
      <c r="B228" s="1">
        <v>5.0</v>
      </c>
      <c r="C228" s="1" t="s">
        <v>12</v>
      </c>
      <c r="D228" s="1" t="s">
        <v>32</v>
      </c>
      <c r="E228" s="1" t="s">
        <v>21</v>
      </c>
      <c r="F228" s="1" t="s">
        <v>2263</v>
      </c>
      <c r="G228" s="1" t="s">
        <v>2264</v>
      </c>
      <c r="H228" s="1">
        <f t="shared" si="1"/>
        <v>98.160894</v>
      </c>
      <c r="I228" s="1" t="s">
        <v>2265</v>
      </c>
      <c r="J228" s="1">
        <v>85.0</v>
      </c>
    </row>
    <row r="229">
      <c r="A229" s="1">
        <v>2021.0</v>
      </c>
      <c r="B229" s="1">
        <v>5.0</v>
      </c>
      <c r="C229" s="1" t="s">
        <v>12</v>
      </c>
      <c r="D229" s="1" t="s">
        <v>56</v>
      </c>
      <c r="E229" s="1" t="s">
        <v>21</v>
      </c>
      <c r="F229" s="1" t="s">
        <v>2266</v>
      </c>
      <c r="G229" s="1" t="s">
        <v>2267</v>
      </c>
      <c r="H229" s="1">
        <f t="shared" si="1"/>
        <v>168.19323</v>
      </c>
      <c r="I229" s="1" t="s">
        <v>2268</v>
      </c>
      <c r="J229" s="1">
        <v>207.0</v>
      </c>
    </row>
    <row r="230">
      <c r="A230" s="1">
        <v>2021.0</v>
      </c>
      <c r="B230" s="1">
        <v>5.0</v>
      </c>
      <c r="C230" s="1" t="s">
        <v>12</v>
      </c>
      <c r="D230" s="1" t="s">
        <v>48</v>
      </c>
      <c r="E230" s="1" t="s">
        <v>49</v>
      </c>
      <c r="F230" s="1" t="s">
        <v>2269</v>
      </c>
      <c r="G230" s="1" t="s">
        <v>2270</v>
      </c>
      <c r="H230" s="1">
        <f t="shared" si="1"/>
        <v>14.372702</v>
      </c>
      <c r="I230" s="1" t="s">
        <v>1671</v>
      </c>
      <c r="J230" s="1">
        <v>16.0</v>
      </c>
    </row>
    <row r="231">
      <c r="A231" s="1">
        <v>2021.0</v>
      </c>
      <c r="B231" s="1">
        <v>5.0</v>
      </c>
      <c r="C231" s="1" t="s">
        <v>12</v>
      </c>
      <c r="D231" s="1" t="s">
        <v>48</v>
      </c>
      <c r="E231" s="1" t="s">
        <v>21</v>
      </c>
      <c r="F231" s="3" t="s">
        <v>2271</v>
      </c>
      <c r="G231" s="1" t="s">
        <v>2272</v>
      </c>
      <c r="H231" s="1">
        <f t="shared" si="1"/>
        <v>149.289834</v>
      </c>
      <c r="I231" s="1" t="s">
        <v>2273</v>
      </c>
      <c r="J231" s="1">
        <v>164.0</v>
      </c>
    </row>
    <row r="232">
      <c r="A232" s="1">
        <v>2021.0</v>
      </c>
      <c r="B232" s="1">
        <v>5.0</v>
      </c>
      <c r="C232" s="1" t="s">
        <v>12</v>
      </c>
      <c r="D232" s="1" t="s">
        <v>42</v>
      </c>
      <c r="E232" s="1" t="s">
        <v>17</v>
      </c>
      <c r="F232" s="1" t="s">
        <v>2274</v>
      </c>
      <c r="G232" s="1" t="s">
        <v>2275</v>
      </c>
      <c r="H232" s="1">
        <f t="shared" si="1"/>
        <v>74.99866</v>
      </c>
      <c r="I232" s="1" t="s">
        <v>2276</v>
      </c>
      <c r="J232" s="1">
        <v>46.0</v>
      </c>
    </row>
    <row r="233">
      <c r="A233" s="1">
        <v>2021.0</v>
      </c>
      <c r="B233" s="1">
        <v>5.0</v>
      </c>
      <c r="C233" s="1" t="s">
        <v>12</v>
      </c>
      <c r="D233" s="1" t="s">
        <v>544</v>
      </c>
      <c r="E233" s="1" t="s">
        <v>17</v>
      </c>
      <c r="F233" s="3">
        <v>6211.0</v>
      </c>
      <c r="G233" s="1" t="s">
        <v>2277</v>
      </c>
      <c r="H233" s="1">
        <f t="shared" si="1"/>
        <v>73.4467</v>
      </c>
      <c r="I233" s="1" t="s">
        <v>2278</v>
      </c>
      <c r="J233" s="1">
        <v>107.0</v>
      </c>
    </row>
    <row r="234">
      <c r="A234" s="1">
        <v>2021.0</v>
      </c>
      <c r="B234" s="1">
        <v>5.0</v>
      </c>
      <c r="C234" s="1" t="s">
        <v>12</v>
      </c>
      <c r="D234" s="1" t="s">
        <v>848</v>
      </c>
      <c r="E234" s="1" t="s">
        <v>21</v>
      </c>
      <c r="F234" s="1" t="s">
        <v>2279</v>
      </c>
      <c r="G234" s="1" t="s">
        <v>2280</v>
      </c>
      <c r="H234" s="1">
        <f t="shared" si="1"/>
        <v>44.394432</v>
      </c>
      <c r="I234" s="1" t="s">
        <v>2281</v>
      </c>
      <c r="J234" s="1">
        <v>0.0</v>
      </c>
    </row>
    <row r="235">
      <c r="A235" s="1">
        <v>2021.0</v>
      </c>
      <c r="B235" s="1">
        <v>5.0</v>
      </c>
      <c r="C235" s="1" t="s">
        <v>68</v>
      </c>
      <c r="D235" s="1" t="s">
        <v>13</v>
      </c>
      <c r="E235" s="1" t="s">
        <v>14</v>
      </c>
      <c r="F235" s="1" t="s">
        <v>2282</v>
      </c>
      <c r="G235" s="1" t="s">
        <v>2283</v>
      </c>
      <c r="H235" s="1">
        <f t="shared" si="1"/>
        <v>3091.481526</v>
      </c>
      <c r="I235" s="3">
        <v>1390023.0</v>
      </c>
      <c r="J235" s="1">
        <v>7285.0</v>
      </c>
    </row>
    <row r="236">
      <c r="A236" s="1">
        <v>2021.0</v>
      </c>
      <c r="B236" s="1">
        <v>5.0</v>
      </c>
      <c r="C236" s="1" t="s">
        <v>68</v>
      </c>
      <c r="D236" s="1" t="s">
        <v>13</v>
      </c>
      <c r="E236" s="1" t="s">
        <v>17</v>
      </c>
      <c r="F236" s="1" t="s">
        <v>2284</v>
      </c>
      <c r="G236" s="1" t="s">
        <v>2285</v>
      </c>
      <c r="H236" s="1">
        <f t="shared" si="1"/>
        <v>4930.199559</v>
      </c>
      <c r="I236" s="1" t="s">
        <v>2286</v>
      </c>
      <c r="J236" s="1">
        <v>8658.0</v>
      </c>
    </row>
    <row r="237">
      <c r="A237" s="1">
        <v>2021.0</v>
      </c>
      <c r="B237" s="1">
        <v>5.0</v>
      </c>
      <c r="C237" s="1" t="s">
        <v>68</v>
      </c>
      <c r="D237" s="1" t="s">
        <v>13</v>
      </c>
      <c r="E237" s="1" t="s">
        <v>21</v>
      </c>
      <c r="F237" s="3">
        <v>565122.0</v>
      </c>
      <c r="G237" s="1" t="s">
        <v>2287</v>
      </c>
      <c r="H237" s="1">
        <f t="shared" si="1"/>
        <v>627.314739</v>
      </c>
      <c r="I237" s="3" t="s">
        <v>2288</v>
      </c>
      <c r="J237" s="1">
        <v>566.0</v>
      </c>
    </row>
    <row r="238">
      <c r="A238" s="1">
        <v>2021.0</v>
      </c>
      <c r="B238" s="1">
        <v>5.0</v>
      </c>
      <c r="C238" s="1" t="s">
        <v>68</v>
      </c>
      <c r="D238" s="1" t="s">
        <v>13</v>
      </c>
      <c r="E238" s="1" t="s">
        <v>25</v>
      </c>
      <c r="F238" s="1" t="s">
        <v>2289</v>
      </c>
      <c r="G238" s="1" t="s">
        <v>2290</v>
      </c>
      <c r="H238" s="1">
        <f t="shared" si="1"/>
        <v>61.92317</v>
      </c>
      <c r="I238" s="1" t="s">
        <v>2291</v>
      </c>
      <c r="J238" s="1">
        <v>173.0</v>
      </c>
    </row>
    <row r="239">
      <c r="A239" s="1">
        <v>2021.0</v>
      </c>
      <c r="B239" s="1">
        <v>5.0</v>
      </c>
      <c r="C239" s="1" t="s">
        <v>68</v>
      </c>
      <c r="D239" s="1" t="s">
        <v>29</v>
      </c>
      <c r="E239" s="1" t="s">
        <v>14</v>
      </c>
      <c r="F239" s="1" t="s">
        <v>639</v>
      </c>
      <c r="G239" s="1" t="s">
        <v>2292</v>
      </c>
      <c r="H239" s="1">
        <f t="shared" si="1"/>
        <v>1.590881</v>
      </c>
      <c r="I239" s="1" t="s">
        <v>1758</v>
      </c>
      <c r="J239" s="1">
        <v>8.0</v>
      </c>
    </row>
    <row r="240">
      <c r="A240" s="1">
        <v>2021.0</v>
      </c>
      <c r="B240" s="1">
        <v>5.0</v>
      </c>
      <c r="C240" s="1" t="s">
        <v>68</v>
      </c>
      <c r="D240" s="1" t="s">
        <v>29</v>
      </c>
      <c r="E240" s="1" t="s">
        <v>21</v>
      </c>
      <c r="F240" s="3">
        <v>2673332.0</v>
      </c>
      <c r="G240" s="1" t="s">
        <v>2293</v>
      </c>
      <c r="H240" s="1">
        <f t="shared" si="1"/>
        <v>1154.483978</v>
      </c>
      <c r="I240" s="3">
        <v>652722.0</v>
      </c>
      <c r="J240" s="1">
        <v>904.0</v>
      </c>
    </row>
    <row r="241">
      <c r="A241" s="1">
        <v>2021.0</v>
      </c>
      <c r="B241" s="1">
        <v>5.0</v>
      </c>
      <c r="C241" s="1" t="s">
        <v>68</v>
      </c>
      <c r="D241" s="1" t="s">
        <v>45</v>
      </c>
      <c r="E241" s="1" t="s">
        <v>17</v>
      </c>
      <c r="F241" s="3">
        <v>764394.0</v>
      </c>
      <c r="G241" s="1" t="s">
        <v>2294</v>
      </c>
      <c r="H241" s="1">
        <f t="shared" si="1"/>
        <v>729.85568</v>
      </c>
      <c r="I241" s="3" t="s">
        <v>2295</v>
      </c>
      <c r="J241" s="1">
        <v>1552.0</v>
      </c>
    </row>
    <row r="242">
      <c r="A242" s="1">
        <v>2021.0</v>
      </c>
      <c r="B242" s="1">
        <v>5.0</v>
      </c>
      <c r="C242" s="1" t="s">
        <v>68</v>
      </c>
      <c r="D242" s="1" t="s">
        <v>1851</v>
      </c>
      <c r="E242" s="1" t="s">
        <v>17</v>
      </c>
      <c r="F242" s="3">
        <v>361106.0</v>
      </c>
      <c r="G242" s="1" t="s">
        <v>2296</v>
      </c>
      <c r="H242" s="1">
        <f t="shared" si="1"/>
        <v>616.157152</v>
      </c>
      <c r="I242" s="3">
        <v>1410628.0</v>
      </c>
      <c r="J242" s="1">
        <v>2250.0</v>
      </c>
    </row>
    <row r="243">
      <c r="A243" s="1">
        <v>2021.0</v>
      </c>
      <c r="B243" s="1">
        <v>5.0</v>
      </c>
      <c r="C243" s="1" t="s">
        <v>68</v>
      </c>
      <c r="D243" s="1" t="s">
        <v>1851</v>
      </c>
      <c r="E243" s="1" t="s">
        <v>21</v>
      </c>
      <c r="F243" s="1" t="s">
        <v>2297</v>
      </c>
      <c r="G243" s="1" t="s">
        <v>2298</v>
      </c>
      <c r="H243" s="1">
        <f t="shared" si="1"/>
        <v>8.514561</v>
      </c>
      <c r="I243" s="1" t="s">
        <v>2299</v>
      </c>
      <c r="J243" s="1">
        <v>138.0</v>
      </c>
    </row>
    <row r="244">
      <c r="A244" s="1">
        <v>2021.0</v>
      </c>
      <c r="B244" s="1">
        <v>5.0</v>
      </c>
      <c r="C244" s="1" t="s">
        <v>68</v>
      </c>
      <c r="D244" s="1" t="s">
        <v>544</v>
      </c>
      <c r="E244" s="1" t="s">
        <v>17</v>
      </c>
      <c r="F244" s="1" t="s">
        <v>2300</v>
      </c>
      <c r="G244" s="1" t="s">
        <v>2301</v>
      </c>
      <c r="H244" s="1">
        <f t="shared" si="1"/>
        <v>530.799296</v>
      </c>
      <c r="I244" s="3" t="s">
        <v>2302</v>
      </c>
      <c r="J244" s="1">
        <v>2725.0</v>
      </c>
    </row>
    <row r="245">
      <c r="A245" s="1">
        <v>2021.0</v>
      </c>
      <c r="B245" s="1">
        <v>5.0</v>
      </c>
      <c r="C245" s="1" t="s">
        <v>68</v>
      </c>
      <c r="D245" s="1" t="s">
        <v>32</v>
      </c>
      <c r="E245" s="1" t="s">
        <v>14</v>
      </c>
      <c r="F245" s="3" t="s">
        <v>2303</v>
      </c>
      <c r="G245" s="1" t="s">
        <v>2304</v>
      </c>
      <c r="H245" s="1">
        <f t="shared" si="1"/>
        <v>281.7246</v>
      </c>
      <c r="I245" s="1" t="s">
        <v>2305</v>
      </c>
      <c r="J245" s="1">
        <v>1325.0</v>
      </c>
    </row>
    <row r="246">
      <c r="A246" s="1">
        <v>2021.0</v>
      </c>
      <c r="B246" s="1">
        <v>5.0</v>
      </c>
      <c r="C246" s="1" t="s">
        <v>68</v>
      </c>
      <c r="D246" s="1" t="s">
        <v>32</v>
      </c>
      <c r="E246" s="1" t="s">
        <v>21</v>
      </c>
      <c r="F246" s="3" t="s">
        <v>2306</v>
      </c>
      <c r="G246" s="1" t="s">
        <v>2307</v>
      </c>
      <c r="H246" s="1">
        <f t="shared" si="1"/>
        <v>87.100711</v>
      </c>
      <c r="I246" s="1" t="s">
        <v>2308</v>
      </c>
      <c r="J246" s="1">
        <v>386.0</v>
      </c>
    </row>
    <row r="247">
      <c r="A247" s="1">
        <v>2021.0</v>
      </c>
      <c r="B247" s="1">
        <v>5.0</v>
      </c>
      <c r="C247" s="1" t="s">
        <v>68</v>
      </c>
      <c r="D247" s="1" t="s">
        <v>1830</v>
      </c>
      <c r="E247" s="1" t="s">
        <v>72</v>
      </c>
      <c r="F247" s="3">
        <v>2559681.0</v>
      </c>
      <c r="G247" s="1" t="s">
        <v>2309</v>
      </c>
      <c r="H247" s="1">
        <f t="shared" si="1"/>
        <v>334.68803</v>
      </c>
      <c r="I247" s="3">
        <v>201251.0</v>
      </c>
      <c r="J247" s="1">
        <v>3510.0</v>
      </c>
    </row>
    <row r="248">
      <c r="A248" s="1">
        <v>2021.0</v>
      </c>
      <c r="B248" s="1">
        <v>5.0</v>
      </c>
      <c r="C248" s="1" t="s">
        <v>68</v>
      </c>
      <c r="D248" s="1" t="s">
        <v>38</v>
      </c>
      <c r="E248" s="1" t="s">
        <v>39</v>
      </c>
      <c r="F248" s="3">
        <v>1227948.0</v>
      </c>
      <c r="G248" s="1" t="s">
        <v>2310</v>
      </c>
      <c r="H248" s="1">
        <f t="shared" si="1"/>
        <v>136.563048</v>
      </c>
      <c r="I248" s="1" t="s">
        <v>2311</v>
      </c>
      <c r="J248" s="1">
        <v>212.0</v>
      </c>
    </row>
    <row r="249">
      <c r="A249" s="1">
        <v>2021.0</v>
      </c>
      <c r="B249" s="1">
        <v>5.0</v>
      </c>
      <c r="C249" s="1" t="s">
        <v>68</v>
      </c>
      <c r="D249" s="1" t="s">
        <v>42</v>
      </c>
      <c r="E249" s="1" t="s">
        <v>17</v>
      </c>
      <c r="F249" s="1" t="s">
        <v>2312</v>
      </c>
      <c r="G249" s="1" t="s">
        <v>2313</v>
      </c>
      <c r="H249" s="1">
        <f t="shared" si="1"/>
        <v>111.212183</v>
      </c>
      <c r="I249" s="1" t="s">
        <v>965</v>
      </c>
      <c r="J249" s="1">
        <v>270.0</v>
      </c>
    </row>
    <row r="250">
      <c r="A250" s="1">
        <v>2021.0</v>
      </c>
      <c r="B250" s="1">
        <v>5.0</v>
      </c>
      <c r="C250" s="1" t="s">
        <v>68</v>
      </c>
      <c r="D250" s="1" t="s">
        <v>2088</v>
      </c>
      <c r="E250" s="1" t="s">
        <v>21</v>
      </c>
      <c r="F250" s="3" t="s">
        <v>2314</v>
      </c>
      <c r="G250" s="1" t="s">
        <v>2315</v>
      </c>
      <c r="H250" s="1">
        <f t="shared" si="1"/>
        <v>91.027754</v>
      </c>
      <c r="I250" s="1" t="s">
        <v>2316</v>
      </c>
      <c r="J250" s="1">
        <v>0.0</v>
      </c>
    </row>
    <row r="251">
      <c r="A251" s="1">
        <v>2021.0</v>
      </c>
      <c r="B251" s="1">
        <v>5.0</v>
      </c>
      <c r="C251" s="1" t="s">
        <v>116</v>
      </c>
      <c r="D251" s="1" t="s">
        <v>13</v>
      </c>
      <c r="E251" s="1" t="s">
        <v>14</v>
      </c>
      <c r="F251" s="1" t="s">
        <v>2317</v>
      </c>
      <c r="G251" s="1" t="s">
        <v>2318</v>
      </c>
      <c r="H251" s="1">
        <f t="shared" si="1"/>
        <v>7220.074815</v>
      </c>
      <c r="I251" s="1" t="s">
        <v>2319</v>
      </c>
      <c r="J251" s="1">
        <v>11852.0</v>
      </c>
    </row>
    <row r="252">
      <c r="A252" s="1">
        <v>2021.0</v>
      </c>
      <c r="B252" s="1">
        <v>5.0</v>
      </c>
      <c r="C252" s="1" t="s">
        <v>116</v>
      </c>
      <c r="D252" s="1" t="s">
        <v>13</v>
      </c>
      <c r="E252" s="1" t="s">
        <v>17</v>
      </c>
      <c r="F252" s="1" t="s">
        <v>2320</v>
      </c>
      <c r="G252" s="1" t="s">
        <v>2321</v>
      </c>
      <c r="H252" s="1">
        <f t="shared" si="1"/>
        <v>9661.265621</v>
      </c>
      <c r="I252" s="1" t="s">
        <v>2322</v>
      </c>
      <c r="J252" s="1">
        <v>15176.0</v>
      </c>
    </row>
    <row r="253">
      <c r="A253" s="1">
        <v>2021.0</v>
      </c>
      <c r="B253" s="1">
        <v>5.0</v>
      </c>
      <c r="C253" s="1" t="s">
        <v>116</v>
      </c>
      <c r="D253" s="1" t="s">
        <v>13</v>
      </c>
      <c r="E253" s="1" t="s">
        <v>21</v>
      </c>
      <c r="F253" s="3">
        <v>2284775.0</v>
      </c>
      <c r="G253" s="1" t="s">
        <v>2323</v>
      </c>
      <c r="H253" s="1">
        <f t="shared" si="1"/>
        <v>1041.996994</v>
      </c>
      <c r="I253" s="3">
        <v>2621407.0</v>
      </c>
      <c r="J253" s="1">
        <v>585.0</v>
      </c>
    </row>
    <row r="254">
      <c r="A254" s="1">
        <v>2021.0</v>
      </c>
      <c r="B254" s="1">
        <v>5.0</v>
      </c>
      <c r="C254" s="1" t="s">
        <v>116</v>
      </c>
      <c r="D254" s="1" t="s">
        <v>13</v>
      </c>
      <c r="E254" s="1" t="s">
        <v>25</v>
      </c>
      <c r="F254" s="1" t="s">
        <v>847</v>
      </c>
      <c r="G254" s="1" t="s">
        <v>2324</v>
      </c>
      <c r="H254" s="1">
        <f t="shared" si="1"/>
        <v>0.866289</v>
      </c>
      <c r="I254" s="1" t="s">
        <v>666</v>
      </c>
      <c r="J254" s="1">
        <v>2.0</v>
      </c>
    </row>
    <row r="255">
      <c r="A255" s="1">
        <v>2021.0</v>
      </c>
      <c r="B255" s="1">
        <v>5.0</v>
      </c>
      <c r="C255" s="1" t="s">
        <v>116</v>
      </c>
      <c r="D255" s="1" t="s">
        <v>29</v>
      </c>
      <c r="E255" s="1" t="s">
        <v>14</v>
      </c>
      <c r="F255" s="3">
        <v>28856.0</v>
      </c>
      <c r="G255" s="1" t="s">
        <v>2325</v>
      </c>
      <c r="H255" s="1">
        <f t="shared" si="1"/>
        <v>111.543779</v>
      </c>
      <c r="I255" s="1" t="s">
        <v>2326</v>
      </c>
      <c r="J255" s="1">
        <v>249.0</v>
      </c>
    </row>
    <row r="256">
      <c r="A256" s="1">
        <v>2021.0</v>
      </c>
      <c r="B256" s="1">
        <v>5.0</v>
      </c>
      <c r="C256" s="1" t="s">
        <v>116</v>
      </c>
      <c r="D256" s="1" t="s">
        <v>29</v>
      </c>
      <c r="E256" s="1" t="s">
        <v>21</v>
      </c>
      <c r="F256" s="1" t="s">
        <v>2327</v>
      </c>
      <c r="G256" s="1" t="s">
        <v>2328</v>
      </c>
      <c r="H256" s="1">
        <f t="shared" si="1"/>
        <v>7424.948826</v>
      </c>
      <c r="I256" s="1" t="s">
        <v>2329</v>
      </c>
      <c r="J256" s="1">
        <v>1844.0</v>
      </c>
    </row>
    <row r="257">
      <c r="A257" s="1">
        <v>2021.0</v>
      </c>
      <c r="B257" s="1">
        <v>5.0</v>
      </c>
      <c r="C257" s="1" t="s">
        <v>116</v>
      </c>
      <c r="D257" s="1" t="s">
        <v>1851</v>
      </c>
      <c r="E257" s="1" t="s">
        <v>17</v>
      </c>
      <c r="F257" s="1" t="s">
        <v>2330</v>
      </c>
      <c r="G257" s="1" t="s">
        <v>2331</v>
      </c>
      <c r="H257" s="1">
        <f t="shared" si="1"/>
        <v>2329.209672</v>
      </c>
      <c r="I257" s="1" t="s">
        <v>2332</v>
      </c>
      <c r="J257" s="1">
        <v>7585.0</v>
      </c>
    </row>
    <row r="258">
      <c r="A258" s="1">
        <v>2021.0</v>
      </c>
      <c r="B258" s="1">
        <v>5.0</v>
      </c>
      <c r="C258" s="1" t="s">
        <v>116</v>
      </c>
      <c r="D258" s="1" t="s">
        <v>1851</v>
      </c>
      <c r="E258" s="1" t="s">
        <v>21</v>
      </c>
      <c r="F258" s="1" t="s">
        <v>2333</v>
      </c>
      <c r="G258" s="1" t="s">
        <v>2334</v>
      </c>
      <c r="H258" s="1">
        <f t="shared" si="1"/>
        <v>4.999411</v>
      </c>
      <c r="I258" s="1" t="s">
        <v>2202</v>
      </c>
      <c r="J258" s="1">
        <v>72.0</v>
      </c>
    </row>
    <row r="259">
      <c r="A259" s="1">
        <v>2021.0</v>
      </c>
      <c r="B259" s="1">
        <v>5.0</v>
      </c>
      <c r="C259" s="1" t="s">
        <v>116</v>
      </c>
      <c r="D259" s="1" t="s">
        <v>45</v>
      </c>
      <c r="E259" s="1" t="s">
        <v>17</v>
      </c>
      <c r="F259" s="1" t="s">
        <v>2335</v>
      </c>
      <c r="G259" s="1" t="s">
        <v>2336</v>
      </c>
      <c r="H259" s="1">
        <f t="shared" si="1"/>
        <v>1515.283204</v>
      </c>
      <c r="I259" s="3">
        <v>2323856.0</v>
      </c>
      <c r="J259" s="1">
        <v>1670.0</v>
      </c>
    </row>
    <row r="260">
      <c r="A260" s="1">
        <v>2021.0</v>
      </c>
      <c r="B260" s="1">
        <v>5.0</v>
      </c>
      <c r="C260" s="1" t="s">
        <v>116</v>
      </c>
      <c r="D260" s="1" t="s">
        <v>544</v>
      </c>
      <c r="E260" s="1" t="s">
        <v>17</v>
      </c>
      <c r="F260" s="1" t="s">
        <v>2337</v>
      </c>
      <c r="G260" s="1" t="s">
        <v>2338</v>
      </c>
      <c r="H260" s="1">
        <f t="shared" si="1"/>
        <v>829.925924</v>
      </c>
      <c r="I260" s="1" t="s">
        <v>2339</v>
      </c>
      <c r="J260" s="1">
        <v>4261.0</v>
      </c>
    </row>
    <row r="261">
      <c r="A261" s="1">
        <v>2021.0</v>
      </c>
      <c r="B261" s="1">
        <v>5.0</v>
      </c>
      <c r="C261" s="1" t="s">
        <v>116</v>
      </c>
      <c r="D261" s="1" t="s">
        <v>32</v>
      </c>
      <c r="E261" s="1" t="s">
        <v>14</v>
      </c>
      <c r="F261" s="3">
        <v>2665907.0</v>
      </c>
      <c r="G261" s="1" t="s">
        <v>2340</v>
      </c>
      <c r="H261" s="1">
        <f t="shared" si="1"/>
        <v>60.751409</v>
      </c>
      <c r="I261" s="1" t="s">
        <v>2341</v>
      </c>
      <c r="J261" s="1">
        <v>247.0</v>
      </c>
    </row>
    <row r="262">
      <c r="A262" s="1">
        <v>2021.0</v>
      </c>
      <c r="B262" s="1">
        <v>5.0</v>
      </c>
      <c r="C262" s="1" t="s">
        <v>116</v>
      </c>
      <c r="D262" s="1" t="s">
        <v>32</v>
      </c>
      <c r="E262" s="1" t="s">
        <v>21</v>
      </c>
      <c r="F262" s="1" t="s">
        <v>2342</v>
      </c>
      <c r="G262" s="1" t="s">
        <v>2343</v>
      </c>
      <c r="H262" s="1">
        <f t="shared" si="1"/>
        <v>432.96244</v>
      </c>
      <c r="I262" s="3" t="s">
        <v>2344</v>
      </c>
      <c r="J262" s="1">
        <v>1403.0</v>
      </c>
    </row>
    <row r="263">
      <c r="A263" s="1">
        <v>2021.0</v>
      </c>
      <c r="B263" s="1">
        <v>5.0</v>
      </c>
      <c r="C263" s="1" t="s">
        <v>116</v>
      </c>
      <c r="D263" s="1" t="s">
        <v>1830</v>
      </c>
      <c r="E263" s="1" t="s">
        <v>72</v>
      </c>
      <c r="F263" s="3">
        <v>2214557.0</v>
      </c>
      <c r="G263" s="1" t="s">
        <v>2345</v>
      </c>
      <c r="H263" s="1">
        <f t="shared" si="1"/>
        <v>411.48491</v>
      </c>
      <c r="I263" s="3">
        <v>1259358.0</v>
      </c>
      <c r="J263" s="1">
        <v>3969.0</v>
      </c>
    </row>
    <row r="264">
      <c r="A264" s="1">
        <v>2021.0</v>
      </c>
      <c r="B264" s="1">
        <v>5.0</v>
      </c>
      <c r="C264" s="1" t="s">
        <v>116</v>
      </c>
      <c r="D264" s="1" t="s">
        <v>147</v>
      </c>
      <c r="E264" s="1" t="s">
        <v>39</v>
      </c>
      <c r="F264" s="3">
        <v>378759.0</v>
      </c>
      <c r="G264" s="1" t="s">
        <v>2346</v>
      </c>
      <c r="H264" s="1">
        <f t="shared" si="1"/>
        <v>382.5996</v>
      </c>
      <c r="I264" s="1" t="s">
        <v>953</v>
      </c>
      <c r="J264" s="1">
        <v>113.0</v>
      </c>
    </row>
    <row r="265">
      <c r="A265" s="1">
        <v>2021.0</v>
      </c>
      <c r="B265" s="1">
        <v>5.0</v>
      </c>
      <c r="C265" s="1" t="s">
        <v>116</v>
      </c>
      <c r="D265" s="1" t="s">
        <v>147</v>
      </c>
      <c r="E265" s="1" t="s">
        <v>17</v>
      </c>
      <c r="F265" s="1" t="s">
        <v>2347</v>
      </c>
      <c r="G265" s="1" t="s">
        <v>2348</v>
      </c>
      <c r="H265" s="1">
        <f t="shared" si="1"/>
        <v>4.805201</v>
      </c>
      <c r="I265" s="1" t="s">
        <v>1331</v>
      </c>
      <c r="J265" s="1">
        <v>4.0</v>
      </c>
    </row>
    <row r="266">
      <c r="A266" s="1">
        <v>2021.0</v>
      </c>
      <c r="B266" s="1">
        <v>5.0</v>
      </c>
      <c r="C266" s="1" t="s">
        <v>116</v>
      </c>
      <c r="D266" s="1" t="s">
        <v>147</v>
      </c>
      <c r="E266" s="1" t="s">
        <v>21</v>
      </c>
      <c r="F266" s="1" t="s">
        <v>1292</v>
      </c>
      <c r="G266" s="1" t="s">
        <v>2349</v>
      </c>
      <c r="H266" s="1">
        <f t="shared" si="1"/>
        <v>24.562618</v>
      </c>
      <c r="I266" s="1" t="s">
        <v>2350</v>
      </c>
      <c r="J266" s="1">
        <v>44.0</v>
      </c>
    </row>
    <row r="267">
      <c r="A267" s="1">
        <v>2021.0</v>
      </c>
      <c r="B267" s="1">
        <v>5.0</v>
      </c>
      <c r="C267" s="1" t="s">
        <v>116</v>
      </c>
      <c r="D267" s="1" t="s">
        <v>42</v>
      </c>
      <c r="E267" s="1" t="s">
        <v>17</v>
      </c>
      <c r="F267" s="3">
        <v>1741113.0</v>
      </c>
      <c r="G267" s="1" t="s">
        <v>2351</v>
      </c>
      <c r="H267" s="1">
        <f t="shared" si="1"/>
        <v>316.395114</v>
      </c>
      <c r="I267" s="1" t="s">
        <v>2352</v>
      </c>
      <c r="J267" s="1">
        <v>287.0</v>
      </c>
    </row>
    <row r="268">
      <c r="A268" s="1">
        <v>2021.0</v>
      </c>
      <c r="B268" s="1">
        <v>5.0</v>
      </c>
      <c r="C268" s="1" t="s">
        <v>116</v>
      </c>
      <c r="D268" s="1" t="s">
        <v>158</v>
      </c>
      <c r="E268" s="1" t="s">
        <v>17</v>
      </c>
      <c r="F268" s="1" t="s">
        <v>2353</v>
      </c>
      <c r="G268" s="1" t="s">
        <v>2354</v>
      </c>
      <c r="H268" s="1">
        <f t="shared" si="1"/>
        <v>39.231244</v>
      </c>
      <c r="I268" s="1" t="s">
        <v>2355</v>
      </c>
      <c r="J268" s="1">
        <v>0.0</v>
      </c>
    </row>
    <row r="269">
      <c r="A269" s="1">
        <v>2021.0</v>
      </c>
      <c r="B269" s="1">
        <v>5.0</v>
      </c>
      <c r="C269" s="1" t="s">
        <v>116</v>
      </c>
      <c r="D269" s="1" t="s">
        <v>158</v>
      </c>
      <c r="E269" s="1" t="s">
        <v>21</v>
      </c>
      <c r="F269" s="1" t="s">
        <v>2356</v>
      </c>
      <c r="G269" s="1" t="s">
        <v>2357</v>
      </c>
      <c r="H269" s="1">
        <f t="shared" si="1"/>
        <v>222.563144</v>
      </c>
      <c r="I269" s="1" t="s">
        <v>2358</v>
      </c>
      <c r="J269" s="1">
        <v>0.0</v>
      </c>
    </row>
    <row r="270">
      <c r="A270" s="1">
        <v>2021.0</v>
      </c>
      <c r="B270" s="1">
        <v>6.0</v>
      </c>
      <c r="C270" s="1" t="s">
        <v>12</v>
      </c>
      <c r="D270" s="1" t="s">
        <v>13</v>
      </c>
      <c r="E270" s="1" t="s">
        <v>14</v>
      </c>
      <c r="F270" s="1" t="s">
        <v>2359</v>
      </c>
      <c r="G270" s="1" t="s">
        <v>2360</v>
      </c>
      <c r="H270" s="1">
        <f t="shared" si="1"/>
        <v>916.589147</v>
      </c>
      <c r="I270" s="3" t="s">
        <v>2361</v>
      </c>
      <c r="J270" s="1">
        <v>553.0</v>
      </c>
    </row>
    <row r="271">
      <c r="A271" s="1">
        <v>2021.0</v>
      </c>
      <c r="B271" s="1">
        <v>6.0</v>
      </c>
      <c r="C271" s="1" t="s">
        <v>12</v>
      </c>
      <c r="D271" s="1" t="s">
        <v>13</v>
      </c>
      <c r="E271" s="1" t="s">
        <v>17</v>
      </c>
      <c r="F271" s="1" t="s">
        <v>2362</v>
      </c>
      <c r="G271" s="1" t="s">
        <v>2363</v>
      </c>
      <c r="H271" s="1">
        <f t="shared" si="1"/>
        <v>4782.541053</v>
      </c>
      <c r="I271" s="1" t="s">
        <v>2364</v>
      </c>
      <c r="J271" s="1">
        <v>787.0</v>
      </c>
    </row>
    <row r="272">
      <c r="A272" s="1">
        <v>2021.0</v>
      </c>
      <c r="B272" s="1">
        <v>6.0</v>
      </c>
      <c r="C272" s="1" t="s">
        <v>12</v>
      </c>
      <c r="D272" s="1" t="s">
        <v>13</v>
      </c>
      <c r="E272" s="1" t="s">
        <v>21</v>
      </c>
      <c r="F272" s="1" t="s">
        <v>2365</v>
      </c>
      <c r="G272" s="1" t="s">
        <v>2366</v>
      </c>
      <c r="H272" s="1">
        <f t="shared" si="1"/>
        <v>2572.258208</v>
      </c>
      <c r="I272" s="3">
        <v>56919.0</v>
      </c>
      <c r="J272" s="1">
        <v>591.0</v>
      </c>
    </row>
    <row r="273">
      <c r="A273" s="1">
        <v>2021.0</v>
      </c>
      <c r="B273" s="1">
        <v>6.0</v>
      </c>
      <c r="C273" s="1" t="s">
        <v>12</v>
      </c>
      <c r="D273" s="1" t="s">
        <v>29</v>
      </c>
      <c r="E273" s="1" t="s">
        <v>14</v>
      </c>
      <c r="F273" s="1" t="s">
        <v>1788</v>
      </c>
      <c r="G273" s="1" t="s">
        <v>2367</v>
      </c>
      <c r="H273" s="1">
        <f t="shared" si="1"/>
        <v>10.52085</v>
      </c>
      <c r="I273" s="1" t="s">
        <v>2368</v>
      </c>
      <c r="J273" s="1">
        <v>11.0</v>
      </c>
    </row>
    <row r="274">
      <c r="A274" s="1">
        <v>2021.0</v>
      </c>
      <c r="B274" s="1">
        <v>6.0</v>
      </c>
      <c r="C274" s="1" t="s">
        <v>12</v>
      </c>
      <c r="D274" s="1" t="s">
        <v>29</v>
      </c>
      <c r="E274" s="1" t="s">
        <v>21</v>
      </c>
      <c r="F274" s="1" t="s">
        <v>2369</v>
      </c>
      <c r="G274" s="1" t="s">
        <v>2370</v>
      </c>
      <c r="H274" s="1">
        <f t="shared" si="1"/>
        <v>4729.630735</v>
      </c>
      <c r="I274" s="3" t="s">
        <v>2371</v>
      </c>
      <c r="J274" s="1">
        <v>654.0</v>
      </c>
    </row>
    <row r="275">
      <c r="A275" s="1">
        <v>2021.0</v>
      </c>
      <c r="B275" s="1">
        <v>6.0</v>
      </c>
      <c r="C275" s="1" t="s">
        <v>12</v>
      </c>
      <c r="D275" s="1" t="s">
        <v>38</v>
      </c>
      <c r="E275" s="1" t="s">
        <v>39</v>
      </c>
      <c r="F275" s="3">
        <v>848126.0</v>
      </c>
      <c r="G275" s="1" t="s">
        <v>2372</v>
      </c>
      <c r="H275" s="1">
        <f t="shared" si="1"/>
        <v>271.40479</v>
      </c>
      <c r="I275" s="1" t="s">
        <v>2373</v>
      </c>
      <c r="J275" s="1">
        <v>99.0</v>
      </c>
    </row>
    <row r="276">
      <c r="A276" s="1">
        <v>2021.0</v>
      </c>
      <c r="B276" s="1">
        <v>6.0</v>
      </c>
      <c r="C276" s="1" t="s">
        <v>12</v>
      </c>
      <c r="D276" s="1" t="s">
        <v>45</v>
      </c>
      <c r="E276" s="1" t="s">
        <v>17</v>
      </c>
      <c r="F276" s="3">
        <v>2231300.0</v>
      </c>
      <c r="G276" s="1" t="s">
        <v>2374</v>
      </c>
      <c r="H276" s="1">
        <f t="shared" si="1"/>
        <v>230.718658</v>
      </c>
      <c r="I276" s="3">
        <v>30317.0</v>
      </c>
      <c r="J276" s="1">
        <v>236.0</v>
      </c>
    </row>
    <row r="277">
      <c r="A277" s="1">
        <v>2021.0</v>
      </c>
      <c r="B277" s="1">
        <v>6.0</v>
      </c>
      <c r="C277" s="1" t="s">
        <v>12</v>
      </c>
      <c r="D277" s="1" t="s">
        <v>48</v>
      </c>
      <c r="E277" s="1" t="s">
        <v>49</v>
      </c>
      <c r="F277" s="1" t="s">
        <v>2375</v>
      </c>
      <c r="G277" s="1" t="s">
        <v>2376</v>
      </c>
      <c r="H277" s="1">
        <f t="shared" si="1"/>
        <v>10.521911</v>
      </c>
      <c r="I277" s="1" t="s">
        <v>1514</v>
      </c>
      <c r="J277" s="1">
        <v>15.0</v>
      </c>
    </row>
    <row r="278">
      <c r="A278" s="1">
        <v>2021.0</v>
      </c>
      <c r="B278" s="1">
        <v>6.0</v>
      </c>
      <c r="C278" s="1" t="s">
        <v>12</v>
      </c>
      <c r="D278" s="1" t="s">
        <v>48</v>
      </c>
      <c r="E278" s="1" t="s">
        <v>21</v>
      </c>
      <c r="F278" s="1" t="s">
        <v>2377</v>
      </c>
      <c r="G278" s="1" t="s">
        <v>2378</v>
      </c>
      <c r="H278" s="1">
        <f t="shared" si="1"/>
        <v>132.086592</v>
      </c>
      <c r="I278" s="1" t="s">
        <v>2379</v>
      </c>
      <c r="J278" s="1">
        <v>170.0</v>
      </c>
    </row>
    <row r="279">
      <c r="A279" s="1">
        <v>2021.0</v>
      </c>
      <c r="B279" s="1">
        <v>6.0</v>
      </c>
      <c r="C279" s="1" t="s">
        <v>12</v>
      </c>
      <c r="D279" s="1" t="s">
        <v>32</v>
      </c>
      <c r="E279" s="1" t="s">
        <v>14</v>
      </c>
      <c r="F279" s="1" t="s">
        <v>2380</v>
      </c>
      <c r="G279" s="1" t="s">
        <v>2381</v>
      </c>
      <c r="H279" s="1">
        <f t="shared" si="1"/>
        <v>67.866183</v>
      </c>
      <c r="I279" s="1" t="s">
        <v>2382</v>
      </c>
      <c r="J279" s="1">
        <v>149.0</v>
      </c>
    </row>
    <row r="280">
      <c r="A280" s="1">
        <v>2021.0</v>
      </c>
      <c r="B280" s="1">
        <v>6.0</v>
      </c>
      <c r="C280" s="1" t="s">
        <v>12</v>
      </c>
      <c r="D280" s="1" t="s">
        <v>32</v>
      </c>
      <c r="E280" s="1" t="s">
        <v>21</v>
      </c>
      <c r="F280" s="1" t="s">
        <v>2383</v>
      </c>
      <c r="G280" s="1" t="s">
        <v>2384</v>
      </c>
      <c r="H280" s="1">
        <f t="shared" si="1"/>
        <v>59.064649</v>
      </c>
      <c r="I280" s="1" t="s">
        <v>2385</v>
      </c>
      <c r="J280" s="1">
        <v>68.0</v>
      </c>
    </row>
    <row r="281">
      <c r="A281" s="1">
        <v>2021.0</v>
      </c>
      <c r="B281" s="1">
        <v>6.0</v>
      </c>
      <c r="C281" s="1" t="s">
        <v>12</v>
      </c>
      <c r="D281" s="1" t="s">
        <v>42</v>
      </c>
      <c r="E281" s="1" t="s">
        <v>17</v>
      </c>
      <c r="F281" s="1" t="s">
        <v>2386</v>
      </c>
      <c r="G281" s="1" t="s">
        <v>2387</v>
      </c>
      <c r="H281" s="1">
        <f t="shared" si="1"/>
        <v>97.748139</v>
      </c>
      <c r="I281" s="1" t="s">
        <v>2388</v>
      </c>
      <c r="J281" s="1">
        <v>0.0</v>
      </c>
    </row>
    <row r="282">
      <c r="A282" s="1">
        <v>2021.0</v>
      </c>
      <c r="B282" s="1">
        <v>6.0</v>
      </c>
      <c r="C282" s="1" t="s">
        <v>12</v>
      </c>
      <c r="D282" s="1" t="s">
        <v>56</v>
      </c>
      <c r="E282" s="1" t="s">
        <v>21</v>
      </c>
      <c r="F282" s="1" t="s">
        <v>2389</v>
      </c>
      <c r="G282" s="1" t="s">
        <v>2390</v>
      </c>
      <c r="H282" s="1">
        <f t="shared" si="1"/>
        <v>88.235473</v>
      </c>
      <c r="I282" s="1" t="s">
        <v>2391</v>
      </c>
      <c r="J282" s="1">
        <v>175.0</v>
      </c>
    </row>
    <row r="283">
      <c r="A283" s="1">
        <v>2021.0</v>
      </c>
      <c r="B283" s="1">
        <v>6.0</v>
      </c>
      <c r="C283" s="1" t="s">
        <v>12</v>
      </c>
      <c r="D283" s="1" t="s">
        <v>544</v>
      </c>
      <c r="E283" s="1" t="s">
        <v>17</v>
      </c>
      <c r="F283" s="3">
        <v>708207.0</v>
      </c>
      <c r="G283" s="1" t="s">
        <v>2392</v>
      </c>
      <c r="H283" s="1">
        <f t="shared" si="1"/>
        <v>79.551433</v>
      </c>
      <c r="I283" s="1" t="s">
        <v>601</v>
      </c>
      <c r="J283" s="1">
        <v>118.0</v>
      </c>
    </row>
    <row r="284">
      <c r="A284" s="1">
        <v>2021.0</v>
      </c>
      <c r="B284" s="1">
        <v>6.0</v>
      </c>
      <c r="C284" s="1" t="s">
        <v>12</v>
      </c>
      <c r="D284" s="1" t="s">
        <v>1851</v>
      </c>
      <c r="E284" s="1" t="s">
        <v>17</v>
      </c>
      <c r="F284" s="1" t="s">
        <v>2393</v>
      </c>
      <c r="G284" s="1" t="s">
        <v>2394</v>
      </c>
      <c r="H284" s="1">
        <f t="shared" si="1"/>
        <v>9.602312</v>
      </c>
      <c r="I284" s="1" t="s">
        <v>2395</v>
      </c>
      <c r="J284" s="1">
        <v>18.0</v>
      </c>
    </row>
    <row r="285">
      <c r="A285" s="1">
        <v>2021.0</v>
      </c>
      <c r="B285" s="1">
        <v>6.0</v>
      </c>
      <c r="C285" s="1" t="s">
        <v>12</v>
      </c>
      <c r="D285" s="1" t="s">
        <v>1851</v>
      </c>
      <c r="E285" s="1" t="s">
        <v>21</v>
      </c>
      <c r="F285" s="1" t="s">
        <v>2396</v>
      </c>
      <c r="G285" s="1" t="s">
        <v>2397</v>
      </c>
      <c r="H285" s="1">
        <f t="shared" si="1"/>
        <v>49.925816</v>
      </c>
      <c r="I285" s="1" t="s">
        <v>2398</v>
      </c>
      <c r="J285" s="1">
        <v>108.0</v>
      </c>
    </row>
    <row r="286">
      <c r="A286" s="1">
        <v>2021.0</v>
      </c>
      <c r="B286" s="1">
        <v>6.0</v>
      </c>
      <c r="C286" s="1" t="s">
        <v>68</v>
      </c>
      <c r="D286" s="1" t="s">
        <v>13</v>
      </c>
      <c r="E286" s="1" t="s">
        <v>14</v>
      </c>
      <c r="F286" s="1" t="s">
        <v>2399</v>
      </c>
      <c r="G286" s="1" t="s">
        <v>2400</v>
      </c>
      <c r="H286" s="1">
        <f t="shared" si="1"/>
        <v>3039.185931</v>
      </c>
      <c r="I286" s="3">
        <v>235126.0</v>
      </c>
      <c r="J286" s="1">
        <v>6761.0</v>
      </c>
    </row>
    <row r="287">
      <c r="A287" s="1">
        <v>2021.0</v>
      </c>
      <c r="B287" s="1">
        <v>6.0</v>
      </c>
      <c r="C287" s="1" t="s">
        <v>68</v>
      </c>
      <c r="D287" s="1" t="s">
        <v>13</v>
      </c>
      <c r="E287" s="1" t="s">
        <v>17</v>
      </c>
      <c r="F287" s="1" t="s">
        <v>2401</v>
      </c>
      <c r="G287" s="1" t="s">
        <v>2402</v>
      </c>
      <c r="H287" s="1">
        <f t="shared" si="1"/>
        <v>4352.489251</v>
      </c>
      <c r="I287" s="1" t="s">
        <v>2403</v>
      </c>
      <c r="J287" s="1">
        <v>7647.0</v>
      </c>
    </row>
    <row r="288">
      <c r="A288" s="1">
        <v>2021.0</v>
      </c>
      <c r="B288" s="1">
        <v>6.0</v>
      </c>
      <c r="C288" s="1" t="s">
        <v>68</v>
      </c>
      <c r="D288" s="1" t="s">
        <v>13</v>
      </c>
      <c r="E288" s="1" t="s">
        <v>21</v>
      </c>
      <c r="F288" s="1" t="s">
        <v>2404</v>
      </c>
      <c r="G288" s="1" t="s">
        <v>2405</v>
      </c>
      <c r="H288" s="1">
        <f t="shared" si="1"/>
        <v>331.185942</v>
      </c>
      <c r="I288" s="3" t="s">
        <v>2406</v>
      </c>
      <c r="J288" s="1">
        <v>504.0</v>
      </c>
    </row>
    <row r="289">
      <c r="A289" s="1">
        <v>2021.0</v>
      </c>
      <c r="B289" s="1">
        <v>6.0</v>
      </c>
      <c r="C289" s="1" t="s">
        <v>68</v>
      </c>
      <c r="D289" s="1" t="s">
        <v>13</v>
      </c>
      <c r="E289" s="1" t="s">
        <v>25</v>
      </c>
      <c r="F289" s="1" t="s">
        <v>2407</v>
      </c>
      <c r="G289" s="1" t="s">
        <v>2408</v>
      </c>
      <c r="H289" s="1">
        <f t="shared" si="1"/>
        <v>56.559075</v>
      </c>
      <c r="I289" s="1" t="s">
        <v>2409</v>
      </c>
      <c r="J289" s="1">
        <v>163.0</v>
      </c>
    </row>
    <row r="290">
      <c r="A290" s="1">
        <v>2021.0</v>
      </c>
      <c r="B290" s="1">
        <v>6.0</v>
      </c>
      <c r="C290" s="1" t="s">
        <v>68</v>
      </c>
      <c r="D290" s="1" t="s">
        <v>29</v>
      </c>
      <c r="E290" s="1" t="s">
        <v>14</v>
      </c>
      <c r="F290" s="1" t="s">
        <v>1558</v>
      </c>
      <c r="G290" s="1" t="s">
        <v>2410</v>
      </c>
      <c r="H290" s="1">
        <f t="shared" si="1"/>
        <v>1.925396</v>
      </c>
      <c r="I290" s="1" t="s">
        <v>2411</v>
      </c>
      <c r="J290" s="1">
        <v>9.0</v>
      </c>
    </row>
    <row r="291">
      <c r="A291" s="1">
        <v>2021.0</v>
      </c>
      <c r="B291" s="1">
        <v>6.0</v>
      </c>
      <c r="C291" s="1" t="s">
        <v>68</v>
      </c>
      <c r="D291" s="1" t="s">
        <v>29</v>
      </c>
      <c r="E291" s="1" t="s">
        <v>21</v>
      </c>
      <c r="F291" s="3" t="s">
        <v>2412</v>
      </c>
      <c r="G291" s="1" t="s">
        <v>2413</v>
      </c>
      <c r="H291" s="1">
        <f t="shared" si="1"/>
        <v>1062.609031</v>
      </c>
      <c r="I291" s="3" t="s">
        <v>2414</v>
      </c>
      <c r="J291" s="1">
        <v>803.0</v>
      </c>
    </row>
    <row r="292">
      <c r="A292" s="1">
        <v>2021.0</v>
      </c>
      <c r="B292" s="1">
        <v>6.0</v>
      </c>
      <c r="C292" s="1" t="s">
        <v>68</v>
      </c>
      <c r="D292" s="1" t="s">
        <v>1851</v>
      </c>
      <c r="E292" s="1" t="s">
        <v>17</v>
      </c>
      <c r="F292" s="3">
        <v>1655402.0</v>
      </c>
      <c r="G292" s="1" t="s">
        <v>2415</v>
      </c>
      <c r="H292" s="1">
        <f t="shared" si="1"/>
        <v>371.37458</v>
      </c>
      <c r="I292" s="3" t="s">
        <v>2416</v>
      </c>
      <c r="J292" s="1">
        <v>2335.0</v>
      </c>
    </row>
    <row r="293">
      <c r="A293" s="1">
        <v>2021.0</v>
      </c>
      <c r="B293" s="1">
        <v>6.0</v>
      </c>
      <c r="C293" s="1" t="s">
        <v>68</v>
      </c>
      <c r="D293" s="1" t="s">
        <v>1851</v>
      </c>
      <c r="E293" s="1" t="s">
        <v>21</v>
      </c>
      <c r="F293" s="3">
        <v>393854.0</v>
      </c>
      <c r="G293" s="1" t="s">
        <v>2417</v>
      </c>
      <c r="H293" s="1">
        <f t="shared" si="1"/>
        <v>395.901459</v>
      </c>
      <c r="I293" s="3">
        <v>1482552.0</v>
      </c>
      <c r="J293" s="1">
        <v>2479.0</v>
      </c>
    </row>
    <row r="294">
      <c r="A294" s="1">
        <v>2021.0</v>
      </c>
      <c r="B294" s="1">
        <v>6.0</v>
      </c>
      <c r="C294" s="1" t="s">
        <v>68</v>
      </c>
      <c r="D294" s="1" t="s">
        <v>45</v>
      </c>
      <c r="E294" s="1" t="s">
        <v>17</v>
      </c>
      <c r="F294" s="3" t="s">
        <v>2418</v>
      </c>
      <c r="G294" s="1" t="s">
        <v>2419</v>
      </c>
      <c r="H294" s="1">
        <f t="shared" si="1"/>
        <v>684.569631</v>
      </c>
      <c r="I294" s="3">
        <v>626483.0</v>
      </c>
      <c r="J294" s="1">
        <v>1387.0</v>
      </c>
    </row>
    <row r="295">
      <c r="A295" s="1">
        <v>2021.0</v>
      </c>
      <c r="B295" s="1">
        <v>6.0</v>
      </c>
      <c r="C295" s="1" t="s">
        <v>68</v>
      </c>
      <c r="D295" s="1" t="s">
        <v>544</v>
      </c>
      <c r="E295" s="1" t="s">
        <v>17</v>
      </c>
      <c r="F295" s="1" t="s">
        <v>2420</v>
      </c>
      <c r="G295" s="1" t="s">
        <v>2421</v>
      </c>
      <c r="H295" s="1">
        <f t="shared" si="1"/>
        <v>522.367552</v>
      </c>
      <c r="I295" s="3" t="s">
        <v>2422</v>
      </c>
      <c r="J295" s="1">
        <v>3345.0</v>
      </c>
    </row>
    <row r="296">
      <c r="A296" s="1">
        <v>2021.0</v>
      </c>
      <c r="B296" s="1">
        <v>6.0</v>
      </c>
      <c r="C296" s="1" t="s">
        <v>68</v>
      </c>
      <c r="D296" s="1" t="s">
        <v>32</v>
      </c>
      <c r="E296" s="1" t="s">
        <v>14</v>
      </c>
      <c r="F296" s="3">
        <v>1774075.0</v>
      </c>
      <c r="G296" s="1" t="s">
        <v>2423</v>
      </c>
      <c r="H296" s="1">
        <f t="shared" si="1"/>
        <v>315.497197</v>
      </c>
      <c r="I296" s="3" t="s">
        <v>2424</v>
      </c>
      <c r="J296" s="1">
        <v>1483.0</v>
      </c>
    </row>
    <row r="297">
      <c r="A297" s="1">
        <v>2021.0</v>
      </c>
      <c r="B297" s="1">
        <v>6.0</v>
      </c>
      <c r="C297" s="1" t="s">
        <v>68</v>
      </c>
      <c r="D297" s="1" t="s">
        <v>32</v>
      </c>
      <c r="E297" s="1" t="s">
        <v>21</v>
      </c>
      <c r="F297" s="1" t="s">
        <v>2425</v>
      </c>
      <c r="G297" s="1" t="s">
        <v>2426</v>
      </c>
      <c r="H297" s="1">
        <f t="shared" si="1"/>
        <v>75.852483</v>
      </c>
      <c r="I297" s="1" t="s">
        <v>2427</v>
      </c>
      <c r="J297" s="1">
        <v>279.0</v>
      </c>
    </row>
    <row r="298">
      <c r="A298" s="1">
        <v>2021.0</v>
      </c>
      <c r="B298" s="1">
        <v>6.0</v>
      </c>
      <c r="C298" s="1" t="s">
        <v>68</v>
      </c>
      <c r="D298" s="1" t="s">
        <v>1830</v>
      </c>
      <c r="E298" s="1" t="s">
        <v>72</v>
      </c>
      <c r="F298" s="3">
        <v>1966162.0</v>
      </c>
      <c r="G298" s="1" t="s">
        <v>2428</v>
      </c>
      <c r="H298" s="1">
        <f t="shared" si="1"/>
        <v>271.43171</v>
      </c>
      <c r="I298" s="1" t="s">
        <v>2429</v>
      </c>
      <c r="J298" s="1">
        <v>3378.0</v>
      </c>
    </row>
    <row r="299">
      <c r="A299" s="1">
        <v>2021.0</v>
      </c>
      <c r="B299" s="1">
        <v>6.0</v>
      </c>
      <c r="C299" s="1" t="s">
        <v>68</v>
      </c>
      <c r="D299" s="1" t="s">
        <v>2088</v>
      </c>
      <c r="E299" s="1" t="s">
        <v>21</v>
      </c>
      <c r="F299" s="3">
        <v>1579676.0</v>
      </c>
      <c r="G299" s="1" t="s">
        <v>2430</v>
      </c>
      <c r="H299" s="1">
        <f t="shared" si="1"/>
        <v>152.9368</v>
      </c>
      <c r="I299" s="1" t="s">
        <v>2431</v>
      </c>
      <c r="J299" s="1">
        <v>0.0</v>
      </c>
    </row>
    <row r="300">
      <c r="A300" s="1">
        <v>2021.0</v>
      </c>
      <c r="B300" s="1">
        <v>6.0</v>
      </c>
      <c r="C300" s="1" t="s">
        <v>68</v>
      </c>
      <c r="D300" s="1" t="s">
        <v>38</v>
      </c>
      <c r="E300" s="1" t="s">
        <v>39</v>
      </c>
      <c r="F300" s="3">
        <v>1006976.0</v>
      </c>
      <c r="G300" s="1" t="s">
        <v>2432</v>
      </c>
      <c r="H300" s="1">
        <f t="shared" si="1"/>
        <v>133.872281</v>
      </c>
      <c r="I300" s="1" t="s">
        <v>2433</v>
      </c>
      <c r="J300" s="1">
        <v>243.0</v>
      </c>
    </row>
    <row r="301">
      <c r="A301" s="1">
        <v>2021.0</v>
      </c>
      <c r="B301" s="1">
        <v>6.0</v>
      </c>
      <c r="C301" s="1" t="s">
        <v>68</v>
      </c>
      <c r="D301" s="1" t="s">
        <v>42</v>
      </c>
      <c r="E301" s="1" t="s">
        <v>17</v>
      </c>
      <c r="F301" s="1" t="s">
        <v>2434</v>
      </c>
      <c r="G301" s="1" t="s">
        <v>2435</v>
      </c>
      <c r="H301" s="1">
        <f t="shared" si="1"/>
        <v>94.428791</v>
      </c>
      <c r="I301" s="1" t="s">
        <v>2436</v>
      </c>
      <c r="J301" s="1">
        <v>265.0</v>
      </c>
    </row>
    <row r="302">
      <c r="A302" s="1">
        <v>2021.0</v>
      </c>
      <c r="B302" s="1">
        <v>6.0</v>
      </c>
      <c r="C302" s="1" t="s">
        <v>116</v>
      </c>
      <c r="D302" s="1" t="s">
        <v>13</v>
      </c>
      <c r="E302" s="1" t="s">
        <v>14</v>
      </c>
      <c r="F302" s="1" t="s">
        <v>2437</v>
      </c>
      <c r="G302" s="1" t="s">
        <v>2438</v>
      </c>
      <c r="H302" s="1">
        <f t="shared" si="1"/>
        <v>7248.969408</v>
      </c>
      <c r="I302" s="1" t="s">
        <v>2439</v>
      </c>
      <c r="J302" s="1">
        <v>12120.0</v>
      </c>
    </row>
    <row r="303">
      <c r="A303" s="1">
        <v>2021.0</v>
      </c>
      <c r="B303" s="1">
        <v>6.0</v>
      </c>
      <c r="C303" s="1" t="s">
        <v>116</v>
      </c>
      <c r="D303" s="1" t="s">
        <v>13</v>
      </c>
      <c r="E303" s="1" t="s">
        <v>17</v>
      </c>
      <c r="F303" s="1" t="s">
        <v>2440</v>
      </c>
      <c r="G303" s="1" t="s">
        <v>2441</v>
      </c>
      <c r="H303" s="1">
        <f t="shared" si="1"/>
        <v>9724.902538</v>
      </c>
      <c r="I303" s="1" t="s">
        <v>2442</v>
      </c>
      <c r="J303" s="1">
        <v>13797.0</v>
      </c>
    </row>
    <row r="304">
      <c r="A304" s="1">
        <v>2021.0</v>
      </c>
      <c r="B304" s="1">
        <v>6.0</v>
      </c>
      <c r="C304" s="1" t="s">
        <v>116</v>
      </c>
      <c r="D304" s="1" t="s">
        <v>13</v>
      </c>
      <c r="E304" s="1" t="s">
        <v>21</v>
      </c>
      <c r="F304" s="3">
        <v>83763.0</v>
      </c>
      <c r="G304" s="1" t="s">
        <v>2443</v>
      </c>
      <c r="H304" s="1">
        <f t="shared" si="1"/>
        <v>784.023162</v>
      </c>
      <c r="I304" s="3">
        <v>1521634.0</v>
      </c>
      <c r="J304" s="1">
        <v>641.0</v>
      </c>
    </row>
    <row r="305">
      <c r="A305" s="1">
        <v>2021.0</v>
      </c>
      <c r="B305" s="1">
        <v>6.0</v>
      </c>
      <c r="C305" s="1" t="s">
        <v>116</v>
      </c>
      <c r="D305" s="1" t="s">
        <v>13</v>
      </c>
      <c r="E305" s="1" t="s">
        <v>25</v>
      </c>
      <c r="F305" s="1" t="s">
        <v>2444</v>
      </c>
      <c r="G305" s="1" t="s">
        <v>2445</v>
      </c>
      <c r="H305" s="1">
        <f t="shared" si="1"/>
        <v>2.374221</v>
      </c>
      <c r="I305" s="1" t="s">
        <v>1605</v>
      </c>
      <c r="J305" s="1">
        <v>4.0</v>
      </c>
    </row>
    <row r="306">
      <c r="A306" s="1">
        <v>2021.0</v>
      </c>
      <c r="B306" s="1">
        <v>6.0</v>
      </c>
      <c r="C306" s="1" t="s">
        <v>116</v>
      </c>
      <c r="D306" s="1" t="s">
        <v>29</v>
      </c>
      <c r="E306" s="1" t="s">
        <v>14</v>
      </c>
      <c r="F306" s="3" t="s">
        <v>1172</v>
      </c>
      <c r="G306" s="1" t="s">
        <v>2446</v>
      </c>
      <c r="H306" s="1">
        <f t="shared" si="1"/>
        <v>114.790323</v>
      </c>
      <c r="I306" s="1" t="s">
        <v>2447</v>
      </c>
      <c r="J306" s="1">
        <v>280.0</v>
      </c>
    </row>
    <row r="307">
      <c r="A307" s="1">
        <v>2021.0</v>
      </c>
      <c r="B307" s="1">
        <v>6.0</v>
      </c>
      <c r="C307" s="1" t="s">
        <v>116</v>
      </c>
      <c r="D307" s="1" t="s">
        <v>29</v>
      </c>
      <c r="E307" s="1" t="s">
        <v>21</v>
      </c>
      <c r="F307" s="1" t="s">
        <v>2448</v>
      </c>
      <c r="G307" s="1" t="s">
        <v>2449</v>
      </c>
      <c r="H307" s="1">
        <f t="shared" si="1"/>
        <v>4603.976229</v>
      </c>
      <c r="I307" s="1" t="s">
        <v>2450</v>
      </c>
      <c r="J307" s="1">
        <v>1767.0</v>
      </c>
    </row>
    <row r="308">
      <c r="A308" s="1">
        <v>2021.0</v>
      </c>
      <c r="B308" s="1">
        <v>6.0</v>
      </c>
      <c r="C308" s="1" t="s">
        <v>116</v>
      </c>
      <c r="D308" s="1" t="s">
        <v>1851</v>
      </c>
      <c r="E308" s="1" t="s">
        <v>17</v>
      </c>
      <c r="F308" s="1" t="s">
        <v>2451</v>
      </c>
      <c r="G308" s="1" t="s">
        <v>2452</v>
      </c>
      <c r="H308" s="1">
        <f t="shared" si="1"/>
        <v>1369.13641</v>
      </c>
      <c r="I308" s="3">
        <v>2711013.0</v>
      </c>
      <c r="J308" s="1">
        <v>7311.0</v>
      </c>
    </row>
    <row r="309">
      <c r="A309" s="1">
        <v>2021.0</v>
      </c>
      <c r="B309" s="1">
        <v>6.0</v>
      </c>
      <c r="C309" s="1" t="s">
        <v>116</v>
      </c>
      <c r="D309" s="1" t="s">
        <v>1851</v>
      </c>
      <c r="E309" s="1" t="s">
        <v>21</v>
      </c>
      <c r="F309" s="1" t="s">
        <v>2453</v>
      </c>
      <c r="G309" s="1" t="s">
        <v>2454</v>
      </c>
      <c r="H309" s="1">
        <f t="shared" si="1"/>
        <v>844.10972</v>
      </c>
      <c r="I309" s="3">
        <v>1199579.0</v>
      </c>
      <c r="J309" s="1">
        <v>4054.0</v>
      </c>
    </row>
    <row r="310">
      <c r="A310" s="1">
        <v>2021.0</v>
      </c>
      <c r="B310" s="1">
        <v>6.0</v>
      </c>
      <c r="C310" s="1" t="s">
        <v>116</v>
      </c>
      <c r="D310" s="1" t="s">
        <v>45</v>
      </c>
      <c r="E310" s="1" t="s">
        <v>17</v>
      </c>
      <c r="F310" s="1" t="s">
        <v>2455</v>
      </c>
      <c r="G310" s="1" t="s">
        <v>2456</v>
      </c>
      <c r="H310" s="1">
        <f t="shared" si="1"/>
        <v>1193.713564</v>
      </c>
      <c r="I310" s="3">
        <v>873814.0</v>
      </c>
      <c r="J310" s="1">
        <v>1676.0</v>
      </c>
    </row>
    <row r="311">
      <c r="A311" s="1">
        <v>2021.0</v>
      </c>
      <c r="B311" s="1">
        <v>6.0</v>
      </c>
      <c r="C311" s="1" t="s">
        <v>116</v>
      </c>
      <c r="D311" s="1" t="s">
        <v>544</v>
      </c>
      <c r="E311" s="1" t="s">
        <v>17</v>
      </c>
      <c r="F311" s="1" t="s">
        <v>2457</v>
      </c>
      <c r="G311" s="1" t="s">
        <v>2458</v>
      </c>
      <c r="H311" s="1">
        <f t="shared" si="1"/>
        <v>960.914753</v>
      </c>
      <c r="I311" s="3" t="s">
        <v>2459</v>
      </c>
      <c r="J311" s="1">
        <v>5559.0</v>
      </c>
    </row>
    <row r="312">
      <c r="A312" s="1">
        <v>2021.0</v>
      </c>
      <c r="B312" s="1">
        <v>6.0</v>
      </c>
      <c r="C312" s="1" t="s">
        <v>116</v>
      </c>
      <c r="D312" s="1" t="s">
        <v>147</v>
      </c>
      <c r="E312" s="1" t="s">
        <v>39</v>
      </c>
      <c r="F312" s="3">
        <v>787100.0</v>
      </c>
      <c r="G312" s="1" t="s">
        <v>2460</v>
      </c>
      <c r="H312" s="1">
        <f t="shared" si="1"/>
        <v>441.059538</v>
      </c>
      <c r="I312" s="1" t="s">
        <v>2461</v>
      </c>
      <c r="J312" s="1">
        <v>107.0</v>
      </c>
    </row>
    <row r="313">
      <c r="A313" s="1">
        <v>2021.0</v>
      </c>
      <c r="B313" s="1">
        <v>6.0</v>
      </c>
      <c r="C313" s="1" t="s">
        <v>116</v>
      </c>
      <c r="D313" s="1" t="s">
        <v>147</v>
      </c>
      <c r="E313" s="1" t="s">
        <v>17</v>
      </c>
      <c r="F313" s="1" t="s">
        <v>2030</v>
      </c>
      <c r="G313" s="1" t="s">
        <v>2462</v>
      </c>
      <c r="H313" s="1">
        <f t="shared" si="1"/>
        <v>7.454791</v>
      </c>
      <c r="I313" s="1" t="s">
        <v>207</v>
      </c>
      <c r="J313" s="1">
        <v>5.0</v>
      </c>
    </row>
    <row r="314">
      <c r="A314" s="1">
        <v>2021.0</v>
      </c>
      <c r="B314" s="1">
        <v>6.0</v>
      </c>
      <c r="C314" s="1" t="s">
        <v>116</v>
      </c>
      <c r="D314" s="1" t="s">
        <v>147</v>
      </c>
      <c r="E314" s="1" t="s">
        <v>21</v>
      </c>
      <c r="F314" s="1" t="s">
        <v>2463</v>
      </c>
      <c r="G314" s="1" t="s">
        <v>2464</v>
      </c>
      <c r="H314" s="1">
        <f t="shared" si="1"/>
        <v>25.818787</v>
      </c>
      <c r="I314" s="1" t="s">
        <v>2465</v>
      </c>
      <c r="J314" s="1">
        <v>44.0</v>
      </c>
    </row>
    <row r="315">
      <c r="A315" s="1">
        <v>2021.0</v>
      </c>
      <c r="B315" s="1">
        <v>6.0</v>
      </c>
      <c r="C315" s="1" t="s">
        <v>116</v>
      </c>
      <c r="D315" s="1" t="s">
        <v>32</v>
      </c>
      <c r="E315" s="1" t="s">
        <v>14</v>
      </c>
      <c r="F315" s="3">
        <v>250559.0</v>
      </c>
      <c r="G315" s="1" t="s">
        <v>2466</v>
      </c>
      <c r="H315" s="1">
        <f t="shared" si="1"/>
        <v>54.751506</v>
      </c>
      <c r="I315" s="1" t="s">
        <v>2467</v>
      </c>
      <c r="J315" s="1">
        <v>356.0</v>
      </c>
    </row>
    <row r="316">
      <c r="A316" s="1">
        <v>2021.0</v>
      </c>
      <c r="B316" s="1">
        <v>6.0</v>
      </c>
      <c r="C316" s="1" t="s">
        <v>116</v>
      </c>
      <c r="D316" s="1" t="s">
        <v>32</v>
      </c>
      <c r="E316" s="1" t="s">
        <v>21</v>
      </c>
      <c r="F316" s="3">
        <v>2324436.0</v>
      </c>
      <c r="G316" s="1" t="s">
        <v>2468</v>
      </c>
      <c r="H316" s="1">
        <f t="shared" si="1"/>
        <v>304.731678</v>
      </c>
      <c r="I316" s="3">
        <v>299135.0</v>
      </c>
      <c r="J316" s="1">
        <v>1133.0</v>
      </c>
    </row>
    <row r="317">
      <c r="A317" s="1">
        <v>2021.0</v>
      </c>
      <c r="B317" s="1">
        <v>6.0</v>
      </c>
      <c r="C317" s="1" t="s">
        <v>116</v>
      </c>
      <c r="D317" s="1" t="s">
        <v>1830</v>
      </c>
      <c r="E317" s="1" t="s">
        <v>72</v>
      </c>
      <c r="F317" s="1" t="s">
        <v>2469</v>
      </c>
      <c r="G317" s="1" t="s">
        <v>2470</v>
      </c>
      <c r="H317" s="1">
        <f t="shared" si="1"/>
        <v>345.881953</v>
      </c>
      <c r="I317" s="3">
        <v>986522.0</v>
      </c>
      <c r="J317" s="1">
        <v>4110.0</v>
      </c>
    </row>
    <row r="318">
      <c r="A318" s="1">
        <v>2021.0</v>
      </c>
      <c r="B318" s="1">
        <v>6.0</v>
      </c>
      <c r="C318" s="1" t="s">
        <v>116</v>
      </c>
      <c r="D318" s="1" t="s">
        <v>42</v>
      </c>
      <c r="E318" s="1" t="s">
        <v>17</v>
      </c>
      <c r="F318" s="3">
        <v>1547900.0</v>
      </c>
      <c r="G318" s="1" t="s">
        <v>2471</v>
      </c>
      <c r="H318" s="1">
        <f t="shared" si="1"/>
        <v>318.983902</v>
      </c>
      <c r="I318" s="1" t="s">
        <v>2473</v>
      </c>
      <c r="J318" s="1">
        <v>176.0</v>
      </c>
    </row>
    <row r="319">
      <c r="A319" s="1">
        <v>2021.0</v>
      </c>
      <c r="B319" s="1">
        <v>6.0</v>
      </c>
      <c r="C319" s="1" t="s">
        <v>116</v>
      </c>
      <c r="D319" s="1" t="s">
        <v>2083</v>
      </c>
      <c r="E319" s="1" t="s">
        <v>49</v>
      </c>
      <c r="F319" s="1" t="s">
        <v>2474</v>
      </c>
      <c r="G319" s="1" t="s">
        <v>2475</v>
      </c>
      <c r="H319" s="1">
        <f t="shared" si="1"/>
        <v>183.33369</v>
      </c>
      <c r="I319" s="1" t="s">
        <v>2476</v>
      </c>
      <c r="J319" s="1">
        <v>0.0</v>
      </c>
    </row>
    <row r="320">
      <c r="A320" s="1">
        <v>2021.0</v>
      </c>
      <c r="B320" s="1">
        <v>6.0</v>
      </c>
      <c r="C320" s="1" t="s">
        <v>116</v>
      </c>
      <c r="D320" s="1" t="s">
        <v>2083</v>
      </c>
      <c r="E320" s="1" t="s">
        <v>21</v>
      </c>
      <c r="F320" s="1" t="s">
        <v>2478</v>
      </c>
      <c r="G320" s="1" t="s">
        <v>2479</v>
      </c>
      <c r="H320" s="1">
        <f t="shared" si="1"/>
        <v>87.983642</v>
      </c>
      <c r="I320" s="1" t="s">
        <v>2480</v>
      </c>
      <c r="J320" s="1">
        <v>0.0</v>
      </c>
    </row>
    <row r="321">
      <c r="A321" s="1">
        <v>2021.0</v>
      </c>
      <c r="B321" s="1">
        <v>7.0</v>
      </c>
      <c r="C321" s="1" t="s">
        <v>12</v>
      </c>
      <c r="D321" s="1" t="s">
        <v>13</v>
      </c>
      <c r="E321" s="1" t="s">
        <v>14</v>
      </c>
      <c r="F321" s="1" t="s">
        <v>2481</v>
      </c>
      <c r="G321" s="1" t="s">
        <v>2482</v>
      </c>
      <c r="H321" s="1">
        <f t="shared" si="1"/>
        <v>898.672386</v>
      </c>
      <c r="I321" s="3" t="s">
        <v>2483</v>
      </c>
      <c r="J321" s="1">
        <v>553.0</v>
      </c>
    </row>
    <row r="322">
      <c r="A322" s="1">
        <v>2021.0</v>
      </c>
      <c r="B322" s="1">
        <v>7.0</v>
      </c>
      <c r="C322" s="1" t="s">
        <v>12</v>
      </c>
      <c r="D322" s="1" t="s">
        <v>13</v>
      </c>
      <c r="E322" s="1" t="s">
        <v>17</v>
      </c>
      <c r="F322" s="1" t="s">
        <v>2484</v>
      </c>
      <c r="G322" s="1" t="s">
        <v>2485</v>
      </c>
      <c r="H322" s="1">
        <f t="shared" si="1"/>
        <v>4814.733113</v>
      </c>
      <c r="I322" s="1" t="s">
        <v>2486</v>
      </c>
      <c r="J322" s="1">
        <v>782.0</v>
      </c>
    </row>
    <row r="323">
      <c r="A323" s="1">
        <v>2021.0</v>
      </c>
      <c r="B323" s="1">
        <v>7.0</v>
      </c>
      <c r="C323" s="1" t="s">
        <v>12</v>
      </c>
      <c r="D323" s="1" t="s">
        <v>13</v>
      </c>
      <c r="E323" s="1" t="s">
        <v>21</v>
      </c>
      <c r="F323" s="1" t="s">
        <v>2492</v>
      </c>
      <c r="G323" s="1" t="s">
        <v>2493</v>
      </c>
      <c r="H323" s="1">
        <f t="shared" si="1"/>
        <v>3543.020208</v>
      </c>
      <c r="I323" s="1" t="s">
        <v>2494</v>
      </c>
      <c r="J323" s="1">
        <v>676.0</v>
      </c>
    </row>
    <row r="324">
      <c r="A324" s="1">
        <v>2021.0</v>
      </c>
      <c r="B324" s="1">
        <v>7.0</v>
      </c>
      <c r="C324" s="1" t="s">
        <v>12</v>
      </c>
      <c r="D324" s="1" t="s">
        <v>29</v>
      </c>
      <c r="E324" s="1" t="s">
        <v>14</v>
      </c>
      <c r="F324" s="1" t="s">
        <v>2495</v>
      </c>
      <c r="G324" s="1" t="s">
        <v>2496</v>
      </c>
      <c r="H324" s="1">
        <f t="shared" si="1"/>
        <v>10.547372</v>
      </c>
      <c r="I324" s="1" t="s">
        <v>1551</v>
      </c>
      <c r="J324" s="1">
        <v>11.0</v>
      </c>
    </row>
    <row r="325">
      <c r="A325" s="1">
        <v>2021.0</v>
      </c>
      <c r="B325" s="1">
        <v>7.0</v>
      </c>
      <c r="C325" s="1" t="s">
        <v>12</v>
      </c>
      <c r="D325" s="1" t="s">
        <v>29</v>
      </c>
      <c r="E325" s="1" t="s">
        <v>21</v>
      </c>
      <c r="F325" s="1" t="s">
        <v>2498</v>
      </c>
      <c r="G325" s="1" t="s">
        <v>2499</v>
      </c>
      <c r="H325" s="1">
        <f t="shared" si="1"/>
        <v>5644.685427</v>
      </c>
      <c r="I325" s="3">
        <v>984300.0</v>
      </c>
      <c r="J325" s="1">
        <v>754.0</v>
      </c>
    </row>
    <row r="326">
      <c r="A326" s="1">
        <v>2021.0</v>
      </c>
      <c r="B326" s="1">
        <v>7.0</v>
      </c>
      <c r="C326" s="1" t="s">
        <v>12</v>
      </c>
      <c r="D326" s="1" t="s">
        <v>38</v>
      </c>
      <c r="E326" s="1" t="s">
        <v>39</v>
      </c>
      <c r="F326" s="3">
        <v>1073116.0</v>
      </c>
      <c r="G326" s="1" t="s">
        <v>2500</v>
      </c>
      <c r="H326" s="1">
        <f t="shared" si="1"/>
        <v>276.893473</v>
      </c>
      <c r="I326" s="1" t="s">
        <v>2501</v>
      </c>
      <c r="J326" s="1">
        <v>101.0</v>
      </c>
    </row>
    <row r="327">
      <c r="A327" s="1">
        <v>2021.0</v>
      </c>
      <c r="B327" s="1">
        <v>7.0</v>
      </c>
      <c r="C327" s="1" t="s">
        <v>12</v>
      </c>
      <c r="D327" s="1" t="s">
        <v>45</v>
      </c>
      <c r="E327" s="1" t="s">
        <v>17</v>
      </c>
      <c r="F327" s="3">
        <v>2449714.0</v>
      </c>
      <c r="G327" s="1" t="s">
        <v>2503</v>
      </c>
      <c r="H327" s="1">
        <f t="shared" si="1"/>
        <v>238.596017</v>
      </c>
      <c r="I327" s="3" t="s">
        <v>2504</v>
      </c>
      <c r="J327" s="1">
        <v>234.0</v>
      </c>
    </row>
    <row r="328">
      <c r="A328" s="1">
        <v>2021.0</v>
      </c>
      <c r="B328" s="1">
        <v>7.0</v>
      </c>
      <c r="C328" s="1" t="s">
        <v>12</v>
      </c>
      <c r="D328" s="1" t="s">
        <v>48</v>
      </c>
      <c r="E328" s="1" t="s">
        <v>49</v>
      </c>
      <c r="F328" s="1" t="s">
        <v>2505</v>
      </c>
      <c r="G328" s="1" t="s">
        <v>2506</v>
      </c>
      <c r="H328" s="1">
        <f t="shared" si="1"/>
        <v>17.309398</v>
      </c>
      <c r="I328" s="1" t="s">
        <v>2507</v>
      </c>
      <c r="J328" s="1">
        <v>19.0</v>
      </c>
    </row>
    <row r="329">
      <c r="A329" s="1">
        <v>2021.0</v>
      </c>
      <c r="B329" s="1">
        <v>7.0</v>
      </c>
      <c r="C329" s="1" t="s">
        <v>12</v>
      </c>
      <c r="D329" s="1" t="s">
        <v>48</v>
      </c>
      <c r="E329" s="1" t="s">
        <v>21</v>
      </c>
      <c r="F329" s="3" t="s">
        <v>2508</v>
      </c>
      <c r="G329" s="1" t="s">
        <v>2510</v>
      </c>
      <c r="H329" s="1">
        <f t="shared" si="1"/>
        <v>137.117698</v>
      </c>
      <c r="I329" s="1" t="s">
        <v>2511</v>
      </c>
      <c r="J329" s="1">
        <v>171.0</v>
      </c>
    </row>
    <row r="330">
      <c r="A330" s="1">
        <v>2021.0</v>
      </c>
      <c r="B330" s="1">
        <v>7.0</v>
      </c>
      <c r="C330" s="1" t="s">
        <v>12</v>
      </c>
      <c r="D330" s="1" t="s">
        <v>1830</v>
      </c>
      <c r="E330" s="1" t="s">
        <v>72</v>
      </c>
      <c r="F330" s="3">
        <v>2128635.0</v>
      </c>
      <c r="G330" s="1" t="s">
        <v>2512</v>
      </c>
      <c r="H330" s="1">
        <f t="shared" si="1"/>
        <v>141.873434</v>
      </c>
      <c r="I330" s="1" t="s">
        <v>2513</v>
      </c>
      <c r="J330" s="1">
        <v>369.0</v>
      </c>
    </row>
    <row r="331">
      <c r="A331" s="1">
        <v>2021.0</v>
      </c>
      <c r="B331" s="1">
        <v>7.0</v>
      </c>
      <c r="C331" s="1" t="s">
        <v>12</v>
      </c>
      <c r="D331" s="1" t="s">
        <v>42</v>
      </c>
      <c r="E331" s="1" t="s">
        <v>17</v>
      </c>
      <c r="F331" s="1" t="s">
        <v>2514</v>
      </c>
      <c r="G331" s="1" t="s">
        <v>2515</v>
      </c>
      <c r="H331" s="1">
        <f t="shared" si="1"/>
        <v>94.276287</v>
      </c>
      <c r="I331" s="1" t="s">
        <v>2516</v>
      </c>
      <c r="J331" s="1">
        <v>0.0</v>
      </c>
    </row>
    <row r="332">
      <c r="A332" s="1">
        <v>2021.0</v>
      </c>
      <c r="B332" s="1">
        <v>7.0</v>
      </c>
      <c r="C332" s="1" t="s">
        <v>12</v>
      </c>
      <c r="D332" s="1" t="s">
        <v>32</v>
      </c>
      <c r="E332" s="1" t="s">
        <v>14</v>
      </c>
      <c r="F332" s="1" t="s">
        <v>2517</v>
      </c>
      <c r="G332" s="1" t="s">
        <v>2518</v>
      </c>
      <c r="H332" s="1">
        <f t="shared" si="1"/>
        <v>36.606651</v>
      </c>
      <c r="I332" s="1" t="s">
        <v>2519</v>
      </c>
      <c r="J332" s="1">
        <v>83.0</v>
      </c>
    </row>
    <row r="333">
      <c r="A333" s="1">
        <v>2021.0</v>
      </c>
      <c r="B333" s="1">
        <v>7.0</v>
      </c>
      <c r="C333" s="1" t="s">
        <v>12</v>
      </c>
      <c r="D333" s="1" t="s">
        <v>32</v>
      </c>
      <c r="E333" s="1" t="s">
        <v>21</v>
      </c>
      <c r="F333" s="1" t="s">
        <v>254</v>
      </c>
      <c r="G333" s="1" t="s">
        <v>2520</v>
      </c>
      <c r="H333" s="1">
        <f t="shared" si="1"/>
        <v>51.047383</v>
      </c>
      <c r="I333" s="1" t="s">
        <v>565</v>
      </c>
      <c r="J333" s="1">
        <v>66.0</v>
      </c>
    </row>
    <row r="334">
      <c r="A334" s="1">
        <v>2021.0</v>
      </c>
      <c r="B334" s="1">
        <v>7.0</v>
      </c>
      <c r="C334" s="1" t="s">
        <v>12</v>
      </c>
      <c r="D334" s="1" t="s">
        <v>1851</v>
      </c>
      <c r="E334" s="1" t="s">
        <v>17</v>
      </c>
      <c r="F334" s="1" t="s">
        <v>1744</v>
      </c>
      <c r="G334" s="1" t="s">
        <v>2522</v>
      </c>
      <c r="H334" s="1">
        <f t="shared" si="1"/>
        <v>18.507283</v>
      </c>
      <c r="I334" s="1" t="s">
        <v>2523</v>
      </c>
      <c r="J334" s="1">
        <v>37.0</v>
      </c>
    </row>
    <row r="335">
      <c r="A335" s="1">
        <v>2021.0</v>
      </c>
      <c r="B335" s="1">
        <v>7.0</v>
      </c>
      <c r="C335" s="1" t="s">
        <v>12</v>
      </c>
      <c r="D335" s="1" t="s">
        <v>1851</v>
      </c>
      <c r="E335" s="1" t="s">
        <v>21</v>
      </c>
      <c r="F335" s="3" t="s">
        <v>2524</v>
      </c>
      <c r="G335" s="1" t="s">
        <v>2525</v>
      </c>
      <c r="H335" s="1">
        <f t="shared" si="1"/>
        <v>66.562141</v>
      </c>
      <c r="I335" s="1" t="s">
        <v>2526</v>
      </c>
      <c r="J335" s="1">
        <v>109.0</v>
      </c>
    </row>
    <row r="336">
      <c r="A336" s="1">
        <v>2021.0</v>
      </c>
      <c r="B336" s="1">
        <v>7.0</v>
      </c>
      <c r="C336" s="1" t="s">
        <v>12</v>
      </c>
      <c r="D336" s="1" t="s">
        <v>544</v>
      </c>
      <c r="E336" s="1" t="s">
        <v>17</v>
      </c>
      <c r="F336" s="3" t="s">
        <v>2527</v>
      </c>
      <c r="G336" s="1" t="s">
        <v>2528</v>
      </c>
      <c r="H336" s="1">
        <f t="shared" si="1"/>
        <v>60.192714</v>
      </c>
      <c r="I336" s="1" t="s">
        <v>2529</v>
      </c>
      <c r="J336" s="1">
        <v>103.0</v>
      </c>
    </row>
    <row r="337">
      <c r="A337" s="1">
        <v>2021.0</v>
      </c>
      <c r="B337" s="1">
        <v>7.0</v>
      </c>
      <c r="C337" s="1" t="s">
        <v>68</v>
      </c>
      <c r="D337" s="1" t="s">
        <v>13</v>
      </c>
      <c r="E337" s="1" t="s">
        <v>14</v>
      </c>
      <c r="F337" s="1" t="s">
        <v>2530</v>
      </c>
      <c r="G337" s="1" t="s">
        <v>2531</v>
      </c>
      <c r="H337" s="1">
        <f t="shared" si="1"/>
        <v>3221.262657</v>
      </c>
      <c r="I337" s="3">
        <v>605878.0</v>
      </c>
      <c r="J337" s="1">
        <v>7112.0</v>
      </c>
    </row>
    <row r="338">
      <c r="A338" s="1">
        <v>2021.0</v>
      </c>
      <c r="B338" s="1">
        <v>7.0</v>
      </c>
      <c r="C338" s="1" t="s">
        <v>68</v>
      </c>
      <c r="D338" s="1" t="s">
        <v>13</v>
      </c>
      <c r="E338" s="1" t="s">
        <v>17</v>
      </c>
      <c r="F338" s="1" t="s">
        <v>2533</v>
      </c>
      <c r="G338" s="1" t="s">
        <v>2534</v>
      </c>
      <c r="H338" s="1">
        <f t="shared" si="1"/>
        <v>4884.351699</v>
      </c>
      <c r="I338" s="1" t="s">
        <v>2535</v>
      </c>
      <c r="J338" s="1">
        <v>9029.0</v>
      </c>
    </row>
    <row r="339">
      <c r="A339" s="1">
        <v>2021.0</v>
      </c>
      <c r="B339" s="1">
        <v>7.0</v>
      </c>
      <c r="C339" s="1" t="s">
        <v>68</v>
      </c>
      <c r="D339" s="1" t="s">
        <v>13</v>
      </c>
      <c r="E339" s="1" t="s">
        <v>21</v>
      </c>
      <c r="F339" s="3">
        <v>753528.0</v>
      </c>
      <c r="G339" s="1" t="s">
        <v>2536</v>
      </c>
      <c r="H339" s="1">
        <f t="shared" si="1"/>
        <v>361.062196</v>
      </c>
      <c r="I339" s="3">
        <v>29952.0</v>
      </c>
      <c r="J339" s="1">
        <v>506.0</v>
      </c>
    </row>
    <row r="340">
      <c r="A340" s="1">
        <v>2021.0</v>
      </c>
      <c r="B340" s="1">
        <v>7.0</v>
      </c>
      <c r="C340" s="1" t="s">
        <v>68</v>
      </c>
      <c r="D340" s="1" t="s">
        <v>13</v>
      </c>
      <c r="E340" s="1" t="s">
        <v>25</v>
      </c>
      <c r="F340" s="1" t="s">
        <v>2538</v>
      </c>
      <c r="G340" s="1" t="s">
        <v>2539</v>
      </c>
      <c r="H340" s="1">
        <f t="shared" si="1"/>
        <v>65.041677</v>
      </c>
      <c r="I340" s="1" t="s">
        <v>111</v>
      </c>
      <c r="J340" s="1">
        <v>245.0</v>
      </c>
    </row>
    <row r="341">
      <c r="A341" s="1">
        <v>2021.0</v>
      </c>
      <c r="B341" s="1">
        <v>7.0</v>
      </c>
      <c r="C341" s="1" t="s">
        <v>68</v>
      </c>
      <c r="D341" s="1" t="s">
        <v>29</v>
      </c>
      <c r="E341" s="1" t="s">
        <v>14</v>
      </c>
      <c r="F341" s="1" t="s">
        <v>1523</v>
      </c>
      <c r="G341" s="1" t="s">
        <v>2541</v>
      </c>
      <c r="H341" s="1">
        <f t="shared" si="1"/>
        <v>1.649032</v>
      </c>
      <c r="I341" s="1" t="s">
        <v>426</v>
      </c>
      <c r="J341" s="1">
        <v>7.0</v>
      </c>
    </row>
    <row r="342">
      <c r="A342" s="1">
        <v>2021.0</v>
      </c>
      <c r="B342" s="1">
        <v>7.0</v>
      </c>
      <c r="C342" s="1" t="s">
        <v>68</v>
      </c>
      <c r="D342" s="1" t="s">
        <v>29</v>
      </c>
      <c r="E342" s="1" t="s">
        <v>21</v>
      </c>
      <c r="F342" s="3">
        <v>293442.0</v>
      </c>
      <c r="G342" s="1" t="s">
        <v>2543</v>
      </c>
      <c r="H342" s="1">
        <f t="shared" si="1"/>
        <v>1229.614719</v>
      </c>
      <c r="I342" s="1" t="s">
        <v>2545</v>
      </c>
      <c r="J342" s="1">
        <v>914.0</v>
      </c>
    </row>
    <row r="343">
      <c r="A343" s="1">
        <v>2021.0</v>
      </c>
      <c r="B343" s="1">
        <v>7.0</v>
      </c>
      <c r="C343" s="1" t="s">
        <v>68</v>
      </c>
      <c r="D343" s="1" t="s">
        <v>1851</v>
      </c>
      <c r="E343" s="1" t="s">
        <v>17</v>
      </c>
      <c r="F343" s="3">
        <v>17958.0</v>
      </c>
      <c r="G343" s="1" t="s">
        <v>2547</v>
      </c>
      <c r="H343" s="1">
        <f t="shared" si="1"/>
        <v>253.928765</v>
      </c>
      <c r="I343" s="1" t="s">
        <v>2548</v>
      </c>
      <c r="J343" s="1">
        <v>1785.0</v>
      </c>
    </row>
    <row r="344">
      <c r="A344" s="1">
        <v>2021.0</v>
      </c>
      <c r="B344" s="1">
        <v>7.0</v>
      </c>
      <c r="C344" s="1" t="s">
        <v>68</v>
      </c>
      <c r="D344" s="1" t="s">
        <v>1851</v>
      </c>
      <c r="E344" s="1" t="s">
        <v>21</v>
      </c>
      <c r="F344" s="3">
        <v>638385.0</v>
      </c>
      <c r="G344" s="1" t="s">
        <v>2550</v>
      </c>
      <c r="H344" s="1">
        <f t="shared" si="1"/>
        <v>777.136945</v>
      </c>
      <c r="I344" s="3">
        <v>1382931.0</v>
      </c>
      <c r="J344" s="1">
        <v>3381.0</v>
      </c>
    </row>
    <row r="345">
      <c r="A345" s="1">
        <v>2021.0</v>
      </c>
      <c r="B345" s="1">
        <v>7.0</v>
      </c>
      <c r="C345" s="1" t="s">
        <v>68</v>
      </c>
      <c r="D345" s="1" t="s">
        <v>45</v>
      </c>
      <c r="E345" s="1" t="s">
        <v>17</v>
      </c>
      <c r="F345" s="3" t="s">
        <v>2552</v>
      </c>
      <c r="G345" s="1" t="s">
        <v>2553</v>
      </c>
      <c r="H345" s="1">
        <f t="shared" si="1"/>
        <v>627.35439</v>
      </c>
      <c r="I345" s="3">
        <v>2946838.0</v>
      </c>
      <c r="J345" s="1">
        <v>1374.0</v>
      </c>
    </row>
    <row r="346">
      <c r="A346" s="1">
        <v>2021.0</v>
      </c>
      <c r="B346" s="1">
        <v>7.0</v>
      </c>
      <c r="C346" s="1" t="s">
        <v>68</v>
      </c>
      <c r="D346" s="1" t="s">
        <v>544</v>
      </c>
      <c r="E346" s="1" t="s">
        <v>17</v>
      </c>
      <c r="F346" s="1" t="s">
        <v>2554</v>
      </c>
      <c r="G346" s="1">
        <v>539018.0</v>
      </c>
      <c r="H346" s="1">
        <f t="shared" si="1"/>
        <v>539.018</v>
      </c>
      <c r="I346" s="3">
        <v>1633426.0</v>
      </c>
      <c r="J346" s="1">
        <v>3268.0</v>
      </c>
    </row>
    <row r="347">
      <c r="A347" s="1">
        <v>2021.0</v>
      </c>
      <c r="B347" s="1">
        <v>7.0</v>
      </c>
      <c r="C347" s="1" t="s">
        <v>68</v>
      </c>
      <c r="D347" s="1" t="s">
        <v>1830</v>
      </c>
      <c r="E347" s="1" t="s">
        <v>72</v>
      </c>
      <c r="F347" s="1" t="s">
        <v>2556</v>
      </c>
      <c r="G347" s="1" t="s">
        <v>2557</v>
      </c>
      <c r="H347" s="1">
        <f t="shared" si="1"/>
        <v>442.433333</v>
      </c>
      <c r="I347" s="3">
        <v>1834646.0</v>
      </c>
      <c r="J347" s="1">
        <v>4822.0</v>
      </c>
    </row>
    <row r="348">
      <c r="A348" s="1">
        <v>2021.0</v>
      </c>
      <c r="B348" s="1">
        <v>7.0</v>
      </c>
      <c r="C348" s="1" t="s">
        <v>68</v>
      </c>
      <c r="D348" s="1" t="s">
        <v>32</v>
      </c>
      <c r="E348" s="1" t="s">
        <v>14</v>
      </c>
      <c r="F348" s="3">
        <v>490979.0</v>
      </c>
      <c r="G348" s="1" t="s">
        <v>2558</v>
      </c>
      <c r="H348" s="1">
        <f t="shared" si="1"/>
        <v>287.874421</v>
      </c>
      <c r="I348" s="1" t="s">
        <v>2559</v>
      </c>
      <c r="J348" s="1">
        <v>1115.0</v>
      </c>
    </row>
    <row r="349">
      <c r="A349" s="1">
        <v>2021.0</v>
      </c>
      <c r="B349" s="1">
        <v>7.0</v>
      </c>
      <c r="C349" s="1" t="s">
        <v>68</v>
      </c>
      <c r="D349" s="1" t="s">
        <v>32</v>
      </c>
      <c r="E349" s="1" t="s">
        <v>21</v>
      </c>
      <c r="F349" s="1" t="s">
        <v>2560</v>
      </c>
      <c r="G349" s="1" t="s">
        <v>2561</v>
      </c>
      <c r="H349" s="1">
        <f t="shared" si="1"/>
        <v>42.496089</v>
      </c>
      <c r="I349" s="1" t="s">
        <v>2562</v>
      </c>
      <c r="J349" s="1">
        <v>352.0</v>
      </c>
    </row>
    <row r="350">
      <c r="A350" s="1">
        <v>2021.0</v>
      </c>
      <c r="B350" s="1">
        <v>7.0</v>
      </c>
      <c r="C350" s="1" t="s">
        <v>68</v>
      </c>
      <c r="D350" s="1" t="s">
        <v>2088</v>
      </c>
      <c r="E350" s="1" t="s">
        <v>21</v>
      </c>
      <c r="F350" s="3">
        <v>2152377.0</v>
      </c>
      <c r="G350" s="1" t="s">
        <v>2563</v>
      </c>
      <c r="H350" s="1">
        <f t="shared" si="1"/>
        <v>180.530733</v>
      </c>
      <c r="I350" s="1" t="s">
        <v>2564</v>
      </c>
      <c r="J350" s="1">
        <v>549.0</v>
      </c>
    </row>
    <row r="351">
      <c r="A351" s="1">
        <v>2021.0</v>
      </c>
      <c r="B351" s="1">
        <v>7.0</v>
      </c>
      <c r="C351" s="1" t="s">
        <v>68</v>
      </c>
      <c r="D351" s="1" t="s">
        <v>38</v>
      </c>
      <c r="E351" s="1" t="s">
        <v>39</v>
      </c>
      <c r="F351" s="3">
        <v>1394863.0</v>
      </c>
      <c r="G351" s="1" t="s">
        <v>2565</v>
      </c>
      <c r="H351" s="1">
        <f t="shared" si="1"/>
        <v>139.357318</v>
      </c>
      <c r="I351" s="1" t="s">
        <v>2566</v>
      </c>
      <c r="J351" s="1">
        <v>253.0</v>
      </c>
    </row>
    <row r="352">
      <c r="A352" s="1">
        <v>2021.0</v>
      </c>
      <c r="B352" s="1">
        <v>7.0</v>
      </c>
      <c r="C352" s="1" t="s">
        <v>68</v>
      </c>
      <c r="D352" s="1" t="s">
        <v>42</v>
      </c>
      <c r="E352" s="1" t="s">
        <v>17</v>
      </c>
      <c r="F352" s="1" t="s">
        <v>2567</v>
      </c>
      <c r="G352" s="1" t="s">
        <v>2569</v>
      </c>
      <c r="H352" s="1">
        <f t="shared" si="1"/>
        <v>124.258366</v>
      </c>
      <c r="I352" s="1" t="s">
        <v>2409</v>
      </c>
      <c r="J352" s="1">
        <v>210.0</v>
      </c>
    </row>
    <row r="353">
      <c r="A353" s="1">
        <v>2021.0</v>
      </c>
      <c r="B353" s="1">
        <v>7.0</v>
      </c>
      <c r="C353" s="1" t="s">
        <v>116</v>
      </c>
      <c r="D353" s="1" t="s">
        <v>13</v>
      </c>
      <c r="E353" s="1" t="s">
        <v>14</v>
      </c>
      <c r="F353" s="1" t="s">
        <v>2570</v>
      </c>
      <c r="G353" s="1" t="s">
        <v>2572</v>
      </c>
      <c r="H353" s="1">
        <f t="shared" si="1"/>
        <v>7576.229368</v>
      </c>
      <c r="I353" s="1" t="s">
        <v>2573</v>
      </c>
      <c r="J353" s="1">
        <v>12289.0</v>
      </c>
    </row>
    <row r="354">
      <c r="A354" s="1">
        <v>2021.0</v>
      </c>
      <c r="B354" s="1">
        <v>7.0</v>
      </c>
      <c r="C354" s="1" t="s">
        <v>116</v>
      </c>
      <c r="D354" s="1" t="s">
        <v>13</v>
      </c>
      <c r="E354" s="1" t="s">
        <v>17</v>
      </c>
      <c r="F354" s="1" t="s">
        <v>2574</v>
      </c>
      <c r="G354" s="1" t="s">
        <v>2575</v>
      </c>
      <c r="H354" s="1">
        <f t="shared" si="1"/>
        <v>10606.00846</v>
      </c>
      <c r="I354" s="1" t="s">
        <v>2576</v>
      </c>
      <c r="J354" s="1">
        <v>15057.0</v>
      </c>
    </row>
    <row r="355">
      <c r="A355" s="1">
        <v>2021.0</v>
      </c>
      <c r="B355" s="1">
        <v>7.0</v>
      </c>
      <c r="C355" s="1" t="s">
        <v>116</v>
      </c>
      <c r="D355" s="1" t="s">
        <v>13</v>
      </c>
      <c r="E355" s="1" t="s">
        <v>21</v>
      </c>
      <c r="F355" s="3">
        <v>2627343.0</v>
      </c>
      <c r="G355" s="1" t="s">
        <v>2577</v>
      </c>
      <c r="H355" s="1">
        <f t="shared" si="1"/>
        <v>968.999916</v>
      </c>
      <c r="I355" s="3">
        <v>966493.0</v>
      </c>
      <c r="J355" s="1">
        <v>693.0</v>
      </c>
    </row>
    <row r="356">
      <c r="A356" s="1">
        <v>2021.0</v>
      </c>
      <c r="B356" s="1">
        <v>7.0</v>
      </c>
      <c r="C356" s="1" t="s">
        <v>116</v>
      </c>
      <c r="D356" s="1" t="s">
        <v>13</v>
      </c>
      <c r="E356" s="1" t="s">
        <v>25</v>
      </c>
      <c r="F356" s="1" t="s">
        <v>2069</v>
      </c>
      <c r="G356" s="1" t="s">
        <v>2579</v>
      </c>
      <c r="H356" s="1">
        <f t="shared" si="1"/>
        <v>2.466652</v>
      </c>
      <c r="I356" s="1" t="s">
        <v>2580</v>
      </c>
      <c r="J356" s="1">
        <v>4.0</v>
      </c>
    </row>
    <row r="357">
      <c r="A357" s="1">
        <v>2021.0</v>
      </c>
      <c r="B357" s="1">
        <v>7.0</v>
      </c>
      <c r="C357" s="1" t="s">
        <v>116</v>
      </c>
      <c r="D357" s="1" t="s">
        <v>29</v>
      </c>
      <c r="E357" s="1" t="s">
        <v>14</v>
      </c>
      <c r="F357" s="1" t="s">
        <v>2581</v>
      </c>
      <c r="G357" s="1" t="s">
        <v>2582</v>
      </c>
      <c r="H357" s="1">
        <f t="shared" si="1"/>
        <v>116.463955</v>
      </c>
      <c r="I357" s="1" t="s">
        <v>2583</v>
      </c>
      <c r="J357" s="1">
        <v>252.0</v>
      </c>
    </row>
    <row r="358">
      <c r="A358" s="1">
        <v>2021.0</v>
      </c>
      <c r="B358" s="1">
        <v>7.0</v>
      </c>
      <c r="C358" s="1" t="s">
        <v>116</v>
      </c>
      <c r="D358" s="1" t="s">
        <v>29</v>
      </c>
      <c r="E358" s="1" t="s">
        <v>21</v>
      </c>
      <c r="F358" s="1" t="s">
        <v>2585</v>
      </c>
      <c r="G358" s="1" t="s">
        <v>2586</v>
      </c>
      <c r="H358" s="1">
        <f t="shared" si="1"/>
        <v>6837.95726</v>
      </c>
      <c r="I358" s="1" t="s">
        <v>2587</v>
      </c>
      <c r="J358" s="1">
        <v>2278.0</v>
      </c>
    </row>
    <row r="359">
      <c r="A359" s="1">
        <v>2021.0</v>
      </c>
      <c r="B359" s="1">
        <v>7.0</v>
      </c>
      <c r="C359" s="1" t="s">
        <v>116</v>
      </c>
      <c r="D359" s="1" t="s">
        <v>1851</v>
      </c>
      <c r="E359" s="1" t="s">
        <v>17</v>
      </c>
      <c r="F359" s="3" t="s">
        <v>2588</v>
      </c>
      <c r="G359" s="1" t="s">
        <v>2589</v>
      </c>
      <c r="H359" s="1">
        <f t="shared" si="1"/>
        <v>816.48217</v>
      </c>
      <c r="I359" s="3">
        <v>2595839.0</v>
      </c>
      <c r="J359" s="1">
        <v>5403.0</v>
      </c>
    </row>
    <row r="360">
      <c r="A360" s="1">
        <v>2021.0</v>
      </c>
      <c r="B360" s="1">
        <v>7.0</v>
      </c>
      <c r="C360" s="1" t="s">
        <v>116</v>
      </c>
      <c r="D360" s="1" t="s">
        <v>1851</v>
      </c>
      <c r="E360" s="1" t="s">
        <v>21</v>
      </c>
      <c r="F360" s="1" t="s">
        <v>2590</v>
      </c>
      <c r="G360" s="1" t="s">
        <v>2592</v>
      </c>
      <c r="H360" s="1">
        <f t="shared" si="1"/>
        <v>1313.90949</v>
      </c>
      <c r="I360" s="3">
        <v>678501.0</v>
      </c>
      <c r="J360" s="1">
        <v>5075.0</v>
      </c>
    </row>
    <row r="361">
      <c r="A361" s="1">
        <v>2021.0</v>
      </c>
      <c r="B361" s="1">
        <v>7.0</v>
      </c>
      <c r="C361" s="1" t="s">
        <v>116</v>
      </c>
      <c r="D361" s="1" t="s">
        <v>45</v>
      </c>
      <c r="E361" s="1" t="s">
        <v>17</v>
      </c>
      <c r="F361" s="1" t="s">
        <v>2593</v>
      </c>
      <c r="G361" s="1" t="s">
        <v>2594</v>
      </c>
      <c r="H361" s="1">
        <f t="shared" si="1"/>
        <v>1759.860028</v>
      </c>
      <c r="I361" s="3" t="s">
        <v>2595</v>
      </c>
      <c r="J361" s="1">
        <v>1629.0</v>
      </c>
    </row>
    <row r="362">
      <c r="A362" s="1">
        <v>2021.0</v>
      </c>
      <c r="B362" s="1">
        <v>7.0</v>
      </c>
      <c r="C362" s="1" t="s">
        <v>116</v>
      </c>
      <c r="D362" s="1" t="s">
        <v>544</v>
      </c>
      <c r="E362" s="1" t="s">
        <v>17</v>
      </c>
      <c r="F362" s="1" t="s">
        <v>2596</v>
      </c>
      <c r="G362" s="1" t="s">
        <v>2597</v>
      </c>
      <c r="H362" s="1">
        <f t="shared" si="1"/>
        <v>959.116532</v>
      </c>
      <c r="I362" s="3">
        <v>1743456.0</v>
      </c>
      <c r="J362" s="1">
        <v>5302.0</v>
      </c>
    </row>
    <row r="363">
      <c r="A363" s="1">
        <v>2021.0</v>
      </c>
      <c r="B363" s="1">
        <v>7.0</v>
      </c>
      <c r="C363" s="1" t="s">
        <v>116</v>
      </c>
      <c r="D363" s="1" t="s">
        <v>1830</v>
      </c>
      <c r="E363" s="1" t="s">
        <v>72</v>
      </c>
      <c r="F363" s="3">
        <v>1388835.0</v>
      </c>
      <c r="G363" s="1" t="s">
        <v>2598</v>
      </c>
      <c r="H363" s="1">
        <f t="shared" si="1"/>
        <v>412.478904</v>
      </c>
      <c r="I363" s="3">
        <v>849222.0</v>
      </c>
      <c r="J363" s="1">
        <v>4586.0</v>
      </c>
    </row>
    <row r="364">
      <c r="A364" s="1">
        <v>2021.0</v>
      </c>
      <c r="B364" s="1">
        <v>7.0</v>
      </c>
      <c r="C364" s="1" t="s">
        <v>116</v>
      </c>
      <c r="D364" s="1" t="s">
        <v>32</v>
      </c>
      <c r="E364" s="1" t="s">
        <v>14</v>
      </c>
      <c r="F364" s="1" t="s">
        <v>2599</v>
      </c>
      <c r="G364" s="1" t="s">
        <v>2600</v>
      </c>
      <c r="H364" s="1">
        <f t="shared" si="1"/>
        <v>27.907627</v>
      </c>
      <c r="I364" s="1" t="s">
        <v>2601</v>
      </c>
      <c r="J364" s="1">
        <v>131.0</v>
      </c>
    </row>
    <row r="365">
      <c r="A365" s="1">
        <v>2021.0</v>
      </c>
      <c r="B365" s="1">
        <v>7.0</v>
      </c>
      <c r="C365" s="1" t="s">
        <v>116</v>
      </c>
      <c r="D365" s="1" t="s">
        <v>32</v>
      </c>
      <c r="E365" s="1" t="s">
        <v>21</v>
      </c>
      <c r="F365" s="3">
        <v>383232.0</v>
      </c>
      <c r="G365" s="1" t="s">
        <v>2602</v>
      </c>
      <c r="H365" s="1">
        <f t="shared" si="1"/>
        <v>346.083656</v>
      </c>
      <c r="I365" s="3">
        <v>2713023.0</v>
      </c>
      <c r="J365" s="1">
        <v>1404.0</v>
      </c>
    </row>
    <row r="366">
      <c r="A366" s="1">
        <v>2021.0</v>
      </c>
      <c r="B366" s="1">
        <v>7.0</v>
      </c>
      <c r="C366" s="1" t="s">
        <v>116</v>
      </c>
      <c r="D366" s="1" t="s">
        <v>147</v>
      </c>
      <c r="E366" s="1" t="s">
        <v>39</v>
      </c>
      <c r="F366" s="1" t="s">
        <v>2603</v>
      </c>
      <c r="G366" s="1" t="s">
        <v>2604</v>
      </c>
      <c r="H366" s="1">
        <f t="shared" si="1"/>
        <v>287.866199</v>
      </c>
      <c r="I366" s="1" t="s">
        <v>2605</v>
      </c>
      <c r="J366" s="1">
        <v>105.0</v>
      </c>
    </row>
    <row r="367">
      <c r="A367" s="1">
        <v>2021.0</v>
      </c>
      <c r="B367" s="1">
        <v>7.0</v>
      </c>
      <c r="C367" s="1" t="s">
        <v>116</v>
      </c>
      <c r="D367" s="1" t="s">
        <v>147</v>
      </c>
      <c r="E367" s="1" t="s">
        <v>17</v>
      </c>
      <c r="F367" s="1" t="s">
        <v>796</v>
      </c>
      <c r="G367" s="1" t="s">
        <v>2608</v>
      </c>
      <c r="H367" s="1">
        <f t="shared" si="1"/>
        <v>6.943837</v>
      </c>
      <c r="I367" s="1" t="s">
        <v>1809</v>
      </c>
      <c r="J367" s="1">
        <v>5.0</v>
      </c>
    </row>
    <row r="368">
      <c r="A368" s="1">
        <v>2021.0</v>
      </c>
      <c r="B368" s="1">
        <v>7.0</v>
      </c>
      <c r="C368" s="1" t="s">
        <v>116</v>
      </c>
      <c r="D368" s="1" t="s">
        <v>147</v>
      </c>
      <c r="E368" s="1" t="s">
        <v>21</v>
      </c>
      <c r="F368" s="1" t="s">
        <v>1292</v>
      </c>
      <c r="G368" s="1" t="s">
        <v>2609</v>
      </c>
      <c r="H368" s="1">
        <f t="shared" si="1"/>
        <v>25.549584</v>
      </c>
      <c r="I368" s="1" t="s">
        <v>2350</v>
      </c>
      <c r="J368" s="1">
        <v>34.0</v>
      </c>
    </row>
    <row r="369">
      <c r="A369" s="1">
        <v>2021.0</v>
      </c>
      <c r="B369" s="1">
        <v>7.0</v>
      </c>
      <c r="C369" s="1" t="s">
        <v>116</v>
      </c>
      <c r="D369" s="1" t="s">
        <v>42</v>
      </c>
      <c r="E369" s="1" t="s">
        <v>17</v>
      </c>
      <c r="F369" s="3" t="s">
        <v>2611</v>
      </c>
      <c r="G369" s="1" t="s">
        <v>2612</v>
      </c>
      <c r="H369" s="1">
        <f t="shared" si="1"/>
        <v>225.064341</v>
      </c>
      <c r="I369" s="1" t="s">
        <v>2613</v>
      </c>
      <c r="J369" s="1">
        <v>0.0</v>
      </c>
    </row>
    <row r="370">
      <c r="A370" s="1">
        <v>2021.0</v>
      </c>
      <c r="B370" s="1">
        <v>7.0</v>
      </c>
      <c r="C370" s="1" t="s">
        <v>116</v>
      </c>
      <c r="D370" s="1" t="s">
        <v>158</v>
      </c>
      <c r="E370" s="1" t="s">
        <v>17</v>
      </c>
      <c r="F370" s="1" t="s">
        <v>2614</v>
      </c>
      <c r="G370" s="1" t="s">
        <v>2616</v>
      </c>
      <c r="H370" s="1">
        <f t="shared" si="1"/>
        <v>34.415037</v>
      </c>
      <c r="I370" s="1" t="s">
        <v>2617</v>
      </c>
      <c r="J370" s="1">
        <v>0.0</v>
      </c>
    </row>
    <row r="371">
      <c r="A371" s="1">
        <v>2021.0</v>
      </c>
      <c r="B371" s="1">
        <v>7.0</v>
      </c>
      <c r="C371" s="1" t="s">
        <v>116</v>
      </c>
      <c r="D371" s="1" t="s">
        <v>158</v>
      </c>
      <c r="E371" s="1" t="s">
        <v>21</v>
      </c>
      <c r="F371" s="1" t="s">
        <v>2619</v>
      </c>
      <c r="G371" s="1" t="s">
        <v>2620</v>
      </c>
      <c r="H371" s="1">
        <f t="shared" si="1"/>
        <v>161.844556</v>
      </c>
      <c r="I371" s="1" t="s">
        <v>2622</v>
      </c>
      <c r="J371" s="1">
        <v>0.0</v>
      </c>
    </row>
    <row r="372">
      <c r="A372" s="1">
        <v>2021.0</v>
      </c>
      <c r="B372" s="1">
        <v>8.0</v>
      </c>
      <c r="C372" s="1" t="s">
        <v>12</v>
      </c>
      <c r="D372" s="1" t="s">
        <v>13</v>
      </c>
      <c r="E372" s="1" t="s">
        <v>14</v>
      </c>
      <c r="F372" s="3">
        <v>213212.0</v>
      </c>
      <c r="G372" s="1" t="s">
        <v>2623</v>
      </c>
      <c r="H372" s="1">
        <f t="shared" si="1"/>
        <v>694.009957</v>
      </c>
      <c r="I372" s="3" t="s">
        <v>2624</v>
      </c>
      <c r="J372" s="1">
        <v>524.0</v>
      </c>
    </row>
    <row r="373">
      <c r="A373" s="1">
        <v>2021.0</v>
      </c>
      <c r="B373" s="1">
        <v>8.0</v>
      </c>
      <c r="C373" s="1" t="s">
        <v>12</v>
      </c>
      <c r="D373" s="1" t="s">
        <v>13</v>
      </c>
      <c r="E373" s="1" t="s">
        <v>17</v>
      </c>
      <c r="F373" s="1" t="s">
        <v>2625</v>
      </c>
      <c r="G373" s="1" t="s">
        <v>2626</v>
      </c>
      <c r="H373" s="1">
        <f t="shared" si="1"/>
        <v>5266.284194</v>
      </c>
      <c r="I373" s="1" t="s">
        <v>2628</v>
      </c>
      <c r="J373" s="1">
        <v>787.0</v>
      </c>
    </row>
    <row r="374">
      <c r="A374" s="1">
        <v>2021.0</v>
      </c>
      <c r="B374" s="1">
        <v>8.0</v>
      </c>
      <c r="C374" s="1" t="s">
        <v>12</v>
      </c>
      <c r="D374" s="1" t="s">
        <v>13</v>
      </c>
      <c r="E374" s="1" t="s">
        <v>21</v>
      </c>
      <c r="F374" s="1" t="s">
        <v>2629</v>
      </c>
      <c r="G374" s="1" t="s">
        <v>2630</v>
      </c>
      <c r="H374" s="1">
        <f t="shared" si="1"/>
        <v>4297.374918</v>
      </c>
      <c r="I374" s="1" t="s">
        <v>2631</v>
      </c>
      <c r="J374" s="1">
        <v>679.0</v>
      </c>
    </row>
    <row r="375">
      <c r="A375" s="1">
        <v>2021.0</v>
      </c>
      <c r="B375" s="1">
        <v>8.0</v>
      </c>
      <c r="C375" s="1" t="s">
        <v>12</v>
      </c>
      <c r="D375" s="1" t="s">
        <v>29</v>
      </c>
      <c r="E375" s="1" t="s">
        <v>14</v>
      </c>
      <c r="F375" s="1" t="s">
        <v>2632</v>
      </c>
      <c r="G375" s="1" t="s">
        <v>2633</v>
      </c>
      <c r="H375" s="1">
        <f t="shared" si="1"/>
        <v>10.129644</v>
      </c>
      <c r="I375" s="1" t="s">
        <v>784</v>
      </c>
      <c r="J375" s="1">
        <v>11.0</v>
      </c>
    </row>
    <row r="376">
      <c r="A376" s="1">
        <v>2021.0</v>
      </c>
      <c r="B376" s="1">
        <v>8.0</v>
      </c>
      <c r="C376" s="1" t="s">
        <v>12</v>
      </c>
      <c r="D376" s="1" t="s">
        <v>29</v>
      </c>
      <c r="E376" s="1" t="s">
        <v>21</v>
      </c>
      <c r="F376" s="1" t="s">
        <v>2634</v>
      </c>
      <c r="G376" s="1" t="s">
        <v>2635</v>
      </c>
      <c r="H376" s="1">
        <f t="shared" si="1"/>
        <v>4048.5126</v>
      </c>
      <c r="I376" s="3">
        <v>2730737.0</v>
      </c>
      <c r="J376" s="1">
        <v>737.0</v>
      </c>
    </row>
    <row r="377">
      <c r="A377" s="1">
        <v>2021.0</v>
      </c>
      <c r="B377" s="1">
        <v>8.0</v>
      </c>
      <c r="C377" s="1" t="s">
        <v>12</v>
      </c>
      <c r="D377" s="1" t="s">
        <v>38</v>
      </c>
      <c r="E377" s="1" t="s">
        <v>39</v>
      </c>
      <c r="F377" s="3" t="s">
        <v>2636</v>
      </c>
      <c r="G377" s="1" t="s">
        <v>2638</v>
      </c>
      <c r="H377" s="1">
        <f t="shared" si="1"/>
        <v>349.836778</v>
      </c>
      <c r="I377" s="1" t="s">
        <v>2640</v>
      </c>
      <c r="J377" s="1">
        <v>127.0</v>
      </c>
    </row>
    <row r="378">
      <c r="A378" s="1">
        <v>2021.0</v>
      </c>
      <c r="B378" s="1">
        <v>8.0</v>
      </c>
      <c r="C378" s="1" t="s">
        <v>12</v>
      </c>
      <c r="D378" s="1" t="s">
        <v>45</v>
      </c>
      <c r="E378" s="1" t="s">
        <v>17</v>
      </c>
      <c r="F378" s="3">
        <v>1517251.0</v>
      </c>
      <c r="G378" s="1" t="s">
        <v>2641</v>
      </c>
      <c r="H378" s="1">
        <f t="shared" si="1"/>
        <v>220.183552</v>
      </c>
      <c r="I378" s="1" t="s">
        <v>437</v>
      </c>
      <c r="J378" s="1">
        <v>249.0</v>
      </c>
    </row>
    <row r="379">
      <c r="A379" s="1">
        <v>2021.0</v>
      </c>
      <c r="B379" s="1">
        <v>8.0</v>
      </c>
      <c r="C379" s="1" t="s">
        <v>12</v>
      </c>
      <c r="D379" s="1" t="s">
        <v>48</v>
      </c>
      <c r="E379" s="1" t="s">
        <v>49</v>
      </c>
      <c r="F379" s="1" t="s">
        <v>2642</v>
      </c>
      <c r="G379" s="1" t="s">
        <v>2643</v>
      </c>
      <c r="H379" s="1">
        <f t="shared" si="1"/>
        <v>14.072999</v>
      </c>
      <c r="I379" s="1" t="s">
        <v>2645</v>
      </c>
      <c r="J379" s="1">
        <v>19.0</v>
      </c>
    </row>
    <row r="380">
      <c r="A380" s="1">
        <v>2021.0</v>
      </c>
      <c r="B380" s="1">
        <v>8.0</v>
      </c>
      <c r="C380" s="1" t="s">
        <v>12</v>
      </c>
      <c r="D380" s="1" t="s">
        <v>48</v>
      </c>
      <c r="E380" s="1" t="s">
        <v>21</v>
      </c>
      <c r="F380" s="1" t="s">
        <v>2647</v>
      </c>
      <c r="G380" s="1" t="s">
        <v>2648</v>
      </c>
      <c r="H380" s="1">
        <f t="shared" si="1"/>
        <v>127.683803</v>
      </c>
      <c r="I380" s="1" t="s">
        <v>2649</v>
      </c>
      <c r="J380" s="1">
        <v>170.0</v>
      </c>
    </row>
    <row r="381">
      <c r="A381" s="1">
        <v>2021.0</v>
      </c>
      <c r="B381" s="1">
        <v>8.0</v>
      </c>
      <c r="C381" s="1" t="s">
        <v>12</v>
      </c>
      <c r="D381" s="1" t="s">
        <v>1830</v>
      </c>
      <c r="E381" s="1" t="s">
        <v>72</v>
      </c>
      <c r="F381" s="3">
        <v>2813100.0</v>
      </c>
      <c r="G381" s="1" t="s">
        <v>2650</v>
      </c>
      <c r="H381" s="1">
        <f t="shared" si="1"/>
        <v>137.103641</v>
      </c>
      <c r="I381" s="1" t="s">
        <v>2651</v>
      </c>
      <c r="J381" s="1">
        <v>338.0</v>
      </c>
    </row>
    <row r="382">
      <c r="A382" s="1">
        <v>2021.0</v>
      </c>
      <c r="B382" s="1">
        <v>8.0</v>
      </c>
      <c r="C382" s="1" t="s">
        <v>12</v>
      </c>
      <c r="D382" s="1" t="s">
        <v>42</v>
      </c>
      <c r="E382" s="1" t="s">
        <v>17</v>
      </c>
      <c r="F382" s="1" t="s">
        <v>350</v>
      </c>
      <c r="G382" s="1" t="s">
        <v>2653</v>
      </c>
      <c r="H382" s="1">
        <f t="shared" si="1"/>
        <v>48.341632</v>
      </c>
      <c r="I382" s="1" t="s">
        <v>2654</v>
      </c>
      <c r="J382" s="1">
        <v>33.0</v>
      </c>
    </row>
    <row r="383">
      <c r="A383" s="1">
        <v>2021.0</v>
      </c>
      <c r="B383" s="1">
        <v>8.0</v>
      </c>
      <c r="C383" s="1" t="s">
        <v>12</v>
      </c>
      <c r="D383" s="1" t="s">
        <v>32</v>
      </c>
      <c r="E383" s="1" t="s">
        <v>14</v>
      </c>
      <c r="F383" s="1" t="s">
        <v>2655</v>
      </c>
      <c r="G383" s="1" t="s">
        <v>2656</v>
      </c>
      <c r="H383" s="1">
        <f t="shared" si="1"/>
        <v>10.632907</v>
      </c>
      <c r="I383" s="1" t="s">
        <v>323</v>
      </c>
      <c r="J383" s="1">
        <v>47.0</v>
      </c>
    </row>
    <row r="384">
      <c r="A384" s="1">
        <v>2021.0</v>
      </c>
      <c r="B384" s="1">
        <v>8.0</v>
      </c>
      <c r="C384" s="1" t="s">
        <v>12</v>
      </c>
      <c r="D384" s="1" t="s">
        <v>32</v>
      </c>
      <c r="E384" s="1" t="s">
        <v>21</v>
      </c>
      <c r="F384" s="1" t="s">
        <v>2658</v>
      </c>
      <c r="G384" s="1" t="s">
        <v>2659</v>
      </c>
      <c r="H384" s="1">
        <f t="shared" si="1"/>
        <v>29.563621</v>
      </c>
      <c r="I384" s="1" t="s">
        <v>1636</v>
      </c>
      <c r="J384" s="1">
        <v>54.0</v>
      </c>
    </row>
    <row r="385">
      <c r="A385" s="1">
        <v>2021.0</v>
      </c>
      <c r="B385" s="1">
        <v>8.0</v>
      </c>
      <c r="C385" s="1" t="s">
        <v>12</v>
      </c>
      <c r="D385" s="1" t="s">
        <v>64</v>
      </c>
      <c r="E385" s="1" t="s">
        <v>39</v>
      </c>
      <c r="F385" s="1" t="s">
        <v>2715</v>
      </c>
      <c r="G385" s="1" t="s">
        <v>2716</v>
      </c>
      <c r="H385" s="1">
        <f t="shared" si="1"/>
        <v>37.274619</v>
      </c>
      <c r="I385" s="1" t="s">
        <v>2719</v>
      </c>
      <c r="J385" s="1">
        <v>88.0</v>
      </c>
    </row>
    <row r="386">
      <c r="A386" s="1">
        <v>2021.0</v>
      </c>
      <c r="B386" s="1">
        <v>8.0</v>
      </c>
      <c r="C386" s="1" t="s">
        <v>12</v>
      </c>
      <c r="D386" s="1" t="s">
        <v>64</v>
      </c>
      <c r="E386" s="1" t="s">
        <v>21</v>
      </c>
      <c r="F386" s="1" t="s">
        <v>73</v>
      </c>
      <c r="G386" s="1" t="s">
        <v>2721</v>
      </c>
      <c r="H386" s="1">
        <f t="shared" si="1"/>
        <v>0.144415</v>
      </c>
      <c r="I386" s="1" t="s">
        <v>674</v>
      </c>
      <c r="J386" s="1">
        <v>1.0</v>
      </c>
    </row>
    <row r="387">
      <c r="A387" s="1">
        <v>2021.0</v>
      </c>
      <c r="B387" s="1">
        <v>8.0</v>
      </c>
      <c r="C387" s="1" t="s">
        <v>12</v>
      </c>
      <c r="D387" s="1" t="s">
        <v>1851</v>
      </c>
      <c r="E387" s="1" t="s">
        <v>17</v>
      </c>
      <c r="F387" s="1" t="s">
        <v>2722</v>
      </c>
      <c r="G387" s="1" t="s">
        <v>2723</v>
      </c>
      <c r="H387" s="1">
        <f t="shared" si="1"/>
        <v>14.455452</v>
      </c>
      <c r="I387" s="1" t="s">
        <v>2724</v>
      </c>
      <c r="J387" s="1">
        <v>32.0</v>
      </c>
    </row>
    <row r="388">
      <c r="A388" s="1">
        <v>2021.0</v>
      </c>
      <c r="B388" s="1">
        <v>8.0</v>
      </c>
      <c r="C388" s="1" t="s">
        <v>12</v>
      </c>
      <c r="D388" s="1" t="s">
        <v>1851</v>
      </c>
      <c r="E388" s="1" t="s">
        <v>21</v>
      </c>
      <c r="F388" s="1" t="s">
        <v>400</v>
      </c>
      <c r="G388" s="1" t="s">
        <v>2726</v>
      </c>
      <c r="H388" s="1">
        <f t="shared" si="1"/>
        <v>20.78609</v>
      </c>
      <c r="I388" s="1" t="s">
        <v>2727</v>
      </c>
      <c r="J388" s="1">
        <v>48.0</v>
      </c>
    </row>
    <row r="389">
      <c r="A389" s="1">
        <v>2021.0</v>
      </c>
      <c r="B389" s="1">
        <v>8.0</v>
      </c>
      <c r="C389" s="1" t="s">
        <v>68</v>
      </c>
      <c r="D389" s="1" t="s">
        <v>13</v>
      </c>
      <c r="E389" s="1" t="s">
        <v>14</v>
      </c>
      <c r="F389" s="1" t="s">
        <v>2728</v>
      </c>
      <c r="G389" s="1" t="s">
        <v>2729</v>
      </c>
      <c r="H389" s="1">
        <f t="shared" si="1"/>
        <v>2051.053798</v>
      </c>
      <c r="I389" s="1" t="s">
        <v>2731</v>
      </c>
      <c r="J389" s="1">
        <v>6264.0</v>
      </c>
    </row>
    <row r="390">
      <c r="A390" s="1">
        <v>2021.0</v>
      </c>
      <c r="B390" s="1">
        <v>8.0</v>
      </c>
      <c r="C390" s="1" t="s">
        <v>68</v>
      </c>
      <c r="D390" s="1" t="s">
        <v>13</v>
      </c>
      <c r="E390" s="1" t="s">
        <v>17</v>
      </c>
      <c r="F390" s="1" t="s">
        <v>2732</v>
      </c>
      <c r="G390" s="1" t="s">
        <v>2733</v>
      </c>
      <c r="H390" s="1">
        <f t="shared" si="1"/>
        <v>5927.694242</v>
      </c>
      <c r="I390" s="1" t="s">
        <v>2734</v>
      </c>
      <c r="J390" s="1">
        <v>9804.0</v>
      </c>
    </row>
    <row r="391">
      <c r="A391" s="1">
        <v>2021.0</v>
      </c>
      <c r="B391" s="1">
        <v>8.0</v>
      </c>
      <c r="C391" s="1" t="s">
        <v>68</v>
      </c>
      <c r="D391" s="1" t="s">
        <v>13</v>
      </c>
      <c r="E391" s="1" t="s">
        <v>21</v>
      </c>
      <c r="F391" s="3">
        <v>624963.0</v>
      </c>
      <c r="G391" s="1" t="s">
        <v>2735</v>
      </c>
      <c r="H391" s="1">
        <f t="shared" si="1"/>
        <v>354.733746</v>
      </c>
      <c r="I391" s="3" t="s">
        <v>2736</v>
      </c>
      <c r="J391" s="1">
        <v>494.0</v>
      </c>
    </row>
    <row r="392">
      <c r="A392" s="1">
        <v>2021.0</v>
      </c>
      <c r="B392" s="1">
        <v>8.0</v>
      </c>
      <c r="C392" s="1" t="s">
        <v>68</v>
      </c>
      <c r="D392" s="1" t="s">
        <v>13</v>
      </c>
      <c r="E392" s="1" t="s">
        <v>25</v>
      </c>
      <c r="F392" s="1" t="s">
        <v>2538</v>
      </c>
      <c r="G392" s="1" t="s">
        <v>2539</v>
      </c>
      <c r="H392" s="1">
        <f t="shared" si="1"/>
        <v>65.041677</v>
      </c>
      <c r="I392" s="1" t="s">
        <v>111</v>
      </c>
      <c r="J392" s="1">
        <v>245.0</v>
      </c>
    </row>
    <row r="393">
      <c r="A393" s="1">
        <v>2021.0</v>
      </c>
      <c r="B393" s="1">
        <v>8.0</v>
      </c>
      <c r="C393" s="1" t="s">
        <v>68</v>
      </c>
      <c r="D393" s="1" t="s">
        <v>1851</v>
      </c>
      <c r="E393" s="1" t="s">
        <v>17</v>
      </c>
      <c r="F393" s="3">
        <v>490248.0</v>
      </c>
      <c r="G393" s="1" t="s">
        <v>2737</v>
      </c>
      <c r="H393" s="1">
        <f t="shared" si="1"/>
        <v>270.114209</v>
      </c>
      <c r="I393" s="3">
        <v>1734173.0</v>
      </c>
      <c r="J393" s="1">
        <v>1760.0</v>
      </c>
    </row>
    <row r="394">
      <c r="A394" s="1">
        <v>2021.0</v>
      </c>
      <c r="B394" s="1">
        <v>8.0</v>
      </c>
      <c r="C394" s="1" t="s">
        <v>68</v>
      </c>
      <c r="D394" s="1" t="s">
        <v>1851</v>
      </c>
      <c r="E394" s="1" t="s">
        <v>21</v>
      </c>
      <c r="F394" s="3">
        <v>1816962.0</v>
      </c>
      <c r="G394" s="1" t="s">
        <v>2738</v>
      </c>
      <c r="H394" s="1">
        <f t="shared" si="1"/>
        <v>621.280092</v>
      </c>
      <c r="I394" s="3">
        <v>2033763.0</v>
      </c>
      <c r="J394" s="1">
        <v>3253.0</v>
      </c>
    </row>
    <row r="395">
      <c r="A395" s="1">
        <v>2021.0</v>
      </c>
      <c r="B395" s="1">
        <v>8.0</v>
      </c>
      <c r="C395" s="1" t="s">
        <v>68</v>
      </c>
      <c r="D395" s="1" t="s">
        <v>29</v>
      </c>
      <c r="E395" s="1" t="s">
        <v>14</v>
      </c>
      <c r="F395" s="1" t="s">
        <v>507</v>
      </c>
      <c r="G395" s="1" t="s">
        <v>2741</v>
      </c>
      <c r="H395" s="1">
        <f t="shared" si="1"/>
        <v>1.380758</v>
      </c>
      <c r="I395" s="1" t="s">
        <v>103</v>
      </c>
      <c r="J395" s="1">
        <v>6.0</v>
      </c>
    </row>
    <row r="396">
      <c r="A396" s="1">
        <v>2021.0</v>
      </c>
      <c r="B396" s="1">
        <v>8.0</v>
      </c>
      <c r="C396" s="1" t="s">
        <v>68</v>
      </c>
      <c r="D396" s="1" t="s">
        <v>29</v>
      </c>
      <c r="E396" s="1" t="s">
        <v>21</v>
      </c>
      <c r="F396" s="3">
        <v>745552.0</v>
      </c>
      <c r="G396" s="1" t="s">
        <v>2743</v>
      </c>
      <c r="H396" s="1">
        <f t="shared" si="1"/>
        <v>891.778743</v>
      </c>
      <c r="I396" s="3">
        <v>2073484.0</v>
      </c>
      <c r="J396" s="1">
        <v>710.0</v>
      </c>
    </row>
    <row r="397">
      <c r="A397" s="1">
        <v>2021.0</v>
      </c>
      <c r="B397" s="1">
        <v>8.0</v>
      </c>
      <c r="C397" s="1" t="s">
        <v>68</v>
      </c>
      <c r="D397" s="1" t="s">
        <v>45</v>
      </c>
      <c r="E397" s="1" t="s">
        <v>17</v>
      </c>
      <c r="F397" s="3">
        <v>397964.0</v>
      </c>
      <c r="G397" s="1" t="s">
        <v>2745</v>
      </c>
      <c r="H397" s="1">
        <f t="shared" si="1"/>
        <v>520.899138</v>
      </c>
      <c r="I397" s="3">
        <v>2913573.0</v>
      </c>
      <c r="J397" s="1">
        <v>1386.0</v>
      </c>
    </row>
    <row r="398">
      <c r="A398" s="1">
        <v>2021.0</v>
      </c>
      <c r="B398" s="1">
        <v>8.0</v>
      </c>
      <c r="C398" s="1" t="s">
        <v>68</v>
      </c>
      <c r="D398" s="1" t="s">
        <v>544</v>
      </c>
      <c r="E398" s="1" t="s">
        <v>17</v>
      </c>
      <c r="F398" s="3">
        <v>2891808.0</v>
      </c>
      <c r="G398" s="1" t="s">
        <v>2746</v>
      </c>
      <c r="H398" s="1">
        <f t="shared" si="1"/>
        <v>399.155297</v>
      </c>
      <c r="I398" s="3">
        <v>2204636.0</v>
      </c>
      <c r="J398" s="1">
        <v>2704.0</v>
      </c>
    </row>
    <row r="399">
      <c r="A399" s="1">
        <v>2021.0</v>
      </c>
      <c r="B399" s="1">
        <v>8.0</v>
      </c>
      <c r="C399" s="1" t="s">
        <v>68</v>
      </c>
      <c r="D399" s="1" t="s">
        <v>1830</v>
      </c>
      <c r="E399" s="1" t="s">
        <v>72</v>
      </c>
      <c r="F399" s="3">
        <v>1544733.0</v>
      </c>
      <c r="G399" s="1" t="s">
        <v>2748</v>
      </c>
      <c r="H399" s="1">
        <f t="shared" si="1"/>
        <v>317.758765</v>
      </c>
      <c r="I399" s="3">
        <v>2214102.0</v>
      </c>
      <c r="J399" s="1">
        <v>3735.0</v>
      </c>
    </row>
    <row r="400">
      <c r="A400" s="1">
        <v>2021.0</v>
      </c>
      <c r="B400" s="1">
        <v>8.0</v>
      </c>
      <c r="C400" s="1" t="s">
        <v>68</v>
      </c>
      <c r="D400" s="1" t="s">
        <v>32</v>
      </c>
      <c r="E400" s="1" t="s">
        <v>14</v>
      </c>
      <c r="F400" s="3">
        <v>2926721.0</v>
      </c>
      <c r="G400" s="1" t="s">
        <v>2750</v>
      </c>
      <c r="H400" s="1">
        <f t="shared" si="1"/>
        <v>208.893286</v>
      </c>
      <c r="I400" s="1" t="s">
        <v>2751</v>
      </c>
      <c r="J400" s="1">
        <v>1140.0</v>
      </c>
    </row>
    <row r="401">
      <c r="A401" s="1">
        <v>2021.0</v>
      </c>
      <c r="B401" s="1">
        <v>8.0</v>
      </c>
      <c r="C401" s="1" t="s">
        <v>68</v>
      </c>
      <c r="D401" s="1" t="s">
        <v>32</v>
      </c>
      <c r="E401" s="1" t="s">
        <v>21</v>
      </c>
      <c r="F401" s="1" t="s">
        <v>2752</v>
      </c>
      <c r="G401" s="1" t="s">
        <v>2753</v>
      </c>
      <c r="H401" s="1">
        <f t="shared" si="1"/>
        <v>59.614591</v>
      </c>
      <c r="I401" s="1" t="s">
        <v>2755</v>
      </c>
      <c r="J401" s="1">
        <v>397.0</v>
      </c>
    </row>
    <row r="402">
      <c r="A402" s="1">
        <v>2021.0</v>
      </c>
      <c r="B402" s="1">
        <v>8.0</v>
      </c>
      <c r="C402" s="1" t="s">
        <v>68</v>
      </c>
      <c r="D402" s="1" t="s">
        <v>2088</v>
      </c>
      <c r="E402" s="1" t="s">
        <v>21</v>
      </c>
      <c r="F402" s="3">
        <v>767377.0</v>
      </c>
      <c r="G402" s="1" t="s">
        <v>2756</v>
      </c>
      <c r="H402" s="1">
        <f t="shared" si="1"/>
        <v>153.400214</v>
      </c>
      <c r="I402" s="1" t="s">
        <v>2757</v>
      </c>
      <c r="J402" s="1">
        <v>410.0</v>
      </c>
    </row>
    <row r="403">
      <c r="A403" s="1">
        <v>2021.0</v>
      </c>
      <c r="B403" s="1">
        <v>8.0</v>
      </c>
      <c r="C403" s="1" t="s">
        <v>68</v>
      </c>
      <c r="D403" s="1" t="s">
        <v>38</v>
      </c>
      <c r="E403" s="1" t="s">
        <v>39</v>
      </c>
      <c r="F403" s="3">
        <v>1426639.0</v>
      </c>
      <c r="G403" s="1" t="s">
        <v>2759</v>
      </c>
      <c r="H403" s="1">
        <f t="shared" si="1"/>
        <v>140.020312</v>
      </c>
      <c r="I403" s="1" t="s">
        <v>2760</v>
      </c>
      <c r="J403" s="1">
        <v>255.0</v>
      </c>
    </row>
    <row r="404">
      <c r="A404" s="1">
        <v>2021.0</v>
      </c>
      <c r="B404" s="1">
        <v>8.0</v>
      </c>
      <c r="C404" s="1" t="s">
        <v>68</v>
      </c>
      <c r="D404" s="1" t="s">
        <v>48</v>
      </c>
      <c r="E404" s="1" t="s">
        <v>49</v>
      </c>
      <c r="F404" s="1" t="s">
        <v>144</v>
      </c>
      <c r="G404" s="1" t="s">
        <v>2762</v>
      </c>
      <c r="H404" s="1">
        <f t="shared" si="1"/>
        <v>0.692633</v>
      </c>
      <c r="I404" s="1" t="s">
        <v>674</v>
      </c>
      <c r="J404" s="1">
        <v>0.0</v>
      </c>
    </row>
    <row r="405">
      <c r="A405" s="1">
        <v>2021.0</v>
      </c>
      <c r="B405" s="1">
        <v>8.0</v>
      </c>
      <c r="C405" s="1" t="s">
        <v>68</v>
      </c>
      <c r="D405" s="1" t="s">
        <v>48</v>
      </c>
      <c r="E405" s="1" t="s">
        <v>21</v>
      </c>
      <c r="F405" s="1" t="s">
        <v>2763</v>
      </c>
      <c r="G405" s="1" t="s">
        <v>2764</v>
      </c>
      <c r="H405" s="1">
        <f t="shared" si="1"/>
        <v>55.7148</v>
      </c>
      <c r="I405" s="1" t="s">
        <v>2766</v>
      </c>
      <c r="J405" s="1">
        <v>0.0</v>
      </c>
    </row>
    <row r="406">
      <c r="A406" s="1">
        <v>2021.0</v>
      </c>
      <c r="B406" s="1">
        <v>8.0</v>
      </c>
      <c r="C406" s="1" t="s">
        <v>116</v>
      </c>
      <c r="D406" s="1" t="s">
        <v>13</v>
      </c>
      <c r="E406" s="1" t="s">
        <v>14</v>
      </c>
      <c r="F406" s="1" t="s">
        <v>2795</v>
      </c>
      <c r="G406" s="1" t="s">
        <v>2796</v>
      </c>
      <c r="H406" s="1">
        <f t="shared" si="1"/>
        <v>4338.377596</v>
      </c>
      <c r="I406" s="3">
        <v>2800650.0</v>
      </c>
      <c r="J406" s="1">
        <v>10517.0</v>
      </c>
    </row>
    <row r="407">
      <c r="A407" s="1">
        <v>2021.0</v>
      </c>
      <c r="B407" s="1">
        <v>8.0</v>
      </c>
      <c r="C407" s="1" t="s">
        <v>116</v>
      </c>
      <c r="D407" s="1" t="s">
        <v>13</v>
      </c>
      <c r="E407" s="1" t="s">
        <v>17</v>
      </c>
      <c r="F407" s="1" t="s">
        <v>2797</v>
      </c>
      <c r="G407" s="1" t="s">
        <v>2798</v>
      </c>
      <c r="H407" s="1">
        <f t="shared" si="1"/>
        <v>13377.29586</v>
      </c>
      <c r="I407" s="1" t="s">
        <v>2799</v>
      </c>
      <c r="J407" s="1">
        <v>17047.0</v>
      </c>
    </row>
    <row r="408">
      <c r="A408" s="1">
        <v>2021.0</v>
      </c>
      <c r="B408" s="1">
        <v>8.0</v>
      </c>
      <c r="C408" s="1" t="s">
        <v>116</v>
      </c>
      <c r="D408" s="1" t="s">
        <v>13</v>
      </c>
      <c r="E408" s="1" t="s">
        <v>21</v>
      </c>
      <c r="F408" s="3">
        <v>15888.0</v>
      </c>
      <c r="G408" s="1" t="s">
        <v>2800</v>
      </c>
      <c r="H408" s="1">
        <f t="shared" si="1"/>
        <v>1017.649208</v>
      </c>
      <c r="I408" s="3">
        <v>1486963.0</v>
      </c>
      <c r="J408" s="1">
        <v>688.0</v>
      </c>
    </row>
    <row r="409">
      <c r="A409" s="1">
        <v>2021.0</v>
      </c>
      <c r="B409" s="1">
        <v>8.0</v>
      </c>
      <c r="C409" s="1" t="s">
        <v>116</v>
      </c>
      <c r="D409" s="1" t="s">
        <v>13</v>
      </c>
      <c r="E409" s="1" t="s">
        <v>25</v>
      </c>
      <c r="F409" s="1" t="s">
        <v>2801</v>
      </c>
      <c r="G409" s="1" t="s">
        <v>2802</v>
      </c>
      <c r="H409" s="1">
        <f t="shared" si="1"/>
        <v>2.686656</v>
      </c>
      <c r="I409" s="1" t="s">
        <v>2803</v>
      </c>
      <c r="J409" s="1">
        <v>4.0</v>
      </c>
    </row>
    <row r="410">
      <c r="A410" s="1">
        <v>2021.0</v>
      </c>
      <c r="B410" s="1">
        <v>8.0</v>
      </c>
      <c r="C410" s="1" t="s">
        <v>116</v>
      </c>
      <c r="D410" s="1" t="s">
        <v>29</v>
      </c>
      <c r="E410" s="1" t="s">
        <v>14</v>
      </c>
      <c r="F410" s="3" t="s">
        <v>2804</v>
      </c>
      <c r="G410" s="1" t="s">
        <v>2805</v>
      </c>
      <c r="H410" s="1">
        <f t="shared" si="1"/>
        <v>129.450263</v>
      </c>
      <c r="I410" s="1" t="s">
        <v>2806</v>
      </c>
      <c r="J410" s="1">
        <v>226.0</v>
      </c>
    </row>
    <row r="411">
      <c r="A411" s="1">
        <v>2021.0</v>
      </c>
      <c r="B411" s="1">
        <v>8.0</v>
      </c>
      <c r="C411" s="1" t="s">
        <v>116</v>
      </c>
      <c r="D411" s="1" t="s">
        <v>29</v>
      </c>
      <c r="E411" s="1" t="s">
        <v>21</v>
      </c>
      <c r="F411" s="1" t="s">
        <v>2807</v>
      </c>
      <c r="G411" s="1" t="s">
        <v>2808</v>
      </c>
      <c r="H411" s="1">
        <f t="shared" si="1"/>
        <v>6111.299986</v>
      </c>
      <c r="I411" s="3">
        <v>594585.0</v>
      </c>
      <c r="J411" s="1">
        <v>3561.0</v>
      </c>
    </row>
    <row r="412">
      <c r="A412" s="1">
        <v>2021.0</v>
      </c>
      <c r="B412" s="1">
        <v>8.0</v>
      </c>
      <c r="C412" s="1" t="s">
        <v>116</v>
      </c>
      <c r="D412" s="1" t="s">
        <v>1851</v>
      </c>
      <c r="E412" s="1" t="s">
        <v>17</v>
      </c>
      <c r="F412" s="3">
        <v>1847733.0</v>
      </c>
      <c r="G412" s="1" t="s">
        <v>2809</v>
      </c>
      <c r="H412" s="1">
        <f t="shared" si="1"/>
        <v>809.177296</v>
      </c>
      <c r="I412" s="3">
        <v>2549120.0</v>
      </c>
      <c r="J412" s="1">
        <v>5067.0</v>
      </c>
    </row>
    <row r="413">
      <c r="A413" s="1">
        <v>2021.0</v>
      </c>
      <c r="B413" s="1">
        <v>8.0</v>
      </c>
      <c r="C413" s="1" t="s">
        <v>116</v>
      </c>
      <c r="D413" s="1" t="s">
        <v>1851</v>
      </c>
      <c r="E413" s="1" t="s">
        <v>21</v>
      </c>
      <c r="F413" s="1" t="s">
        <v>2810</v>
      </c>
      <c r="G413" s="1" t="s">
        <v>2811</v>
      </c>
      <c r="H413" s="1">
        <f t="shared" si="1"/>
        <v>949.280491</v>
      </c>
      <c r="I413" s="3">
        <v>560830.0</v>
      </c>
      <c r="J413" s="1">
        <v>4648.0</v>
      </c>
    </row>
    <row r="414">
      <c r="A414" s="1">
        <v>2021.0</v>
      </c>
      <c r="B414" s="1">
        <v>8.0</v>
      </c>
      <c r="C414" s="1" t="s">
        <v>116</v>
      </c>
      <c r="D414" s="1" t="s">
        <v>45</v>
      </c>
      <c r="E414" s="1" t="s">
        <v>49</v>
      </c>
      <c r="F414" s="1" t="s">
        <v>2812</v>
      </c>
      <c r="G414" s="1" t="s">
        <v>2813</v>
      </c>
      <c r="H414" s="1">
        <f t="shared" si="1"/>
        <v>0.035739</v>
      </c>
      <c r="I414" s="1" t="s">
        <v>596</v>
      </c>
      <c r="J414" s="1">
        <v>1.0</v>
      </c>
    </row>
    <row r="415">
      <c r="A415" s="1">
        <v>2021.0</v>
      </c>
      <c r="B415" s="1">
        <v>8.0</v>
      </c>
      <c r="C415" s="1" t="s">
        <v>116</v>
      </c>
      <c r="D415" s="1" t="s">
        <v>45</v>
      </c>
      <c r="E415" s="1" t="s">
        <v>17</v>
      </c>
      <c r="F415" s="1" t="s">
        <v>2814</v>
      </c>
      <c r="G415" s="1" t="s">
        <v>2815</v>
      </c>
      <c r="H415" s="1">
        <f t="shared" si="1"/>
        <v>1229.762913</v>
      </c>
      <c r="I415" s="3" t="s">
        <v>2816</v>
      </c>
      <c r="J415" s="1">
        <v>1873.0</v>
      </c>
    </row>
    <row r="416">
      <c r="A416" s="1">
        <v>2021.0</v>
      </c>
      <c r="B416" s="1">
        <v>8.0</v>
      </c>
      <c r="C416" s="1" t="s">
        <v>116</v>
      </c>
      <c r="D416" s="1" t="s">
        <v>544</v>
      </c>
      <c r="E416" s="1" t="s">
        <v>17</v>
      </c>
      <c r="F416" s="3">
        <v>148229.0</v>
      </c>
      <c r="G416" s="1" t="s">
        <v>2817</v>
      </c>
      <c r="H416" s="1">
        <f t="shared" si="1"/>
        <v>549.425267</v>
      </c>
      <c r="I416" s="3">
        <v>2705047.0</v>
      </c>
      <c r="J416" s="1">
        <v>4277.0</v>
      </c>
    </row>
    <row r="417">
      <c r="A417" s="1">
        <v>2021.0</v>
      </c>
      <c r="B417" s="1">
        <v>8.0</v>
      </c>
      <c r="C417" s="1" t="s">
        <v>116</v>
      </c>
      <c r="D417" s="1" t="s">
        <v>1830</v>
      </c>
      <c r="E417" s="1" t="s">
        <v>72</v>
      </c>
      <c r="F417" s="3">
        <v>1907053.0</v>
      </c>
      <c r="G417" s="1" t="s">
        <v>2818</v>
      </c>
      <c r="H417" s="1">
        <f t="shared" si="1"/>
        <v>350.572709</v>
      </c>
      <c r="I417" s="3">
        <v>2329884.0</v>
      </c>
      <c r="J417" s="1">
        <v>3911.0</v>
      </c>
    </row>
    <row r="418">
      <c r="A418" s="1">
        <v>2021.0</v>
      </c>
      <c r="B418" s="1">
        <v>8.0</v>
      </c>
      <c r="C418" s="1" t="s">
        <v>116</v>
      </c>
      <c r="D418" s="1" t="s">
        <v>42</v>
      </c>
      <c r="E418" s="1" t="s">
        <v>17</v>
      </c>
      <c r="F418" s="3">
        <v>552248.0</v>
      </c>
      <c r="G418" s="1" t="s">
        <v>2819</v>
      </c>
      <c r="H418" s="1">
        <f t="shared" si="1"/>
        <v>264.766226</v>
      </c>
      <c r="I418" s="1" t="s">
        <v>2820</v>
      </c>
      <c r="J418" s="1">
        <v>0.0</v>
      </c>
    </row>
    <row r="419">
      <c r="A419" s="1">
        <v>2021.0</v>
      </c>
      <c r="B419" s="1">
        <v>8.0</v>
      </c>
      <c r="C419" s="1" t="s">
        <v>116</v>
      </c>
      <c r="D419" s="1" t="s">
        <v>147</v>
      </c>
      <c r="E419" s="1" t="s">
        <v>39</v>
      </c>
      <c r="F419" s="1" t="s">
        <v>2821</v>
      </c>
      <c r="G419" s="1" t="s">
        <v>2822</v>
      </c>
      <c r="H419" s="1">
        <f t="shared" si="1"/>
        <v>215.468992</v>
      </c>
      <c r="I419" s="1" t="s">
        <v>2823</v>
      </c>
      <c r="J419" s="1">
        <v>105.0</v>
      </c>
    </row>
    <row r="420">
      <c r="A420" s="1">
        <v>2021.0</v>
      </c>
      <c r="B420" s="1">
        <v>8.0</v>
      </c>
      <c r="C420" s="1" t="s">
        <v>116</v>
      </c>
      <c r="D420" s="1" t="s">
        <v>147</v>
      </c>
      <c r="E420" s="1" t="s">
        <v>17</v>
      </c>
      <c r="F420" s="1" t="s">
        <v>1523</v>
      </c>
      <c r="G420" s="1" t="s">
        <v>2824</v>
      </c>
      <c r="H420" s="1">
        <f t="shared" si="1"/>
        <v>5.401491</v>
      </c>
      <c r="I420" s="1" t="s">
        <v>878</v>
      </c>
      <c r="J420" s="1">
        <v>4.0</v>
      </c>
    </row>
    <row r="421">
      <c r="A421" s="1">
        <v>2021.0</v>
      </c>
      <c r="B421" s="1">
        <v>8.0</v>
      </c>
      <c r="C421" s="1" t="s">
        <v>116</v>
      </c>
      <c r="D421" s="1" t="s">
        <v>147</v>
      </c>
      <c r="E421" s="1" t="s">
        <v>21</v>
      </c>
      <c r="F421" s="1" t="s">
        <v>2825</v>
      </c>
      <c r="G421" s="1" t="s">
        <v>2826</v>
      </c>
      <c r="H421" s="1">
        <f t="shared" si="1"/>
        <v>33.784533</v>
      </c>
      <c r="I421" s="1" t="s">
        <v>227</v>
      </c>
      <c r="J421" s="1">
        <v>47.0</v>
      </c>
    </row>
    <row r="422">
      <c r="A422" s="1">
        <v>2021.0</v>
      </c>
      <c r="B422" s="1">
        <v>8.0</v>
      </c>
      <c r="C422" s="1" t="s">
        <v>116</v>
      </c>
      <c r="D422" s="1" t="s">
        <v>158</v>
      </c>
      <c r="E422" s="1" t="s">
        <v>39</v>
      </c>
      <c r="F422" s="1" t="s">
        <v>73</v>
      </c>
      <c r="G422" s="1" t="s">
        <v>1188</v>
      </c>
      <c r="H422" s="1">
        <f t="shared" si="1"/>
        <v>0.660408</v>
      </c>
      <c r="I422" s="1" t="s">
        <v>333</v>
      </c>
      <c r="J422" s="1">
        <v>0.0</v>
      </c>
    </row>
    <row r="423">
      <c r="A423" s="1">
        <v>2021.0</v>
      </c>
      <c r="B423" s="1">
        <v>8.0</v>
      </c>
      <c r="C423" s="1" t="s">
        <v>116</v>
      </c>
      <c r="D423" s="1" t="s">
        <v>158</v>
      </c>
      <c r="E423" s="1" t="s">
        <v>17</v>
      </c>
      <c r="F423" s="1" t="s">
        <v>1689</v>
      </c>
      <c r="G423" s="1" t="s">
        <v>2827</v>
      </c>
      <c r="H423" s="1">
        <f t="shared" si="1"/>
        <v>28.180941</v>
      </c>
      <c r="I423" s="1" t="s">
        <v>2202</v>
      </c>
      <c r="J423" s="1">
        <v>0.0</v>
      </c>
    </row>
    <row r="424">
      <c r="A424" s="1">
        <v>2021.0</v>
      </c>
      <c r="B424" s="1">
        <v>8.0</v>
      </c>
      <c r="C424" s="1" t="s">
        <v>116</v>
      </c>
      <c r="D424" s="1" t="s">
        <v>158</v>
      </c>
      <c r="E424" s="1" t="s">
        <v>21</v>
      </c>
      <c r="F424" s="1" t="s">
        <v>2828</v>
      </c>
      <c r="G424" s="1" t="s">
        <v>2829</v>
      </c>
      <c r="H424" s="1">
        <f t="shared" si="1"/>
        <v>177.715245</v>
      </c>
      <c r="I424" s="1" t="s">
        <v>2830</v>
      </c>
      <c r="J424" s="1">
        <v>0.0</v>
      </c>
    </row>
    <row r="425">
      <c r="A425" s="1">
        <v>2021.0</v>
      </c>
      <c r="B425" s="1">
        <v>8.0</v>
      </c>
      <c r="C425" s="1" t="s">
        <v>116</v>
      </c>
      <c r="D425" s="1" t="s">
        <v>32</v>
      </c>
      <c r="E425" s="1" t="s">
        <v>14</v>
      </c>
      <c r="F425" s="1" t="s">
        <v>2831</v>
      </c>
      <c r="G425" s="1" t="s">
        <v>2832</v>
      </c>
      <c r="H425" s="1">
        <f t="shared" si="1"/>
        <v>20.953447</v>
      </c>
      <c r="I425" s="1" t="s">
        <v>2833</v>
      </c>
      <c r="J425" s="1">
        <v>105.0</v>
      </c>
    </row>
    <row r="426">
      <c r="A426" s="1">
        <v>2021.0</v>
      </c>
      <c r="B426" s="1">
        <v>8.0</v>
      </c>
      <c r="C426" s="1" t="s">
        <v>116</v>
      </c>
      <c r="D426" s="1" t="s">
        <v>32</v>
      </c>
      <c r="E426" s="1" t="s">
        <v>21</v>
      </c>
      <c r="F426" s="3">
        <v>128964.0</v>
      </c>
      <c r="G426" s="1" t="s">
        <v>2834</v>
      </c>
      <c r="H426" s="1">
        <f t="shared" si="1"/>
        <v>170.727381</v>
      </c>
      <c r="I426" s="3">
        <v>41640.0</v>
      </c>
      <c r="J426" s="1">
        <v>1025.0</v>
      </c>
    </row>
    <row r="427">
      <c r="A427" s="1">
        <v>2021.0</v>
      </c>
      <c r="B427" s="1">
        <v>9.0</v>
      </c>
      <c r="C427" s="1" t="s">
        <v>12</v>
      </c>
      <c r="D427" s="1" t="s">
        <v>13</v>
      </c>
      <c r="E427" s="1" t="s">
        <v>14</v>
      </c>
      <c r="F427" s="3">
        <v>1565036.0</v>
      </c>
      <c r="G427" s="1" t="s">
        <v>2835</v>
      </c>
      <c r="H427" s="1">
        <f t="shared" si="1"/>
        <v>808.533398</v>
      </c>
      <c r="I427" s="3">
        <v>1679784.0</v>
      </c>
      <c r="J427" s="1">
        <v>503.0</v>
      </c>
    </row>
    <row r="428">
      <c r="A428" s="1">
        <v>2021.0</v>
      </c>
      <c r="B428" s="1">
        <v>9.0</v>
      </c>
      <c r="C428" s="1" t="s">
        <v>12</v>
      </c>
      <c r="D428" s="1" t="s">
        <v>13</v>
      </c>
      <c r="E428" s="1" t="s">
        <v>17</v>
      </c>
      <c r="F428" s="1" t="s">
        <v>2836</v>
      </c>
      <c r="G428" s="1" t="s">
        <v>2837</v>
      </c>
      <c r="H428" s="1">
        <f t="shared" si="1"/>
        <v>4132.658514</v>
      </c>
      <c r="I428" s="1" t="s">
        <v>1109</v>
      </c>
      <c r="J428" s="1">
        <v>793.0</v>
      </c>
    </row>
    <row r="429">
      <c r="A429" s="1">
        <v>2021.0</v>
      </c>
      <c r="B429" s="1">
        <v>9.0</v>
      </c>
      <c r="C429" s="1" t="s">
        <v>12</v>
      </c>
      <c r="D429" s="1" t="s">
        <v>13</v>
      </c>
      <c r="E429" s="1" t="s">
        <v>21</v>
      </c>
      <c r="F429" s="1" t="s">
        <v>2838</v>
      </c>
      <c r="G429" s="1" t="s">
        <v>2839</v>
      </c>
      <c r="H429" s="1">
        <f t="shared" si="1"/>
        <v>4342.29708</v>
      </c>
      <c r="I429" s="1" t="s">
        <v>2840</v>
      </c>
      <c r="J429" s="1">
        <v>672.0</v>
      </c>
    </row>
    <row r="430">
      <c r="A430" s="1">
        <v>2021.0</v>
      </c>
      <c r="B430" s="1">
        <v>9.0</v>
      </c>
      <c r="C430" s="1" t="s">
        <v>12</v>
      </c>
      <c r="D430" s="1" t="s">
        <v>29</v>
      </c>
      <c r="E430" s="1" t="s">
        <v>14</v>
      </c>
      <c r="F430" s="1" t="s">
        <v>2841</v>
      </c>
      <c r="G430" s="1" t="s">
        <v>2842</v>
      </c>
      <c r="H430" s="1">
        <f t="shared" si="1"/>
        <v>11.195581</v>
      </c>
      <c r="I430" s="1" t="s">
        <v>1558</v>
      </c>
      <c r="J430" s="1">
        <v>11.0</v>
      </c>
    </row>
    <row r="431">
      <c r="A431" s="1">
        <v>2021.0</v>
      </c>
      <c r="B431" s="1">
        <v>9.0</v>
      </c>
      <c r="C431" s="1" t="s">
        <v>12</v>
      </c>
      <c r="D431" s="1" t="s">
        <v>29</v>
      </c>
      <c r="E431" s="1" t="s">
        <v>21</v>
      </c>
      <c r="F431" s="1" t="s">
        <v>2843</v>
      </c>
      <c r="G431" s="1" t="s">
        <v>2844</v>
      </c>
      <c r="H431" s="1">
        <f t="shared" si="1"/>
        <v>4509.229168</v>
      </c>
      <c r="I431" s="1" t="s">
        <v>2845</v>
      </c>
      <c r="J431" s="1">
        <v>702.0</v>
      </c>
    </row>
    <row r="432">
      <c r="A432" s="1">
        <v>2021.0</v>
      </c>
      <c r="B432" s="1">
        <v>9.0</v>
      </c>
      <c r="C432" s="1" t="s">
        <v>12</v>
      </c>
      <c r="D432" s="1" t="s">
        <v>38</v>
      </c>
      <c r="E432" s="1" t="s">
        <v>39</v>
      </c>
      <c r="F432" s="3">
        <v>282759.0</v>
      </c>
      <c r="G432" s="1" t="s">
        <v>2846</v>
      </c>
      <c r="H432" s="1">
        <f t="shared" si="1"/>
        <v>356.615048</v>
      </c>
      <c r="I432" s="1" t="s">
        <v>2847</v>
      </c>
      <c r="J432" s="1">
        <v>201.0</v>
      </c>
    </row>
    <row r="433">
      <c r="A433" s="1">
        <v>2021.0</v>
      </c>
      <c r="B433" s="1">
        <v>9.0</v>
      </c>
      <c r="C433" s="1" t="s">
        <v>12</v>
      </c>
      <c r="D433" s="1" t="s">
        <v>45</v>
      </c>
      <c r="E433" s="1" t="s">
        <v>17</v>
      </c>
      <c r="F433" s="3">
        <v>1190358.0</v>
      </c>
      <c r="G433" s="1" t="s">
        <v>2848</v>
      </c>
      <c r="H433" s="1">
        <f t="shared" si="1"/>
        <v>210.144614</v>
      </c>
      <c r="I433" s="1" t="s">
        <v>2849</v>
      </c>
      <c r="J433" s="1">
        <v>245.0</v>
      </c>
    </row>
    <row r="434">
      <c r="A434" s="1">
        <v>2021.0</v>
      </c>
      <c r="B434" s="1">
        <v>9.0</v>
      </c>
      <c r="C434" s="1" t="s">
        <v>12</v>
      </c>
      <c r="D434" s="1" t="s">
        <v>48</v>
      </c>
      <c r="E434" s="1" t="s">
        <v>49</v>
      </c>
      <c r="F434" s="1" t="s">
        <v>2850</v>
      </c>
      <c r="G434" s="1" t="s">
        <v>2851</v>
      </c>
      <c r="H434" s="1">
        <f t="shared" si="1"/>
        <v>12.375298</v>
      </c>
      <c r="I434" s="1" t="s">
        <v>2852</v>
      </c>
      <c r="J434" s="1">
        <v>20.0</v>
      </c>
    </row>
    <row r="435">
      <c r="A435" s="1">
        <v>2021.0</v>
      </c>
      <c r="B435" s="1">
        <v>9.0</v>
      </c>
      <c r="C435" s="1" t="s">
        <v>12</v>
      </c>
      <c r="D435" s="1" t="s">
        <v>48</v>
      </c>
      <c r="E435" s="1" t="s">
        <v>21</v>
      </c>
      <c r="F435" s="3" t="s">
        <v>2853</v>
      </c>
      <c r="G435" s="1" t="s">
        <v>2854</v>
      </c>
      <c r="H435" s="1">
        <f t="shared" si="1"/>
        <v>139.409435</v>
      </c>
      <c r="I435" s="1" t="s">
        <v>2855</v>
      </c>
      <c r="J435" s="1">
        <v>172.0</v>
      </c>
    </row>
    <row r="436">
      <c r="A436" s="1">
        <v>2021.0</v>
      </c>
      <c r="B436" s="1">
        <v>9.0</v>
      </c>
      <c r="C436" s="1" t="s">
        <v>12</v>
      </c>
      <c r="D436" s="1" t="s">
        <v>1830</v>
      </c>
      <c r="E436" s="1" t="s">
        <v>72</v>
      </c>
      <c r="F436" s="3" t="s">
        <v>2856</v>
      </c>
      <c r="G436" s="1" t="s">
        <v>2857</v>
      </c>
      <c r="H436" s="1">
        <f t="shared" si="1"/>
        <v>75.752228</v>
      </c>
      <c r="I436" s="1" t="s">
        <v>2858</v>
      </c>
      <c r="J436" s="1">
        <v>283.0</v>
      </c>
    </row>
    <row r="437">
      <c r="A437" s="1">
        <v>2021.0</v>
      </c>
      <c r="B437" s="1">
        <v>9.0</v>
      </c>
      <c r="C437" s="1" t="s">
        <v>12</v>
      </c>
      <c r="D437" s="1" t="s">
        <v>42</v>
      </c>
      <c r="E437" s="1" t="s">
        <v>17</v>
      </c>
      <c r="F437" s="1" t="s">
        <v>2859</v>
      </c>
      <c r="G437" s="1" t="s">
        <v>2860</v>
      </c>
      <c r="H437" s="1">
        <f t="shared" si="1"/>
        <v>45.792495</v>
      </c>
      <c r="I437" s="1" t="s">
        <v>2862</v>
      </c>
      <c r="J437" s="1">
        <v>36.0</v>
      </c>
    </row>
    <row r="438">
      <c r="A438" s="1">
        <v>2021.0</v>
      </c>
      <c r="B438" s="1">
        <v>9.0</v>
      </c>
      <c r="C438" s="1" t="s">
        <v>12</v>
      </c>
      <c r="D438" s="1" t="s">
        <v>2082</v>
      </c>
      <c r="E438" s="1" t="s">
        <v>21</v>
      </c>
      <c r="F438" s="1" t="s">
        <v>2863</v>
      </c>
      <c r="G438" s="1" t="s">
        <v>2864</v>
      </c>
      <c r="H438" s="1">
        <f t="shared" si="1"/>
        <v>41.747626</v>
      </c>
      <c r="I438" s="1" t="s">
        <v>2865</v>
      </c>
      <c r="J438" s="1">
        <v>0.0</v>
      </c>
    </row>
    <row r="439">
      <c r="A439" s="1">
        <v>2021.0</v>
      </c>
      <c r="B439" s="1">
        <v>9.0</v>
      </c>
      <c r="C439" s="1" t="s">
        <v>12</v>
      </c>
      <c r="D439" s="1" t="s">
        <v>729</v>
      </c>
      <c r="E439" s="1" t="s">
        <v>21</v>
      </c>
      <c r="F439" s="1" t="s">
        <v>2866</v>
      </c>
      <c r="G439" s="1" t="s">
        <v>2867</v>
      </c>
      <c r="H439" s="1">
        <f t="shared" si="1"/>
        <v>34.859685</v>
      </c>
      <c r="I439" s="1" t="s">
        <v>2868</v>
      </c>
      <c r="J439" s="1">
        <v>0.0</v>
      </c>
    </row>
    <row r="440">
      <c r="A440" s="1">
        <v>2021.0</v>
      </c>
      <c r="B440" s="1">
        <v>9.0</v>
      </c>
      <c r="C440" s="1" t="s">
        <v>12</v>
      </c>
      <c r="D440" s="1" t="s">
        <v>64</v>
      </c>
      <c r="E440" s="1" t="s">
        <v>39</v>
      </c>
      <c r="F440" s="1" t="s">
        <v>2869</v>
      </c>
      <c r="G440" s="1" t="s">
        <v>2870</v>
      </c>
      <c r="H440" s="1">
        <f t="shared" si="1"/>
        <v>33.539598</v>
      </c>
      <c r="I440" s="1" t="s">
        <v>2872</v>
      </c>
      <c r="J440" s="1">
        <v>81.0</v>
      </c>
    </row>
    <row r="441">
      <c r="A441" s="1">
        <v>2021.0</v>
      </c>
      <c r="B441" s="1">
        <v>9.0</v>
      </c>
      <c r="C441" s="1" t="s">
        <v>12</v>
      </c>
      <c r="D441" s="1" t="s">
        <v>64</v>
      </c>
      <c r="E441" s="1" t="s">
        <v>21</v>
      </c>
      <c r="F441" s="1" t="s">
        <v>396</v>
      </c>
      <c r="G441" s="1" t="s">
        <v>2873</v>
      </c>
      <c r="H441" s="1">
        <f t="shared" si="1"/>
        <v>0.44929</v>
      </c>
      <c r="I441" s="1" t="s">
        <v>479</v>
      </c>
      <c r="J441" s="1">
        <v>2.0</v>
      </c>
    </row>
    <row r="442">
      <c r="A442" s="1">
        <v>2021.0</v>
      </c>
      <c r="B442" s="1">
        <v>9.0</v>
      </c>
      <c r="C442" s="1" t="s">
        <v>68</v>
      </c>
      <c r="D442" s="1" t="s">
        <v>13</v>
      </c>
      <c r="E442" s="1" t="s">
        <v>14</v>
      </c>
      <c r="F442" s="1" t="s">
        <v>2875</v>
      </c>
      <c r="G442" s="1" t="s">
        <v>2876</v>
      </c>
      <c r="H442" s="1">
        <f t="shared" si="1"/>
        <v>1767.308918</v>
      </c>
      <c r="I442" s="3">
        <v>604233.0</v>
      </c>
      <c r="J442" s="1">
        <v>5795.0</v>
      </c>
    </row>
    <row r="443">
      <c r="A443" s="1">
        <v>2021.0</v>
      </c>
      <c r="B443" s="1">
        <v>9.0</v>
      </c>
      <c r="C443" s="1" t="s">
        <v>68</v>
      </c>
      <c r="D443" s="1" t="s">
        <v>13</v>
      </c>
      <c r="E443" s="1" t="s">
        <v>17</v>
      </c>
      <c r="F443" s="1" t="s">
        <v>2879</v>
      </c>
      <c r="G443" s="1" t="s">
        <v>2880</v>
      </c>
      <c r="H443" s="1">
        <f t="shared" si="1"/>
        <v>6535.292475</v>
      </c>
      <c r="I443" s="1" t="s">
        <v>2881</v>
      </c>
      <c r="J443" s="1">
        <v>9782.0</v>
      </c>
    </row>
    <row r="444">
      <c r="A444" s="1">
        <v>2021.0</v>
      </c>
      <c r="B444" s="1">
        <v>9.0</v>
      </c>
      <c r="C444" s="1" t="s">
        <v>68</v>
      </c>
      <c r="D444" s="1" t="s">
        <v>13</v>
      </c>
      <c r="E444" s="1" t="s">
        <v>21</v>
      </c>
      <c r="F444" s="3">
        <v>2132319.0</v>
      </c>
      <c r="G444" s="1" t="s">
        <v>2882</v>
      </c>
      <c r="H444" s="1">
        <f t="shared" si="1"/>
        <v>417.719272</v>
      </c>
      <c r="I444" s="1" t="s">
        <v>2883</v>
      </c>
      <c r="J444" s="1">
        <v>654.0</v>
      </c>
    </row>
    <row r="445">
      <c r="A445" s="1">
        <v>2021.0</v>
      </c>
      <c r="B445" s="1">
        <v>9.0</v>
      </c>
      <c r="C445" s="1" t="s">
        <v>68</v>
      </c>
      <c r="D445" s="1" t="s">
        <v>13</v>
      </c>
      <c r="E445" s="1" t="s">
        <v>25</v>
      </c>
      <c r="F445" s="1" t="s">
        <v>2884</v>
      </c>
      <c r="G445" s="1" t="s">
        <v>2885</v>
      </c>
      <c r="H445" s="1">
        <f t="shared" si="1"/>
        <v>62.94362</v>
      </c>
      <c r="I445" s="1" t="s">
        <v>2887</v>
      </c>
      <c r="J445" s="1">
        <v>245.0</v>
      </c>
    </row>
    <row r="446">
      <c r="A446" s="1">
        <v>2021.0</v>
      </c>
      <c r="B446" s="1">
        <v>9.0</v>
      </c>
      <c r="C446" s="1" t="s">
        <v>68</v>
      </c>
      <c r="D446" s="1" t="s">
        <v>29</v>
      </c>
      <c r="E446" s="1" t="s">
        <v>14</v>
      </c>
      <c r="F446" s="1" t="s">
        <v>2888</v>
      </c>
      <c r="G446" s="1" t="s">
        <v>2889</v>
      </c>
      <c r="H446" s="1">
        <f t="shared" si="1"/>
        <v>41.966569</v>
      </c>
      <c r="I446" s="1" t="s">
        <v>2890</v>
      </c>
      <c r="J446" s="1">
        <v>33.0</v>
      </c>
    </row>
    <row r="447">
      <c r="A447" s="1">
        <v>2021.0</v>
      </c>
      <c r="B447" s="1">
        <v>9.0</v>
      </c>
      <c r="C447" s="1" t="s">
        <v>68</v>
      </c>
      <c r="D447" s="1" t="s">
        <v>29</v>
      </c>
      <c r="E447" s="1" t="s">
        <v>21</v>
      </c>
      <c r="F447" s="3">
        <v>999426.0</v>
      </c>
      <c r="G447" s="1" t="s">
        <v>2891</v>
      </c>
      <c r="H447" s="1">
        <f t="shared" si="1"/>
        <v>1037.09187</v>
      </c>
      <c r="I447" s="3" t="s">
        <v>2892</v>
      </c>
      <c r="J447" s="1">
        <v>810.0</v>
      </c>
    </row>
    <row r="448">
      <c r="A448" s="1">
        <v>2021.0</v>
      </c>
      <c r="B448" s="1">
        <v>9.0</v>
      </c>
      <c r="C448" s="1" t="s">
        <v>68</v>
      </c>
      <c r="D448" s="1" t="s">
        <v>45</v>
      </c>
      <c r="E448" s="1" t="s">
        <v>49</v>
      </c>
      <c r="F448" s="1" t="s">
        <v>2893</v>
      </c>
      <c r="G448" s="1" t="s">
        <v>2894</v>
      </c>
      <c r="H448" s="1">
        <f t="shared" si="1"/>
        <v>17.012744</v>
      </c>
      <c r="I448" s="1" t="s">
        <v>2895</v>
      </c>
      <c r="J448" s="1">
        <v>124.0</v>
      </c>
    </row>
    <row r="449">
      <c r="A449" s="1">
        <v>2021.0</v>
      </c>
      <c r="B449" s="1">
        <v>9.0</v>
      </c>
      <c r="C449" s="1" t="s">
        <v>68</v>
      </c>
      <c r="D449" s="1" t="s">
        <v>45</v>
      </c>
      <c r="E449" s="1" t="s">
        <v>17</v>
      </c>
      <c r="F449" s="1" t="s">
        <v>2896</v>
      </c>
      <c r="G449" s="1" t="s">
        <v>2897</v>
      </c>
      <c r="H449" s="1">
        <f t="shared" si="1"/>
        <v>736.024929</v>
      </c>
      <c r="I449" s="3" t="s">
        <v>2899</v>
      </c>
      <c r="J449" s="1">
        <v>1442.0</v>
      </c>
    </row>
    <row r="450">
      <c r="A450" s="1">
        <v>2021.0</v>
      </c>
      <c r="B450" s="1">
        <v>9.0</v>
      </c>
      <c r="C450" s="1" t="s">
        <v>68</v>
      </c>
      <c r="D450" s="1" t="s">
        <v>1851</v>
      </c>
      <c r="E450" s="1" t="s">
        <v>17</v>
      </c>
      <c r="F450" s="3">
        <v>811967.0</v>
      </c>
      <c r="G450" s="1" t="s">
        <v>2900</v>
      </c>
      <c r="H450" s="1">
        <f t="shared" si="1"/>
        <v>171.655003</v>
      </c>
      <c r="I450" s="1" t="s">
        <v>2901</v>
      </c>
      <c r="J450" s="1">
        <v>1468.0</v>
      </c>
    </row>
    <row r="451">
      <c r="A451" s="1">
        <v>2021.0</v>
      </c>
      <c r="B451" s="1">
        <v>9.0</v>
      </c>
      <c r="C451" s="1" t="s">
        <v>68</v>
      </c>
      <c r="D451" s="1" t="s">
        <v>1851</v>
      </c>
      <c r="E451" s="1" t="s">
        <v>21</v>
      </c>
      <c r="F451" s="1" t="s">
        <v>2902</v>
      </c>
      <c r="G451" s="1" t="s">
        <v>2903</v>
      </c>
      <c r="H451" s="1">
        <f t="shared" si="1"/>
        <v>342.313426</v>
      </c>
      <c r="I451" s="3">
        <v>1330976.0</v>
      </c>
      <c r="J451" s="1">
        <v>2666.0</v>
      </c>
    </row>
    <row r="452">
      <c r="A452" s="1">
        <v>2021.0</v>
      </c>
      <c r="B452" s="1">
        <v>9.0</v>
      </c>
      <c r="C452" s="1" t="s">
        <v>68</v>
      </c>
      <c r="D452" s="1" t="s">
        <v>38</v>
      </c>
      <c r="E452" s="1" t="s">
        <v>39</v>
      </c>
      <c r="F452" s="3">
        <v>1295242.0</v>
      </c>
      <c r="G452" s="1" t="s">
        <v>2904</v>
      </c>
      <c r="H452" s="1">
        <f t="shared" si="1"/>
        <v>414.705064</v>
      </c>
      <c r="I452" s="1" t="s">
        <v>2905</v>
      </c>
      <c r="J452" s="1">
        <v>2241.0</v>
      </c>
    </row>
    <row r="453">
      <c r="A453" s="1">
        <v>2021.0</v>
      </c>
      <c r="B453" s="1">
        <v>9.0</v>
      </c>
      <c r="C453" s="1" t="s">
        <v>68</v>
      </c>
      <c r="D453" s="1" t="s">
        <v>1830</v>
      </c>
      <c r="E453" s="1" t="s">
        <v>72</v>
      </c>
      <c r="F453" s="1" t="s">
        <v>2906</v>
      </c>
      <c r="G453" s="1" t="s">
        <v>2907</v>
      </c>
      <c r="H453" s="1">
        <f t="shared" si="1"/>
        <v>240.023454</v>
      </c>
      <c r="I453" s="1" t="s">
        <v>2908</v>
      </c>
      <c r="J453" s="1">
        <v>2551.0</v>
      </c>
    </row>
    <row r="454">
      <c r="A454" s="1">
        <v>2021.0</v>
      </c>
      <c r="B454" s="1">
        <v>9.0</v>
      </c>
      <c r="C454" s="1" t="s">
        <v>68</v>
      </c>
      <c r="D454" s="1" t="s">
        <v>544</v>
      </c>
      <c r="E454" s="1" t="s">
        <v>17</v>
      </c>
      <c r="F454" s="3">
        <v>35855.0</v>
      </c>
      <c r="G454" s="1" t="s">
        <v>2909</v>
      </c>
      <c r="H454" s="1">
        <f t="shared" si="1"/>
        <v>224.597878</v>
      </c>
      <c r="I454" s="3" t="s">
        <v>2910</v>
      </c>
      <c r="J454" s="1">
        <v>1723.0</v>
      </c>
    </row>
    <row r="455">
      <c r="A455" s="1">
        <v>2021.0</v>
      </c>
      <c r="B455" s="1">
        <v>9.0</v>
      </c>
      <c r="C455" s="1" t="s">
        <v>68</v>
      </c>
      <c r="D455" s="1" t="s">
        <v>32</v>
      </c>
      <c r="E455" s="1" t="s">
        <v>14</v>
      </c>
      <c r="F455" s="3" t="s">
        <v>2911</v>
      </c>
      <c r="G455" s="1" t="s">
        <v>2912</v>
      </c>
      <c r="H455" s="1">
        <f t="shared" si="1"/>
        <v>149.312643</v>
      </c>
      <c r="I455" s="1" t="s">
        <v>2913</v>
      </c>
      <c r="J455" s="1">
        <v>899.0</v>
      </c>
    </row>
    <row r="456">
      <c r="A456" s="1">
        <v>2021.0</v>
      </c>
      <c r="B456" s="1">
        <v>9.0</v>
      </c>
      <c r="C456" s="1" t="s">
        <v>68</v>
      </c>
      <c r="D456" s="1" t="s">
        <v>32</v>
      </c>
      <c r="E456" s="1" t="s">
        <v>21</v>
      </c>
      <c r="F456" s="1" t="s">
        <v>2914</v>
      </c>
      <c r="G456" s="1" t="s">
        <v>2915</v>
      </c>
      <c r="H456" s="1">
        <f t="shared" si="1"/>
        <v>35.983109</v>
      </c>
      <c r="I456" s="1" t="s">
        <v>2916</v>
      </c>
      <c r="J456" s="1">
        <v>320.0</v>
      </c>
    </row>
    <row r="457">
      <c r="A457" s="1">
        <v>2021.0</v>
      </c>
      <c r="B457" s="1">
        <v>9.0</v>
      </c>
      <c r="C457" s="1" t="s">
        <v>68</v>
      </c>
      <c r="D457" s="1" t="s">
        <v>2088</v>
      </c>
      <c r="E457" s="1" t="s">
        <v>21</v>
      </c>
      <c r="F457" s="3" t="s">
        <v>1586</v>
      </c>
      <c r="G457" s="1" t="s">
        <v>2917</v>
      </c>
      <c r="H457" s="1">
        <f t="shared" si="1"/>
        <v>183.715546</v>
      </c>
      <c r="I457" s="1" t="s">
        <v>2918</v>
      </c>
      <c r="J457" s="1">
        <v>575.0</v>
      </c>
    </row>
    <row r="458">
      <c r="A458" s="1">
        <v>2021.0</v>
      </c>
      <c r="B458" s="1">
        <v>9.0</v>
      </c>
      <c r="C458" s="1" t="s">
        <v>68</v>
      </c>
      <c r="D458" s="1" t="s">
        <v>2104</v>
      </c>
      <c r="E458" s="1" t="s">
        <v>17</v>
      </c>
      <c r="F458" s="3">
        <v>1948936.0</v>
      </c>
      <c r="G458" s="1" t="s">
        <v>2919</v>
      </c>
      <c r="H458" s="1">
        <f t="shared" si="1"/>
        <v>68.770531</v>
      </c>
      <c r="I458" s="1" t="s">
        <v>2920</v>
      </c>
      <c r="J458" s="1">
        <v>188.0</v>
      </c>
    </row>
    <row r="459">
      <c r="A459" s="1">
        <v>2021.0</v>
      </c>
      <c r="B459" s="1">
        <v>9.0</v>
      </c>
      <c r="C459" s="1" t="s">
        <v>116</v>
      </c>
      <c r="D459" s="1" t="s">
        <v>13</v>
      </c>
      <c r="E459" s="1" t="s">
        <v>14</v>
      </c>
      <c r="F459" s="1" t="s">
        <v>2921</v>
      </c>
      <c r="G459" s="1" t="s">
        <v>2922</v>
      </c>
      <c r="H459" s="1">
        <f t="shared" si="1"/>
        <v>5065.711125</v>
      </c>
      <c r="I459" s="1" t="s">
        <v>2923</v>
      </c>
      <c r="J459" s="1">
        <v>10947.0</v>
      </c>
    </row>
    <row r="460">
      <c r="A460" s="1">
        <v>2021.0</v>
      </c>
      <c r="B460" s="1">
        <v>9.0</v>
      </c>
      <c r="C460" s="1" t="s">
        <v>116</v>
      </c>
      <c r="D460" s="1" t="s">
        <v>13</v>
      </c>
      <c r="E460" s="1" t="s">
        <v>17</v>
      </c>
      <c r="F460" s="1" t="s">
        <v>2924</v>
      </c>
      <c r="G460" s="1" t="s">
        <v>2925</v>
      </c>
      <c r="H460" s="1">
        <f t="shared" si="1"/>
        <v>14523.49662</v>
      </c>
      <c r="I460" s="1" t="s">
        <v>2926</v>
      </c>
      <c r="J460" s="1">
        <v>17799.0</v>
      </c>
    </row>
    <row r="461">
      <c r="A461" s="1">
        <v>2021.0</v>
      </c>
      <c r="B461" s="1">
        <v>9.0</v>
      </c>
      <c r="C461" s="1" t="s">
        <v>116</v>
      </c>
      <c r="D461" s="1" t="s">
        <v>13</v>
      </c>
      <c r="E461" s="1" t="s">
        <v>21</v>
      </c>
      <c r="F461" s="3" t="s">
        <v>2928</v>
      </c>
      <c r="G461" s="1" t="s">
        <v>2929</v>
      </c>
      <c r="H461" s="1">
        <f t="shared" si="1"/>
        <v>1340.43437</v>
      </c>
      <c r="I461" s="3" t="s">
        <v>2930</v>
      </c>
      <c r="J461" s="1">
        <v>701.0</v>
      </c>
    </row>
    <row r="462">
      <c r="A462" s="1">
        <v>2021.0</v>
      </c>
      <c r="B462" s="1">
        <v>9.0</v>
      </c>
      <c r="C462" s="1" t="s">
        <v>116</v>
      </c>
      <c r="D462" s="1" t="s">
        <v>13</v>
      </c>
      <c r="E462" s="1" t="s">
        <v>25</v>
      </c>
      <c r="F462" s="1" t="s">
        <v>1523</v>
      </c>
      <c r="G462" s="1" t="s">
        <v>2931</v>
      </c>
      <c r="H462" s="1">
        <f t="shared" si="1"/>
        <v>2.599994</v>
      </c>
      <c r="I462" s="1" t="s">
        <v>2933</v>
      </c>
      <c r="J462" s="1">
        <v>3.0</v>
      </c>
    </row>
    <row r="463">
      <c r="A463" s="1">
        <v>2021.0</v>
      </c>
      <c r="B463" s="1">
        <v>9.0</v>
      </c>
      <c r="C463" s="1" t="s">
        <v>116</v>
      </c>
      <c r="D463" s="1" t="s">
        <v>29</v>
      </c>
      <c r="E463" s="1" t="s">
        <v>14</v>
      </c>
      <c r="F463" s="1" t="s">
        <v>2934</v>
      </c>
      <c r="G463" s="1" t="s">
        <v>2935</v>
      </c>
      <c r="H463" s="1">
        <f t="shared" si="1"/>
        <v>114.957614</v>
      </c>
      <c r="I463" s="1" t="s">
        <v>1473</v>
      </c>
      <c r="J463" s="1">
        <v>253.0</v>
      </c>
    </row>
    <row r="464">
      <c r="A464" s="1">
        <v>2021.0</v>
      </c>
      <c r="B464" s="1">
        <v>9.0</v>
      </c>
      <c r="C464" s="1" t="s">
        <v>116</v>
      </c>
      <c r="D464" s="1" t="s">
        <v>29</v>
      </c>
      <c r="E464" s="1" t="s">
        <v>21</v>
      </c>
      <c r="F464" s="1" t="s">
        <v>2936</v>
      </c>
      <c r="G464" s="1" t="s">
        <v>2937</v>
      </c>
      <c r="H464" s="1">
        <f t="shared" si="1"/>
        <v>7067.477966</v>
      </c>
      <c r="I464" s="1" t="s">
        <v>2938</v>
      </c>
      <c r="J464" s="1">
        <v>3877.0</v>
      </c>
    </row>
    <row r="465">
      <c r="A465" s="1">
        <v>2021.0</v>
      </c>
      <c r="B465" s="1">
        <v>9.0</v>
      </c>
      <c r="C465" s="1" t="s">
        <v>116</v>
      </c>
      <c r="D465" s="1" t="s">
        <v>45</v>
      </c>
      <c r="E465" s="1" t="s">
        <v>49</v>
      </c>
      <c r="F465" s="1" t="s">
        <v>2939</v>
      </c>
      <c r="G465" s="1" t="s">
        <v>2940</v>
      </c>
      <c r="H465" s="1">
        <f t="shared" si="1"/>
        <v>39.270829</v>
      </c>
      <c r="I465" s="1" t="s">
        <v>2941</v>
      </c>
      <c r="J465" s="1">
        <v>266.0</v>
      </c>
    </row>
    <row r="466">
      <c r="A466" s="1">
        <v>2021.0</v>
      </c>
      <c r="B466" s="1">
        <v>9.0</v>
      </c>
      <c r="C466" s="1" t="s">
        <v>116</v>
      </c>
      <c r="D466" s="1" t="s">
        <v>45</v>
      </c>
      <c r="E466" s="1" t="s">
        <v>17</v>
      </c>
      <c r="F466" s="1" t="s">
        <v>2942</v>
      </c>
      <c r="G466" s="1" t="s">
        <v>2943</v>
      </c>
      <c r="H466" s="1">
        <f t="shared" si="1"/>
        <v>2370.885489</v>
      </c>
      <c r="I466" s="1" t="s">
        <v>2944</v>
      </c>
      <c r="J466" s="1">
        <v>2108.0</v>
      </c>
    </row>
    <row r="467">
      <c r="A467" s="1">
        <v>2021.0</v>
      </c>
      <c r="B467" s="1">
        <v>9.0</v>
      </c>
      <c r="C467" s="1" t="s">
        <v>116</v>
      </c>
      <c r="D467" s="1" t="s">
        <v>1851</v>
      </c>
      <c r="E467" s="1" t="s">
        <v>17</v>
      </c>
      <c r="F467" s="3" t="s">
        <v>2946</v>
      </c>
      <c r="G467" s="1" t="s">
        <v>2947</v>
      </c>
      <c r="H467" s="1">
        <f t="shared" si="1"/>
        <v>471.930847</v>
      </c>
      <c r="I467" s="3">
        <v>535844.0</v>
      </c>
      <c r="J467" s="1">
        <v>4266.0</v>
      </c>
    </row>
    <row r="468">
      <c r="A468" s="1">
        <v>2021.0</v>
      </c>
      <c r="B468" s="1">
        <v>9.0</v>
      </c>
      <c r="C468" s="1" t="s">
        <v>116</v>
      </c>
      <c r="D468" s="1" t="s">
        <v>1851</v>
      </c>
      <c r="E468" s="1" t="s">
        <v>21</v>
      </c>
      <c r="F468" s="3" t="s">
        <v>2949</v>
      </c>
      <c r="G468" s="1" t="s">
        <v>2950</v>
      </c>
      <c r="H468" s="1">
        <f t="shared" si="1"/>
        <v>458.486496</v>
      </c>
      <c r="I468" s="3">
        <v>974894.0</v>
      </c>
      <c r="J468" s="1">
        <v>3606.0</v>
      </c>
    </row>
    <row r="469">
      <c r="A469" s="1">
        <v>2021.0</v>
      </c>
      <c r="B469" s="1">
        <v>9.0</v>
      </c>
      <c r="C469" s="1" t="s">
        <v>116</v>
      </c>
      <c r="D469" s="1" t="s">
        <v>38</v>
      </c>
      <c r="E469" s="1" t="s">
        <v>39</v>
      </c>
      <c r="F469" s="3">
        <v>527959.0</v>
      </c>
      <c r="G469" s="1" t="s">
        <v>2951</v>
      </c>
      <c r="H469" s="1">
        <f t="shared" si="1"/>
        <v>676.658057</v>
      </c>
      <c r="I469" s="3">
        <v>475548.0</v>
      </c>
      <c r="J469" s="1">
        <v>3594.0</v>
      </c>
    </row>
    <row r="470">
      <c r="A470" s="1">
        <v>2021.0</v>
      </c>
      <c r="B470" s="1">
        <v>9.0</v>
      </c>
      <c r="C470" s="1" t="s">
        <v>116</v>
      </c>
      <c r="D470" s="1" t="s">
        <v>147</v>
      </c>
      <c r="E470" s="1" t="s">
        <v>39</v>
      </c>
      <c r="F470" s="3">
        <v>442675.0</v>
      </c>
      <c r="G470" s="1" t="s">
        <v>2953</v>
      </c>
      <c r="H470" s="1">
        <f t="shared" si="1"/>
        <v>388.65414</v>
      </c>
      <c r="I470" s="1" t="s">
        <v>2954</v>
      </c>
      <c r="J470" s="1">
        <v>115.0</v>
      </c>
    </row>
    <row r="471">
      <c r="A471" s="1">
        <v>2021.0</v>
      </c>
      <c r="B471" s="1">
        <v>9.0</v>
      </c>
      <c r="C471" s="1" t="s">
        <v>116</v>
      </c>
      <c r="D471" s="1" t="s">
        <v>147</v>
      </c>
      <c r="E471" s="1" t="s">
        <v>17</v>
      </c>
      <c r="F471" s="1" t="s">
        <v>2444</v>
      </c>
      <c r="G471" s="1" t="s">
        <v>2955</v>
      </c>
      <c r="H471" s="1">
        <f t="shared" si="1"/>
        <v>4.972093</v>
      </c>
      <c r="I471" s="1" t="s">
        <v>847</v>
      </c>
      <c r="J471" s="1">
        <v>5.0</v>
      </c>
    </row>
    <row r="472">
      <c r="A472" s="1">
        <v>2021.0</v>
      </c>
      <c r="B472" s="1">
        <v>9.0</v>
      </c>
      <c r="C472" s="1" t="s">
        <v>116</v>
      </c>
      <c r="D472" s="1" t="s">
        <v>147</v>
      </c>
      <c r="E472" s="1" t="s">
        <v>21</v>
      </c>
      <c r="F472" s="1" t="s">
        <v>992</v>
      </c>
      <c r="G472" s="1" t="s">
        <v>2957</v>
      </c>
      <c r="H472" s="1">
        <f t="shared" si="1"/>
        <v>29.526423</v>
      </c>
      <c r="I472" s="1" t="s">
        <v>2958</v>
      </c>
      <c r="J472" s="1">
        <v>47.0</v>
      </c>
    </row>
    <row r="473">
      <c r="A473" s="1">
        <v>2021.0</v>
      </c>
      <c r="B473" s="1">
        <v>9.0</v>
      </c>
      <c r="C473" s="1" t="s">
        <v>116</v>
      </c>
      <c r="D473" s="1" t="s">
        <v>42</v>
      </c>
      <c r="E473" s="1" t="s">
        <v>17</v>
      </c>
      <c r="F473" s="3">
        <v>2682343.0</v>
      </c>
      <c r="G473" s="1" t="s">
        <v>2959</v>
      </c>
      <c r="H473" s="1">
        <f t="shared" si="1"/>
        <v>381.290719</v>
      </c>
      <c r="I473" s="1" t="s">
        <v>2960</v>
      </c>
      <c r="J473" s="1">
        <v>0.0</v>
      </c>
    </row>
    <row r="474">
      <c r="A474" s="1">
        <v>2021.0</v>
      </c>
      <c r="B474" s="1">
        <v>9.0</v>
      </c>
      <c r="C474" s="1" t="s">
        <v>116</v>
      </c>
      <c r="D474" s="1" t="s">
        <v>158</v>
      </c>
      <c r="E474" s="1" t="s">
        <v>39</v>
      </c>
      <c r="F474" s="1" t="s">
        <v>2961</v>
      </c>
      <c r="G474" s="1" t="s">
        <v>2962</v>
      </c>
      <c r="H474" s="1">
        <f t="shared" si="1"/>
        <v>0.767228</v>
      </c>
      <c r="I474" s="1" t="s">
        <v>75</v>
      </c>
      <c r="J474" s="1">
        <v>3.0</v>
      </c>
    </row>
    <row r="475">
      <c r="A475" s="1">
        <v>2021.0</v>
      </c>
      <c r="B475" s="1">
        <v>9.0</v>
      </c>
      <c r="C475" s="1" t="s">
        <v>116</v>
      </c>
      <c r="D475" s="1" t="s">
        <v>158</v>
      </c>
      <c r="E475" s="1" t="s">
        <v>17</v>
      </c>
      <c r="F475" s="1" t="s">
        <v>2964</v>
      </c>
      <c r="G475" s="1" t="s">
        <v>2965</v>
      </c>
      <c r="H475" s="1">
        <f t="shared" si="1"/>
        <v>54.314748</v>
      </c>
      <c r="I475" s="1" t="s">
        <v>2966</v>
      </c>
      <c r="J475" s="1">
        <v>86.0</v>
      </c>
    </row>
    <row r="476">
      <c r="A476" s="1">
        <v>2021.0</v>
      </c>
      <c r="B476" s="1">
        <v>9.0</v>
      </c>
      <c r="C476" s="1" t="s">
        <v>116</v>
      </c>
      <c r="D476" s="1" t="s">
        <v>158</v>
      </c>
      <c r="E476" s="1" t="s">
        <v>21</v>
      </c>
      <c r="F476" s="1" t="s">
        <v>2968</v>
      </c>
      <c r="G476" s="1" t="s">
        <v>2969</v>
      </c>
      <c r="H476" s="1">
        <f t="shared" si="1"/>
        <v>228.474595</v>
      </c>
      <c r="I476" s="1" t="s">
        <v>2970</v>
      </c>
      <c r="J476" s="1">
        <v>130.0</v>
      </c>
    </row>
    <row r="477">
      <c r="A477" s="1">
        <v>2021.0</v>
      </c>
      <c r="B477" s="1">
        <v>9.0</v>
      </c>
      <c r="C477" s="1" t="s">
        <v>116</v>
      </c>
      <c r="D477" s="1" t="s">
        <v>544</v>
      </c>
      <c r="E477" s="1" t="s">
        <v>17</v>
      </c>
      <c r="F477" s="3">
        <v>624292.0</v>
      </c>
      <c r="G477" s="1" t="s">
        <v>3005</v>
      </c>
      <c r="H477" s="1">
        <f t="shared" si="1"/>
        <v>277.617801</v>
      </c>
      <c r="I477" s="3">
        <v>1228313.0</v>
      </c>
      <c r="J477" s="1">
        <v>2679.0</v>
      </c>
    </row>
    <row r="478">
      <c r="A478" s="1">
        <v>2021.0</v>
      </c>
      <c r="B478" s="1">
        <v>9.0</v>
      </c>
      <c r="C478" s="1" t="s">
        <v>116</v>
      </c>
      <c r="D478" s="1" t="s">
        <v>1830</v>
      </c>
      <c r="E478" s="1" t="s">
        <v>72</v>
      </c>
      <c r="F478" s="3">
        <v>1757214.0</v>
      </c>
      <c r="G478" s="1" t="s">
        <v>3006</v>
      </c>
      <c r="H478" s="1">
        <f t="shared" si="1"/>
        <v>221.405838</v>
      </c>
      <c r="I478" s="1" t="s">
        <v>3007</v>
      </c>
      <c r="J478" s="1">
        <v>2847.0</v>
      </c>
    </row>
    <row r="479">
      <c r="A479" s="1">
        <v>2021.0</v>
      </c>
      <c r="B479" s="1">
        <v>10.0</v>
      </c>
      <c r="C479" s="1" t="s">
        <v>12</v>
      </c>
      <c r="D479" s="1" t="s">
        <v>13</v>
      </c>
      <c r="E479" s="1" t="s">
        <v>14</v>
      </c>
      <c r="F479" s="1" t="s">
        <v>3008</v>
      </c>
      <c r="G479" s="1" t="s">
        <v>3009</v>
      </c>
      <c r="H479" s="1">
        <f t="shared" si="1"/>
        <v>838.316492</v>
      </c>
      <c r="I479" s="3">
        <v>2565862.0</v>
      </c>
      <c r="J479" s="1">
        <v>476.0</v>
      </c>
    </row>
    <row r="480">
      <c r="A480" s="1">
        <v>2021.0</v>
      </c>
      <c r="B480" s="1">
        <v>10.0</v>
      </c>
      <c r="C480" s="1" t="s">
        <v>12</v>
      </c>
      <c r="D480" s="1" t="s">
        <v>13</v>
      </c>
      <c r="E480" s="1" t="s">
        <v>17</v>
      </c>
      <c r="F480" s="1" t="s">
        <v>3010</v>
      </c>
      <c r="G480" s="1" t="s">
        <v>3011</v>
      </c>
      <c r="H480" s="1">
        <f t="shared" si="1"/>
        <v>6333.92685</v>
      </c>
      <c r="I480" s="1" t="s">
        <v>3012</v>
      </c>
      <c r="J480" s="1">
        <v>789.0</v>
      </c>
    </row>
    <row r="481">
      <c r="A481" s="1">
        <v>2021.0</v>
      </c>
      <c r="B481" s="1">
        <v>10.0</v>
      </c>
      <c r="C481" s="1" t="s">
        <v>12</v>
      </c>
      <c r="D481" s="1" t="s">
        <v>13</v>
      </c>
      <c r="E481" s="1" t="s">
        <v>21</v>
      </c>
      <c r="F481" s="1" t="s">
        <v>3013</v>
      </c>
      <c r="G481" s="1" t="s">
        <v>3014</v>
      </c>
      <c r="H481" s="1">
        <f t="shared" si="1"/>
        <v>2967.550514</v>
      </c>
      <c r="I481" s="3">
        <v>1728634.0</v>
      </c>
      <c r="J481" s="1">
        <v>652.0</v>
      </c>
    </row>
    <row r="482">
      <c r="A482" s="1">
        <v>2021.0</v>
      </c>
      <c r="B482" s="1">
        <v>10.0</v>
      </c>
      <c r="C482" s="1" t="s">
        <v>12</v>
      </c>
      <c r="D482" s="1" t="s">
        <v>29</v>
      </c>
      <c r="E482" s="1" t="s">
        <v>14</v>
      </c>
      <c r="F482" s="1" t="s">
        <v>3015</v>
      </c>
      <c r="G482" s="1" t="s">
        <v>3016</v>
      </c>
      <c r="H482" s="1">
        <f t="shared" si="1"/>
        <v>13.984016</v>
      </c>
      <c r="I482" s="1" t="s">
        <v>782</v>
      </c>
      <c r="J482" s="1">
        <v>11.0</v>
      </c>
    </row>
    <row r="483">
      <c r="A483" s="1">
        <v>2021.0</v>
      </c>
      <c r="B483" s="1">
        <v>10.0</v>
      </c>
      <c r="C483" s="1" t="s">
        <v>12</v>
      </c>
      <c r="D483" s="1" t="s">
        <v>29</v>
      </c>
      <c r="E483" s="1" t="s">
        <v>21</v>
      </c>
      <c r="F483" s="1" t="s">
        <v>3018</v>
      </c>
      <c r="G483" s="1" t="s">
        <v>3019</v>
      </c>
      <c r="H483" s="1">
        <f t="shared" si="1"/>
        <v>6789.887019</v>
      </c>
      <c r="I483" s="1" t="s">
        <v>3021</v>
      </c>
      <c r="J483" s="1">
        <v>721.0</v>
      </c>
    </row>
    <row r="484">
      <c r="A484" s="1">
        <v>2021.0</v>
      </c>
      <c r="B484" s="1">
        <v>10.0</v>
      </c>
      <c r="C484" s="1" t="s">
        <v>12</v>
      </c>
      <c r="D484" s="1" t="s">
        <v>38</v>
      </c>
      <c r="E484" s="1" t="s">
        <v>39</v>
      </c>
      <c r="F484" s="3" t="s">
        <v>3023</v>
      </c>
      <c r="G484" s="1" t="s">
        <v>3024</v>
      </c>
      <c r="H484" s="1">
        <f t="shared" si="1"/>
        <v>342.041969</v>
      </c>
      <c r="I484" s="1" t="s">
        <v>3025</v>
      </c>
      <c r="J484" s="1">
        <v>196.0</v>
      </c>
    </row>
    <row r="485">
      <c r="A485" s="1">
        <v>2021.0</v>
      </c>
      <c r="B485" s="1">
        <v>10.0</v>
      </c>
      <c r="C485" s="1" t="s">
        <v>12</v>
      </c>
      <c r="D485" s="1" t="s">
        <v>48</v>
      </c>
      <c r="E485" s="1" t="s">
        <v>49</v>
      </c>
      <c r="F485" s="1" t="s">
        <v>2850</v>
      </c>
      <c r="G485" s="1" t="s">
        <v>3027</v>
      </c>
      <c r="H485" s="1">
        <f t="shared" si="1"/>
        <v>12.090182</v>
      </c>
      <c r="I485" s="1" t="s">
        <v>2852</v>
      </c>
      <c r="J485" s="1">
        <v>15.0</v>
      </c>
    </row>
    <row r="486">
      <c r="A486" s="1">
        <v>2021.0</v>
      </c>
      <c r="B486" s="1">
        <v>10.0</v>
      </c>
      <c r="C486" s="1" t="s">
        <v>12</v>
      </c>
      <c r="D486" s="1" t="s">
        <v>48</v>
      </c>
      <c r="E486" s="1" t="s">
        <v>21</v>
      </c>
      <c r="F486" s="3">
        <v>642464.0</v>
      </c>
      <c r="G486" s="1" t="s">
        <v>3029</v>
      </c>
      <c r="H486" s="1">
        <f t="shared" si="1"/>
        <v>170.329412</v>
      </c>
      <c r="I486" s="1" t="s">
        <v>3030</v>
      </c>
      <c r="J486" s="1">
        <v>179.0</v>
      </c>
    </row>
    <row r="487">
      <c r="A487" s="1">
        <v>2021.0</v>
      </c>
      <c r="B487" s="1">
        <v>10.0</v>
      </c>
      <c r="C487" s="1" t="s">
        <v>12</v>
      </c>
      <c r="D487" s="1" t="s">
        <v>45</v>
      </c>
      <c r="E487" s="1" t="s">
        <v>17</v>
      </c>
      <c r="F487" s="3" t="s">
        <v>3031</v>
      </c>
      <c r="G487" s="1" t="s">
        <v>3032</v>
      </c>
      <c r="H487" s="1">
        <f t="shared" si="1"/>
        <v>170.158144</v>
      </c>
      <c r="I487" s="1" t="s">
        <v>3033</v>
      </c>
      <c r="J487" s="1">
        <v>209.0</v>
      </c>
    </row>
    <row r="488">
      <c r="A488" s="1">
        <v>2021.0</v>
      </c>
      <c r="B488" s="1">
        <v>10.0</v>
      </c>
      <c r="C488" s="1" t="s">
        <v>12</v>
      </c>
      <c r="D488" s="1" t="s">
        <v>1830</v>
      </c>
      <c r="E488" s="1" t="s">
        <v>72</v>
      </c>
      <c r="F488" s="1" t="s">
        <v>3034</v>
      </c>
      <c r="G488" s="1" t="s">
        <v>3035</v>
      </c>
      <c r="H488" s="1">
        <f t="shared" si="1"/>
        <v>89.076101</v>
      </c>
      <c r="I488" s="1" t="s">
        <v>3036</v>
      </c>
      <c r="J488" s="1">
        <v>253.0</v>
      </c>
    </row>
    <row r="489">
      <c r="A489" s="1">
        <v>2021.0</v>
      </c>
      <c r="B489" s="1">
        <v>10.0</v>
      </c>
      <c r="C489" s="1" t="s">
        <v>12</v>
      </c>
      <c r="D489" s="1" t="s">
        <v>42</v>
      </c>
      <c r="E489" s="1" t="s">
        <v>17</v>
      </c>
      <c r="F489" s="1" t="s">
        <v>3037</v>
      </c>
      <c r="G489" s="1" t="s">
        <v>3038</v>
      </c>
      <c r="H489" s="1">
        <f t="shared" si="1"/>
        <v>46.124092</v>
      </c>
      <c r="I489" s="1" t="s">
        <v>3039</v>
      </c>
      <c r="J489" s="1">
        <v>36.0</v>
      </c>
    </row>
    <row r="490">
      <c r="A490" s="1">
        <v>2021.0</v>
      </c>
      <c r="B490" s="1">
        <v>10.0</v>
      </c>
      <c r="C490" s="1" t="s">
        <v>12</v>
      </c>
      <c r="D490" s="1" t="s">
        <v>848</v>
      </c>
      <c r="E490" s="1" t="s">
        <v>21</v>
      </c>
      <c r="F490" s="1" t="s">
        <v>3040</v>
      </c>
      <c r="G490" s="1" t="s">
        <v>3041</v>
      </c>
      <c r="H490" s="1">
        <f t="shared" si="1"/>
        <v>33.354405</v>
      </c>
      <c r="I490" s="1" t="s">
        <v>3042</v>
      </c>
      <c r="J490" s="1">
        <v>54.0</v>
      </c>
    </row>
    <row r="491">
      <c r="A491" s="1">
        <v>2021.0</v>
      </c>
      <c r="B491" s="1">
        <v>10.0</v>
      </c>
      <c r="C491" s="1" t="s">
        <v>12</v>
      </c>
      <c r="D491" s="1" t="s">
        <v>729</v>
      </c>
      <c r="E491" s="1" t="s">
        <v>21</v>
      </c>
      <c r="F491" s="1" t="s">
        <v>3043</v>
      </c>
      <c r="G491" s="1" t="s">
        <v>3044</v>
      </c>
      <c r="H491" s="1">
        <f t="shared" si="1"/>
        <v>30.823635</v>
      </c>
      <c r="I491" s="1" t="s">
        <v>3045</v>
      </c>
      <c r="J491" s="1">
        <v>0.0</v>
      </c>
    </row>
    <row r="492">
      <c r="A492" s="1">
        <v>2021.0</v>
      </c>
      <c r="B492" s="1">
        <v>10.0</v>
      </c>
      <c r="C492" s="1" t="s">
        <v>12</v>
      </c>
      <c r="D492" s="1" t="s">
        <v>64</v>
      </c>
      <c r="E492" s="1" t="s">
        <v>39</v>
      </c>
      <c r="F492" s="1" t="s">
        <v>3046</v>
      </c>
      <c r="G492" s="1" t="s">
        <v>3047</v>
      </c>
      <c r="H492" s="1">
        <f t="shared" si="1"/>
        <v>24.99752</v>
      </c>
      <c r="I492" s="1" t="s">
        <v>3048</v>
      </c>
      <c r="J492" s="1">
        <v>0.0</v>
      </c>
    </row>
    <row r="493">
      <c r="A493" s="1">
        <v>2021.0</v>
      </c>
      <c r="B493" s="1">
        <v>10.0</v>
      </c>
      <c r="C493" s="1" t="s">
        <v>12</v>
      </c>
      <c r="D493" s="1" t="s">
        <v>64</v>
      </c>
      <c r="E493" s="1" t="s">
        <v>21</v>
      </c>
      <c r="F493" s="1" t="s">
        <v>75</v>
      </c>
      <c r="G493" s="1" t="s">
        <v>3049</v>
      </c>
      <c r="H493" s="1">
        <f t="shared" si="1"/>
        <v>0.05762</v>
      </c>
      <c r="I493" s="1" t="s">
        <v>596</v>
      </c>
      <c r="J493" s="1">
        <v>0.0</v>
      </c>
    </row>
    <row r="494">
      <c r="A494" s="1">
        <v>2021.0</v>
      </c>
      <c r="B494" s="1">
        <v>10.0</v>
      </c>
      <c r="C494" s="1" t="s">
        <v>68</v>
      </c>
      <c r="D494" s="1" t="s">
        <v>13</v>
      </c>
      <c r="E494" s="1" t="s">
        <v>14</v>
      </c>
      <c r="F494" s="1" t="s">
        <v>3050</v>
      </c>
      <c r="G494" s="1" t="s">
        <v>3051</v>
      </c>
      <c r="H494" s="1">
        <f t="shared" si="1"/>
        <v>2459.423384</v>
      </c>
      <c r="I494" s="3" t="s">
        <v>3052</v>
      </c>
      <c r="J494" s="1">
        <v>6076.0</v>
      </c>
    </row>
    <row r="495">
      <c r="A495" s="1">
        <v>2021.0</v>
      </c>
      <c r="B495" s="1">
        <v>10.0</v>
      </c>
      <c r="C495" s="1" t="s">
        <v>68</v>
      </c>
      <c r="D495" s="1" t="s">
        <v>13</v>
      </c>
      <c r="E495" s="1" t="s">
        <v>17</v>
      </c>
      <c r="F495" s="1" t="s">
        <v>3053</v>
      </c>
      <c r="G495" s="1" t="s">
        <v>3054</v>
      </c>
      <c r="H495" s="1">
        <f t="shared" si="1"/>
        <v>7416.6546</v>
      </c>
      <c r="I495" s="1" t="s">
        <v>3055</v>
      </c>
      <c r="J495" s="1">
        <v>10542.0</v>
      </c>
    </row>
    <row r="496">
      <c r="A496" s="1">
        <v>2021.0</v>
      </c>
      <c r="B496" s="1">
        <v>10.0</v>
      </c>
      <c r="C496" s="1" t="s">
        <v>68</v>
      </c>
      <c r="D496" s="1" t="s">
        <v>13</v>
      </c>
      <c r="E496" s="1" t="s">
        <v>21</v>
      </c>
      <c r="F496" s="3">
        <v>1933231.0</v>
      </c>
      <c r="G496" s="1" t="s">
        <v>3056</v>
      </c>
      <c r="H496" s="1">
        <f t="shared" si="1"/>
        <v>266.12444</v>
      </c>
      <c r="I496" s="1" t="s">
        <v>3057</v>
      </c>
      <c r="J496" s="1">
        <v>540.0</v>
      </c>
    </row>
    <row r="497">
      <c r="A497" s="1">
        <v>2021.0</v>
      </c>
      <c r="B497" s="1">
        <v>10.0</v>
      </c>
      <c r="C497" s="1" t="s">
        <v>68</v>
      </c>
      <c r="D497" s="1" t="s">
        <v>13</v>
      </c>
      <c r="E497" s="1" t="s">
        <v>25</v>
      </c>
      <c r="F497" s="1" t="s">
        <v>2538</v>
      </c>
      <c r="G497" s="1" t="s">
        <v>2539</v>
      </c>
      <c r="H497" s="1">
        <f t="shared" si="1"/>
        <v>65.041677</v>
      </c>
      <c r="I497" s="1" t="s">
        <v>111</v>
      </c>
      <c r="J497" s="1">
        <v>245.0</v>
      </c>
    </row>
    <row r="498">
      <c r="A498" s="1">
        <v>2021.0</v>
      </c>
      <c r="B498" s="1">
        <v>10.0</v>
      </c>
      <c r="C498" s="1" t="s">
        <v>68</v>
      </c>
      <c r="D498" s="1" t="s">
        <v>29</v>
      </c>
      <c r="E498" s="1" t="s">
        <v>14</v>
      </c>
      <c r="F498" s="1" t="s">
        <v>3058</v>
      </c>
      <c r="G498" s="1" t="s">
        <v>3059</v>
      </c>
      <c r="H498" s="1">
        <f t="shared" si="1"/>
        <v>10.970206</v>
      </c>
      <c r="I498" s="1" t="s">
        <v>974</v>
      </c>
      <c r="J498" s="1">
        <v>31.0</v>
      </c>
    </row>
    <row r="499">
      <c r="A499" s="1">
        <v>2021.0</v>
      </c>
      <c r="B499" s="1">
        <v>10.0</v>
      </c>
      <c r="C499" s="1" t="s">
        <v>68</v>
      </c>
      <c r="D499" s="1" t="s">
        <v>29</v>
      </c>
      <c r="E499" s="1" t="s">
        <v>21</v>
      </c>
      <c r="F499" s="1" t="s">
        <v>3060</v>
      </c>
      <c r="G499" s="1" t="s">
        <v>3061</v>
      </c>
      <c r="H499" s="1">
        <f t="shared" si="1"/>
        <v>1451.274377</v>
      </c>
      <c r="I499" s="3">
        <v>17958.0</v>
      </c>
      <c r="J499" s="1">
        <v>1257.0</v>
      </c>
    </row>
    <row r="500">
      <c r="A500" s="1">
        <v>2021.0</v>
      </c>
      <c r="B500" s="1">
        <v>10.0</v>
      </c>
      <c r="C500" s="1" t="s">
        <v>68</v>
      </c>
      <c r="D500" s="1" t="s">
        <v>38</v>
      </c>
      <c r="E500" s="1" t="s">
        <v>39</v>
      </c>
      <c r="F500" s="1" t="s">
        <v>3062</v>
      </c>
      <c r="G500" s="1" t="s">
        <v>3063</v>
      </c>
      <c r="H500" s="1">
        <f t="shared" si="1"/>
        <v>1306.824554</v>
      </c>
      <c r="I500" s="1" t="s">
        <v>3064</v>
      </c>
      <c r="J500" s="1">
        <v>3555.0</v>
      </c>
    </row>
    <row r="501">
      <c r="A501" s="1">
        <v>2021.0</v>
      </c>
      <c r="B501" s="1">
        <v>10.0</v>
      </c>
      <c r="C501" s="1" t="s">
        <v>68</v>
      </c>
      <c r="D501" s="1" t="s">
        <v>45</v>
      </c>
      <c r="E501" s="1" t="s">
        <v>49</v>
      </c>
      <c r="F501" s="1" t="s">
        <v>417</v>
      </c>
      <c r="G501" s="1" t="s">
        <v>3065</v>
      </c>
      <c r="H501" s="1">
        <f t="shared" si="1"/>
        <v>18.151684</v>
      </c>
      <c r="I501" s="1" t="s">
        <v>3066</v>
      </c>
      <c r="J501" s="1">
        <v>113.0</v>
      </c>
    </row>
    <row r="502">
      <c r="A502" s="1">
        <v>2021.0</v>
      </c>
      <c r="B502" s="1">
        <v>10.0</v>
      </c>
      <c r="C502" s="1" t="s">
        <v>68</v>
      </c>
      <c r="D502" s="1" t="s">
        <v>45</v>
      </c>
      <c r="E502" s="1" t="s">
        <v>17</v>
      </c>
      <c r="F502" s="3">
        <v>1549846.0</v>
      </c>
      <c r="G502" s="1" t="s">
        <v>3067</v>
      </c>
      <c r="H502" s="1">
        <f t="shared" si="1"/>
        <v>434.429395</v>
      </c>
      <c r="I502" s="3" t="s">
        <v>3068</v>
      </c>
      <c r="J502" s="1">
        <v>1348.0</v>
      </c>
    </row>
    <row r="503">
      <c r="A503" s="1">
        <v>2021.0</v>
      </c>
      <c r="B503" s="1">
        <v>10.0</v>
      </c>
      <c r="C503" s="1" t="s">
        <v>68</v>
      </c>
      <c r="D503" s="1" t="s">
        <v>1851</v>
      </c>
      <c r="E503" s="1" t="s">
        <v>17</v>
      </c>
      <c r="F503" s="1" t="s">
        <v>3069</v>
      </c>
      <c r="G503" s="1" t="s">
        <v>3070</v>
      </c>
      <c r="H503" s="1">
        <f t="shared" si="1"/>
        <v>163.867488</v>
      </c>
      <c r="I503" s="1" t="s">
        <v>3071</v>
      </c>
      <c r="J503" s="1">
        <v>1028.0</v>
      </c>
    </row>
    <row r="504">
      <c r="A504" s="1">
        <v>2021.0</v>
      </c>
      <c r="B504" s="1">
        <v>10.0</v>
      </c>
      <c r="C504" s="1" t="s">
        <v>68</v>
      </c>
      <c r="D504" s="1" t="s">
        <v>1851</v>
      </c>
      <c r="E504" s="1" t="s">
        <v>21</v>
      </c>
      <c r="F504" s="3">
        <v>57742.0</v>
      </c>
      <c r="G504" s="1" t="s">
        <v>3072</v>
      </c>
      <c r="H504" s="1">
        <f t="shared" si="1"/>
        <v>155.758256</v>
      </c>
      <c r="I504" s="3" t="s">
        <v>3073</v>
      </c>
      <c r="J504" s="1">
        <v>1367.0</v>
      </c>
    </row>
    <row r="505">
      <c r="A505" s="1">
        <v>2021.0</v>
      </c>
      <c r="B505" s="1">
        <v>10.0</v>
      </c>
      <c r="C505" s="1" t="s">
        <v>68</v>
      </c>
      <c r="D505" s="1" t="s">
        <v>2088</v>
      </c>
      <c r="E505" s="1" t="s">
        <v>21</v>
      </c>
      <c r="F505" s="3">
        <v>1809810.0</v>
      </c>
      <c r="G505" s="1" t="s">
        <v>3074</v>
      </c>
      <c r="H505" s="1">
        <f t="shared" si="1"/>
        <v>198.280602</v>
      </c>
      <c r="I505" s="3" t="s">
        <v>3075</v>
      </c>
      <c r="J505" s="1">
        <v>686.0</v>
      </c>
    </row>
    <row r="506">
      <c r="A506" s="1">
        <v>2021.0</v>
      </c>
      <c r="B506" s="1">
        <v>10.0</v>
      </c>
      <c r="C506" s="1" t="s">
        <v>68</v>
      </c>
      <c r="D506" s="1" t="s">
        <v>32</v>
      </c>
      <c r="E506" s="1" t="s">
        <v>14</v>
      </c>
      <c r="F506" s="3">
        <v>12086.0</v>
      </c>
      <c r="G506" s="1" t="s">
        <v>3076</v>
      </c>
      <c r="H506" s="1">
        <f t="shared" si="1"/>
        <v>156.285721</v>
      </c>
      <c r="I506" s="1" t="s">
        <v>3077</v>
      </c>
      <c r="J506" s="1">
        <v>739.0</v>
      </c>
    </row>
    <row r="507">
      <c r="A507" s="1">
        <v>2021.0</v>
      </c>
      <c r="B507" s="1">
        <v>10.0</v>
      </c>
      <c r="C507" s="1" t="s">
        <v>68</v>
      </c>
      <c r="D507" s="1" t="s">
        <v>32</v>
      </c>
      <c r="E507" s="1" t="s">
        <v>21</v>
      </c>
      <c r="F507" s="1" t="s">
        <v>3078</v>
      </c>
      <c r="G507" s="1" t="s">
        <v>3079</v>
      </c>
      <c r="H507" s="1">
        <f t="shared" si="1"/>
        <v>18.574319</v>
      </c>
      <c r="I507" s="1" t="s">
        <v>3080</v>
      </c>
      <c r="J507" s="1">
        <v>193.0</v>
      </c>
    </row>
    <row r="508">
      <c r="A508" s="1">
        <v>2021.0</v>
      </c>
      <c r="B508" s="1">
        <v>10.0</v>
      </c>
      <c r="C508" s="1" t="s">
        <v>68</v>
      </c>
      <c r="D508" s="1" t="s">
        <v>1830</v>
      </c>
      <c r="E508" s="1" t="s">
        <v>72</v>
      </c>
      <c r="F508" s="3">
        <v>2038421.0</v>
      </c>
      <c r="G508" s="1" t="s">
        <v>3081</v>
      </c>
      <c r="H508" s="1">
        <f t="shared" si="1"/>
        <v>162.592157</v>
      </c>
      <c r="I508" s="1" t="s">
        <v>3082</v>
      </c>
      <c r="J508" s="1">
        <v>1514.0</v>
      </c>
    </row>
    <row r="509">
      <c r="A509" s="1">
        <v>2021.0</v>
      </c>
      <c r="B509" s="1">
        <v>10.0</v>
      </c>
      <c r="C509" s="1" t="s">
        <v>68</v>
      </c>
      <c r="D509" s="1" t="s">
        <v>544</v>
      </c>
      <c r="E509" s="1" t="s">
        <v>17</v>
      </c>
      <c r="F509" s="3">
        <v>2505931.0</v>
      </c>
      <c r="G509" s="1" t="s">
        <v>3083</v>
      </c>
      <c r="H509" s="1">
        <f t="shared" si="1"/>
        <v>140.600756</v>
      </c>
      <c r="I509" s="1" t="s">
        <v>3084</v>
      </c>
      <c r="J509" s="1">
        <v>1215.0</v>
      </c>
    </row>
    <row r="510">
      <c r="A510" s="1">
        <v>2021.0</v>
      </c>
      <c r="B510" s="1">
        <v>10.0</v>
      </c>
      <c r="C510" s="1" t="s">
        <v>68</v>
      </c>
      <c r="D510" s="1" t="s">
        <v>48</v>
      </c>
      <c r="E510" s="1" t="s">
        <v>49</v>
      </c>
      <c r="F510" s="1" t="s">
        <v>1884</v>
      </c>
      <c r="G510" s="1" t="s">
        <v>3085</v>
      </c>
      <c r="H510" s="1">
        <f t="shared" si="1"/>
        <v>1.48214</v>
      </c>
      <c r="I510" s="1" t="s">
        <v>479</v>
      </c>
      <c r="J510" s="1">
        <v>0.0</v>
      </c>
    </row>
    <row r="511">
      <c r="A511" s="1">
        <v>2021.0</v>
      </c>
      <c r="B511" s="1">
        <v>10.0</v>
      </c>
      <c r="C511" s="1" t="s">
        <v>68</v>
      </c>
      <c r="D511" s="1" t="s">
        <v>48</v>
      </c>
      <c r="E511" s="1" t="s">
        <v>21</v>
      </c>
      <c r="F511" s="1" t="s">
        <v>3086</v>
      </c>
      <c r="G511" s="1" t="s">
        <v>3087</v>
      </c>
      <c r="H511" s="1">
        <f t="shared" si="1"/>
        <v>67.058508</v>
      </c>
      <c r="I511" s="1" t="s">
        <v>3088</v>
      </c>
      <c r="J511" s="1">
        <v>0.0</v>
      </c>
    </row>
    <row r="512">
      <c r="A512" s="1">
        <v>2021.0</v>
      </c>
      <c r="B512" s="1">
        <v>10.0</v>
      </c>
      <c r="C512" s="1" t="s">
        <v>116</v>
      </c>
      <c r="D512" s="1" t="s">
        <v>13</v>
      </c>
      <c r="E512" s="1" t="s">
        <v>14</v>
      </c>
      <c r="F512" s="1" t="s">
        <v>3089</v>
      </c>
      <c r="G512" s="1" t="s">
        <v>3090</v>
      </c>
      <c r="H512" s="1">
        <f t="shared" si="1"/>
        <v>7484.281153</v>
      </c>
      <c r="I512" s="1" t="s">
        <v>3091</v>
      </c>
      <c r="J512" s="1">
        <v>11784.0</v>
      </c>
    </row>
    <row r="513">
      <c r="A513" s="1">
        <v>2021.0</v>
      </c>
      <c r="B513" s="1">
        <v>10.0</v>
      </c>
      <c r="C513" s="1" t="s">
        <v>116</v>
      </c>
      <c r="D513" s="1" t="s">
        <v>13</v>
      </c>
      <c r="E513" s="1" t="s">
        <v>17</v>
      </c>
      <c r="F513" s="1" t="s">
        <v>3092</v>
      </c>
      <c r="G513" s="1" t="s">
        <v>3093</v>
      </c>
      <c r="H513" s="1">
        <f t="shared" si="1"/>
        <v>15760.80576</v>
      </c>
      <c r="I513" s="1" t="s">
        <v>3094</v>
      </c>
      <c r="J513" s="1">
        <v>17949.0</v>
      </c>
    </row>
    <row r="514">
      <c r="A514" s="1">
        <v>2021.0</v>
      </c>
      <c r="B514" s="1">
        <v>10.0</v>
      </c>
      <c r="C514" s="1" t="s">
        <v>116</v>
      </c>
      <c r="D514" s="1" t="s">
        <v>13</v>
      </c>
      <c r="E514" s="1" t="s">
        <v>21</v>
      </c>
      <c r="F514" s="3" t="s">
        <v>3095</v>
      </c>
      <c r="G514" s="1" t="s">
        <v>3096</v>
      </c>
      <c r="H514" s="1">
        <f t="shared" si="1"/>
        <v>1051.793848</v>
      </c>
      <c r="I514" s="3">
        <v>1419029.0</v>
      </c>
      <c r="J514" s="1">
        <v>680.0</v>
      </c>
    </row>
    <row r="515">
      <c r="A515" s="1">
        <v>2021.0</v>
      </c>
      <c r="B515" s="1">
        <v>10.0</v>
      </c>
      <c r="C515" s="1" t="s">
        <v>116</v>
      </c>
      <c r="D515" s="1" t="s">
        <v>13</v>
      </c>
      <c r="E515" s="1" t="s">
        <v>25</v>
      </c>
      <c r="F515" s="1" t="s">
        <v>639</v>
      </c>
      <c r="G515" s="1" t="s">
        <v>3097</v>
      </c>
      <c r="H515" s="1">
        <f t="shared" si="1"/>
        <v>1.881435</v>
      </c>
      <c r="I515" s="1" t="s">
        <v>2580</v>
      </c>
      <c r="J515" s="1">
        <v>3.0</v>
      </c>
    </row>
    <row r="516">
      <c r="A516" s="1">
        <v>2021.0</v>
      </c>
      <c r="B516" s="1">
        <v>10.0</v>
      </c>
      <c r="C516" s="1" t="s">
        <v>116</v>
      </c>
      <c r="D516" s="1" t="s">
        <v>29</v>
      </c>
      <c r="E516" s="1" t="s">
        <v>14</v>
      </c>
      <c r="F516" s="3">
        <v>39083.0</v>
      </c>
      <c r="G516" s="1" t="s">
        <v>3098</v>
      </c>
      <c r="H516" s="1">
        <f t="shared" si="1"/>
        <v>112.165929</v>
      </c>
      <c r="I516" s="1" t="s">
        <v>3099</v>
      </c>
      <c r="J516" s="1">
        <v>225.0</v>
      </c>
    </row>
    <row r="517">
      <c r="A517" s="1">
        <v>2021.0</v>
      </c>
      <c r="B517" s="1">
        <v>10.0</v>
      </c>
      <c r="C517" s="1" t="s">
        <v>116</v>
      </c>
      <c r="D517" s="1" t="s">
        <v>29</v>
      </c>
      <c r="E517" s="1" t="s">
        <v>21</v>
      </c>
      <c r="F517" s="1" t="s">
        <v>3100</v>
      </c>
      <c r="G517" s="1" t="s">
        <v>3101</v>
      </c>
      <c r="H517" s="1">
        <f t="shared" si="1"/>
        <v>9577.518937</v>
      </c>
      <c r="I517" s="1" t="s">
        <v>3102</v>
      </c>
      <c r="J517" s="1">
        <v>4222.0</v>
      </c>
    </row>
    <row r="518">
      <c r="A518" s="1">
        <v>2021.0</v>
      </c>
      <c r="B518" s="1">
        <v>10.0</v>
      </c>
      <c r="C518" s="1" t="s">
        <v>116</v>
      </c>
      <c r="D518" s="1" t="s">
        <v>38</v>
      </c>
      <c r="E518" s="1" t="s">
        <v>39</v>
      </c>
      <c r="F518" s="1" t="s">
        <v>3103</v>
      </c>
      <c r="G518" s="1" t="s">
        <v>3104</v>
      </c>
      <c r="H518" s="1">
        <f t="shared" si="1"/>
        <v>2101.853462</v>
      </c>
      <c r="I518" s="3" t="s">
        <v>3105</v>
      </c>
      <c r="J518" s="1">
        <v>5351.0</v>
      </c>
    </row>
    <row r="519">
      <c r="A519" s="1">
        <v>2021.0</v>
      </c>
      <c r="B519" s="1">
        <v>10.0</v>
      </c>
      <c r="C519" s="1" t="s">
        <v>116</v>
      </c>
      <c r="D519" s="1" t="s">
        <v>45</v>
      </c>
      <c r="E519" s="1" t="s">
        <v>49</v>
      </c>
      <c r="F519" s="1" t="s">
        <v>3106</v>
      </c>
      <c r="G519" s="1" t="s">
        <v>3107</v>
      </c>
      <c r="H519" s="1">
        <f t="shared" si="1"/>
        <v>44.767403</v>
      </c>
      <c r="I519" s="1" t="s">
        <v>3108</v>
      </c>
      <c r="J519" s="1">
        <v>268.0</v>
      </c>
    </row>
    <row r="520">
      <c r="A520" s="1">
        <v>2021.0</v>
      </c>
      <c r="B520" s="1">
        <v>10.0</v>
      </c>
      <c r="C520" s="1" t="s">
        <v>116</v>
      </c>
      <c r="D520" s="1" t="s">
        <v>45</v>
      </c>
      <c r="E520" s="1" t="s">
        <v>17</v>
      </c>
      <c r="F520" s="1" t="s">
        <v>3109</v>
      </c>
      <c r="G520" s="1" t="s">
        <v>3110</v>
      </c>
      <c r="H520" s="1">
        <f t="shared" si="1"/>
        <v>1156.387558</v>
      </c>
      <c r="I520" s="3">
        <v>340163.0</v>
      </c>
      <c r="J520" s="1">
        <v>1877.0</v>
      </c>
    </row>
    <row r="521">
      <c r="A521" s="1">
        <v>2021.0</v>
      </c>
      <c r="B521" s="1">
        <v>10.0</v>
      </c>
      <c r="C521" s="1" t="s">
        <v>116</v>
      </c>
      <c r="D521" s="1" t="s">
        <v>1851</v>
      </c>
      <c r="E521" s="1" t="s">
        <v>17</v>
      </c>
      <c r="F521" s="1" t="s">
        <v>3111</v>
      </c>
      <c r="G521" s="1" t="s">
        <v>3112</v>
      </c>
      <c r="H521" s="1">
        <f t="shared" si="1"/>
        <v>595.802715</v>
      </c>
      <c r="I521" s="3">
        <v>477433.0</v>
      </c>
      <c r="J521" s="1">
        <v>2973.0</v>
      </c>
    </row>
    <row r="522">
      <c r="A522" s="1">
        <v>2021.0</v>
      </c>
      <c r="B522" s="1">
        <v>10.0</v>
      </c>
      <c r="C522" s="1" t="s">
        <v>116</v>
      </c>
      <c r="D522" s="1" t="s">
        <v>1851</v>
      </c>
      <c r="E522" s="1" t="s">
        <v>21</v>
      </c>
      <c r="F522" s="3">
        <v>2222562.0</v>
      </c>
      <c r="G522" s="1" t="s">
        <v>3113</v>
      </c>
      <c r="H522" s="1">
        <f t="shared" si="1"/>
        <v>275.085705</v>
      </c>
      <c r="I522" s="3">
        <v>2451875.0</v>
      </c>
      <c r="J522" s="1">
        <v>1927.0</v>
      </c>
    </row>
    <row r="523">
      <c r="A523" s="1">
        <v>2021.0</v>
      </c>
      <c r="B523" s="1">
        <v>10.0</v>
      </c>
      <c r="C523" s="1" t="s">
        <v>116</v>
      </c>
      <c r="D523" s="1" t="s">
        <v>42</v>
      </c>
      <c r="E523" s="1" t="s">
        <v>17</v>
      </c>
      <c r="F523" s="3" t="s">
        <v>3114</v>
      </c>
      <c r="G523" s="1" t="s">
        <v>3115</v>
      </c>
      <c r="H523" s="1">
        <f t="shared" si="1"/>
        <v>449.283347</v>
      </c>
      <c r="I523" s="1" t="s">
        <v>3116</v>
      </c>
      <c r="J523" s="1">
        <v>0.0</v>
      </c>
    </row>
    <row r="524">
      <c r="A524" s="1">
        <v>2021.0</v>
      </c>
      <c r="B524" s="1">
        <v>10.0</v>
      </c>
      <c r="C524" s="1" t="s">
        <v>116</v>
      </c>
      <c r="D524" s="1" t="s">
        <v>147</v>
      </c>
      <c r="E524" s="1" t="s">
        <v>39</v>
      </c>
      <c r="F524" s="3">
        <v>95696.0</v>
      </c>
      <c r="G524" s="1" t="s">
        <v>3117</v>
      </c>
      <c r="H524" s="1">
        <f t="shared" si="1"/>
        <v>378.995335</v>
      </c>
      <c r="I524" s="1" t="s">
        <v>3118</v>
      </c>
      <c r="J524" s="1">
        <v>107.0</v>
      </c>
    </row>
    <row r="525">
      <c r="A525" s="1">
        <v>2021.0</v>
      </c>
      <c r="B525" s="1">
        <v>10.0</v>
      </c>
      <c r="C525" s="1" t="s">
        <v>116</v>
      </c>
      <c r="D525" s="1" t="s">
        <v>147</v>
      </c>
      <c r="E525" s="1" t="s">
        <v>17</v>
      </c>
      <c r="F525" s="1" t="s">
        <v>2030</v>
      </c>
      <c r="G525" s="1" t="s">
        <v>3119</v>
      </c>
      <c r="H525" s="1">
        <f t="shared" si="1"/>
        <v>7.460162</v>
      </c>
      <c r="I525" s="1" t="s">
        <v>207</v>
      </c>
      <c r="J525" s="1">
        <v>4.0</v>
      </c>
    </row>
    <row r="526">
      <c r="A526" s="1">
        <v>2021.0</v>
      </c>
      <c r="B526" s="1">
        <v>10.0</v>
      </c>
      <c r="C526" s="1" t="s">
        <v>116</v>
      </c>
      <c r="D526" s="1" t="s">
        <v>147</v>
      </c>
      <c r="E526" s="1" t="s">
        <v>21</v>
      </c>
      <c r="F526" s="1" t="s">
        <v>3120</v>
      </c>
      <c r="G526" s="1" t="s">
        <v>3121</v>
      </c>
      <c r="H526" s="1">
        <f t="shared" si="1"/>
        <v>23.810641</v>
      </c>
      <c r="I526" s="1" t="s">
        <v>3122</v>
      </c>
      <c r="J526" s="1">
        <v>36.0</v>
      </c>
    </row>
    <row r="527">
      <c r="A527" s="1">
        <v>2021.0</v>
      </c>
      <c r="B527" s="1">
        <v>10.0</v>
      </c>
      <c r="C527" s="1" t="s">
        <v>116</v>
      </c>
      <c r="D527" s="1" t="s">
        <v>158</v>
      </c>
      <c r="E527" s="1" t="s">
        <v>39</v>
      </c>
      <c r="F527" s="1" t="s">
        <v>1134</v>
      </c>
      <c r="G527" s="1" t="s">
        <v>3123</v>
      </c>
      <c r="H527" s="1">
        <f t="shared" si="1"/>
        <v>1.273673</v>
      </c>
      <c r="I527" s="1" t="s">
        <v>674</v>
      </c>
      <c r="J527" s="1">
        <v>1.0</v>
      </c>
    </row>
    <row r="528">
      <c r="A528" s="1">
        <v>2021.0</v>
      </c>
      <c r="B528" s="1">
        <v>10.0</v>
      </c>
      <c r="C528" s="1" t="s">
        <v>116</v>
      </c>
      <c r="D528" s="1" t="s">
        <v>158</v>
      </c>
      <c r="E528" s="1" t="s">
        <v>17</v>
      </c>
      <c r="F528" s="1" t="s">
        <v>3124</v>
      </c>
      <c r="G528" s="1" t="s">
        <v>3125</v>
      </c>
      <c r="H528" s="1">
        <f t="shared" si="1"/>
        <v>58.314528</v>
      </c>
      <c r="I528" s="1" t="s">
        <v>3120</v>
      </c>
      <c r="J528" s="1">
        <v>89.0</v>
      </c>
    </row>
    <row r="529">
      <c r="A529" s="1">
        <v>2021.0</v>
      </c>
      <c r="B529" s="1">
        <v>10.0</v>
      </c>
      <c r="C529" s="1" t="s">
        <v>116</v>
      </c>
      <c r="D529" s="1" t="s">
        <v>158</v>
      </c>
      <c r="E529" s="1" t="s">
        <v>21</v>
      </c>
      <c r="F529" s="1" t="s">
        <v>3126</v>
      </c>
      <c r="G529" s="1" t="s">
        <v>3127</v>
      </c>
      <c r="H529" s="1">
        <f t="shared" si="1"/>
        <v>283.693426</v>
      </c>
      <c r="I529" s="1" t="s">
        <v>3128</v>
      </c>
      <c r="J529" s="1">
        <v>89.0</v>
      </c>
    </row>
    <row r="530">
      <c r="A530" s="1">
        <v>2021.0</v>
      </c>
      <c r="B530" s="1">
        <v>10.0</v>
      </c>
      <c r="C530" s="1" t="s">
        <v>116</v>
      </c>
      <c r="D530" s="1" t="s">
        <v>1830</v>
      </c>
      <c r="E530" s="1" t="s">
        <v>72</v>
      </c>
      <c r="F530" s="3">
        <v>2152773.0</v>
      </c>
      <c r="G530" s="1" t="s">
        <v>3129</v>
      </c>
      <c r="H530" s="1">
        <f t="shared" si="1"/>
        <v>235.037437</v>
      </c>
      <c r="I530" s="1" t="s">
        <v>1090</v>
      </c>
      <c r="J530" s="1">
        <v>2408.0</v>
      </c>
    </row>
    <row r="531">
      <c r="A531" s="1">
        <v>2021.0</v>
      </c>
      <c r="B531" s="1">
        <v>10.0</v>
      </c>
      <c r="C531" s="1" t="s">
        <v>116</v>
      </c>
      <c r="D531" s="1" t="s">
        <v>544</v>
      </c>
      <c r="E531" s="1" t="s">
        <v>17</v>
      </c>
      <c r="F531" s="3">
        <v>1814924.0</v>
      </c>
      <c r="G531" s="1" t="s">
        <v>3130</v>
      </c>
      <c r="H531" s="1">
        <f t="shared" si="1"/>
        <v>191.259121</v>
      </c>
      <c r="I531" s="1" t="s">
        <v>3131</v>
      </c>
      <c r="J531" s="1">
        <v>1641.0</v>
      </c>
    </row>
    <row r="532">
      <c r="A532" s="1">
        <v>2021.0</v>
      </c>
      <c r="B532" s="1">
        <v>11.0</v>
      </c>
      <c r="C532" s="1" t="s">
        <v>12</v>
      </c>
      <c r="D532" s="1" t="s">
        <v>13</v>
      </c>
      <c r="E532" s="1" t="s">
        <v>14</v>
      </c>
      <c r="F532" s="3">
        <v>567832.0</v>
      </c>
      <c r="G532" s="1" t="s">
        <v>3132</v>
      </c>
      <c r="H532" s="1">
        <f t="shared" si="1"/>
        <v>632.659472</v>
      </c>
      <c r="I532" s="3">
        <v>2821501.0</v>
      </c>
      <c r="J532" s="1">
        <v>445.0</v>
      </c>
    </row>
    <row r="533">
      <c r="A533" s="1">
        <v>2021.0</v>
      </c>
      <c r="B533" s="1">
        <v>11.0</v>
      </c>
      <c r="C533" s="1" t="s">
        <v>12</v>
      </c>
      <c r="D533" s="1" t="s">
        <v>13</v>
      </c>
      <c r="E533" s="1" t="s">
        <v>17</v>
      </c>
      <c r="F533" s="1" t="s">
        <v>3133</v>
      </c>
      <c r="G533" s="1" t="s">
        <v>3134</v>
      </c>
      <c r="H533" s="1">
        <f t="shared" si="1"/>
        <v>4733.228104</v>
      </c>
      <c r="I533" s="1" t="s">
        <v>3135</v>
      </c>
      <c r="J533" s="1">
        <v>780.0</v>
      </c>
    </row>
    <row r="534">
      <c r="A534" s="1">
        <v>2021.0</v>
      </c>
      <c r="B534" s="1">
        <v>11.0</v>
      </c>
      <c r="C534" s="1" t="s">
        <v>12</v>
      </c>
      <c r="D534" s="1" t="s">
        <v>13</v>
      </c>
      <c r="E534" s="1" t="s">
        <v>21</v>
      </c>
      <c r="F534" s="1" t="s">
        <v>3136</v>
      </c>
      <c r="G534" s="1" t="s">
        <v>3137</v>
      </c>
      <c r="H534" s="1">
        <f t="shared" si="1"/>
        <v>5155.983123</v>
      </c>
      <c r="I534" s="1" t="s">
        <v>3138</v>
      </c>
      <c r="J534" s="1">
        <v>670.0</v>
      </c>
    </row>
    <row r="535">
      <c r="A535" s="1">
        <v>2021.0</v>
      </c>
      <c r="B535" s="1">
        <v>11.0</v>
      </c>
      <c r="C535" s="1" t="s">
        <v>12</v>
      </c>
      <c r="D535" s="1" t="s">
        <v>29</v>
      </c>
      <c r="E535" s="1" t="s">
        <v>14</v>
      </c>
      <c r="F535" s="1" t="s">
        <v>3139</v>
      </c>
      <c r="G535" s="1" t="s">
        <v>3140</v>
      </c>
      <c r="H535" s="1">
        <f t="shared" si="1"/>
        <v>15.142913</v>
      </c>
      <c r="I535" s="1" t="s">
        <v>3141</v>
      </c>
      <c r="J535" s="1">
        <v>11.0</v>
      </c>
    </row>
    <row r="536">
      <c r="A536" s="1">
        <v>2021.0</v>
      </c>
      <c r="B536" s="1">
        <v>11.0</v>
      </c>
      <c r="C536" s="1" t="s">
        <v>12</v>
      </c>
      <c r="D536" s="1" t="s">
        <v>29</v>
      </c>
      <c r="E536" s="1" t="s">
        <v>21</v>
      </c>
      <c r="F536" s="1" t="s">
        <v>3142</v>
      </c>
      <c r="G536" s="1" t="s">
        <v>3143</v>
      </c>
      <c r="H536" s="1">
        <f t="shared" si="1"/>
        <v>7939.393997</v>
      </c>
      <c r="I536" s="1" t="s">
        <v>3144</v>
      </c>
      <c r="J536" s="1">
        <v>766.0</v>
      </c>
    </row>
    <row r="537">
      <c r="A537" s="1">
        <v>2021.0</v>
      </c>
      <c r="B537" s="1">
        <v>11.0</v>
      </c>
      <c r="C537" s="1" t="s">
        <v>12</v>
      </c>
      <c r="D537" s="1" t="s">
        <v>38</v>
      </c>
      <c r="E537" s="1" t="s">
        <v>39</v>
      </c>
      <c r="F537" s="3">
        <v>2808017.0</v>
      </c>
      <c r="G537" s="1" t="s">
        <v>3145</v>
      </c>
      <c r="H537" s="1">
        <f t="shared" si="1"/>
        <v>322.443487</v>
      </c>
      <c r="I537" s="1" t="s">
        <v>3146</v>
      </c>
      <c r="J537" s="1">
        <v>196.0</v>
      </c>
    </row>
    <row r="538">
      <c r="A538" s="1">
        <v>2021.0</v>
      </c>
      <c r="B538" s="1">
        <v>11.0</v>
      </c>
      <c r="C538" s="1" t="s">
        <v>12</v>
      </c>
      <c r="D538" s="1" t="s">
        <v>48</v>
      </c>
      <c r="E538" s="1" t="s">
        <v>49</v>
      </c>
      <c r="F538" s="1" t="s">
        <v>2355</v>
      </c>
      <c r="G538" s="1" t="s">
        <v>3147</v>
      </c>
      <c r="H538" s="1">
        <f t="shared" si="1"/>
        <v>8.828719</v>
      </c>
      <c r="I538" s="1" t="s">
        <v>3148</v>
      </c>
      <c r="J538" s="1">
        <v>15.0</v>
      </c>
    </row>
    <row r="539">
      <c r="A539" s="1">
        <v>2021.0</v>
      </c>
      <c r="B539" s="1">
        <v>11.0</v>
      </c>
      <c r="C539" s="1" t="s">
        <v>12</v>
      </c>
      <c r="D539" s="1" t="s">
        <v>48</v>
      </c>
      <c r="E539" s="1" t="s">
        <v>21</v>
      </c>
      <c r="F539" s="3">
        <v>304614.0</v>
      </c>
      <c r="G539" s="1" t="s">
        <v>3149</v>
      </c>
      <c r="H539" s="1">
        <f t="shared" si="1"/>
        <v>180.083167</v>
      </c>
      <c r="I539" s="1" t="s">
        <v>3150</v>
      </c>
      <c r="J539" s="1">
        <v>186.0</v>
      </c>
    </row>
    <row r="540">
      <c r="A540" s="1">
        <v>2021.0</v>
      </c>
      <c r="B540" s="1">
        <v>11.0</v>
      </c>
      <c r="C540" s="1" t="s">
        <v>12</v>
      </c>
      <c r="D540" s="1" t="s">
        <v>45</v>
      </c>
      <c r="E540" s="1" t="s">
        <v>49</v>
      </c>
      <c r="F540" s="1" t="s">
        <v>3148</v>
      </c>
      <c r="G540" s="1" t="s">
        <v>3151</v>
      </c>
      <c r="H540" s="1">
        <f t="shared" si="1"/>
        <v>0.504921</v>
      </c>
      <c r="I540" s="1" t="s">
        <v>103</v>
      </c>
      <c r="J540" s="1">
        <v>2.0</v>
      </c>
    </row>
    <row r="541">
      <c r="A541" s="1">
        <v>2021.0</v>
      </c>
      <c r="B541" s="1">
        <v>11.0</v>
      </c>
      <c r="C541" s="1" t="s">
        <v>12</v>
      </c>
      <c r="D541" s="1" t="s">
        <v>45</v>
      </c>
      <c r="E541" s="1" t="s">
        <v>17</v>
      </c>
      <c r="F541" s="3">
        <v>2871904.0</v>
      </c>
      <c r="G541" s="1" t="s">
        <v>3152</v>
      </c>
      <c r="H541" s="1">
        <f t="shared" si="1"/>
        <v>158.905209</v>
      </c>
      <c r="I541" s="1" t="s">
        <v>3106</v>
      </c>
      <c r="J541" s="1">
        <v>188.0</v>
      </c>
    </row>
    <row r="542">
      <c r="A542" s="1">
        <v>2021.0</v>
      </c>
      <c r="B542" s="1">
        <v>11.0</v>
      </c>
      <c r="C542" s="1" t="s">
        <v>12</v>
      </c>
      <c r="D542" s="1" t="s">
        <v>42</v>
      </c>
      <c r="E542" s="1" t="s">
        <v>17</v>
      </c>
      <c r="F542" s="1" t="s">
        <v>3153</v>
      </c>
      <c r="G542" s="1" t="s">
        <v>3154</v>
      </c>
      <c r="H542" s="1">
        <f t="shared" si="1"/>
        <v>70.102819</v>
      </c>
      <c r="I542" s="1" t="s">
        <v>3155</v>
      </c>
      <c r="J542" s="1">
        <v>33.0</v>
      </c>
    </row>
    <row r="543">
      <c r="A543" s="1">
        <v>2021.0</v>
      </c>
      <c r="B543" s="1">
        <v>11.0</v>
      </c>
      <c r="C543" s="1" t="s">
        <v>12</v>
      </c>
      <c r="D543" s="1" t="s">
        <v>1830</v>
      </c>
      <c r="E543" s="1" t="s">
        <v>72</v>
      </c>
      <c r="F543" s="1" t="s">
        <v>3156</v>
      </c>
      <c r="G543" s="1" t="s">
        <v>3157</v>
      </c>
      <c r="H543" s="1">
        <f t="shared" si="1"/>
        <v>69.379221</v>
      </c>
      <c r="I543" s="1" t="s">
        <v>3158</v>
      </c>
      <c r="J543" s="1">
        <v>235.0</v>
      </c>
    </row>
    <row r="544">
      <c r="A544" s="1">
        <v>2021.0</v>
      </c>
      <c r="B544" s="1">
        <v>11.0</v>
      </c>
      <c r="C544" s="1" t="s">
        <v>12</v>
      </c>
      <c r="D544" s="1" t="s">
        <v>2082</v>
      </c>
      <c r="E544" s="1" t="s">
        <v>21</v>
      </c>
      <c r="F544" s="1" t="s">
        <v>3159</v>
      </c>
      <c r="G544" s="1" t="s">
        <v>3160</v>
      </c>
      <c r="H544" s="1">
        <f t="shared" si="1"/>
        <v>31.865635</v>
      </c>
      <c r="I544" s="1" t="s">
        <v>1141</v>
      </c>
      <c r="J544" s="1">
        <v>0.0</v>
      </c>
    </row>
    <row r="545">
      <c r="A545" s="1">
        <v>2021.0</v>
      </c>
      <c r="B545" s="1">
        <v>11.0</v>
      </c>
      <c r="C545" s="1" t="s">
        <v>12</v>
      </c>
      <c r="D545" s="1" t="s">
        <v>848</v>
      </c>
      <c r="E545" s="1" t="s">
        <v>21</v>
      </c>
      <c r="F545" s="1" t="s">
        <v>3161</v>
      </c>
      <c r="G545" s="1" t="s">
        <v>3162</v>
      </c>
      <c r="H545" s="1">
        <f t="shared" si="1"/>
        <v>26.838243</v>
      </c>
      <c r="I545" s="1" t="s">
        <v>582</v>
      </c>
      <c r="J545" s="1">
        <v>53.0</v>
      </c>
    </row>
    <row r="546">
      <c r="A546" s="1">
        <v>2021.0</v>
      </c>
      <c r="B546" s="1">
        <v>11.0</v>
      </c>
      <c r="C546" s="1" t="s">
        <v>12</v>
      </c>
      <c r="D546" s="1" t="s">
        <v>60</v>
      </c>
      <c r="E546" s="1" t="s">
        <v>39</v>
      </c>
      <c r="F546" s="1" t="s">
        <v>3163</v>
      </c>
      <c r="G546" s="1" t="s">
        <v>3164</v>
      </c>
      <c r="H546" s="1">
        <f t="shared" si="1"/>
        <v>25.916124</v>
      </c>
      <c r="I546" s="1" t="s">
        <v>3165</v>
      </c>
      <c r="J546" s="1">
        <v>64.0</v>
      </c>
    </row>
    <row r="547">
      <c r="A547" s="1">
        <v>2021.0</v>
      </c>
      <c r="B547" s="1">
        <v>11.0</v>
      </c>
      <c r="C547" s="1" t="s">
        <v>12</v>
      </c>
      <c r="D547" s="1" t="s">
        <v>60</v>
      </c>
      <c r="E547" s="1" t="s">
        <v>17</v>
      </c>
      <c r="F547" s="1" t="s">
        <v>414</v>
      </c>
      <c r="G547" s="1" t="s">
        <v>3166</v>
      </c>
      <c r="H547" s="1">
        <f t="shared" si="1"/>
        <v>0.069621</v>
      </c>
      <c r="I547" s="1" t="s">
        <v>333</v>
      </c>
      <c r="J547" s="1">
        <v>2.0</v>
      </c>
    </row>
    <row r="548">
      <c r="A548" s="1">
        <v>2021.0</v>
      </c>
      <c r="B548" s="1">
        <v>11.0</v>
      </c>
      <c r="C548" s="1" t="s">
        <v>68</v>
      </c>
      <c r="D548" s="1" t="s">
        <v>13</v>
      </c>
      <c r="E548" s="1" t="s">
        <v>14</v>
      </c>
      <c r="F548" s="1" t="s">
        <v>3167</v>
      </c>
      <c r="G548" s="1" t="s">
        <v>3168</v>
      </c>
      <c r="H548" s="1">
        <f t="shared" si="1"/>
        <v>1862.527017</v>
      </c>
      <c r="I548" s="3">
        <v>1506017.0</v>
      </c>
      <c r="J548" s="1">
        <v>5924.0</v>
      </c>
    </row>
    <row r="549">
      <c r="A549" s="1">
        <v>2021.0</v>
      </c>
      <c r="B549" s="1">
        <v>11.0</v>
      </c>
      <c r="C549" s="1" t="s">
        <v>68</v>
      </c>
      <c r="D549" s="1" t="s">
        <v>13</v>
      </c>
      <c r="E549" s="1" t="s">
        <v>17</v>
      </c>
      <c r="F549" s="1" t="s">
        <v>3170</v>
      </c>
      <c r="G549" s="1" t="s">
        <v>3171</v>
      </c>
      <c r="H549" s="1">
        <f t="shared" si="1"/>
        <v>6276.647956</v>
      </c>
      <c r="I549" s="1" t="s">
        <v>3172</v>
      </c>
      <c r="J549" s="1">
        <v>10158.0</v>
      </c>
    </row>
    <row r="550">
      <c r="A550" s="1">
        <v>2021.0</v>
      </c>
      <c r="B550" s="1">
        <v>11.0</v>
      </c>
      <c r="C550" s="1" t="s">
        <v>68</v>
      </c>
      <c r="D550" s="1" t="s">
        <v>13</v>
      </c>
      <c r="E550" s="1" t="s">
        <v>21</v>
      </c>
      <c r="F550" s="3">
        <v>2775115.0</v>
      </c>
      <c r="G550" s="1" t="s">
        <v>3173</v>
      </c>
      <c r="H550" s="1">
        <f t="shared" si="1"/>
        <v>303.855443</v>
      </c>
      <c r="I550" s="1" t="s">
        <v>3174</v>
      </c>
      <c r="J550" s="1">
        <v>545.0</v>
      </c>
    </row>
    <row r="551">
      <c r="A551" s="1">
        <v>2021.0</v>
      </c>
      <c r="B551" s="1">
        <v>11.0</v>
      </c>
      <c r="C551" s="1" t="s">
        <v>68</v>
      </c>
      <c r="D551" s="1" t="s">
        <v>13</v>
      </c>
      <c r="E551" s="1" t="s">
        <v>25</v>
      </c>
      <c r="F551" s="1" t="s">
        <v>3175</v>
      </c>
      <c r="G551" s="1" t="s">
        <v>3176</v>
      </c>
      <c r="H551" s="1">
        <f t="shared" si="1"/>
        <v>44.648981</v>
      </c>
      <c r="I551" s="1" t="s">
        <v>1669</v>
      </c>
      <c r="J551" s="1">
        <v>163.0</v>
      </c>
    </row>
    <row r="552">
      <c r="A552" s="1">
        <v>2021.0</v>
      </c>
      <c r="B552" s="1">
        <v>11.0</v>
      </c>
      <c r="C552" s="1" t="s">
        <v>68</v>
      </c>
      <c r="D552" s="1" t="s">
        <v>29</v>
      </c>
      <c r="E552" s="1" t="s">
        <v>14</v>
      </c>
      <c r="F552" s="1" t="s">
        <v>1005</v>
      </c>
      <c r="G552" s="1" t="s">
        <v>3177</v>
      </c>
      <c r="H552" s="1">
        <f t="shared" si="1"/>
        <v>3.119435</v>
      </c>
      <c r="I552" s="1" t="s">
        <v>3178</v>
      </c>
      <c r="J552" s="1">
        <v>8.0</v>
      </c>
    </row>
    <row r="553">
      <c r="A553" s="1">
        <v>2021.0</v>
      </c>
      <c r="B553" s="1">
        <v>11.0</v>
      </c>
      <c r="C553" s="1" t="s">
        <v>68</v>
      </c>
      <c r="D553" s="1" t="s">
        <v>29</v>
      </c>
      <c r="E553" s="1" t="s">
        <v>21</v>
      </c>
      <c r="F553" s="3" t="s">
        <v>3180</v>
      </c>
      <c r="G553" s="1" t="s">
        <v>3181</v>
      </c>
      <c r="H553" s="1">
        <f t="shared" si="1"/>
        <v>1411.382657</v>
      </c>
      <c r="I553" s="3">
        <v>262670.0</v>
      </c>
      <c r="J553" s="1">
        <v>1619.0</v>
      </c>
    </row>
    <row r="554">
      <c r="A554" s="1">
        <v>2021.0</v>
      </c>
      <c r="B554" s="1">
        <v>11.0</v>
      </c>
      <c r="C554" s="1" t="s">
        <v>68</v>
      </c>
      <c r="D554" s="1" t="s">
        <v>38</v>
      </c>
      <c r="E554" s="1" t="s">
        <v>39</v>
      </c>
      <c r="F554" s="1" t="s">
        <v>3182</v>
      </c>
      <c r="G554" s="1" t="s">
        <v>3183</v>
      </c>
      <c r="H554" s="1">
        <f t="shared" si="1"/>
        <v>911.959193</v>
      </c>
      <c r="I554" s="3">
        <v>2398185.0</v>
      </c>
      <c r="J554" s="1">
        <v>3204.0</v>
      </c>
    </row>
    <row r="555">
      <c r="A555" s="1">
        <v>2021.0</v>
      </c>
      <c r="B555" s="1">
        <v>11.0</v>
      </c>
      <c r="C555" s="1" t="s">
        <v>68</v>
      </c>
      <c r="D555" s="1" t="s">
        <v>45</v>
      </c>
      <c r="E555" s="1" t="s">
        <v>49</v>
      </c>
      <c r="F555" s="1" t="s">
        <v>3185</v>
      </c>
      <c r="G555" s="1" t="s">
        <v>3186</v>
      </c>
      <c r="H555" s="1">
        <f t="shared" si="1"/>
        <v>42.92005</v>
      </c>
      <c r="I555" s="1" t="s">
        <v>3187</v>
      </c>
      <c r="J555" s="1">
        <v>123.0</v>
      </c>
    </row>
    <row r="556">
      <c r="A556" s="1">
        <v>2021.0</v>
      </c>
      <c r="B556" s="1">
        <v>11.0</v>
      </c>
      <c r="C556" s="1" t="s">
        <v>68</v>
      </c>
      <c r="D556" s="1" t="s">
        <v>45</v>
      </c>
      <c r="E556" s="1" t="s">
        <v>17</v>
      </c>
      <c r="F556" s="3" t="s">
        <v>3188</v>
      </c>
      <c r="G556" s="1" t="s">
        <v>3189</v>
      </c>
      <c r="H556" s="1">
        <f t="shared" si="1"/>
        <v>709.762952</v>
      </c>
      <c r="I556" s="1" t="s">
        <v>3190</v>
      </c>
      <c r="J556" s="1">
        <v>1420.0</v>
      </c>
    </row>
    <row r="557">
      <c r="A557" s="1">
        <v>2021.0</v>
      </c>
      <c r="B557" s="1">
        <v>11.0</v>
      </c>
      <c r="C557" s="1" t="s">
        <v>68</v>
      </c>
      <c r="D557" s="1" t="s">
        <v>1851</v>
      </c>
      <c r="E557" s="1" t="s">
        <v>17</v>
      </c>
      <c r="F557" s="3">
        <v>1778033.0</v>
      </c>
      <c r="G557" s="1" t="s">
        <v>3191</v>
      </c>
      <c r="H557" s="1">
        <f t="shared" si="1"/>
        <v>167.301944</v>
      </c>
      <c r="I557" s="3" t="s">
        <v>3192</v>
      </c>
      <c r="J557" s="1">
        <v>788.0</v>
      </c>
    </row>
    <row r="558">
      <c r="A558" s="1">
        <v>2021.0</v>
      </c>
      <c r="B558" s="1">
        <v>11.0</v>
      </c>
      <c r="C558" s="1" t="s">
        <v>68</v>
      </c>
      <c r="D558" s="1" t="s">
        <v>1851</v>
      </c>
      <c r="E558" s="1" t="s">
        <v>21</v>
      </c>
      <c r="F558" s="3">
        <v>369627.0</v>
      </c>
      <c r="G558" s="1" t="s">
        <v>3193</v>
      </c>
      <c r="H558" s="1">
        <f t="shared" si="1"/>
        <v>91.374932</v>
      </c>
      <c r="I558" s="1" t="s">
        <v>3194</v>
      </c>
      <c r="J558" s="1">
        <v>1002.0</v>
      </c>
    </row>
    <row r="559">
      <c r="A559" s="1">
        <v>2021.0</v>
      </c>
      <c r="B559" s="1">
        <v>11.0</v>
      </c>
      <c r="C559" s="1" t="s">
        <v>68</v>
      </c>
      <c r="D559" s="1" t="s">
        <v>1830</v>
      </c>
      <c r="E559" s="1" t="s">
        <v>72</v>
      </c>
      <c r="F559" s="3">
        <v>2733843.0</v>
      </c>
      <c r="G559" s="1" t="s">
        <v>3195</v>
      </c>
      <c r="H559" s="1">
        <f t="shared" si="1"/>
        <v>170.223986</v>
      </c>
      <c r="I559" s="1" t="s">
        <v>3196</v>
      </c>
      <c r="J559" s="1">
        <v>1671.0</v>
      </c>
    </row>
    <row r="560">
      <c r="A560" s="1">
        <v>2021.0</v>
      </c>
      <c r="B560" s="1">
        <v>11.0</v>
      </c>
      <c r="C560" s="1" t="s">
        <v>68</v>
      </c>
      <c r="D560" s="1" t="s">
        <v>32</v>
      </c>
      <c r="E560" s="1" t="s">
        <v>14</v>
      </c>
      <c r="F560" s="3" t="s">
        <v>3197</v>
      </c>
      <c r="G560" s="1" t="s">
        <v>3198</v>
      </c>
      <c r="H560" s="1">
        <f t="shared" si="1"/>
        <v>141.777357</v>
      </c>
      <c r="I560" s="1" t="s">
        <v>3199</v>
      </c>
      <c r="J560" s="1">
        <v>673.0</v>
      </c>
    </row>
    <row r="561">
      <c r="A561" s="1">
        <v>2021.0</v>
      </c>
      <c r="B561" s="1">
        <v>11.0</v>
      </c>
      <c r="C561" s="1" t="s">
        <v>68</v>
      </c>
      <c r="D561" s="1" t="s">
        <v>32</v>
      </c>
      <c r="E561" s="1" t="s">
        <v>21</v>
      </c>
      <c r="F561" s="1" t="s">
        <v>3200</v>
      </c>
      <c r="G561" s="1" t="s">
        <v>3201</v>
      </c>
      <c r="H561" s="1">
        <f t="shared" si="1"/>
        <v>9.832527</v>
      </c>
      <c r="I561" s="1" t="s">
        <v>3202</v>
      </c>
      <c r="J561" s="1">
        <v>111.0</v>
      </c>
    </row>
    <row r="562">
      <c r="A562" s="1">
        <v>2021.0</v>
      </c>
      <c r="B562" s="1">
        <v>11.0</v>
      </c>
      <c r="C562" s="1" t="s">
        <v>68</v>
      </c>
      <c r="D562" s="1" t="s">
        <v>2088</v>
      </c>
      <c r="E562" s="1" t="s">
        <v>21</v>
      </c>
      <c r="F562" s="3" t="s">
        <v>3204</v>
      </c>
      <c r="G562" s="1" t="s">
        <v>3205</v>
      </c>
      <c r="H562" s="1">
        <f t="shared" si="1"/>
        <v>150.476249</v>
      </c>
      <c r="I562" s="1" t="s">
        <v>3206</v>
      </c>
      <c r="J562" s="1">
        <v>660.0</v>
      </c>
    </row>
    <row r="563">
      <c r="A563" s="1">
        <v>2021.0</v>
      </c>
      <c r="B563" s="1">
        <v>11.0</v>
      </c>
      <c r="C563" s="1" t="s">
        <v>68</v>
      </c>
      <c r="D563" s="1" t="s">
        <v>544</v>
      </c>
      <c r="E563" s="1" t="s">
        <v>17</v>
      </c>
      <c r="F563" s="3">
        <v>1657838.0</v>
      </c>
      <c r="G563" s="1" t="s">
        <v>3207</v>
      </c>
      <c r="H563" s="1">
        <f t="shared" si="1"/>
        <v>116.172805</v>
      </c>
      <c r="I563" s="1" t="s">
        <v>3208</v>
      </c>
      <c r="J563" s="1">
        <v>1077.0</v>
      </c>
    </row>
    <row r="564">
      <c r="A564" s="1">
        <v>2021.0</v>
      </c>
      <c r="B564" s="1">
        <v>11.0</v>
      </c>
      <c r="C564" s="1" t="s">
        <v>68</v>
      </c>
      <c r="D564" s="1" t="s">
        <v>42</v>
      </c>
      <c r="E564" s="1" t="s">
        <v>17</v>
      </c>
      <c r="F564" s="1" t="s">
        <v>3210</v>
      </c>
      <c r="G564" s="1" t="s">
        <v>3211</v>
      </c>
      <c r="H564" s="1">
        <f t="shared" si="1"/>
        <v>103.764818</v>
      </c>
      <c r="I564" s="1" t="s">
        <v>2866</v>
      </c>
      <c r="J564" s="1">
        <v>0.0</v>
      </c>
    </row>
    <row r="565">
      <c r="A565" s="1">
        <v>2021.0</v>
      </c>
      <c r="B565" s="1">
        <v>11.0</v>
      </c>
      <c r="C565" s="1" t="s">
        <v>116</v>
      </c>
      <c r="D565" s="1" t="s">
        <v>13</v>
      </c>
      <c r="E565" s="1" t="s">
        <v>14</v>
      </c>
      <c r="F565" s="1" t="s">
        <v>3212</v>
      </c>
      <c r="G565" s="1" t="s">
        <v>3213</v>
      </c>
      <c r="H565" s="1">
        <f t="shared" si="1"/>
        <v>5751.850419</v>
      </c>
      <c r="I565" s="1" t="s">
        <v>3214</v>
      </c>
      <c r="J565" s="1">
        <v>11309.0</v>
      </c>
    </row>
    <row r="566">
      <c r="A566" s="1">
        <v>2021.0</v>
      </c>
      <c r="B566" s="1">
        <v>11.0</v>
      </c>
      <c r="C566" s="1" t="s">
        <v>116</v>
      </c>
      <c r="D566" s="1" t="s">
        <v>13</v>
      </c>
      <c r="E566" s="1" t="s">
        <v>17</v>
      </c>
      <c r="F566" s="1" t="s">
        <v>3215</v>
      </c>
      <c r="G566" s="1" t="s">
        <v>3216</v>
      </c>
      <c r="H566" s="1">
        <f t="shared" si="1"/>
        <v>13843.01025</v>
      </c>
      <c r="I566" s="1" t="s">
        <v>3217</v>
      </c>
      <c r="J566" s="1">
        <v>17986.0</v>
      </c>
    </row>
    <row r="567">
      <c r="A567" s="1">
        <v>2021.0</v>
      </c>
      <c r="B567" s="1">
        <v>11.0</v>
      </c>
      <c r="C567" s="1" t="s">
        <v>116</v>
      </c>
      <c r="D567" s="1" t="s">
        <v>13</v>
      </c>
      <c r="E567" s="1" t="s">
        <v>21</v>
      </c>
      <c r="F567" s="1" t="s">
        <v>3218</v>
      </c>
      <c r="G567" s="1" t="s">
        <v>3219</v>
      </c>
      <c r="H567" s="1">
        <f t="shared" si="1"/>
        <v>1613.783187</v>
      </c>
      <c r="I567" s="3">
        <v>1359221.0</v>
      </c>
      <c r="J567" s="1">
        <v>721.0</v>
      </c>
    </row>
    <row r="568">
      <c r="A568" s="1">
        <v>2021.0</v>
      </c>
      <c r="B568" s="1">
        <v>11.0</v>
      </c>
      <c r="C568" s="1" t="s">
        <v>116</v>
      </c>
      <c r="D568" s="1" t="s">
        <v>13</v>
      </c>
      <c r="E568" s="1" t="s">
        <v>25</v>
      </c>
      <c r="F568" s="1" t="s">
        <v>3220</v>
      </c>
      <c r="G568" s="1" t="s">
        <v>3221</v>
      </c>
      <c r="H568" s="1">
        <f t="shared" si="1"/>
        <v>1.818643</v>
      </c>
      <c r="I568" s="1" t="s">
        <v>3222</v>
      </c>
      <c r="J568" s="1">
        <v>3.0</v>
      </c>
    </row>
    <row r="569">
      <c r="A569" s="1">
        <v>2021.0</v>
      </c>
      <c r="B569" s="1">
        <v>11.0</v>
      </c>
      <c r="C569" s="1" t="s">
        <v>116</v>
      </c>
      <c r="D569" s="1" t="s">
        <v>29</v>
      </c>
      <c r="E569" s="1" t="s">
        <v>14</v>
      </c>
      <c r="F569" s="1" t="s">
        <v>3223</v>
      </c>
      <c r="G569" s="1" t="s">
        <v>3224</v>
      </c>
      <c r="H569" s="1">
        <f t="shared" si="1"/>
        <v>116.186596</v>
      </c>
      <c r="I569" s="1" t="s">
        <v>3225</v>
      </c>
      <c r="J569" s="1">
        <v>252.0</v>
      </c>
    </row>
    <row r="570">
      <c r="A570" s="1">
        <v>2021.0</v>
      </c>
      <c r="B570" s="1">
        <v>11.0</v>
      </c>
      <c r="C570" s="1" t="s">
        <v>116</v>
      </c>
      <c r="D570" s="1" t="s">
        <v>29</v>
      </c>
      <c r="E570" s="1" t="s">
        <v>21</v>
      </c>
      <c r="F570" s="1" t="s">
        <v>3226</v>
      </c>
      <c r="G570" s="1" t="s">
        <v>3227</v>
      </c>
      <c r="H570" s="1">
        <f t="shared" si="1"/>
        <v>8723.807701</v>
      </c>
      <c r="I570" s="1" t="s">
        <v>3228</v>
      </c>
      <c r="J570" s="1">
        <v>4650.0</v>
      </c>
    </row>
    <row r="571">
      <c r="A571" s="1">
        <v>2021.0</v>
      </c>
      <c r="B571" s="1">
        <v>11.0</v>
      </c>
      <c r="C571" s="1" t="s">
        <v>116</v>
      </c>
      <c r="D571" s="1" t="s">
        <v>45</v>
      </c>
      <c r="E571" s="1" t="s">
        <v>49</v>
      </c>
      <c r="F571" s="3">
        <v>1139924.0</v>
      </c>
      <c r="G571" s="1" t="s">
        <v>3229</v>
      </c>
      <c r="H571" s="1">
        <f t="shared" si="1"/>
        <v>94.162771</v>
      </c>
      <c r="I571" s="1" t="s">
        <v>3230</v>
      </c>
      <c r="J571" s="1">
        <v>299.0</v>
      </c>
    </row>
    <row r="572">
      <c r="A572" s="1">
        <v>2021.0</v>
      </c>
      <c r="B572" s="1">
        <v>11.0</v>
      </c>
      <c r="C572" s="1" t="s">
        <v>116</v>
      </c>
      <c r="D572" s="1" t="s">
        <v>45</v>
      </c>
      <c r="E572" s="1" t="s">
        <v>17</v>
      </c>
      <c r="F572" s="1" t="s">
        <v>3231</v>
      </c>
      <c r="G572" s="1" t="s">
        <v>3232</v>
      </c>
      <c r="H572" s="1">
        <f t="shared" si="1"/>
        <v>1961.295407</v>
      </c>
      <c r="I572" s="3">
        <v>145308.0</v>
      </c>
      <c r="J572" s="1">
        <v>1922.0</v>
      </c>
    </row>
    <row r="573">
      <c r="A573" s="1">
        <v>2021.0</v>
      </c>
      <c r="B573" s="1">
        <v>11.0</v>
      </c>
      <c r="C573" s="1" t="s">
        <v>116</v>
      </c>
      <c r="D573" s="1" t="s">
        <v>38</v>
      </c>
      <c r="E573" s="1" t="s">
        <v>39</v>
      </c>
      <c r="F573" s="1" t="s">
        <v>3233</v>
      </c>
      <c r="G573" s="1" t="s">
        <v>3234</v>
      </c>
      <c r="H573" s="1">
        <f t="shared" si="1"/>
        <v>1502.999939</v>
      </c>
      <c r="I573" s="3">
        <v>2837237.0</v>
      </c>
      <c r="J573" s="1">
        <v>4821.0</v>
      </c>
    </row>
    <row r="574">
      <c r="A574" s="1">
        <v>2021.0</v>
      </c>
      <c r="B574" s="1">
        <v>11.0</v>
      </c>
      <c r="C574" s="1" t="s">
        <v>116</v>
      </c>
      <c r="D574" s="1" t="s">
        <v>1851</v>
      </c>
      <c r="E574" s="1" t="s">
        <v>17</v>
      </c>
      <c r="F574" s="3" t="s">
        <v>3235</v>
      </c>
      <c r="G574" s="1" t="s">
        <v>3236</v>
      </c>
      <c r="H574" s="1">
        <f t="shared" si="1"/>
        <v>479.585418</v>
      </c>
      <c r="I574" s="3" t="s">
        <v>3237</v>
      </c>
      <c r="J574" s="1">
        <v>2321.0</v>
      </c>
    </row>
    <row r="575">
      <c r="A575" s="1">
        <v>2021.0</v>
      </c>
      <c r="B575" s="1">
        <v>11.0</v>
      </c>
      <c r="C575" s="1" t="s">
        <v>116</v>
      </c>
      <c r="D575" s="1" t="s">
        <v>1851</v>
      </c>
      <c r="E575" s="1" t="s">
        <v>21</v>
      </c>
      <c r="F575" s="3">
        <v>1914238.0</v>
      </c>
      <c r="G575" s="1" t="s">
        <v>3238</v>
      </c>
      <c r="H575" s="1">
        <f t="shared" si="1"/>
        <v>119.786021</v>
      </c>
      <c r="I575" s="1" t="s">
        <v>3239</v>
      </c>
      <c r="J575" s="1">
        <v>1202.0</v>
      </c>
    </row>
    <row r="576">
      <c r="A576" s="1">
        <v>2021.0</v>
      </c>
      <c r="B576" s="1">
        <v>11.0</v>
      </c>
      <c r="C576" s="1" t="s">
        <v>116</v>
      </c>
      <c r="D576" s="1" t="s">
        <v>42</v>
      </c>
      <c r="E576" s="1" t="s">
        <v>17</v>
      </c>
      <c r="F576" s="1" t="s">
        <v>3240</v>
      </c>
      <c r="G576" s="1" t="s">
        <v>3241</v>
      </c>
      <c r="H576" s="1">
        <f t="shared" si="1"/>
        <v>378.372655</v>
      </c>
      <c r="I576" s="1" t="s">
        <v>3242</v>
      </c>
      <c r="J576" s="1">
        <v>0.0</v>
      </c>
    </row>
    <row r="577">
      <c r="A577" s="1">
        <v>2021.0</v>
      </c>
      <c r="B577" s="1">
        <v>11.0</v>
      </c>
      <c r="C577" s="1" t="s">
        <v>116</v>
      </c>
      <c r="D577" s="1" t="s">
        <v>147</v>
      </c>
      <c r="E577" s="1" t="s">
        <v>39</v>
      </c>
      <c r="F577" s="3" t="s">
        <v>3243</v>
      </c>
      <c r="G577" s="1" t="s">
        <v>3245</v>
      </c>
      <c r="H577" s="1">
        <f t="shared" si="1"/>
        <v>321.767696</v>
      </c>
      <c r="I577" s="1" t="s">
        <v>3247</v>
      </c>
      <c r="J577" s="1">
        <v>108.0</v>
      </c>
    </row>
    <row r="578">
      <c r="A578" s="1">
        <v>2021.0</v>
      </c>
      <c r="B578" s="1">
        <v>11.0</v>
      </c>
      <c r="C578" s="1" t="s">
        <v>116</v>
      </c>
      <c r="D578" s="1" t="s">
        <v>147</v>
      </c>
      <c r="E578" s="1" t="s">
        <v>17</v>
      </c>
      <c r="F578" s="1" t="s">
        <v>1418</v>
      </c>
      <c r="G578" s="1" t="s">
        <v>3248</v>
      </c>
      <c r="H578" s="1">
        <f t="shared" si="1"/>
        <v>7.170603</v>
      </c>
      <c r="I578" s="1" t="s">
        <v>1413</v>
      </c>
      <c r="J578" s="1">
        <v>5.0</v>
      </c>
    </row>
    <row r="579">
      <c r="A579" s="1">
        <v>2021.0</v>
      </c>
      <c r="B579" s="1">
        <v>11.0</v>
      </c>
      <c r="C579" s="1" t="s">
        <v>116</v>
      </c>
      <c r="D579" s="1" t="s">
        <v>147</v>
      </c>
      <c r="E579" s="1" t="s">
        <v>21</v>
      </c>
      <c r="F579" s="1" t="s">
        <v>3249</v>
      </c>
      <c r="G579" s="1" t="s">
        <v>3250</v>
      </c>
      <c r="H579" s="1">
        <f t="shared" si="1"/>
        <v>24.183679</v>
      </c>
      <c r="I579" s="1" t="s">
        <v>3122</v>
      </c>
      <c r="J579" s="1">
        <v>39.0</v>
      </c>
    </row>
    <row r="580">
      <c r="A580" s="1">
        <v>2021.0</v>
      </c>
      <c r="B580" s="1">
        <v>11.0</v>
      </c>
      <c r="C580" s="1" t="s">
        <v>116</v>
      </c>
      <c r="D580" s="1" t="s">
        <v>1830</v>
      </c>
      <c r="E580" s="1" t="s">
        <v>72</v>
      </c>
      <c r="F580" s="3">
        <v>2411027.0</v>
      </c>
      <c r="G580" s="1" t="s">
        <v>3251</v>
      </c>
      <c r="H580" s="1">
        <f t="shared" si="1"/>
        <v>311.613187</v>
      </c>
      <c r="I580" s="1" t="s">
        <v>3253</v>
      </c>
      <c r="J580" s="1">
        <v>2984.0</v>
      </c>
    </row>
    <row r="581">
      <c r="A581" s="1">
        <v>2021.0</v>
      </c>
      <c r="B581" s="1">
        <v>11.0</v>
      </c>
      <c r="C581" s="1" t="s">
        <v>116</v>
      </c>
      <c r="D581" s="1" t="s">
        <v>48</v>
      </c>
      <c r="E581" s="1" t="s">
        <v>49</v>
      </c>
      <c r="F581" s="1" t="s">
        <v>3254</v>
      </c>
      <c r="G581" s="1" t="s">
        <v>3255</v>
      </c>
      <c r="H581" s="1">
        <f t="shared" si="1"/>
        <v>119.615482</v>
      </c>
      <c r="I581" s="1" t="s">
        <v>793</v>
      </c>
      <c r="J581" s="1">
        <v>0.0</v>
      </c>
    </row>
    <row r="582">
      <c r="A582" s="1">
        <v>2021.0</v>
      </c>
      <c r="B582" s="1">
        <v>11.0</v>
      </c>
      <c r="C582" s="1" t="s">
        <v>116</v>
      </c>
      <c r="D582" s="1" t="s">
        <v>48</v>
      </c>
      <c r="E582" s="1" t="s">
        <v>72</v>
      </c>
      <c r="F582" s="1" t="s">
        <v>331</v>
      </c>
      <c r="G582" s="1" t="s">
        <v>3256</v>
      </c>
      <c r="H582" s="1">
        <f t="shared" si="1"/>
        <v>0.526536</v>
      </c>
      <c r="I582" s="1" t="s">
        <v>674</v>
      </c>
      <c r="J582" s="1">
        <v>0.0</v>
      </c>
    </row>
    <row r="583">
      <c r="A583" s="1">
        <v>2021.0</v>
      </c>
      <c r="B583" s="1">
        <v>11.0</v>
      </c>
      <c r="C583" s="1" t="s">
        <v>116</v>
      </c>
      <c r="D583" s="1" t="s">
        <v>48</v>
      </c>
      <c r="E583" s="1" t="s">
        <v>21</v>
      </c>
      <c r="F583" s="3" t="s">
        <v>3259</v>
      </c>
      <c r="G583" s="1" t="s">
        <v>3260</v>
      </c>
      <c r="H583" s="1">
        <f t="shared" si="1"/>
        <v>150.34304</v>
      </c>
      <c r="I583" s="1" t="s">
        <v>3261</v>
      </c>
      <c r="J583" s="1">
        <v>0.0</v>
      </c>
    </row>
    <row r="584">
      <c r="A584" s="1">
        <v>2021.0</v>
      </c>
      <c r="B584" s="1">
        <v>11.0</v>
      </c>
      <c r="C584" s="1" t="s">
        <v>116</v>
      </c>
      <c r="D584" s="1" t="s">
        <v>1949</v>
      </c>
      <c r="E584" s="1" t="s">
        <v>14</v>
      </c>
      <c r="F584" s="1" t="s">
        <v>3262</v>
      </c>
      <c r="G584" s="1" t="s">
        <v>3263</v>
      </c>
      <c r="H584" s="1">
        <f t="shared" si="1"/>
        <v>139.085529</v>
      </c>
      <c r="I584" s="1" t="s">
        <v>3264</v>
      </c>
      <c r="J584" s="1">
        <v>0.0</v>
      </c>
    </row>
    <row r="585">
      <c r="A585" s="1">
        <v>2021.0</v>
      </c>
      <c r="B585" s="1">
        <v>11.0</v>
      </c>
      <c r="C585" s="1" t="s">
        <v>116</v>
      </c>
      <c r="D585" s="1" t="s">
        <v>1949</v>
      </c>
      <c r="E585" s="1" t="s">
        <v>17</v>
      </c>
      <c r="F585" s="1" t="s">
        <v>3265</v>
      </c>
      <c r="G585" s="1" t="s">
        <v>3266</v>
      </c>
      <c r="H585" s="1">
        <f t="shared" si="1"/>
        <v>129.399208</v>
      </c>
      <c r="I585" s="1" t="s">
        <v>3045</v>
      </c>
      <c r="J585" s="1">
        <v>0.0</v>
      </c>
    </row>
    <row r="586">
      <c r="A586" s="1">
        <v>2021.0</v>
      </c>
      <c r="B586" s="1">
        <v>12.0</v>
      </c>
      <c r="C586" s="1" t="s">
        <v>12</v>
      </c>
      <c r="D586" s="1" t="s">
        <v>13</v>
      </c>
      <c r="E586" s="1" t="s">
        <v>14</v>
      </c>
      <c r="F586" s="3">
        <v>355596.0</v>
      </c>
      <c r="G586" s="1" t="s">
        <v>3268</v>
      </c>
      <c r="H586" s="1">
        <f t="shared" si="1"/>
        <v>584.439645</v>
      </c>
      <c r="I586" s="3">
        <v>2009931.0</v>
      </c>
      <c r="J586" s="1">
        <v>484.0</v>
      </c>
    </row>
    <row r="587">
      <c r="A587" s="1">
        <v>2021.0</v>
      </c>
      <c r="B587" s="1">
        <v>12.0</v>
      </c>
      <c r="C587" s="1" t="s">
        <v>12</v>
      </c>
      <c r="D587" s="1" t="s">
        <v>13</v>
      </c>
      <c r="E587" s="1" t="s">
        <v>17</v>
      </c>
      <c r="F587" s="1" t="s">
        <v>3269</v>
      </c>
      <c r="G587" s="1" t="s">
        <v>3270</v>
      </c>
      <c r="H587" s="1">
        <f t="shared" si="1"/>
        <v>5261.899307</v>
      </c>
      <c r="I587" s="1" t="s">
        <v>3271</v>
      </c>
      <c r="J587" s="1">
        <v>782.0</v>
      </c>
    </row>
    <row r="588">
      <c r="A588" s="1">
        <v>2021.0</v>
      </c>
      <c r="B588" s="1">
        <v>12.0</v>
      </c>
      <c r="C588" s="1" t="s">
        <v>12</v>
      </c>
      <c r="D588" s="1" t="s">
        <v>13</v>
      </c>
      <c r="E588" s="1" t="s">
        <v>21</v>
      </c>
      <c r="F588" s="1" t="s">
        <v>3272</v>
      </c>
      <c r="G588" s="1" t="s">
        <v>3273</v>
      </c>
      <c r="H588" s="1">
        <f t="shared" si="1"/>
        <v>4483.308138</v>
      </c>
      <c r="I588" s="1" t="s">
        <v>3274</v>
      </c>
      <c r="J588" s="1">
        <v>666.0</v>
      </c>
    </row>
    <row r="589">
      <c r="A589" s="1">
        <v>2021.0</v>
      </c>
      <c r="B589" s="1">
        <v>12.0</v>
      </c>
      <c r="C589" s="1" t="s">
        <v>12</v>
      </c>
      <c r="D589" s="1" t="s">
        <v>29</v>
      </c>
      <c r="E589" s="1" t="s">
        <v>14</v>
      </c>
      <c r="F589" s="1" t="s">
        <v>3275</v>
      </c>
      <c r="G589" s="1" t="s">
        <v>3276</v>
      </c>
      <c r="H589" s="1">
        <f t="shared" si="1"/>
        <v>15.565614</v>
      </c>
      <c r="I589" s="1" t="s">
        <v>3277</v>
      </c>
      <c r="J589" s="1">
        <v>11.0</v>
      </c>
    </row>
    <row r="590">
      <c r="A590" s="1">
        <v>2021.0</v>
      </c>
      <c r="B590" s="1">
        <v>12.0</v>
      </c>
      <c r="C590" s="1" t="s">
        <v>12</v>
      </c>
      <c r="D590" s="1" t="s">
        <v>29</v>
      </c>
      <c r="E590" s="1" t="s">
        <v>21</v>
      </c>
      <c r="F590" s="1" t="s">
        <v>3280</v>
      </c>
      <c r="G590" s="1" t="s">
        <v>3281</v>
      </c>
      <c r="H590" s="1">
        <f t="shared" si="1"/>
        <v>7688.316923</v>
      </c>
      <c r="I590" s="1" t="s">
        <v>3282</v>
      </c>
      <c r="J590" s="1">
        <v>766.0</v>
      </c>
    </row>
    <row r="591">
      <c r="A591" s="1">
        <v>2021.0</v>
      </c>
      <c r="B591" s="1">
        <v>12.0</v>
      </c>
      <c r="C591" s="1" t="s">
        <v>12</v>
      </c>
      <c r="D591" s="1" t="s">
        <v>38</v>
      </c>
      <c r="E591" s="1" t="s">
        <v>39</v>
      </c>
      <c r="F591" s="3" t="s">
        <v>3283</v>
      </c>
      <c r="G591" s="1" t="s">
        <v>3284</v>
      </c>
      <c r="H591" s="1">
        <f t="shared" si="1"/>
        <v>325.022263</v>
      </c>
      <c r="I591" s="1" t="s">
        <v>3285</v>
      </c>
      <c r="J591" s="1">
        <v>210.0</v>
      </c>
    </row>
    <row r="592">
      <c r="A592" s="1">
        <v>2021.0</v>
      </c>
      <c r="B592" s="1">
        <v>12.0</v>
      </c>
      <c r="C592" s="1" t="s">
        <v>12</v>
      </c>
      <c r="D592" s="1" t="s">
        <v>48</v>
      </c>
      <c r="E592" s="1" t="s">
        <v>49</v>
      </c>
      <c r="F592" s="1" t="s">
        <v>3286</v>
      </c>
      <c r="G592" s="1" t="s">
        <v>3287</v>
      </c>
      <c r="H592" s="1">
        <f t="shared" si="1"/>
        <v>10.424574</v>
      </c>
      <c r="I592" s="1" t="s">
        <v>3288</v>
      </c>
      <c r="J592" s="1">
        <v>13.0</v>
      </c>
    </row>
    <row r="593">
      <c r="A593" s="1">
        <v>2021.0</v>
      </c>
      <c r="B593" s="1">
        <v>12.0</v>
      </c>
      <c r="C593" s="1" t="s">
        <v>12</v>
      </c>
      <c r="D593" s="1" t="s">
        <v>48</v>
      </c>
      <c r="E593" s="1" t="s">
        <v>21</v>
      </c>
      <c r="F593" s="1" t="s">
        <v>3290</v>
      </c>
      <c r="G593" s="1" t="s">
        <v>3291</v>
      </c>
      <c r="H593" s="1">
        <f t="shared" si="1"/>
        <v>191.527329</v>
      </c>
      <c r="I593" s="1" t="s">
        <v>3292</v>
      </c>
      <c r="J593" s="1">
        <v>195.0</v>
      </c>
    </row>
    <row r="594">
      <c r="A594" s="1">
        <v>2021.0</v>
      </c>
      <c r="B594" s="1">
        <v>12.0</v>
      </c>
      <c r="C594" s="1" t="s">
        <v>12</v>
      </c>
      <c r="D594" s="1" t="s">
        <v>45</v>
      </c>
      <c r="E594" s="1" t="s">
        <v>49</v>
      </c>
      <c r="F594" s="1" t="s">
        <v>3293</v>
      </c>
      <c r="G594" s="1" t="s">
        <v>3295</v>
      </c>
      <c r="H594" s="1">
        <f t="shared" si="1"/>
        <v>0.403671</v>
      </c>
      <c r="I594" s="1" t="s">
        <v>52</v>
      </c>
      <c r="J594" s="1">
        <v>2.0</v>
      </c>
    </row>
    <row r="595">
      <c r="A595" s="1">
        <v>2021.0</v>
      </c>
      <c r="B595" s="1">
        <v>12.0</v>
      </c>
      <c r="C595" s="1" t="s">
        <v>12</v>
      </c>
      <c r="D595" s="1" t="s">
        <v>45</v>
      </c>
      <c r="E595" s="1" t="s">
        <v>17</v>
      </c>
      <c r="F595" s="3">
        <v>1423353.0</v>
      </c>
      <c r="G595" s="1" t="s">
        <v>3297</v>
      </c>
      <c r="H595" s="1">
        <f t="shared" si="1"/>
        <v>129.878468</v>
      </c>
      <c r="I595" s="1" t="s">
        <v>3299</v>
      </c>
      <c r="J595" s="1">
        <v>175.0</v>
      </c>
    </row>
    <row r="596">
      <c r="A596" s="1">
        <v>2021.0</v>
      </c>
      <c r="B596" s="1">
        <v>12.0</v>
      </c>
      <c r="C596" s="1" t="s">
        <v>12</v>
      </c>
      <c r="D596" s="1" t="s">
        <v>42</v>
      </c>
      <c r="E596" s="1" t="s">
        <v>17</v>
      </c>
      <c r="F596" s="1" t="s">
        <v>3300</v>
      </c>
      <c r="G596" s="1" t="s">
        <v>3301</v>
      </c>
      <c r="H596" s="1">
        <f t="shared" si="1"/>
        <v>127.89406</v>
      </c>
      <c r="I596" s="1" t="s">
        <v>3302</v>
      </c>
      <c r="J596" s="1">
        <v>35.0</v>
      </c>
    </row>
    <row r="597">
      <c r="A597" s="1">
        <v>2021.0</v>
      </c>
      <c r="B597" s="1">
        <v>12.0</v>
      </c>
      <c r="C597" s="1" t="s">
        <v>12</v>
      </c>
      <c r="D597" s="1" t="s">
        <v>1830</v>
      </c>
      <c r="E597" s="1" t="s">
        <v>72</v>
      </c>
      <c r="F597" s="1" t="s">
        <v>3303</v>
      </c>
      <c r="G597" s="1" t="s">
        <v>3304</v>
      </c>
      <c r="H597" s="1">
        <f t="shared" si="1"/>
        <v>63.073779</v>
      </c>
      <c r="I597" s="1" t="s">
        <v>3305</v>
      </c>
      <c r="J597" s="1">
        <v>234.0</v>
      </c>
    </row>
    <row r="598">
      <c r="A598" s="1">
        <v>2021.0</v>
      </c>
      <c r="B598" s="1">
        <v>12.0</v>
      </c>
      <c r="C598" s="1" t="s">
        <v>12</v>
      </c>
      <c r="D598" s="1" t="s">
        <v>2082</v>
      </c>
      <c r="E598" s="1" t="s">
        <v>21</v>
      </c>
      <c r="F598" s="1" t="s">
        <v>3307</v>
      </c>
      <c r="G598" s="1" t="s">
        <v>3308</v>
      </c>
      <c r="H598" s="1">
        <f t="shared" si="1"/>
        <v>61.491981</v>
      </c>
      <c r="I598" s="1" t="s">
        <v>3309</v>
      </c>
      <c r="J598" s="1">
        <v>0.0</v>
      </c>
    </row>
    <row r="599">
      <c r="A599" s="1">
        <v>2021.0</v>
      </c>
      <c r="B599" s="1">
        <v>12.0</v>
      </c>
      <c r="C599" s="1" t="s">
        <v>12</v>
      </c>
      <c r="D599" s="1" t="s">
        <v>56</v>
      </c>
      <c r="E599" s="1" t="s">
        <v>21</v>
      </c>
      <c r="F599" s="1" t="s">
        <v>2863</v>
      </c>
      <c r="G599" s="1" t="s">
        <v>3311</v>
      </c>
      <c r="H599" s="1">
        <f t="shared" si="1"/>
        <v>36.0215</v>
      </c>
      <c r="I599" s="1" t="s">
        <v>3312</v>
      </c>
      <c r="J599" s="1">
        <v>118.0</v>
      </c>
    </row>
    <row r="600">
      <c r="A600" s="1">
        <v>2021.0</v>
      </c>
      <c r="B600" s="1">
        <v>12.0</v>
      </c>
      <c r="C600" s="1" t="s">
        <v>12</v>
      </c>
      <c r="D600" s="1" t="s">
        <v>60</v>
      </c>
      <c r="E600" s="1" t="s">
        <v>39</v>
      </c>
      <c r="F600" s="1" t="s">
        <v>3314</v>
      </c>
      <c r="G600" s="1" t="s">
        <v>3315</v>
      </c>
      <c r="H600" s="1">
        <f t="shared" si="1"/>
        <v>33.214698</v>
      </c>
      <c r="I600" s="1" t="s">
        <v>3316</v>
      </c>
      <c r="J600" s="1">
        <v>74.0</v>
      </c>
    </row>
    <row r="601">
      <c r="A601" s="1">
        <v>2021.0</v>
      </c>
      <c r="B601" s="1">
        <v>12.0</v>
      </c>
      <c r="C601" s="1" t="s">
        <v>12</v>
      </c>
      <c r="D601" s="1" t="s">
        <v>60</v>
      </c>
      <c r="E601" s="1" t="s">
        <v>17</v>
      </c>
      <c r="F601" s="1" t="s">
        <v>414</v>
      </c>
      <c r="G601" s="1" t="s">
        <v>3318</v>
      </c>
      <c r="H601" s="1">
        <f t="shared" si="1"/>
        <v>0.086132</v>
      </c>
      <c r="I601" s="1" t="s">
        <v>333</v>
      </c>
      <c r="J601" s="1">
        <v>2.0</v>
      </c>
    </row>
    <row r="602">
      <c r="A602" s="1">
        <v>2021.0</v>
      </c>
      <c r="B602" s="1">
        <v>12.0</v>
      </c>
      <c r="C602" s="1" t="s">
        <v>68</v>
      </c>
      <c r="D602" s="1" t="s">
        <v>13</v>
      </c>
      <c r="E602" s="1" t="s">
        <v>14</v>
      </c>
      <c r="F602" s="1" t="s">
        <v>3319</v>
      </c>
      <c r="G602" s="1" t="s">
        <v>3320</v>
      </c>
      <c r="H602" s="1">
        <f t="shared" si="1"/>
        <v>1831.470979</v>
      </c>
      <c r="I602" s="3">
        <v>1629469.0</v>
      </c>
      <c r="J602" s="1">
        <v>5837.0</v>
      </c>
    </row>
    <row r="603">
      <c r="A603" s="1">
        <v>2021.0</v>
      </c>
      <c r="B603" s="1">
        <v>12.0</v>
      </c>
      <c r="C603" s="1" t="s">
        <v>68</v>
      </c>
      <c r="D603" s="1" t="s">
        <v>13</v>
      </c>
      <c r="E603" s="1" t="s">
        <v>17</v>
      </c>
      <c r="F603" s="1" t="s">
        <v>3322</v>
      </c>
      <c r="G603" s="1" t="s">
        <v>3323</v>
      </c>
      <c r="H603" s="1">
        <f t="shared" si="1"/>
        <v>6746.23011</v>
      </c>
      <c r="I603" s="1" t="s">
        <v>3324</v>
      </c>
      <c r="J603" s="1">
        <v>10270.0</v>
      </c>
    </row>
    <row r="604">
      <c r="A604" s="1">
        <v>2021.0</v>
      </c>
      <c r="B604" s="1">
        <v>12.0</v>
      </c>
      <c r="C604" s="1" t="s">
        <v>68</v>
      </c>
      <c r="D604" s="1" t="s">
        <v>13</v>
      </c>
      <c r="E604" s="1" t="s">
        <v>21</v>
      </c>
      <c r="F604" s="3">
        <v>294783.0</v>
      </c>
      <c r="G604" s="1" t="s">
        <v>3325</v>
      </c>
      <c r="H604" s="1">
        <f t="shared" si="1"/>
        <v>346.235894</v>
      </c>
      <c r="I604" s="3" t="s">
        <v>3326</v>
      </c>
      <c r="J604" s="1">
        <v>606.0</v>
      </c>
    </row>
    <row r="605">
      <c r="A605" s="1">
        <v>2021.0</v>
      </c>
      <c r="B605" s="1">
        <v>12.0</v>
      </c>
      <c r="C605" s="1" t="s">
        <v>68</v>
      </c>
      <c r="D605" s="1" t="s">
        <v>13</v>
      </c>
      <c r="E605" s="1" t="s">
        <v>25</v>
      </c>
      <c r="F605" s="1" t="s">
        <v>3328</v>
      </c>
      <c r="G605" s="1" t="s">
        <v>3329</v>
      </c>
      <c r="H605" s="1">
        <f t="shared" si="1"/>
        <v>46.13722</v>
      </c>
      <c r="I605" s="1" t="s">
        <v>3330</v>
      </c>
      <c r="J605" s="1">
        <v>163.0</v>
      </c>
    </row>
    <row r="606">
      <c r="A606" s="1">
        <v>2021.0</v>
      </c>
      <c r="B606" s="1">
        <v>12.0</v>
      </c>
      <c r="C606" s="1" t="s">
        <v>68</v>
      </c>
      <c r="D606" s="1" t="s">
        <v>29</v>
      </c>
      <c r="E606" s="1" t="s">
        <v>14</v>
      </c>
      <c r="F606" s="1" t="s">
        <v>602</v>
      </c>
      <c r="G606" s="1" t="s">
        <v>3331</v>
      </c>
      <c r="H606" s="1">
        <f t="shared" si="1"/>
        <v>9.829012</v>
      </c>
      <c r="I606" s="1" t="s">
        <v>3332</v>
      </c>
      <c r="J606" s="1">
        <v>19.0</v>
      </c>
    </row>
    <row r="607">
      <c r="A607" s="1">
        <v>2021.0</v>
      </c>
      <c r="B607" s="1">
        <v>12.0</v>
      </c>
      <c r="C607" s="1" t="s">
        <v>68</v>
      </c>
      <c r="D607" s="1" t="s">
        <v>29</v>
      </c>
      <c r="E607" s="1" t="s">
        <v>21</v>
      </c>
      <c r="F607" s="3" t="s">
        <v>3333</v>
      </c>
      <c r="G607" s="1" t="s">
        <v>3334</v>
      </c>
      <c r="H607" s="1">
        <f t="shared" si="1"/>
        <v>1308.781975</v>
      </c>
      <c r="I607" s="3">
        <v>2504501.0</v>
      </c>
      <c r="J607" s="1">
        <v>1638.0</v>
      </c>
    </row>
    <row r="608">
      <c r="A608" s="1">
        <v>2021.0</v>
      </c>
      <c r="B608" s="1">
        <v>12.0</v>
      </c>
      <c r="C608" s="1" t="s">
        <v>68</v>
      </c>
      <c r="D608" s="1" t="s">
        <v>38</v>
      </c>
      <c r="E608" s="1" t="s">
        <v>39</v>
      </c>
      <c r="F608" s="3">
        <v>96670.0</v>
      </c>
      <c r="G608" s="1" t="s">
        <v>3335</v>
      </c>
      <c r="H608" s="1">
        <f t="shared" si="1"/>
        <v>785.239745</v>
      </c>
      <c r="I608" s="3">
        <v>1712625.0</v>
      </c>
      <c r="J608" s="1">
        <v>3027.0</v>
      </c>
    </row>
    <row r="609">
      <c r="A609" s="1">
        <v>2021.0</v>
      </c>
      <c r="B609" s="1">
        <v>12.0</v>
      </c>
      <c r="C609" s="1" t="s">
        <v>68</v>
      </c>
      <c r="D609" s="1" t="s">
        <v>45</v>
      </c>
      <c r="E609" s="1" t="s">
        <v>49</v>
      </c>
      <c r="F609" s="1" t="s">
        <v>3336</v>
      </c>
      <c r="G609" s="1" t="s">
        <v>3337</v>
      </c>
      <c r="H609" s="1">
        <f t="shared" si="1"/>
        <v>58.981037</v>
      </c>
      <c r="I609" s="1" t="s">
        <v>3338</v>
      </c>
      <c r="J609" s="1">
        <v>151.0</v>
      </c>
    </row>
    <row r="610">
      <c r="A610" s="1">
        <v>2021.0</v>
      </c>
      <c r="B610" s="1">
        <v>12.0</v>
      </c>
      <c r="C610" s="1" t="s">
        <v>68</v>
      </c>
      <c r="D610" s="1" t="s">
        <v>45</v>
      </c>
      <c r="E610" s="1" t="s">
        <v>17</v>
      </c>
      <c r="F610" s="3" t="s">
        <v>3339</v>
      </c>
      <c r="G610" s="1" t="s">
        <v>3340</v>
      </c>
      <c r="H610" s="1">
        <f t="shared" si="1"/>
        <v>606.25328</v>
      </c>
      <c r="I610" s="3">
        <v>1561473.0</v>
      </c>
      <c r="J610" s="1">
        <v>1359.0</v>
      </c>
    </row>
    <row r="611">
      <c r="A611" s="1">
        <v>2021.0</v>
      </c>
      <c r="B611" s="1">
        <v>12.0</v>
      </c>
      <c r="C611" s="1" t="s">
        <v>68</v>
      </c>
      <c r="D611" s="1" t="s">
        <v>1851</v>
      </c>
      <c r="E611" s="1" t="s">
        <v>17</v>
      </c>
      <c r="F611" s="1" t="s">
        <v>3341</v>
      </c>
      <c r="G611" s="1" t="s">
        <v>3342</v>
      </c>
      <c r="H611" s="1">
        <f t="shared" si="1"/>
        <v>171.533862</v>
      </c>
      <c r="I611" s="1" t="s">
        <v>3343</v>
      </c>
      <c r="J611" s="1">
        <v>785.0</v>
      </c>
    </row>
    <row r="612">
      <c r="A612" s="1">
        <v>2021.0</v>
      </c>
      <c r="B612" s="1">
        <v>12.0</v>
      </c>
      <c r="C612" s="1" t="s">
        <v>68</v>
      </c>
      <c r="D612" s="1" t="s">
        <v>1851</v>
      </c>
      <c r="E612" s="1" t="s">
        <v>21</v>
      </c>
      <c r="F612" s="1" t="s">
        <v>3344</v>
      </c>
      <c r="G612" s="1" t="s">
        <v>3345</v>
      </c>
      <c r="H612" s="1">
        <f t="shared" si="1"/>
        <v>55.380153</v>
      </c>
      <c r="I612" s="1" t="s">
        <v>3346</v>
      </c>
      <c r="J612" s="1">
        <v>408.0</v>
      </c>
    </row>
    <row r="613">
      <c r="A613" s="1">
        <v>2021.0</v>
      </c>
      <c r="B613" s="1">
        <v>12.0</v>
      </c>
      <c r="C613" s="1" t="s">
        <v>68</v>
      </c>
      <c r="D613" s="1" t="s">
        <v>1830</v>
      </c>
      <c r="E613" s="1" t="s">
        <v>72</v>
      </c>
      <c r="F613" s="3">
        <v>2759774.0</v>
      </c>
      <c r="G613" s="1" t="s">
        <v>3347</v>
      </c>
      <c r="H613" s="1">
        <f t="shared" si="1"/>
        <v>177.160661</v>
      </c>
      <c r="I613" s="1" t="s">
        <v>3348</v>
      </c>
      <c r="J613" s="1">
        <v>1542.0</v>
      </c>
    </row>
    <row r="614">
      <c r="A614" s="1">
        <v>2021.0</v>
      </c>
      <c r="B614" s="1">
        <v>12.0</v>
      </c>
      <c r="C614" s="1" t="s">
        <v>68</v>
      </c>
      <c r="D614" s="1" t="s">
        <v>32</v>
      </c>
      <c r="E614" s="1" t="s">
        <v>14</v>
      </c>
      <c r="F614" s="3">
        <v>2660428.0</v>
      </c>
      <c r="G614" s="1" t="s">
        <v>3349</v>
      </c>
      <c r="H614" s="1">
        <f t="shared" si="1"/>
        <v>134.078957</v>
      </c>
      <c r="I614" s="1" t="s">
        <v>3350</v>
      </c>
      <c r="J614" s="1">
        <v>623.0</v>
      </c>
    </row>
    <row r="615">
      <c r="A615" s="1">
        <v>2021.0</v>
      </c>
      <c r="B615" s="1">
        <v>12.0</v>
      </c>
      <c r="C615" s="1" t="s">
        <v>68</v>
      </c>
      <c r="D615" s="1" t="s">
        <v>32</v>
      </c>
      <c r="E615" s="1" t="s">
        <v>21</v>
      </c>
      <c r="F615" s="1" t="s">
        <v>3351</v>
      </c>
      <c r="G615" s="1" t="s">
        <v>3352</v>
      </c>
      <c r="H615" s="1">
        <f t="shared" si="1"/>
        <v>7.754097</v>
      </c>
      <c r="I615" s="1" t="s">
        <v>3353</v>
      </c>
      <c r="J615" s="1">
        <v>134.0</v>
      </c>
    </row>
    <row r="616">
      <c r="A616" s="1">
        <v>2021.0</v>
      </c>
      <c r="B616" s="1">
        <v>12.0</v>
      </c>
      <c r="C616" s="1" t="s">
        <v>68</v>
      </c>
      <c r="D616" s="1" t="s">
        <v>42</v>
      </c>
      <c r="E616" s="1" t="s">
        <v>17</v>
      </c>
      <c r="F616" s="1" t="s">
        <v>3354</v>
      </c>
      <c r="G616" s="1" t="s">
        <v>3355</v>
      </c>
      <c r="H616" s="1">
        <f t="shared" si="1"/>
        <v>133.355757</v>
      </c>
      <c r="I616" s="1" t="s">
        <v>3356</v>
      </c>
      <c r="J616" s="1">
        <v>0.0</v>
      </c>
    </row>
    <row r="617">
      <c r="A617" s="1">
        <v>2021.0</v>
      </c>
      <c r="B617" s="1">
        <v>12.0</v>
      </c>
      <c r="C617" s="1" t="s">
        <v>68</v>
      </c>
      <c r="D617" s="1" t="s">
        <v>2104</v>
      </c>
      <c r="E617" s="1" t="s">
        <v>17</v>
      </c>
      <c r="F617" s="3">
        <v>1041339.0</v>
      </c>
      <c r="G617" s="1" t="s">
        <v>3357</v>
      </c>
      <c r="H617" s="1">
        <f t="shared" si="1"/>
        <v>121.583181</v>
      </c>
      <c r="I617" s="1" t="s">
        <v>3358</v>
      </c>
      <c r="J617" s="1">
        <v>429.0</v>
      </c>
    </row>
    <row r="618">
      <c r="A618" s="1">
        <v>2021.0</v>
      </c>
      <c r="B618" s="1">
        <v>12.0</v>
      </c>
      <c r="C618" s="1" t="s">
        <v>68</v>
      </c>
      <c r="D618" s="1" t="s">
        <v>544</v>
      </c>
      <c r="E618" s="1" t="s">
        <v>17</v>
      </c>
      <c r="F618" s="3">
        <v>1805031.0</v>
      </c>
      <c r="G618" s="1" t="s">
        <v>3359</v>
      </c>
      <c r="H618" s="1">
        <f t="shared" si="1"/>
        <v>108.666096</v>
      </c>
      <c r="I618" s="1" t="s">
        <v>3360</v>
      </c>
      <c r="J618" s="1">
        <v>956.0</v>
      </c>
    </row>
    <row r="619">
      <c r="A619" s="1">
        <v>2021.0</v>
      </c>
      <c r="B619" s="1">
        <v>12.0</v>
      </c>
      <c r="C619" s="1" t="s">
        <v>116</v>
      </c>
      <c r="D619" s="1" t="s">
        <v>13</v>
      </c>
      <c r="E619" s="1" t="s">
        <v>14</v>
      </c>
      <c r="F619" s="1" t="s">
        <v>3361</v>
      </c>
      <c r="G619" s="1" t="s">
        <v>3362</v>
      </c>
      <c r="H619" s="1">
        <f t="shared" si="1"/>
        <v>5816.404614</v>
      </c>
      <c r="I619" s="1" t="s">
        <v>3363</v>
      </c>
      <c r="J619" s="1">
        <v>12028.0</v>
      </c>
    </row>
    <row r="620">
      <c r="A620" s="1">
        <v>2021.0</v>
      </c>
      <c r="B620" s="1">
        <v>12.0</v>
      </c>
      <c r="C620" s="1" t="s">
        <v>116</v>
      </c>
      <c r="D620" s="1" t="s">
        <v>13</v>
      </c>
      <c r="E620" s="1" t="s">
        <v>17</v>
      </c>
      <c r="F620" s="1" t="s">
        <v>3364</v>
      </c>
      <c r="G620" s="1" t="s">
        <v>3365</v>
      </c>
      <c r="H620" s="1">
        <f t="shared" si="1"/>
        <v>14410.52547</v>
      </c>
      <c r="I620" s="1" t="s">
        <v>3366</v>
      </c>
      <c r="J620" s="1">
        <v>17750.0</v>
      </c>
    </row>
    <row r="621">
      <c r="A621" s="1">
        <v>2021.0</v>
      </c>
      <c r="B621" s="1">
        <v>12.0</v>
      </c>
      <c r="C621" s="1" t="s">
        <v>116</v>
      </c>
      <c r="D621" s="1" t="s">
        <v>13</v>
      </c>
      <c r="E621" s="1" t="s">
        <v>21</v>
      </c>
      <c r="F621" s="1" t="s">
        <v>3367</v>
      </c>
      <c r="G621" s="1" t="s">
        <v>3368</v>
      </c>
      <c r="H621" s="1">
        <f t="shared" si="1"/>
        <v>1260.909194</v>
      </c>
      <c r="I621" s="3">
        <v>1501970.0</v>
      </c>
      <c r="J621" s="1">
        <v>714.0</v>
      </c>
    </row>
    <row r="622">
      <c r="A622" s="1">
        <v>2021.0</v>
      </c>
      <c r="B622" s="1">
        <v>12.0</v>
      </c>
      <c r="C622" s="1" t="s">
        <v>116</v>
      </c>
      <c r="D622" s="1" t="s">
        <v>13</v>
      </c>
      <c r="E622" s="1" t="s">
        <v>25</v>
      </c>
      <c r="F622" s="1" t="s">
        <v>3222</v>
      </c>
      <c r="G622" s="1" t="s">
        <v>3369</v>
      </c>
      <c r="H622" s="1">
        <f t="shared" si="1"/>
        <v>1.791126</v>
      </c>
      <c r="I622" s="1" t="s">
        <v>3370</v>
      </c>
      <c r="J622" s="1">
        <v>3.0</v>
      </c>
    </row>
    <row r="623">
      <c r="A623" s="1">
        <v>2021.0</v>
      </c>
      <c r="B623" s="1">
        <v>12.0</v>
      </c>
      <c r="C623" s="1" t="s">
        <v>116</v>
      </c>
      <c r="D623" s="1" t="s">
        <v>29</v>
      </c>
      <c r="E623" s="1" t="s">
        <v>14</v>
      </c>
      <c r="F623" s="3">
        <v>723548.0</v>
      </c>
      <c r="G623" s="1" t="s">
        <v>3371</v>
      </c>
      <c r="H623" s="1">
        <f t="shared" si="1"/>
        <v>160.195657</v>
      </c>
      <c r="I623" s="1" t="s">
        <v>2619</v>
      </c>
      <c r="J623" s="1">
        <v>278.0</v>
      </c>
    </row>
    <row r="624">
      <c r="A624" s="1">
        <v>2021.0</v>
      </c>
      <c r="B624" s="1">
        <v>12.0</v>
      </c>
      <c r="C624" s="1" t="s">
        <v>116</v>
      </c>
      <c r="D624" s="1" t="s">
        <v>29</v>
      </c>
      <c r="E624" s="1" t="s">
        <v>21</v>
      </c>
      <c r="F624" s="1" t="s">
        <v>3372</v>
      </c>
      <c r="G624" s="1" t="s">
        <v>3373</v>
      </c>
      <c r="H624" s="1">
        <f t="shared" si="1"/>
        <v>7508.403565</v>
      </c>
      <c r="I624" s="1" t="s">
        <v>3374</v>
      </c>
      <c r="J624" s="1">
        <v>4678.0</v>
      </c>
    </row>
    <row r="625">
      <c r="A625" s="1">
        <v>2021.0</v>
      </c>
      <c r="B625" s="1">
        <v>12.0</v>
      </c>
      <c r="C625" s="1" t="s">
        <v>116</v>
      </c>
      <c r="D625" s="1" t="s">
        <v>45</v>
      </c>
      <c r="E625" s="1" t="s">
        <v>49</v>
      </c>
      <c r="F625" s="3" t="s">
        <v>3375</v>
      </c>
      <c r="G625" s="1" t="s">
        <v>3376</v>
      </c>
      <c r="H625" s="1">
        <f t="shared" si="1"/>
        <v>122.270841</v>
      </c>
      <c r="I625" s="1" t="s">
        <v>3377</v>
      </c>
      <c r="J625" s="1">
        <v>312.0</v>
      </c>
    </row>
    <row r="626">
      <c r="A626" s="1">
        <v>2021.0</v>
      </c>
      <c r="B626" s="1">
        <v>12.0</v>
      </c>
      <c r="C626" s="1" t="s">
        <v>116</v>
      </c>
      <c r="D626" s="1" t="s">
        <v>45</v>
      </c>
      <c r="E626" s="1" t="s">
        <v>17</v>
      </c>
      <c r="F626" s="1" t="s">
        <v>3378</v>
      </c>
      <c r="G626" s="1" t="s">
        <v>3379</v>
      </c>
      <c r="H626" s="1">
        <f t="shared" si="1"/>
        <v>1349.544558</v>
      </c>
      <c r="I626" s="1" t="s">
        <v>3380</v>
      </c>
      <c r="J626" s="1">
        <v>1769.0</v>
      </c>
    </row>
    <row r="627">
      <c r="A627" s="1">
        <v>2021.0</v>
      </c>
      <c r="B627" s="1">
        <v>12.0</v>
      </c>
      <c r="C627" s="1" t="s">
        <v>116</v>
      </c>
      <c r="D627" s="1" t="s">
        <v>38</v>
      </c>
      <c r="E627" s="1" t="s">
        <v>39</v>
      </c>
      <c r="F627" s="1" t="s">
        <v>3381</v>
      </c>
      <c r="G627" s="1" t="s">
        <v>3382</v>
      </c>
      <c r="H627" s="1">
        <f t="shared" si="1"/>
        <v>1470.941751</v>
      </c>
      <c r="I627" s="3" t="s">
        <v>3383</v>
      </c>
      <c r="J627" s="1">
        <v>4837.0</v>
      </c>
    </row>
    <row r="628">
      <c r="A628" s="1">
        <v>2021.0</v>
      </c>
      <c r="B628" s="1">
        <v>12.0</v>
      </c>
      <c r="C628" s="1" t="s">
        <v>116</v>
      </c>
      <c r="D628" s="1" t="s">
        <v>147</v>
      </c>
      <c r="E628" s="1" t="s">
        <v>39</v>
      </c>
      <c r="F628" s="3">
        <v>417839.0</v>
      </c>
      <c r="G628" s="1" t="s">
        <v>3384</v>
      </c>
      <c r="H628" s="1">
        <f t="shared" si="1"/>
        <v>385.360054</v>
      </c>
      <c r="I628" s="1" t="s">
        <v>3385</v>
      </c>
      <c r="J628" s="1">
        <v>105.0</v>
      </c>
    </row>
    <row r="629">
      <c r="A629" s="1">
        <v>2021.0</v>
      </c>
      <c r="B629" s="1">
        <v>12.0</v>
      </c>
      <c r="C629" s="1" t="s">
        <v>116</v>
      </c>
      <c r="D629" s="1" t="s">
        <v>147</v>
      </c>
      <c r="E629" s="1" t="s">
        <v>17</v>
      </c>
      <c r="F629" s="1" t="s">
        <v>3386</v>
      </c>
      <c r="G629" s="1" t="s">
        <v>3387</v>
      </c>
      <c r="H629" s="1">
        <f t="shared" si="1"/>
        <v>8.773221</v>
      </c>
      <c r="I629" s="1" t="s">
        <v>3388</v>
      </c>
      <c r="J629" s="1">
        <v>6.0</v>
      </c>
    </row>
    <row r="630">
      <c r="A630" s="1">
        <v>2021.0</v>
      </c>
      <c r="B630" s="1">
        <v>12.0</v>
      </c>
      <c r="C630" s="1" t="s">
        <v>116</v>
      </c>
      <c r="D630" s="1" t="s">
        <v>147</v>
      </c>
      <c r="E630" s="1" t="s">
        <v>21</v>
      </c>
      <c r="F630" s="1" t="s">
        <v>1191</v>
      </c>
      <c r="G630" s="1" t="s">
        <v>3389</v>
      </c>
      <c r="H630" s="1">
        <f t="shared" si="1"/>
        <v>28.912296</v>
      </c>
      <c r="I630" s="1" t="s">
        <v>1964</v>
      </c>
      <c r="J630" s="1">
        <v>44.0</v>
      </c>
    </row>
    <row r="631">
      <c r="A631" s="1">
        <v>2021.0</v>
      </c>
      <c r="B631" s="1">
        <v>12.0</v>
      </c>
      <c r="C631" s="1" t="s">
        <v>116</v>
      </c>
      <c r="D631" s="1" t="s">
        <v>1851</v>
      </c>
      <c r="E631" s="1" t="s">
        <v>17</v>
      </c>
      <c r="F631" s="3">
        <v>1228007.0</v>
      </c>
      <c r="G631" s="1" t="s">
        <v>3390</v>
      </c>
      <c r="H631" s="1">
        <f t="shared" si="1"/>
        <v>303.53724</v>
      </c>
      <c r="I631" s="3">
        <v>612148.0</v>
      </c>
      <c r="J631" s="1">
        <v>1857.0</v>
      </c>
    </row>
    <row r="632">
      <c r="A632" s="1">
        <v>2021.0</v>
      </c>
      <c r="B632" s="1">
        <v>12.0</v>
      </c>
      <c r="C632" s="1" t="s">
        <v>116</v>
      </c>
      <c r="D632" s="1" t="s">
        <v>1851</v>
      </c>
      <c r="E632" s="1" t="s">
        <v>21</v>
      </c>
      <c r="F632" s="1" t="s">
        <v>3391</v>
      </c>
      <c r="G632" s="1" t="s">
        <v>3392</v>
      </c>
      <c r="H632" s="1">
        <f t="shared" si="1"/>
        <v>45.059481</v>
      </c>
      <c r="I632" s="1" t="s">
        <v>3393</v>
      </c>
      <c r="J632" s="1">
        <v>483.0</v>
      </c>
    </row>
    <row r="633">
      <c r="A633" s="1">
        <v>2021.0</v>
      </c>
      <c r="B633" s="1">
        <v>12.0</v>
      </c>
      <c r="C633" s="1" t="s">
        <v>116</v>
      </c>
      <c r="D633" s="1" t="s">
        <v>1830</v>
      </c>
      <c r="E633" s="1" t="s">
        <v>72</v>
      </c>
      <c r="F633" s="3">
        <v>1371547.0</v>
      </c>
      <c r="G633" s="1" t="s">
        <v>3394</v>
      </c>
      <c r="H633" s="1">
        <f t="shared" si="1"/>
        <v>309.04197</v>
      </c>
      <c r="I633" s="1" t="s">
        <v>3395</v>
      </c>
      <c r="J633" s="1">
        <v>2940.0</v>
      </c>
    </row>
    <row r="634">
      <c r="A634" s="1">
        <v>2021.0</v>
      </c>
      <c r="B634" s="1">
        <v>12.0</v>
      </c>
      <c r="C634" s="1" t="s">
        <v>116</v>
      </c>
      <c r="D634" s="1" t="s">
        <v>42</v>
      </c>
      <c r="E634" s="1" t="s">
        <v>17</v>
      </c>
      <c r="F634" s="1" t="s">
        <v>3396</v>
      </c>
      <c r="G634" s="1" t="s">
        <v>3397</v>
      </c>
      <c r="H634" s="1">
        <f t="shared" si="1"/>
        <v>266.459087</v>
      </c>
      <c r="I634" s="1" t="s">
        <v>2820</v>
      </c>
      <c r="J634" s="1">
        <v>0.0</v>
      </c>
    </row>
    <row r="635">
      <c r="A635" s="1">
        <v>2021.0</v>
      </c>
      <c r="B635" s="1">
        <v>12.0</v>
      </c>
      <c r="C635" s="1" t="s">
        <v>116</v>
      </c>
      <c r="D635" s="1" t="s">
        <v>158</v>
      </c>
      <c r="E635" s="1" t="s">
        <v>39</v>
      </c>
      <c r="F635" s="1" t="s">
        <v>315</v>
      </c>
      <c r="G635" s="1" t="s">
        <v>3398</v>
      </c>
      <c r="H635" s="1">
        <f t="shared" si="1"/>
        <v>1.651021</v>
      </c>
      <c r="I635" s="1" t="s">
        <v>2812</v>
      </c>
      <c r="J635" s="1">
        <v>0.0</v>
      </c>
    </row>
    <row r="636">
      <c r="A636" s="1">
        <v>2021.0</v>
      </c>
      <c r="B636" s="1">
        <v>12.0</v>
      </c>
      <c r="C636" s="1" t="s">
        <v>116</v>
      </c>
      <c r="D636" s="1" t="s">
        <v>158</v>
      </c>
      <c r="E636" s="1" t="s">
        <v>17</v>
      </c>
      <c r="F636" s="1" t="s">
        <v>3399</v>
      </c>
      <c r="G636" s="1" t="s">
        <v>3400</v>
      </c>
      <c r="H636" s="1">
        <f t="shared" si="1"/>
        <v>49.401866</v>
      </c>
      <c r="I636" s="1" t="s">
        <v>3401</v>
      </c>
      <c r="J636" s="1">
        <v>0.0</v>
      </c>
    </row>
    <row r="637">
      <c r="A637" s="1">
        <v>2021.0</v>
      </c>
      <c r="B637" s="1">
        <v>12.0</v>
      </c>
      <c r="C637" s="1" t="s">
        <v>116</v>
      </c>
      <c r="D637" s="1" t="s">
        <v>158</v>
      </c>
      <c r="E637" s="1" t="s">
        <v>21</v>
      </c>
      <c r="F637" s="1" t="s">
        <v>3402</v>
      </c>
      <c r="G637" s="1" t="s">
        <v>3403</v>
      </c>
      <c r="H637" s="1">
        <f t="shared" si="1"/>
        <v>154.514089</v>
      </c>
      <c r="I637" s="1" t="s">
        <v>3404</v>
      </c>
      <c r="J637" s="1">
        <v>0.0</v>
      </c>
    </row>
    <row r="638">
      <c r="A638" s="1">
        <v>2021.0</v>
      </c>
      <c r="B638" s="1">
        <v>12.0</v>
      </c>
      <c r="C638" s="1" t="s">
        <v>116</v>
      </c>
      <c r="D638" s="1" t="s">
        <v>48</v>
      </c>
      <c r="E638" s="1" t="s">
        <v>49</v>
      </c>
      <c r="F638" s="1" t="s">
        <v>3405</v>
      </c>
      <c r="G638" s="1" t="s">
        <v>3406</v>
      </c>
      <c r="H638" s="1">
        <f t="shared" si="1"/>
        <v>14.953212</v>
      </c>
      <c r="I638" s="1" t="s">
        <v>507</v>
      </c>
      <c r="J638" s="1">
        <v>0.0</v>
      </c>
    </row>
    <row r="639">
      <c r="A639" s="1">
        <v>2021.0</v>
      </c>
      <c r="B639" s="1">
        <v>12.0</v>
      </c>
      <c r="C639" s="1" t="s">
        <v>116</v>
      </c>
      <c r="D639" s="1" t="s">
        <v>48</v>
      </c>
      <c r="E639" s="1" t="s">
        <v>72</v>
      </c>
      <c r="F639" s="1" t="s">
        <v>666</v>
      </c>
      <c r="G639" s="1" t="s">
        <v>3407</v>
      </c>
      <c r="H639" s="1">
        <f t="shared" si="1"/>
        <v>0.960841</v>
      </c>
      <c r="I639" s="1" t="s">
        <v>574</v>
      </c>
      <c r="J639" s="1">
        <v>0.0</v>
      </c>
    </row>
    <row r="640">
      <c r="A640" s="1">
        <v>2021.0</v>
      </c>
      <c r="B640" s="1">
        <v>12.0</v>
      </c>
      <c r="C640" s="1" t="s">
        <v>116</v>
      </c>
      <c r="D640" s="1" t="s">
        <v>48</v>
      </c>
      <c r="E640" s="1" t="s">
        <v>21</v>
      </c>
      <c r="F640" s="3">
        <v>931006.0</v>
      </c>
      <c r="G640" s="1" t="s">
        <v>3408</v>
      </c>
      <c r="H640" s="1">
        <f t="shared" si="1"/>
        <v>173.679195</v>
      </c>
      <c r="I640" s="1" t="s">
        <v>3409</v>
      </c>
      <c r="J640" s="1">
        <v>0.0</v>
      </c>
    </row>
    <row r="641">
      <c r="A641" s="1">
        <v>2021.0</v>
      </c>
      <c r="B641" s="1">
        <v>1.0</v>
      </c>
      <c r="C641" s="1" t="s">
        <v>12</v>
      </c>
      <c r="D641" s="1" t="s">
        <v>13</v>
      </c>
      <c r="E641" s="1" t="s">
        <v>2230</v>
      </c>
      <c r="F641" s="1" t="s">
        <v>3410</v>
      </c>
      <c r="G641" s="1" t="s">
        <v>3411</v>
      </c>
      <c r="H641" s="1">
        <f t="shared" si="1"/>
        <v>2078.5833</v>
      </c>
      <c r="I641" s="3">
        <v>169260.0</v>
      </c>
      <c r="J641" s="1">
        <v>511.0</v>
      </c>
    </row>
    <row r="642">
      <c r="A642" s="1">
        <v>2021.0</v>
      </c>
      <c r="B642" s="1">
        <v>1.0</v>
      </c>
      <c r="C642" s="1" t="s">
        <v>68</v>
      </c>
      <c r="D642" s="1" t="s">
        <v>13</v>
      </c>
      <c r="E642" s="1" t="s">
        <v>2230</v>
      </c>
      <c r="F642" s="1" t="s">
        <v>3412</v>
      </c>
      <c r="G642" s="1" t="s">
        <v>3413</v>
      </c>
      <c r="H642" s="1">
        <f t="shared" si="1"/>
        <v>1233.5554</v>
      </c>
      <c r="I642" s="3">
        <v>1511070.0</v>
      </c>
      <c r="J642" s="1">
        <v>1755.0</v>
      </c>
    </row>
    <row r="643">
      <c r="A643" s="1">
        <v>2021.0</v>
      </c>
      <c r="B643" s="1">
        <v>1.0</v>
      </c>
      <c r="C643" s="1" t="s">
        <v>116</v>
      </c>
      <c r="D643" s="1" t="s">
        <v>13</v>
      </c>
      <c r="E643" s="1" t="s">
        <v>2230</v>
      </c>
      <c r="F643" s="1" t="s">
        <v>3414</v>
      </c>
      <c r="G643" s="1" t="s">
        <v>3415</v>
      </c>
      <c r="H643" s="1">
        <f t="shared" si="1"/>
        <v>1891.4637</v>
      </c>
      <c r="I643" s="3">
        <v>207581.0</v>
      </c>
      <c r="J643" s="1">
        <v>2038.0</v>
      </c>
    </row>
    <row r="644">
      <c r="A644" s="1">
        <v>2021.0</v>
      </c>
      <c r="B644" s="1">
        <v>2.0</v>
      </c>
      <c r="C644" s="1" t="s">
        <v>12</v>
      </c>
      <c r="D644" s="1" t="s">
        <v>13</v>
      </c>
      <c r="E644" s="1" t="s">
        <v>2230</v>
      </c>
      <c r="F644" s="1" t="s">
        <v>3416</v>
      </c>
      <c r="G644" s="1">
        <v>1726978.0</v>
      </c>
      <c r="H644" s="1">
        <f t="shared" si="1"/>
        <v>1726.978</v>
      </c>
      <c r="I644" s="3">
        <v>1164881.0</v>
      </c>
      <c r="J644" s="1">
        <v>549.0</v>
      </c>
    </row>
    <row r="645">
      <c r="A645" s="1">
        <v>2021.0</v>
      </c>
      <c r="B645" s="1">
        <v>2.0</v>
      </c>
      <c r="C645" s="1" t="s">
        <v>68</v>
      </c>
      <c r="D645" s="1" t="s">
        <v>13</v>
      </c>
      <c r="E645" s="1" t="s">
        <v>2230</v>
      </c>
      <c r="F645" s="1" t="s">
        <v>3417</v>
      </c>
      <c r="G645" s="1" t="s">
        <v>3418</v>
      </c>
      <c r="H645" s="1">
        <f t="shared" si="1"/>
        <v>999.1274</v>
      </c>
      <c r="I645" s="3" t="s">
        <v>3419</v>
      </c>
      <c r="J645" s="1">
        <v>1941.0</v>
      </c>
    </row>
    <row r="646">
      <c r="A646" s="1">
        <v>2021.0</v>
      </c>
      <c r="B646" s="1">
        <v>2.0</v>
      </c>
      <c r="C646" s="1" t="s">
        <v>116</v>
      </c>
      <c r="D646" s="1" t="s">
        <v>13</v>
      </c>
      <c r="E646" s="1" t="s">
        <v>2230</v>
      </c>
      <c r="F646" s="1" t="s">
        <v>3420</v>
      </c>
      <c r="G646" s="1" t="s">
        <v>3421</v>
      </c>
      <c r="H646" s="1">
        <f t="shared" si="1"/>
        <v>1653.5799</v>
      </c>
      <c r="I646" s="3">
        <v>1855890.0</v>
      </c>
      <c r="J646" s="1">
        <v>1923.0</v>
      </c>
    </row>
    <row r="647">
      <c r="A647" s="1">
        <v>2021.0</v>
      </c>
      <c r="B647" s="1">
        <v>3.0</v>
      </c>
      <c r="C647" s="1" t="s">
        <v>12</v>
      </c>
      <c r="D647" s="1" t="s">
        <v>13</v>
      </c>
      <c r="E647" s="1" t="s">
        <v>2230</v>
      </c>
      <c r="F647" s="1" t="s">
        <v>3422</v>
      </c>
      <c r="G647" s="1" t="s">
        <v>3423</v>
      </c>
      <c r="H647" s="1">
        <f t="shared" si="1"/>
        <v>1670.2214</v>
      </c>
      <c r="I647" s="3">
        <v>2937007.0</v>
      </c>
      <c r="J647" s="1">
        <v>543.0</v>
      </c>
    </row>
    <row r="648">
      <c r="A648" s="1">
        <v>2021.0</v>
      </c>
      <c r="B648" s="1">
        <v>3.0</v>
      </c>
      <c r="C648" s="1" t="s">
        <v>68</v>
      </c>
      <c r="D648" s="1" t="s">
        <v>13</v>
      </c>
      <c r="E648" s="1" t="s">
        <v>2230</v>
      </c>
      <c r="F648" s="1" t="s">
        <v>3424</v>
      </c>
      <c r="G648" s="1" t="s">
        <v>3425</v>
      </c>
      <c r="H648" s="1">
        <f t="shared" si="1"/>
        <v>876.2526</v>
      </c>
      <c r="I648" s="3">
        <v>2673974.0</v>
      </c>
      <c r="J648" s="1">
        <v>1735.0</v>
      </c>
    </row>
    <row r="649">
      <c r="A649" s="1">
        <v>2021.0</v>
      </c>
      <c r="B649" s="1">
        <v>3.0</v>
      </c>
      <c r="C649" s="1" t="s">
        <v>116</v>
      </c>
      <c r="D649" s="1" t="s">
        <v>13</v>
      </c>
      <c r="E649" s="1" t="s">
        <v>2230</v>
      </c>
      <c r="F649" s="1" t="s">
        <v>3426</v>
      </c>
      <c r="G649" s="1" t="s">
        <v>3427</v>
      </c>
      <c r="H649" s="1">
        <f t="shared" si="1"/>
        <v>1287.2407</v>
      </c>
      <c r="I649" s="3">
        <v>1677986.0</v>
      </c>
      <c r="J649" s="1">
        <v>1862.0</v>
      </c>
    </row>
    <row r="650">
      <c r="A650" s="1">
        <v>2021.0</v>
      </c>
      <c r="B650" s="1">
        <v>4.0</v>
      </c>
      <c r="C650" s="1" t="s">
        <v>12</v>
      </c>
      <c r="D650" s="1" t="s">
        <v>13</v>
      </c>
      <c r="E650" s="1" t="s">
        <v>2230</v>
      </c>
      <c r="F650" s="1" t="s">
        <v>3428</v>
      </c>
      <c r="G650" s="1" t="s">
        <v>3429</v>
      </c>
      <c r="H650" s="1">
        <f t="shared" si="1"/>
        <v>1358.9363</v>
      </c>
      <c r="I650" s="3">
        <v>2456682.0</v>
      </c>
      <c r="J650" s="1">
        <v>543.0</v>
      </c>
    </row>
    <row r="651">
      <c r="A651" s="1">
        <v>2021.0</v>
      </c>
      <c r="B651" s="1">
        <v>4.0</v>
      </c>
      <c r="C651" s="1" t="s">
        <v>68</v>
      </c>
      <c r="D651" s="1" t="s">
        <v>13</v>
      </c>
      <c r="E651" s="1" t="s">
        <v>2230</v>
      </c>
      <c r="F651" s="1" t="s">
        <v>3430</v>
      </c>
      <c r="G651" s="1" t="s">
        <v>3431</v>
      </c>
      <c r="H651" s="1">
        <f t="shared" si="1"/>
        <v>759.3862</v>
      </c>
      <c r="I651" s="3">
        <v>2503374.0</v>
      </c>
      <c r="J651" s="1">
        <v>1389.0</v>
      </c>
    </row>
    <row r="652">
      <c r="A652" s="1">
        <v>2021.0</v>
      </c>
      <c r="B652" s="1">
        <v>4.0</v>
      </c>
      <c r="C652" s="1" t="s">
        <v>116</v>
      </c>
      <c r="D652" s="1" t="s">
        <v>13</v>
      </c>
      <c r="E652" s="1" t="s">
        <v>2230</v>
      </c>
      <c r="F652" s="1" t="s">
        <v>3432</v>
      </c>
      <c r="G652" s="1" t="s">
        <v>3433</v>
      </c>
      <c r="H652" s="1">
        <f t="shared" si="1"/>
        <v>2991.2072</v>
      </c>
      <c r="I652" s="3">
        <v>1284894.0</v>
      </c>
      <c r="J652" s="1">
        <v>1647.0</v>
      </c>
    </row>
    <row r="653">
      <c r="A653" s="1">
        <v>2021.0</v>
      </c>
      <c r="B653" s="1">
        <v>5.0</v>
      </c>
      <c r="C653" s="1" t="s">
        <v>12</v>
      </c>
      <c r="D653" s="1" t="s">
        <v>13</v>
      </c>
      <c r="E653" s="1" t="s">
        <v>2230</v>
      </c>
      <c r="F653" s="1" t="s">
        <v>3434</v>
      </c>
      <c r="G653" s="1" t="s">
        <v>3435</v>
      </c>
      <c r="H653" s="1">
        <f t="shared" si="1"/>
        <v>1451.1396</v>
      </c>
      <c r="I653" s="3">
        <v>1217811.0</v>
      </c>
      <c r="J653" s="1">
        <v>539.0</v>
      </c>
    </row>
    <row r="654">
      <c r="A654" s="1">
        <v>2021.0</v>
      </c>
      <c r="B654" s="1">
        <v>5.0</v>
      </c>
      <c r="C654" s="1" t="s">
        <v>68</v>
      </c>
      <c r="D654" s="1" t="s">
        <v>13</v>
      </c>
      <c r="E654" s="1" t="s">
        <v>2230</v>
      </c>
      <c r="F654" s="1" t="s">
        <v>3436</v>
      </c>
      <c r="G654" s="1" t="s">
        <v>3437</v>
      </c>
      <c r="H654" s="1">
        <f t="shared" si="1"/>
        <v>751.6631</v>
      </c>
      <c r="I654" s="3">
        <v>2128635.0</v>
      </c>
      <c r="J654" s="1">
        <v>1521.0</v>
      </c>
    </row>
    <row r="655">
      <c r="A655" s="1">
        <v>2021.0</v>
      </c>
      <c r="B655" s="1">
        <v>5.0</v>
      </c>
      <c r="C655" s="1" t="s">
        <v>116</v>
      </c>
      <c r="D655" s="1" t="s">
        <v>13</v>
      </c>
      <c r="E655" s="1" t="s">
        <v>2230</v>
      </c>
      <c r="F655" s="1" t="s">
        <v>3438</v>
      </c>
      <c r="G655" s="1" t="s">
        <v>3439</v>
      </c>
      <c r="H655" s="1">
        <f t="shared" si="1"/>
        <v>1321.7207</v>
      </c>
      <c r="I655" s="3">
        <v>1221433.0</v>
      </c>
      <c r="J655" s="1">
        <v>1773.0</v>
      </c>
    </row>
    <row r="656">
      <c r="A656" s="1">
        <v>2021.0</v>
      </c>
      <c r="B656" s="1">
        <v>6.0</v>
      </c>
      <c r="C656" s="1" t="s">
        <v>12</v>
      </c>
      <c r="D656" s="1" t="s">
        <v>13</v>
      </c>
      <c r="E656" s="1" t="s">
        <v>2230</v>
      </c>
      <c r="F656" s="1" t="s">
        <v>3441</v>
      </c>
      <c r="G656" s="1" t="s">
        <v>3442</v>
      </c>
      <c r="H656" s="1">
        <f t="shared" si="1"/>
        <v>1271.7483</v>
      </c>
      <c r="I656" s="3" t="s">
        <v>3443</v>
      </c>
      <c r="J656" s="1">
        <v>588.0</v>
      </c>
    </row>
    <row r="657">
      <c r="A657" s="1">
        <v>2021.0</v>
      </c>
      <c r="B657" s="1">
        <v>6.0</v>
      </c>
      <c r="C657" s="1" t="s">
        <v>68</v>
      </c>
      <c r="D657" s="1" t="s">
        <v>13</v>
      </c>
      <c r="E657" s="1" t="s">
        <v>2230</v>
      </c>
      <c r="F657" s="1" t="s">
        <v>3444</v>
      </c>
      <c r="G657" s="1" t="s">
        <v>3445</v>
      </c>
      <c r="H657" s="1">
        <f t="shared" si="1"/>
        <v>1119.4307</v>
      </c>
      <c r="I657" s="3" t="s">
        <v>3446</v>
      </c>
      <c r="J657" s="1">
        <v>1986.0</v>
      </c>
    </row>
    <row r="658">
      <c r="A658" s="1">
        <v>2021.0</v>
      </c>
      <c r="B658" s="1">
        <v>6.0</v>
      </c>
      <c r="C658" s="1" t="s">
        <v>116</v>
      </c>
      <c r="D658" s="1" t="s">
        <v>13</v>
      </c>
      <c r="E658" s="1" t="s">
        <v>2230</v>
      </c>
      <c r="F658" s="1" t="s">
        <v>3447</v>
      </c>
      <c r="G658" s="1" t="s">
        <v>3448</v>
      </c>
      <c r="H658" s="1">
        <f t="shared" si="1"/>
        <v>2409.2682</v>
      </c>
      <c r="I658" s="3">
        <v>209103.0</v>
      </c>
      <c r="J658" s="1">
        <v>3011.0</v>
      </c>
    </row>
    <row r="659">
      <c r="A659" s="1">
        <v>2021.0</v>
      </c>
      <c r="B659" s="1">
        <v>7.0</v>
      </c>
      <c r="C659" s="1" t="s">
        <v>12</v>
      </c>
      <c r="D659" s="1" t="s">
        <v>13</v>
      </c>
      <c r="E659" s="1" t="s">
        <v>2230</v>
      </c>
      <c r="F659" s="1" t="s">
        <v>3450</v>
      </c>
      <c r="G659" s="1" t="s">
        <v>3451</v>
      </c>
      <c r="H659" s="1">
        <f t="shared" si="1"/>
        <v>1472.9105</v>
      </c>
      <c r="I659" s="3" t="s">
        <v>3452</v>
      </c>
      <c r="J659" s="1">
        <v>689.0</v>
      </c>
    </row>
    <row r="660">
      <c r="A660" s="1">
        <v>2021.0</v>
      </c>
      <c r="B660" s="1">
        <v>7.0</v>
      </c>
      <c r="C660" s="1" t="s">
        <v>68</v>
      </c>
      <c r="D660" s="1" t="s">
        <v>13</v>
      </c>
      <c r="E660" s="1" t="s">
        <v>2230</v>
      </c>
      <c r="F660" s="1" t="s">
        <v>3453</v>
      </c>
      <c r="G660" s="1" t="s">
        <v>3454</v>
      </c>
      <c r="H660" s="1">
        <f t="shared" si="1"/>
        <v>1292.4159</v>
      </c>
      <c r="I660" s="3">
        <v>248823.0</v>
      </c>
      <c r="J660" s="1">
        <v>2136.0</v>
      </c>
    </row>
    <row r="661">
      <c r="A661" s="1">
        <v>2021.0</v>
      </c>
      <c r="B661" s="1">
        <v>7.0</v>
      </c>
      <c r="C661" s="1" t="s">
        <v>116</v>
      </c>
      <c r="D661" s="1" t="s">
        <v>13</v>
      </c>
      <c r="E661" s="1" t="s">
        <v>2230</v>
      </c>
      <c r="F661" s="1" t="s">
        <v>3455</v>
      </c>
      <c r="G661" s="1" t="s">
        <v>3456</v>
      </c>
      <c r="H661" s="1">
        <f t="shared" si="1"/>
        <v>2610.5358</v>
      </c>
      <c r="I661" s="1" t="s">
        <v>3457</v>
      </c>
      <c r="J661" s="1">
        <v>3823.0</v>
      </c>
    </row>
    <row r="662">
      <c r="A662" s="1">
        <v>2021.0</v>
      </c>
      <c r="B662" s="1">
        <v>8.0</v>
      </c>
      <c r="C662" s="1" t="s">
        <v>12</v>
      </c>
      <c r="D662" s="1" t="s">
        <v>13</v>
      </c>
      <c r="E662" s="1" t="s">
        <v>2230</v>
      </c>
      <c r="F662" s="1" t="s">
        <v>3459</v>
      </c>
      <c r="G662" s="1" t="s">
        <v>3460</v>
      </c>
      <c r="H662" s="1">
        <f t="shared" si="1"/>
        <v>1174.4153</v>
      </c>
      <c r="I662" s="3">
        <v>2532288.0</v>
      </c>
      <c r="J662" s="1">
        <v>654.0</v>
      </c>
    </row>
    <row r="663">
      <c r="A663" s="1">
        <v>2021.0</v>
      </c>
      <c r="B663" s="1">
        <v>8.0</v>
      </c>
      <c r="C663" s="1" t="s">
        <v>68</v>
      </c>
      <c r="D663" s="1" t="s">
        <v>13</v>
      </c>
      <c r="E663" s="1" t="s">
        <v>2230</v>
      </c>
      <c r="F663" s="1" t="s">
        <v>3461</v>
      </c>
      <c r="G663" s="1" t="s">
        <v>3462</v>
      </c>
      <c r="H663" s="1">
        <f t="shared" si="1"/>
        <v>1298.0841</v>
      </c>
      <c r="I663" s="3">
        <v>841976.0</v>
      </c>
      <c r="J663" s="1">
        <v>2197.0</v>
      </c>
    </row>
    <row r="664">
      <c r="A664" s="1">
        <v>2021.0</v>
      </c>
      <c r="B664" s="1">
        <v>8.0</v>
      </c>
      <c r="C664" s="1" t="s">
        <v>116</v>
      </c>
      <c r="D664" s="1" t="s">
        <v>13</v>
      </c>
      <c r="E664" s="1" t="s">
        <v>2230</v>
      </c>
      <c r="F664" s="1" t="s">
        <v>3463</v>
      </c>
      <c r="G664" s="1" t="s">
        <v>3464</v>
      </c>
      <c r="H664" s="1">
        <f t="shared" si="1"/>
        <v>2683.1193</v>
      </c>
      <c r="I664" s="1" t="s">
        <v>3465</v>
      </c>
      <c r="J664" s="1">
        <v>4198.0</v>
      </c>
    </row>
    <row r="665">
      <c r="A665" s="1">
        <v>2021.0</v>
      </c>
      <c r="B665" s="1">
        <v>9.0</v>
      </c>
      <c r="C665" s="1" t="s">
        <v>12</v>
      </c>
      <c r="D665" s="1" t="s">
        <v>13</v>
      </c>
      <c r="E665" s="1" t="s">
        <v>2230</v>
      </c>
      <c r="F665" s="1" t="s">
        <v>3466</v>
      </c>
      <c r="G665" s="1" t="s">
        <v>3467</v>
      </c>
      <c r="H665" s="1">
        <f t="shared" si="1"/>
        <v>1100.4579</v>
      </c>
      <c r="I665" s="3">
        <v>1217780.0</v>
      </c>
      <c r="J665" s="1">
        <v>563.0</v>
      </c>
    </row>
    <row r="666">
      <c r="A666" s="1">
        <v>2021.0</v>
      </c>
      <c r="B666" s="1">
        <v>9.0</v>
      </c>
      <c r="C666" s="1" t="s">
        <v>68</v>
      </c>
      <c r="D666" s="1" t="s">
        <v>13</v>
      </c>
      <c r="E666" s="1" t="s">
        <v>2230</v>
      </c>
      <c r="F666" s="1" t="s">
        <v>3468</v>
      </c>
      <c r="G666" s="1" t="s">
        <v>3469</v>
      </c>
      <c r="H666" s="1">
        <f t="shared" si="1"/>
        <v>1265.2026</v>
      </c>
      <c r="I666" s="3">
        <v>2256895.0</v>
      </c>
      <c r="J666" s="1">
        <v>2540.0</v>
      </c>
    </row>
    <row r="667">
      <c r="A667" s="1">
        <v>2021.0</v>
      </c>
      <c r="B667" s="1">
        <v>9.0</v>
      </c>
      <c r="C667" s="1" t="s">
        <v>116</v>
      </c>
      <c r="D667" s="1" t="s">
        <v>13</v>
      </c>
      <c r="E667" s="1" t="s">
        <v>2230</v>
      </c>
      <c r="F667" s="1" t="s">
        <v>3470</v>
      </c>
      <c r="G667" s="1" t="s">
        <v>3471</v>
      </c>
      <c r="H667" s="1">
        <f t="shared" si="1"/>
        <v>1831.2859</v>
      </c>
      <c r="I667" s="3">
        <v>2522122.0</v>
      </c>
      <c r="J667" s="1">
        <v>3746.0</v>
      </c>
    </row>
    <row r="668">
      <c r="A668" s="1">
        <v>2021.0</v>
      </c>
      <c r="B668" s="1">
        <v>10.0</v>
      </c>
      <c r="C668" s="1" t="s">
        <v>12</v>
      </c>
      <c r="D668" s="1" t="s">
        <v>13</v>
      </c>
      <c r="E668" s="1" t="s">
        <v>2230</v>
      </c>
      <c r="F668" s="3">
        <v>44896.0</v>
      </c>
      <c r="G668" s="1" t="s">
        <v>3472</v>
      </c>
      <c r="H668" s="1">
        <f t="shared" si="1"/>
        <v>833.8938</v>
      </c>
      <c r="I668" s="3">
        <v>768869.0</v>
      </c>
      <c r="J668" s="1">
        <v>468.0</v>
      </c>
    </row>
    <row r="669">
      <c r="A669" s="1">
        <v>2021.0</v>
      </c>
      <c r="B669" s="1">
        <v>10.0</v>
      </c>
      <c r="C669" s="1" t="s">
        <v>68</v>
      </c>
      <c r="D669" s="1" t="s">
        <v>13</v>
      </c>
      <c r="E669" s="1" t="s">
        <v>2230</v>
      </c>
      <c r="F669" s="1" t="s">
        <v>3473</v>
      </c>
      <c r="G669" s="1" t="s">
        <v>3474</v>
      </c>
      <c r="H669" s="1">
        <f t="shared" si="1"/>
        <v>867.9115</v>
      </c>
      <c r="I669" s="3">
        <v>2000101.0</v>
      </c>
      <c r="J669" s="1">
        <v>1703.0</v>
      </c>
    </row>
    <row r="670">
      <c r="A670" s="1">
        <v>2021.0</v>
      </c>
      <c r="B670" s="1">
        <v>10.0</v>
      </c>
      <c r="C670" s="1" t="s">
        <v>116</v>
      </c>
      <c r="D670" s="1" t="s">
        <v>13</v>
      </c>
      <c r="E670" s="1" t="s">
        <v>2230</v>
      </c>
      <c r="F670" s="1" t="s">
        <v>3475</v>
      </c>
      <c r="G670" s="1" t="s">
        <v>3476</v>
      </c>
      <c r="H670" s="1">
        <f t="shared" si="1"/>
        <v>1875.1751</v>
      </c>
      <c r="I670" s="3">
        <v>1427124.0</v>
      </c>
      <c r="J670" s="1">
        <v>2625.0</v>
      </c>
    </row>
    <row r="671">
      <c r="A671" s="1">
        <v>2021.0</v>
      </c>
      <c r="B671" s="1">
        <v>11.0</v>
      </c>
      <c r="C671" s="1" t="s">
        <v>12</v>
      </c>
      <c r="D671" s="1" t="s">
        <v>13</v>
      </c>
      <c r="E671" s="1" t="s">
        <v>2230</v>
      </c>
      <c r="F671" s="1" t="s">
        <v>3478</v>
      </c>
      <c r="G671" s="1" t="s">
        <v>3479</v>
      </c>
      <c r="H671" s="1">
        <f t="shared" si="1"/>
        <v>894.7549</v>
      </c>
      <c r="I671" s="3">
        <v>1653851.0</v>
      </c>
      <c r="J671" s="1">
        <v>461.0</v>
      </c>
    </row>
    <row r="672">
      <c r="A672" s="1">
        <v>2021.0</v>
      </c>
      <c r="B672" s="1">
        <v>11.0</v>
      </c>
      <c r="C672" s="1" t="s">
        <v>68</v>
      </c>
      <c r="D672" s="1" t="s">
        <v>13</v>
      </c>
      <c r="E672" s="1" t="s">
        <v>2230</v>
      </c>
      <c r="F672" s="3">
        <v>1033212.0</v>
      </c>
      <c r="G672" s="1" t="s">
        <v>3480</v>
      </c>
      <c r="H672" s="1">
        <f t="shared" si="1"/>
        <v>749.0576</v>
      </c>
      <c r="I672" s="3">
        <v>381712.0</v>
      </c>
      <c r="J672" s="1">
        <v>1710.0</v>
      </c>
    </row>
    <row r="673">
      <c r="A673" s="1">
        <v>2021.0</v>
      </c>
      <c r="B673" s="1">
        <v>11.0</v>
      </c>
      <c r="C673" s="1" t="s">
        <v>116</v>
      </c>
      <c r="D673" s="1" t="s">
        <v>13</v>
      </c>
      <c r="E673" s="1" t="s">
        <v>2230</v>
      </c>
      <c r="F673" s="1" t="s">
        <v>3482</v>
      </c>
      <c r="G673" s="1" t="s">
        <v>3483</v>
      </c>
      <c r="H673" s="1">
        <f t="shared" si="1"/>
        <v>1339.4531</v>
      </c>
      <c r="I673" s="3">
        <v>1459571.0</v>
      </c>
      <c r="J673" s="1">
        <v>2387.0</v>
      </c>
    </row>
    <row r="674">
      <c r="A674" s="1">
        <v>2021.0</v>
      </c>
      <c r="B674" s="1">
        <v>12.0</v>
      </c>
      <c r="C674" s="1" t="s">
        <v>12</v>
      </c>
      <c r="D674" s="1" t="s">
        <v>13</v>
      </c>
      <c r="E674" s="1" t="s">
        <v>2230</v>
      </c>
      <c r="F674" s="3">
        <v>1462340.0</v>
      </c>
      <c r="G674" s="1" t="s">
        <v>3484</v>
      </c>
      <c r="H674" s="1">
        <f t="shared" si="1"/>
        <v>748.8579</v>
      </c>
      <c r="I674" s="1" t="s">
        <v>3485</v>
      </c>
      <c r="J674" s="1">
        <v>428.0</v>
      </c>
    </row>
    <row r="675">
      <c r="A675" s="1">
        <v>2021.0</v>
      </c>
      <c r="B675" s="1">
        <v>12.0</v>
      </c>
      <c r="C675" s="1" t="s">
        <v>68</v>
      </c>
      <c r="D675" s="1" t="s">
        <v>13</v>
      </c>
      <c r="E675" s="1" t="s">
        <v>2230</v>
      </c>
      <c r="F675" s="3">
        <v>2294637.0</v>
      </c>
      <c r="G675" s="1" t="s">
        <v>3486</v>
      </c>
      <c r="H675" s="1">
        <f t="shared" si="1"/>
        <v>549.3443</v>
      </c>
      <c r="I675" s="3">
        <v>1364548.0</v>
      </c>
      <c r="J675" s="1">
        <v>1053.0</v>
      </c>
    </row>
    <row r="676">
      <c r="A676" s="1">
        <v>2021.0</v>
      </c>
      <c r="B676" s="1">
        <v>12.0</v>
      </c>
      <c r="C676" s="1" t="s">
        <v>116</v>
      </c>
      <c r="D676" s="1" t="s">
        <v>13</v>
      </c>
      <c r="E676" s="1" t="s">
        <v>2230</v>
      </c>
      <c r="F676" s="1" t="s">
        <v>3488</v>
      </c>
      <c r="G676" s="1" t="s">
        <v>3489</v>
      </c>
      <c r="H676" s="1">
        <f t="shared" si="1"/>
        <v>1721.9886</v>
      </c>
      <c r="I676" s="3" t="s">
        <v>3490</v>
      </c>
      <c r="J676" s="1">
        <v>2407.0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5"/>
    <col customWidth="1" min="3" max="3" width="1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3" width="16.0"/>
    <col customWidth="1" min="14" max="14" width="15.25"/>
    <col customWidth="1" min="15" max="15" width="19.0"/>
  </cols>
  <sheetData>
    <row r="1">
      <c r="A1" s="1" t="s">
        <v>0</v>
      </c>
      <c r="B1" s="1" t="s">
        <v>1</v>
      </c>
      <c r="C1" s="4" t="s">
        <v>166</v>
      </c>
      <c r="D1" s="1" t="s">
        <v>2</v>
      </c>
      <c r="E1" s="1" t="s">
        <v>3</v>
      </c>
      <c r="F1" s="2" t="s">
        <v>2487</v>
      </c>
      <c r="G1" s="5" t="s">
        <v>4</v>
      </c>
      <c r="H1" s="5" t="s">
        <v>5</v>
      </c>
      <c r="I1" s="4" t="s">
        <v>6</v>
      </c>
      <c r="J1" s="5" t="s">
        <v>366</v>
      </c>
      <c r="K1" s="4" t="s">
        <v>8</v>
      </c>
      <c r="L1" s="5" t="s">
        <v>9</v>
      </c>
      <c r="M1" s="4" t="s">
        <v>10</v>
      </c>
      <c r="N1" s="1" t="s">
        <v>11</v>
      </c>
      <c r="O1" s="5" t="s">
        <v>181</v>
      </c>
    </row>
    <row r="2">
      <c r="A2" s="6" t="s">
        <v>2488</v>
      </c>
      <c r="B2" s="6" t="s">
        <v>186</v>
      </c>
      <c r="C2" s="5">
        <f t="shared" ref="C2:C676" si="1">VALUE(B2)</f>
        <v>1</v>
      </c>
      <c r="D2" s="1" t="s">
        <v>12</v>
      </c>
      <c r="E2" s="1" t="s">
        <v>13</v>
      </c>
      <c r="F2" s="1" t="str">
        <f t="shared" ref="F2:F676" si="2">IF(E2="Greennn#!","Green",E2)</f>
        <v>Green</v>
      </c>
      <c r="G2" s="5" t="s">
        <v>14</v>
      </c>
      <c r="H2" s="9" t="s">
        <v>2489</v>
      </c>
      <c r="I2" s="5">
        <f t="shared" ref="I2:I676" si="3">VALUE(SUBSTITUTE(H2,".", ","))</f>
        <v>12.7583</v>
      </c>
      <c r="J2" s="5" t="s">
        <v>375</v>
      </c>
      <c r="K2" s="5">
        <f t="shared" ref="K2:K676" si="4">VALUE(SUBSTITUTE(J2,".",","))/1000</f>
        <v>817.789128</v>
      </c>
      <c r="L2" s="9" t="s">
        <v>2490</v>
      </c>
      <c r="M2" s="5">
        <f t="shared" ref="M2:M676" si="5">VALUE(SUBSTITUTE(L2,".", ","))</f>
        <v>2.6792</v>
      </c>
      <c r="N2" s="6" t="s">
        <v>2491</v>
      </c>
      <c r="O2" s="5">
        <f t="shared" ref="O2:O676" si="6">VALUE(N2)</f>
        <v>545</v>
      </c>
    </row>
    <row r="3">
      <c r="A3" s="6" t="s">
        <v>2488</v>
      </c>
      <c r="B3" s="6" t="s">
        <v>186</v>
      </c>
      <c r="C3" s="5">
        <f t="shared" si="1"/>
        <v>1</v>
      </c>
      <c r="D3" s="1" t="s">
        <v>12</v>
      </c>
      <c r="E3" s="1" t="s">
        <v>2497</v>
      </c>
      <c r="F3" s="1" t="str">
        <f t="shared" si="2"/>
        <v>Green</v>
      </c>
      <c r="G3" s="5" t="s">
        <v>17</v>
      </c>
      <c r="H3" s="5" t="s">
        <v>385</v>
      </c>
      <c r="I3" s="5">
        <f t="shared" si="3"/>
        <v>61.6034</v>
      </c>
      <c r="J3" s="5" t="s">
        <v>387</v>
      </c>
      <c r="K3" s="5">
        <f t="shared" si="4"/>
        <v>5598.975814</v>
      </c>
      <c r="L3" s="5" t="s">
        <v>389</v>
      </c>
      <c r="M3" s="5">
        <f t="shared" si="5"/>
        <v>21.5612</v>
      </c>
      <c r="N3" s="6" t="s">
        <v>2502</v>
      </c>
      <c r="O3" s="5">
        <f t="shared" si="6"/>
        <v>798</v>
      </c>
    </row>
    <row r="4">
      <c r="A4" s="6" t="s">
        <v>2488</v>
      </c>
      <c r="B4" s="6" t="s">
        <v>186</v>
      </c>
      <c r="C4" s="5">
        <f t="shared" si="1"/>
        <v>1</v>
      </c>
      <c r="D4" s="1" t="s">
        <v>12</v>
      </c>
      <c r="E4" s="1" t="s">
        <v>2497</v>
      </c>
      <c r="F4" s="1" t="str">
        <f t="shared" si="2"/>
        <v>Green</v>
      </c>
      <c r="G4" s="5" t="s">
        <v>21</v>
      </c>
      <c r="H4" s="5" t="s">
        <v>391</v>
      </c>
      <c r="I4" s="5">
        <f t="shared" si="3"/>
        <v>47.7524</v>
      </c>
      <c r="J4" s="5" t="s">
        <v>392</v>
      </c>
      <c r="K4" s="5">
        <f t="shared" si="4"/>
        <v>4638.537271</v>
      </c>
      <c r="L4" s="5" t="s">
        <v>395</v>
      </c>
      <c r="M4" s="5">
        <f t="shared" si="5"/>
        <v>23.8763</v>
      </c>
      <c r="N4" s="6" t="s">
        <v>2509</v>
      </c>
      <c r="O4" s="5">
        <f t="shared" si="6"/>
        <v>569</v>
      </c>
    </row>
    <row r="5">
      <c r="A5" s="6" t="s">
        <v>2488</v>
      </c>
      <c r="B5" s="6" t="s">
        <v>186</v>
      </c>
      <c r="C5" s="5">
        <f t="shared" si="1"/>
        <v>1</v>
      </c>
      <c r="D5" s="1" t="s">
        <v>12</v>
      </c>
      <c r="E5" s="1" t="s">
        <v>2497</v>
      </c>
      <c r="F5" s="1" t="str">
        <f t="shared" si="2"/>
        <v>Green</v>
      </c>
      <c r="G5" s="5" t="s">
        <v>25</v>
      </c>
      <c r="H5" s="5" t="s">
        <v>144</v>
      </c>
      <c r="I5" s="5">
        <f t="shared" si="3"/>
        <v>0.0017</v>
      </c>
      <c r="J5" s="5" t="s">
        <v>398</v>
      </c>
      <c r="K5" s="5">
        <f t="shared" si="4"/>
        <v>0.123992</v>
      </c>
      <c r="L5" s="5" t="s">
        <v>73</v>
      </c>
      <c r="M5" s="5">
        <f t="shared" si="5"/>
        <v>0.0013</v>
      </c>
      <c r="N5" s="6" t="s">
        <v>186</v>
      </c>
      <c r="O5" s="5">
        <f t="shared" si="6"/>
        <v>1</v>
      </c>
    </row>
    <row r="6">
      <c r="A6" s="6" t="s">
        <v>2488</v>
      </c>
      <c r="B6" s="6" t="s">
        <v>186</v>
      </c>
      <c r="C6" s="5">
        <f t="shared" si="1"/>
        <v>1</v>
      </c>
      <c r="D6" s="1" t="s">
        <v>12</v>
      </c>
      <c r="E6" s="1" t="s">
        <v>29</v>
      </c>
      <c r="F6" s="1" t="str">
        <f t="shared" si="2"/>
        <v>Blue</v>
      </c>
      <c r="G6" s="5" t="s">
        <v>14</v>
      </c>
      <c r="H6" s="5" t="s">
        <v>402</v>
      </c>
      <c r="I6" s="5">
        <f t="shared" si="3"/>
        <v>0.0509</v>
      </c>
      <c r="J6" s="5" t="s">
        <v>403</v>
      </c>
      <c r="K6" s="5">
        <f t="shared" si="4"/>
        <v>5.628921</v>
      </c>
      <c r="L6" s="5" t="s">
        <v>406</v>
      </c>
      <c r="M6" s="5">
        <f t="shared" si="5"/>
        <v>0.0101</v>
      </c>
      <c r="N6" s="6" t="s">
        <v>2521</v>
      </c>
      <c r="O6" s="5">
        <f t="shared" si="6"/>
        <v>6</v>
      </c>
    </row>
    <row r="7">
      <c r="A7" s="6" t="s">
        <v>2488</v>
      </c>
      <c r="B7" s="6" t="s">
        <v>186</v>
      </c>
      <c r="C7" s="5">
        <f t="shared" si="1"/>
        <v>1</v>
      </c>
      <c r="D7" s="1" t="s">
        <v>12</v>
      </c>
      <c r="E7" s="1" t="s">
        <v>29</v>
      </c>
      <c r="F7" s="1" t="str">
        <f t="shared" si="2"/>
        <v>Blue</v>
      </c>
      <c r="G7" s="5" t="s">
        <v>21</v>
      </c>
      <c r="H7" s="5" t="s">
        <v>408</v>
      </c>
      <c r="I7" s="5">
        <f t="shared" si="3"/>
        <v>32.5492</v>
      </c>
      <c r="J7" s="5" t="s">
        <v>411</v>
      </c>
      <c r="K7" s="5">
        <f t="shared" si="4"/>
        <v>5589.670023</v>
      </c>
      <c r="L7" s="5" t="s">
        <v>413</v>
      </c>
      <c r="M7" s="5">
        <f t="shared" si="5"/>
        <v>13.0196</v>
      </c>
      <c r="N7" s="6" t="s">
        <v>2532</v>
      </c>
      <c r="O7" s="5">
        <f t="shared" si="6"/>
        <v>658</v>
      </c>
    </row>
    <row r="8">
      <c r="A8" s="6" t="s">
        <v>2488</v>
      </c>
      <c r="B8" s="6" t="s">
        <v>186</v>
      </c>
      <c r="C8" s="5">
        <f t="shared" si="1"/>
        <v>1</v>
      </c>
      <c r="D8" s="1" t="s">
        <v>12</v>
      </c>
      <c r="E8" s="1" t="s">
        <v>32</v>
      </c>
      <c r="F8" s="1" t="str">
        <f t="shared" si="2"/>
        <v>Black</v>
      </c>
      <c r="G8" s="5" t="s">
        <v>14</v>
      </c>
      <c r="H8" s="9" t="s">
        <v>2537</v>
      </c>
      <c r="I8" s="5">
        <f t="shared" si="3"/>
        <v>3.3615</v>
      </c>
      <c r="J8" s="5" t="s">
        <v>416</v>
      </c>
      <c r="K8" s="5">
        <f t="shared" si="4"/>
        <v>224.651122</v>
      </c>
      <c r="L8" s="5" t="s">
        <v>418</v>
      </c>
      <c r="M8" s="5">
        <f t="shared" si="5"/>
        <v>0.7731</v>
      </c>
      <c r="N8" s="6" t="s">
        <v>2540</v>
      </c>
      <c r="O8" s="5">
        <f t="shared" si="6"/>
        <v>366</v>
      </c>
    </row>
    <row r="9">
      <c r="A9" s="6" t="s">
        <v>2488</v>
      </c>
      <c r="B9" s="6" t="s">
        <v>186</v>
      </c>
      <c r="C9" s="5">
        <f t="shared" si="1"/>
        <v>1</v>
      </c>
      <c r="D9" s="1" t="s">
        <v>12</v>
      </c>
      <c r="E9" s="1" t="s">
        <v>32</v>
      </c>
      <c r="F9" s="1" t="str">
        <f t="shared" si="2"/>
        <v>Black</v>
      </c>
      <c r="G9" s="5" t="s">
        <v>21</v>
      </c>
      <c r="H9" s="9" t="s">
        <v>2542</v>
      </c>
      <c r="I9" s="5">
        <f t="shared" si="3"/>
        <v>1.4148</v>
      </c>
      <c r="J9" s="5" t="s">
        <v>422</v>
      </c>
      <c r="K9" s="5">
        <f t="shared" si="4"/>
        <v>172.739041</v>
      </c>
      <c r="L9" s="5" t="s">
        <v>425</v>
      </c>
      <c r="M9" s="5">
        <f t="shared" si="5"/>
        <v>0.6367</v>
      </c>
      <c r="N9" s="6" t="s">
        <v>2544</v>
      </c>
      <c r="O9" s="5">
        <f t="shared" si="6"/>
        <v>281</v>
      </c>
    </row>
    <row r="10">
      <c r="A10" s="6" t="s">
        <v>2488</v>
      </c>
      <c r="B10" s="6" t="s">
        <v>186</v>
      </c>
      <c r="C10" s="5">
        <f t="shared" si="1"/>
        <v>1</v>
      </c>
      <c r="D10" s="1" t="s">
        <v>12</v>
      </c>
      <c r="E10" s="1" t="s">
        <v>45</v>
      </c>
      <c r="F10" s="1" t="str">
        <f t="shared" si="2"/>
        <v>Yellow</v>
      </c>
      <c r="G10" s="5" t="s">
        <v>17</v>
      </c>
      <c r="H10" s="9" t="s">
        <v>2546</v>
      </c>
      <c r="I10" s="5">
        <f t="shared" si="3"/>
        <v>4.3779</v>
      </c>
      <c r="J10" s="5" t="s">
        <v>427</v>
      </c>
      <c r="K10" s="5">
        <f t="shared" si="4"/>
        <v>295.583894</v>
      </c>
      <c r="L10" s="9" t="s">
        <v>2549</v>
      </c>
      <c r="M10" s="5">
        <f t="shared" si="5"/>
        <v>1.5761</v>
      </c>
      <c r="N10" s="6" t="s">
        <v>2551</v>
      </c>
      <c r="O10" s="5">
        <f t="shared" si="6"/>
        <v>234</v>
      </c>
    </row>
    <row r="11">
      <c r="A11" s="6" t="s">
        <v>2488</v>
      </c>
      <c r="B11" s="6" t="s">
        <v>186</v>
      </c>
      <c r="C11" s="5">
        <f t="shared" si="1"/>
        <v>1</v>
      </c>
      <c r="D11" s="1" t="s">
        <v>12</v>
      </c>
      <c r="E11" s="1" t="s">
        <v>38</v>
      </c>
      <c r="F11" s="1" t="str">
        <f t="shared" si="2"/>
        <v>White</v>
      </c>
      <c r="G11" s="5" t="s">
        <v>39</v>
      </c>
      <c r="H11" s="5" t="s">
        <v>432</v>
      </c>
      <c r="I11" s="5">
        <f t="shared" si="3"/>
        <v>2.563</v>
      </c>
      <c r="J11" s="5" t="s">
        <v>433</v>
      </c>
      <c r="K11" s="5">
        <f t="shared" si="4"/>
        <v>286.247337</v>
      </c>
      <c r="L11" s="5" t="s">
        <v>435</v>
      </c>
      <c r="M11" s="5">
        <f t="shared" si="5"/>
        <v>0.4614</v>
      </c>
      <c r="N11" s="6" t="s">
        <v>2555</v>
      </c>
      <c r="O11" s="5">
        <f t="shared" si="6"/>
        <v>102</v>
      </c>
    </row>
    <row r="12">
      <c r="A12" s="6" t="s">
        <v>2488</v>
      </c>
      <c r="B12" s="6" t="s">
        <v>186</v>
      </c>
      <c r="C12" s="5">
        <f t="shared" si="1"/>
        <v>1</v>
      </c>
      <c r="D12" s="1" t="s">
        <v>12</v>
      </c>
      <c r="E12" s="1" t="s">
        <v>42</v>
      </c>
      <c r="F12" s="1" t="str">
        <f t="shared" si="2"/>
        <v>Red</v>
      </c>
      <c r="G12" s="5" t="s">
        <v>17</v>
      </c>
      <c r="H12" s="5" t="s">
        <v>437</v>
      </c>
      <c r="I12" s="5">
        <f t="shared" si="3"/>
        <v>0.938</v>
      </c>
      <c r="J12" s="5" t="s">
        <v>439</v>
      </c>
      <c r="K12" s="5">
        <f t="shared" si="4"/>
        <v>144.051522</v>
      </c>
      <c r="L12" s="5" t="s">
        <v>440</v>
      </c>
      <c r="M12" s="5">
        <f t="shared" si="5"/>
        <v>0.347</v>
      </c>
      <c r="N12" s="6" t="s">
        <v>756</v>
      </c>
      <c r="O12" s="5">
        <f t="shared" si="6"/>
        <v>93</v>
      </c>
    </row>
    <row r="13">
      <c r="A13" s="6" t="s">
        <v>2488</v>
      </c>
      <c r="B13" s="6" t="s">
        <v>186</v>
      </c>
      <c r="C13" s="5">
        <f t="shared" si="1"/>
        <v>1</v>
      </c>
      <c r="D13" s="1" t="s">
        <v>12</v>
      </c>
      <c r="E13" s="1" t="s">
        <v>48</v>
      </c>
      <c r="F13" s="1" t="str">
        <f t="shared" si="2"/>
        <v>Orange</v>
      </c>
      <c r="G13" s="5" t="s">
        <v>49</v>
      </c>
      <c r="H13" s="5" t="s">
        <v>445</v>
      </c>
      <c r="I13" s="5">
        <f t="shared" si="3"/>
        <v>0.0066</v>
      </c>
      <c r="J13" s="5" t="s">
        <v>446</v>
      </c>
      <c r="K13" s="5">
        <f t="shared" si="4"/>
        <v>2.099316</v>
      </c>
      <c r="L13" s="5" t="s">
        <v>448</v>
      </c>
      <c r="M13" s="5">
        <f t="shared" si="5"/>
        <v>0.0018</v>
      </c>
      <c r="N13" s="6" t="s">
        <v>397</v>
      </c>
      <c r="O13" s="5">
        <f t="shared" si="6"/>
        <v>2</v>
      </c>
    </row>
    <row r="14">
      <c r="A14" s="6" t="s">
        <v>2488</v>
      </c>
      <c r="B14" s="6" t="s">
        <v>186</v>
      </c>
      <c r="C14" s="5">
        <f t="shared" si="1"/>
        <v>1</v>
      </c>
      <c r="D14" s="1" t="s">
        <v>12</v>
      </c>
      <c r="E14" s="1" t="s">
        <v>48</v>
      </c>
      <c r="F14" s="1" t="str">
        <f t="shared" si="2"/>
        <v>Orange</v>
      </c>
      <c r="G14" s="5" t="s">
        <v>21</v>
      </c>
      <c r="H14" s="9" t="s">
        <v>2568</v>
      </c>
      <c r="I14" s="5">
        <f t="shared" si="3"/>
        <v>1.0009</v>
      </c>
      <c r="J14" s="5" t="s">
        <v>450</v>
      </c>
      <c r="K14" s="5">
        <f t="shared" si="4"/>
        <v>128.384194</v>
      </c>
      <c r="L14" s="5" t="s">
        <v>452</v>
      </c>
      <c r="M14" s="5">
        <f t="shared" si="5"/>
        <v>0.4004</v>
      </c>
      <c r="N14" s="6" t="s">
        <v>2571</v>
      </c>
      <c r="O14" s="5">
        <f t="shared" si="6"/>
        <v>122</v>
      </c>
    </row>
    <row r="15">
      <c r="A15" s="6" t="s">
        <v>2488</v>
      </c>
      <c r="B15" s="6" t="s">
        <v>186</v>
      </c>
      <c r="C15" s="5">
        <f t="shared" si="1"/>
        <v>1</v>
      </c>
      <c r="D15" s="1" t="s">
        <v>12</v>
      </c>
      <c r="E15" s="1" t="s">
        <v>56</v>
      </c>
      <c r="F15" s="1" t="str">
        <f t="shared" si="2"/>
        <v>Purple</v>
      </c>
      <c r="G15" s="5" t="s">
        <v>21</v>
      </c>
      <c r="H15" s="5" t="s">
        <v>454</v>
      </c>
      <c r="I15" s="5">
        <f t="shared" si="3"/>
        <v>0.3449</v>
      </c>
      <c r="J15" s="5" t="s">
        <v>456</v>
      </c>
      <c r="K15" s="5">
        <f t="shared" si="4"/>
        <v>72.269303</v>
      </c>
      <c r="L15" s="5" t="s">
        <v>458</v>
      </c>
      <c r="M15" s="5">
        <f t="shared" si="5"/>
        <v>0.1379</v>
      </c>
      <c r="N15" s="6" t="s">
        <v>2578</v>
      </c>
      <c r="O15" s="5">
        <f t="shared" si="6"/>
        <v>167</v>
      </c>
    </row>
    <row r="16">
      <c r="A16" s="6" t="s">
        <v>2488</v>
      </c>
      <c r="B16" s="6" t="s">
        <v>186</v>
      </c>
      <c r="C16" s="5">
        <f t="shared" si="1"/>
        <v>1</v>
      </c>
      <c r="D16" s="1" t="s">
        <v>12</v>
      </c>
      <c r="E16" s="1" t="s">
        <v>64</v>
      </c>
      <c r="F16" s="1" t="str">
        <f t="shared" si="2"/>
        <v>Brown</v>
      </c>
      <c r="G16" s="5" t="s">
        <v>39</v>
      </c>
      <c r="H16" s="5" t="s">
        <v>460</v>
      </c>
      <c r="I16" s="5">
        <f t="shared" si="3"/>
        <v>0.3859</v>
      </c>
      <c r="J16" s="5" t="s">
        <v>462</v>
      </c>
      <c r="K16" s="5">
        <f t="shared" si="4"/>
        <v>35.374751</v>
      </c>
      <c r="L16" s="5" t="s">
        <v>464</v>
      </c>
      <c r="M16" s="5">
        <f t="shared" si="5"/>
        <v>0.0695</v>
      </c>
      <c r="N16" s="6" t="s">
        <v>2584</v>
      </c>
      <c r="O16" s="5">
        <f t="shared" si="6"/>
        <v>88</v>
      </c>
    </row>
    <row r="17">
      <c r="A17" s="6" t="s">
        <v>2488</v>
      </c>
      <c r="B17" s="6" t="s">
        <v>186</v>
      </c>
      <c r="C17" s="5">
        <f t="shared" si="1"/>
        <v>1</v>
      </c>
      <c r="D17" s="1" t="s">
        <v>12</v>
      </c>
      <c r="E17" s="1" t="s">
        <v>64</v>
      </c>
      <c r="F17" s="1" t="str">
        <f t="shared" si="2"/>
        <v>Brown</v>
      </c>
      <c r="G17" s="5" t="s">
        <v>21</v>
      </c>
      <c r="H17" s="5" t="s">
        <v>467</v>
      </c>
      <c r="I17" s="5">
        <f t="shared" si="3"/>
        <v>0.0197</v>
      </c>
      <c r="J17" s="5" t="s">
        <v>469</v>
      </c>
      <c r="K17" s="5">
        <f t="shared" si="4"/>
        <v>3.081309</v>
      </c>
      <c r="L17" s="5" t="s">
        <v>470</v>
      </c>
      <c r="M17" s="5">
        <f t="shared" si="5"/>
        <v>0.0079</v>
      </c>
      <c r="N17" s="6" t="s">
        <v>2591</v>
      </c>
      <c r="O17" s="5">
        <f t="shared" si="6"/>
        <v>11</v>
      </c>
    </row>
    <row r="18">
      <c r="A18" s="6" t="s">
        <v>2488</v>
      </c>
      <c r="B18" s="6" t="s">
        <v>186</v>
      </c>
      <c r="C18" s="5">
        <f t="shared" si="1"/>
        <v>1</v>
      </c>
      <c r="D18" s="1" t="s">
        <v>12</v>
      </c>
      <c r="E18" s="1" t="s">
        <v>60</v>
      </c>
      <c r="F18" s="1" t="str">
        <f t="shared" si="2"/>
        <v>Pink</v>
      </c>
      <c r="G18" s="5" t="s">
        <v>39</v>
      </c>
      <c r="H18" s="5" t="s">
        <v>473</v>
      </c>
      <c r="I18" s="5">
        <f t="shared" si="3"/>
        <v>0.2111</v>
      </c>
      <c r="J18" s="5" t="s">
        <v>474</v>
      </c>
      <c r="K18" s="5">
        <f t="shared" si="4"/>
        <v>37.134448</v>
      </c>
      <c r="L18" s="5" t="s">
        <v>476</v>
      </c>
      <c r="M18" s="5">
        <f t="shared" si="5"/>
        <v>0.0401</v>
      </c>
      <c r="N18" s="6" t="s">
        <v>291</v>
      </c>
      <c r="O18" s="5">
        <f t="shared" si="6"/>
        <v>0</v>
      </c>
    </row>
    <row r="19">
      <c r="A19" s="6" t="s">
        <v>2488</v>
      </c>
      <c r="B19" s="6" t="s">
        <v>186</v>
      </c>
      <c r="C19" s="5">
        <f t="shared" si="1"/>
        <v>1</v>
      </c>
      <c r="D19" s="1" t="s">
        <v>12</v>
      </c>
      <c r="E19" s="1" t="s">
        <v>60</v>
      </c>
      <c r="F19" s="1" t="str">
        <f t="shared" si="2"/>
        <v>Pink</v>
      </c>
      <c r="G19" s="5" t="s">
        <v>17</v>
      </c>
      <c r="H19" s="5" t="s">
        <v>479</v>
      </c>
      <c r="I19" s="5">
        <f t="shared" si="3"/>
        <v>0.0011</v>
      </c>
      <c r="J19" s="5" t="s">
        <v>480</v>
      </c>
      <c r="K19" s="5">
        <f t="shared" si="4"/>
        <v>0.156283</v>
      </c>
      <c r="L19" s="5" t="s">
        <v>75</v>
      </c>
      <c r="M19" s="5">
        <f t="shared" si="5"/>
        <v>0.0004</v>
      </c>
      <c r="N19" s="6" t="s">
        <v>291</v>
      </c>
      <c r="O19" s="5">
        <f t="shared" si="6"/>
        <v>0</v>
      </c>
    </row>
    <row r="20">
      <c r="A20" s="6" t="s">
        <v>2488</v>
      </c>
      <c r="B20" s="6" t="s">
        <v>186</v>
      </c>
      <c r="C20" s="5">
        <f t="shared" si="1"/>
        <v>1</v>
      </c>
      <c r="D20" s="1" t="s">
        <v>68</v>
      </c>
      <c r="E20" s="1" t="s">
        <v>2497</v>
      </c>
      <c r="F20" s="1" t="str">
        <f t="shared" si="2"/>
        <v>Green</v>
      </c>
      <c r="G20" s="5" t="s">
        <v>14</v>
      </c>
      <c r="H20" s="5" t="s">
        <v>485</v>
      </c>
      <c r="I20" s="5">
        <f t="shared" si="3"/>
        <v>60.7356</v>
      </c>
      <c r="J20" s="5" t="s">
        <v>486</v>
      </c>
      <c r="K20" s="5">
        <f t="shared" si="4"/>
        <v>3633.450875</v>
      </c>
      <c r="L20" s="9" t="s">
        <v>2606</v>
      </c>
      <c r="M20" s="5">
        <f t="shared" si="5"/>
        <v>12.7544</v>
      </c>
      <c r="N20" s="6" t="s">
        <v>2607</v>
      </c>
      <c r="O20" s="5">
        <f t="shared" si="6"/>
        <v>8174</v>
      </c>
    </row>
    <row r="21">
      <c r="A21" s="6" t="s">
        <v>2488</v>
      </c>
      <c r="B21" s="6" t="s">
        <v>186</v>
      </c>
      <c r="C21" s="5">
        <f t="shared" si="1"/>
        <v>1</v>
      </c>
      <c r="D21" s="1" t="s">
        <v>68</v>
      </c>
      <c r="E21" s="1" t="s">
        <v>2497</v>
      </c>
      <c r="F21" s="1" t="str">
        <f t="shared" si="2"/>
        <v>Green</v>
      </c>
      <c r="G21" s="5" t="s">
        <v>17</v>
      </c>
      <c r="H21" s="5" t="s">
        <v>489</v>
      </c>
      <c r="I21" s="5">
        <f t="shared" si="3"/>
        <v>53.4502</v>
      </c>
      <c r="J21" s="5" t="s">
        <v>490</v>
      </c>
      <c r="K21" s="5">
        <f t="shared" si="4"/>
        <v>5188.030768</v>
      </c>
      <c r="L21" s="5" t="s">
        <v>493</v>
      </c>
      <c r="M21" s="5">
        <f t="shared" si="5"/>
        <v>18.7075</v>
      </c>
      <c r="N21" s="6" t="s">
        <v>2610</v>
      </c>
      <c r="O21" s="5">
        <f t="shared" si="6"/>
        <v>8539</v>
      </c>
    </row>
    <row r="22">
      <c r="A22" s="6" t="s">
        <v>2488</v>
      </c>
      <c r="B22" s="6" t="s">
        <v>186</v>
      </c>
      <c r="C22" s="5">
        <f t="shared" si="1"/>
        <v>1</v>
      </c>
      <c r="D22" s="1" t="s">
        <v>68</v>
      </c>
      <c r="E22" s="1" t="s">
        <v>2497</v>
      </c>
      <c r="F22" s="1" t="str">
        <f t="shared" si="2"/>
        <v>Green</v>
      </c>
      <c r="G22" s="5" t="s">
        <v>21</v>
      </c>
      <c r="H22" s="9" t="s">
        <v>2615</v>
      </c>
      <c r="I22" s="5">
        <f t="shared" si="3"/>
        <v>4.7236</v>
      </c>
      <c r="J22" s="5" t="s">
        <v>496</v>
      </c>
      <c r="K22" s="5">
        <f t="shared" si="4"/>
        <v>698.288024</v>
      </c>
      <c r="L22" s="9" t="s">
        <v>2618</v>
      </c>
      <c r="M22" s="5">
        <f t="shared" si="5"/>
        <v>2.3618</v>
      </c>
      <c r="N22" s="6" t="s">
        <v>2621</v>
      </c>
      <c r="O22" s="5">
        <f t="shared" si="6"/>
        <v>791</v>
      </c>
    </row>
    <row r="23">
      <c r="A23" s="6" t="s">
        <v>2488</v>
      </c>
      <c r="B23" s="6" t="s">
        <v>186</v>
      </c>
      <c r="C23" s="5">
        <f t="shared" si="1"/>
        <v>1</v>
      </c>
      <c r="D23" s="1" t="s">
        <v>68</v>
      </c>
      <c r="E23" s="1" t="s">
        <v>2497</v>
      </c>
      <c r="F23" s="1" t="str">
        <f t="shared" si="2"/>
        <v>Green</v>
      </c>
      <c r="G23" s="5" t="s">
        <v>25</v>
      </c>
      <c r="H23" s="5" t="s">
        <v>500</v>
      </c>
      <c r="I23" s="5">
        <f t="shared" si="3"/>
        <v>0.2761</v>
      </c>
      <c r="J23" s="5" t="s">
        <v>501</v>
      </c>
      <c r="K23" s="5">
        <f t="shared" si="4"/>
        <v>44.558407</v>
      </c>
      <c r="L23" s="5" t="s">
        <v>504</v>
      </c>
      <c r="M23" s="5">
        <f t="shared" si="5"/>
        <v>0.2071</v>
      </c>
      <c r="N23" s="6" t="s">
        <v>2627</v>
      </c>
      <c r="O23" s="5">
        <f t="shared" si="6"/>
        <v>174</v>
      </c>
    </row>
    <row r="24">
      <c r="A24" s="6" t="s">
        <v>2488</v>
      </c>
      <c r="B24" s="6" t="s">
        <v>186</v>
      </c>
      <c r="C24" s="5">
        <f t="shared" si="1"/>
        <v>1</v>
      </c>
      <c r="D24" s="1" t="s">
        <v>68</v>
      </c>
      <c r="E24" s="1" t="s">
        <v>29</v>
      </c>
      <c r="F24" s="1" t="str">
        <f t="shared" si="2"/>
        <v>Blue</v>
      </c>
      <c r="G24" s="5" t="s">
        <v>14</v>
      </c>
      <c r="H24" s="5" t="s">
        <v>507</v>
      </c>
      <c r="I24" s="5">
        <f t="shared" si="3"/>
        <v>0.0109</v>
      </c>
      <c r="J24" s="5" t="s">
        <v>508</v>
      </c>
      <c r="K24" s="5">
        <f t="shared" si="4"/>
        <v>0.976688</v>
      </c>
      <c r="L24" s="5" t="s">
        <v>103</v>
      </c>
      <c r="M24" s="5">
        <f t="shared" si="5"/>
        <v>0.0022</v>
      </c>
      <c r="N24" s="6" t="s">
        <v>397</v>
      </c>
      <c r="O24" s="5">
        <f t="shared" si="6"/>
        <v>2</v>
      </c>
    </row>
    <row r="25">
      <c r="A25" s="6" t="s">
        <v>2488</v>
      </c>
      <c r="B25" s="6" t="s">
        <v>186</v>
      </c>
      <c r="C25" s="5">
        <f t="shared" si="1"/>
        <v>1</v>
      </c>
      <c r="D25" s="1" t="s">
        <v>68</v>
      </c>
      <c r="E25" s="1" t="s">
        <v>29</v>
      </c>
      <c r="F25" s="1" t="str">
        <f t="shared" si="2"/>
        <v>Blue</v>
      </c>
      <c r="G25" s="5" t="s">
        <v>21</v>
      </c>
      <c r="H25" s="5" t="s">
        <v>512</v>
      </c>
      <c r="I25" s="5">
        <f t="shared" si="3"/>
        <v>6.601</v>
      </c>
      <c r="J25" s="5" t="s">
        <v>513</v>
      </c>
      <c r="K25" s="5">
        <f t="shared" si="4"/>
        <v>1395.983538</v>
      </c>
      <c r="L25" s="9" t="s">
        <v>2637</v>
      </c>
      <c r="M25" s="5">
        <f t="shared" si="5"/>
        <v>2.6403</v>
      </c>
      <c r="N25" s="6" t="s">
        <v>2639</v>
      </c>
      <c r="O25" s="5">
        <f t="shared" si="6"/>
        <v>704</v>
      </c>
    </row>
    <row r="26">
      <c r="A26" s="6" t="s">
        <v>2488</v>
      </c>
      <c r="B26" s="6" t="s">
        <v>186</v>
      </c>
      <c r="C26" s="5">
        <f t="shared" si="1"/>
        <v>1</v>
      </c>
      <c r="D26" s="1" t="s">
        <v>68</v>
      </c>
      <c r="E26" s="1" t="s">
        <v>45</v>
      </c>
      <c r="F26" s="1" t="str">
        <f t="shared" si="2"/>
        <v>Yellow</v>
      </c>
      <c r="G26" s="5" t="s">
        <v>17</v>
      </c>
      <c r="H26" s="5" t="s">
        <v>518</v>
      </c>
      <c r="I26" s="5">
        <f t="shared" si="3"/>
        <v>22.0065</v>
      </c>
      <c r="J26" s="5" t="s">
        <v>519</v>
      </c>
      <c r="K26" s="5">
        <f t="shared" si="4"/>
        <v>1012.00119</v>
      </c>
      <c r="L26" s="9" t="s">
        <v>2644</v>
      </c>
      <c r="M26" s="5">
        <f t="shared" si="5"/>
        <v>7.9223</v>
      </c>
      <c r="N26" s="6" t="s">
        <v>2646</v>
      </c>
      <c r="O26" s="5">
        <f t="shared" si="6"/>
        <v>1738</v>
      </c>
    </row>
    <row r="27">
      <c r="A27" s="6" t="s">
        <v>2488</v>
      </c>
      <c r="B27" s="6" t="s">
        <v>186</v>
      </c>
      <c r="C27" s="5">
        <f t="shared" si="1"/>
        <v>1</v>
      </c>
      <c r="D27" s="1" t="s">
        <v>68</v>
      </c>
      <c r="E27" s="1" t="s">
        <v>32</v>
      </c>
      <c r="F27" s="1" t="str">
        <f t="shared" si="2"/>
        <v>Black</v>
      </c>
      <c r="G27" s="5" t="s">
        <v>14</v>
      </c>
      <c r="H27" s="5" t="s">
        <v>523</v>
      </c>
      <c r="I27" s="5">
        <f t="shared" si="3"/>
        <v>3.368</v>
      </c>
      <c r="J27" s="5" t="s">
        <v>525</v>
      </c>
      <c r="K27" s="5">
        <f t="shared" si="4"/>
        <v>248.807815</v>
      </c>
      <c r="L27" s="5" t="s">
        <v>527</v>
      </c>
      <c r="M27" s="5">
        <f t="shared" si="5"/>
        <v>0.7747</v>
      </c>
      <c r="N27" s="6" t="s">
        <v>2652</v>
      </c>
      <c r="O27" s="5">
        <f t="shared" si="6"/>
        <v>1602</v>
      </c>
    </row>
    <row r="28">
      <c r="A28" s="6" t="s">
        <v>2488</v>
      </c>
      <c r="B28" s="6" t="s">
        <v>186</v>
      </c>
      <c r="C28" s="5">
        <f t="shared" si="1"/>
        <v>1</v>
      </c>
      <c r="D28" s="1" t="s">
        <v>68</v>
      </c>
      <c r="E28" s="1" t="s">
        <v>32</v>
      </c>
      <c r="F28" s="1" t="str">
        <f t="shared" si="2"/>
        <v>Black</v>
      </c>
      <c r="G28" s="5" t="s">
        <v>21</v>
      </c>
      <c r="H28" s="5" t="s">
        <v>529</v>
      </c>
      <c r="I28" s="5">
        <f t="shared" si="3"/>
        <v>0.6442</v>
      </c>
      <c r="J28" s="5" t="s">
        <v>531</v>
      </c>
      <c r="K28" s="5">
        <f t="shared" si="4"/>
        <v>121.949721</v>
      </c>
      <c r="L28" s="5" t="s">
        <v>532</v>
      </c>
      <c r="M28" s="5">
        <f t="shared" si="5"/>
        <v>0.2899</v>
      </c>
      <c r="N28" s="6" t="s">
        <v>2657</v>
      </c>
      <c r="O28" s="5">
        <f t="shared" si="6"/>
        <v>498</v>
      </c>
    </row>
    <row r="29">
      <c r="A29" s="6" t="s">
        <v>2488</v>
      </c>
      <c r="B29" s="6" t="s">
        <v>186</v>
      </c>
      <c r="C29" s="5">
        <f t="shared" si="1"/>
        <v>1</v>
      </c>
      <c r="D29" s="1" t="s">
        <v>68</v>
      </c>
      <c r="E29" s="1" t="s">
        <v>38</v>
      </c>
      <c r="F29" s="1" t="str">
        <f t="shared" si="2"/>
        <v>White</v>
      </c>
      <c r="G29" s="5" t="s">
        <v>39</v>
      </c>
      <c r="H29" s="9" t="s">
        <v>2660</v>
      </c>
      <c r="I29" s="5">
        <f t="shared" si="3"/>
        <v>1.5582</v>
      </c>
      <c r="J29" s="5" t="s">
        <v>535</v>
      </c>
      <c r="K29" s="5">
        <f t="shared" si="4"/>
        <v>144.102644</v>
      </c>
      <c r="L29" s="5" t="s">
        <v>536</v>
      </c>
      <c r="M29" s="5">
        <f t="shared" si="5"/>
        <v>0.2804</v>
      </c>
      <c r="N29" s="6" t="s">
        <v>2661</v>
      </c>
      <c r="O29" s="5">
        <f t="shared" si="6"/>
        <v>254</v>
      </c>
    </row>
    <row r="30">
      <c r="A30" s="6" t="s">
        <v>2488</v>
      </c>
      <c r="B30" s="6" t="s">
        <v>186</v>
      </c>
      <c r="C30" s="5">
        <f t="shared" si="1"/>
        <v>1</v>
      </c>
      <c r="D30" s="1" t="s">
        <v>68</v>
      </c>
      <c r="E30" s="1" t="s">
        <v>42</v>
      </c>
      <c r="F30" s="1" t="str">
        <f t="shared" si="2"/>
        <v>Red</v>
      </c>
      <c r="G30" s="5" t="s">
        <v>17</v>
      </c>
      <c r="H30" s="5" t="s">
        <v>540</v>
      </c>
      <c r="I30" s="5">
        <f t="shared" si="3"/>
        <v>0.9092</v>
      </c>
      <c r="J30" s="5" t="s">
        <v>541</v>
      </c>
      <c r="K30" s="5">
        <f t="shared" si="4"/>
        <v>139.276358</v>
      </c>
      <c r="L30" s="5" t="s">
        <v>542</v>
      </c>
      <c r="M30" s="5">
        <f t="shared" si="5"/>
        <v>0.3364</v>
      </c>
      <c r="N30" s="6" t="s">
        <v>2662</v>
      </c>
      <c r="O30" s="5">
        <f t="shared" si="6"/>
        <v>390</v>
      </c>
    </row>
    <row r="31">
      <c r="A31" s="6" t="s">
        <v>2488</v>
      </c>
      <c r="B31" s="6" t="s">
        <v>186</v>
      </c>
      <c r="C31" s="5">
        <f t="shared" si="1"/>
        <v>1</v>
      </c>
      <c r="D31" s="1" t="s">
        <v>68</v>
      </c>
      <c r="E31" s="1" t="s">
        <v>544</v>
      </c>
      <c r="F31" s="1" t="str">
        <f t="shared" si="2"/>
        <v>Golden</v>
      </c>
      <c r="G31" s="5" t="s">
        <v>17</v>
      </c>
      <c r="H31" s="5" t="s">
        <v>546</v>
      </c>
      <c r="I31" s="5">
        <f t="shared" si="3"/>
        <v>0.7546</v>
      </c>
      <c r="J31" s="5" t="s">
        <v>548</v>
      </c>
      <c r="K31" s="5">
        <f t="shared" si="4"/>
        <v>69.099011</v>
      </c>
      <c r="L31" s="5" t="s">
        <v>549</v>
      </c>
      <c r="M31" s="5">
        <f t="shared" si="5"/>
        <v>0.2641</v>
      </c>
      <c r="N31" s="6" t="s">
        <v>2663</v>
      </c>
      <c r="O31" s="5">
        <f t="shared" si="6"/>
        <v>222</v>
      </c>
    </row>
    <row r="32">
      <c r="A32" s="6" t="s">
        <v>2488</v>
      </c>
      <c r="B32" s="6" t="s">
        <v>186</v>
      </c>
      <c r="C32" s="5">
        <f t="shared" si="1"/>
        <v>1</v>
      </c>
      <c r="D32" s="1" t="s">
        <v>68</v>
      </c>
      <c r="E32" s="1" t="s">
        <v>98</v>
      </c>
      <c r="F32" s="1" t="str">
        <f t="shared" si="2"/>
        <v>Grey</v>
      </c>
      <c r="G32" s="5" t="s">
        <v>17</v>
      </c>
      <c r="H32" s="5" t="s">
        <v>162</v>
      </c>
      <c r="I32" s="5">
        <f t="shared" si="3"/>
        <v>0.3194</v>
      </c>
      <c r="J32" s="5" t="s">
        <v>551</v>
      </c>
      <c r="K32" s="5">
        <f t="shared" si="4"/>
        <v>68.459953</v>
      </c>
      <c r="L32" s="5" t="s">
        <v>553</v>
      </c>
      <c r="M32" s="5">
        <f t="shared" si="5"/>
        <v>0.1117</v>
      </c>
      <c r="N32" s="6" t="s">
        <v>2664</v>
      </c>
      <c r="O32" s="5">
        <f t="shared" si="6"/>
        <v>121</v>
      </c>
    </row>
    <row r="33">
      <c r="A33" s="6" t="s">
        <v>2488</v>
      </c>
      <c r="B33" s="6" t="s">
        <v>186</v>
      </c>
      <c r="C33" s="5">
        <f t="shared" si="1"/>
        <v>1</v>
      </c>
      <c r="D33" s="1" t="s">
        <v>68</v>
      </c>
      <c r="E33" s="1" t="s">
        <v>165</v>
      </c>
      <c r="F33" s="1" t="str">
        <f t="shared" si="2"/>
        <v>Vivid</v>
      </c>
      <c r="G33" s="5" t="s">
        <v>39</v>
      </c>
      <c r="H33" s="5" t="s">
        <v>555</v>
      </c>
      <c r="I33" s="5">
        <f t="shared" si="3"/>
        <v>0.0203</v>
      </c>
      <c r="J33" s="5" t="s">
        <v>558</v>
      </c>
      <c r="K33" s="5">
        <f t="shared" si="4"/>
        <v>3.688142</v>
      </c>
      <c r="L33" s="5" t="s">
        <v>561</v>
      </c>
      <c r="M33" s="5">
        <f t="shared" si="5"/>
        <v>0.0036</v>
      </c>
      <c r="N33" s="6" t="s">
        <v>291</v>
      </c>
      <c r="O33" s="5">
        <f t="shared" si="6"/>
        <v>0</v>
      </c>
    </row>
    <row r="34">
      <c r="A34" s="6" t="s">
        <v>2488</v>
      </c>
      <c r="B34" s="6" t="s">
        <v>186</v>
      </c>
      <c r="C34" s="5">
        <f t="shared" si="1"/>
        <v>1</v>
      </c>
      <c r="D34" s="1" t="s">
        <v>68</v>
      </c>
      <c r="E34" s="1" t="s">
        <v>165</v>
      </c>
      <c r="F34" s="1" t="str">
        <f t="shared" si="2"/>
        <v>Vivid</v>
      </c>
      <c r="G34" s="5" t="s">
        <v>17</v>
      </c>
      <c r="H34" s="5" t="s">
        <v>565</v>
      </c>
      <c r="I34" s="5">
        <f t="shared" si="3"/>
        <v>0.2341</v>
      </c>
      <c r="J34" s="5" t="s">
        <v>566</v>
      </c>
      <c r="K34" s="5">
        <f t="shared" si="4"/>
        <v>52.410371</v>
      </c>
      <c r="L34" s="5" t="s">
        <v>568</v>
      </c>
      <c r="M34" s="5">
        <f t="shared" si="5"/>
        <v>0.082</v>
      </c>
      <c r="N34" s="6" t="s">
        <v>291</v>
      </c>
      <c r="O34" s="5">
        <f t="shared" si="6"/>
        <v>0</v>
      </c>
    </row>
    <row r="35">
      <c r="A35" s="6" t="s">
        <v>2488</v>
      </c>
      <c r="B35" s="6" t="s">
        <v>186</v>
      </c>
      <c r="C35" s="5">
        <f t="shared" si="1"/>
        <v>1</v>
      </c>
      <c r="D35" s="1" t="s">
        <v>68</v>
      </c>
      <c r="E35" s="1" t="s">
        <v>48</v>
      </c>
      <c r="F35" s="1" t="str">
        <f t="shared" si="2"/>
        <v>Orange</v>
      </c>
      <c r="G35" s="5" t="s">
        <v>49</v>
      </c>
      <c r="H35" s="5" t="s">
        <v>315</v>
      </c>
      <c r="I35" s="5">
        <f t="shared" si="3"/>
        <v>0.0033</v>
      </c>
      <c r="J35" s="5" t="s">
        <v>571</v>
      </c>
      <c r="K35" s="5">
        <f t="shared" si="4"/>
        <v>1.31717</v>
      </c>
      <c r="L35" s="5" t="s">
        <v>574</v>
      </c>
      <c r="M35" s="5">
        <f t="shared" si="5"/>
        <v>0.0009</v>
      </c>
      <c r="N35" s="6" t="s">
        <v>397</v>
      </c>
      <c r="O35" s="5">
        <f t="shared" si="6"/>
        <v>2</v>
      </c>
    </row>
    <row r="36">
      <c r="A36" s="6" t="s">
        <v>2488</v>
      </c>
      <c r="B36" s="6" t="s">
        <v>186</v>
      </c>
      <c r="C36" s="5">
        <f t="shared" si="1"/>
        <v>1</v>
      </c>
      <c r="D36" s="1" t="s">
        <v>68</v>
      </c>
      <c r="E36" s="1" t="s">
        <v>48</v>
      </c>
      <c r="F36" s="1" t="str">
        <f t="shared" si="2"/>
        <v>Orange</v>
      </c>
      <c r="G36" s="5" t="s">
        <v>21</v>
      </c>
      <c r="H36" s="5" t="s">
        <v>578</v>
      </c>
      <c r="I36" s="5">
        <f t="shared" si="3"/>
        <v>0.4005</v>
      </c>
      <c r="J36" s="5" t="s">
        <v>579</v>
      </c>
      <c r="K36" s="5">
        <f t="shared" si="4"/>
        <v>44.008199</v>
      </c>
      <c r="L36" s="5" t="s">
        <v>581</v>
      </c>
      <c r="M36" s="5">
        <f t="shared" si="5"/>
        <v>0.1602</v>
      </c>
      <c r="N36" s="6" t="s">
        <v>2676</v>
      </c>
      <c r="O36" s="5">
        <f t="shared" si="6"/>
        <v>280</v>
      </c>
    </row>
    <row r="37">
      <c r="A37" s="6" t="s">
        <v>2488</v>
      </c>
      <c r="B37" s="6" t="s">
        <v>186</v>
      </c>
      <c r="C37" s="5">
        <f t="shared" si="1"/>
        <v>1</v>
      </c>
      <c r="D37" s="1" t="s">
        <v>116</v>
      </c>
      <c r="E37" s="1" t="s">
        <v>2497</v>
      </c>
      <c r="F37" s="1" t="str">
        <f t="shared" si="2"/>
        <v>Green</v>
      </c>
      <c r="G37" s="5" t="s">
        <v>14</v>
      </c>
      <c r="H37" s="5" t="s">
        <v>584</v>
      </c>
      <c r="I37" s="5">
        <f t="shared" si="3"/>
        <v>97.1922</v>
      </c>
      <c r="J37" s="5" t="s">
        <v>586</v>
      </c>
      <c r="K37" s="5">
        <f t="shared" si="4"/>
        <v>5815.674717</v>
      </c>
      <c r="L37" s="5" t="s">
        <v>588</v>
      </c>
      <c r="M37" s="5">
        <f t="shared" si="5"/>
        <v>20.4104</v>
      </c>
      <c r="N37" s="6" t="s">
        <v>2678</v>
      </c>
      <c r="O37" s="5">
        <f t="shared" si="6"/>
        <v>11628</v>
      </c>
    </row>
    <row r="38">
      <c r="A38" s="6" t="s">
        <v>2488</v>
      </c>
      <c r="B38" s="6" t="s">
        <v>186</v>
      </c>
      <c r="C38" s="5">
        <f t="shared" si="1"/>
        <v>1</v>
      </c>
      <c r="D38" s="1" t="s">
        <v>116</v>
      </c>
      <c r="E38" s="1" t="s">
        <v>2497</v>
      </c>
      <c r="F38" s="1" t="str">
        <f t="shared" si="2"/>
        <v>Green</v>
      </c>
      <c r="G38" s="5" t="s">
        <v>17</v>
      </c>
      <c r="H38" s="5" t="s">
        <v>591</v>
      </c>
      <c r="I38" s="5">
        <f t="shared" si="3"/>
        <v>147.9807</v>
      </c>
      <c r="J38" s="5" t="s">
        <v>593</v>
      </c>
      <c r="K38" s="5">
        <f t="shared" si="4"/>
        <v>13070.82816</v>
      </c>
      <c r="L38" s="5" t="s">
        <v>594</v>
      </c>
      <c r="M38" s="5">
        <f t="shared" si="5"/>
        <v>51.7931</v>
      </c>
      <c r="N38" s="6" t="s">
        <v>2681</v>
      </c>
      <c r="O38" s="5">
        <f t="shared" si="6"/>
        <v>15787</v>
      </c>
    </row>
    <row r="39">
      <c r="A39" s="6" t="s">
        <v>2488</v>
      </c>
      <c r="B39" s="6" t="s">
        <v>186</v>
      </c>
      <c r="C39" s="5">
        <f t="shared" si="1"/>
        <v>1</v>
      </c>
      <c r="D39" s="1" t="s">
        <v>116</v>
      </c>
      <c r="E39" s="1" t="s">
        <v>2497</v>
      </c>
      <c r="F39" s="1" t="str">
        <f t="shared" si="2"/>
        <v>Green</v>
      </c>
      <c r="G39" s="5" t="s">
        <v>21</v>
      </c>
      <c r="H39" s="5" t="s">
        <v>597</v>
      </c>
      <c r="I39" s="5">
        <f t="shared" si="3"/>
        <v>9.3525</v>
      </c>
      <c r="J39" s="5" t="s">
        <v>598</v>
      </c>
      <c r="K39" s="5">
        <f t="shared" si="4"/>
        <v>1152.899461</v>
      </c>
      <c r="L39" s="9" t="s">
        <v>2683</v>
      </c>
      <c r="M39" s="5">
        <f t="shared" si="5"/>
        <v>4.6763</v>
      </c>
      <c r="N39" s="6" t="s">
        <v>2684</v>
      </c>
      <c r="O39" s="5">
        <f t="shared" si="6"/>
        <v>796</v>
      </c>
    </row>
    <row r="40">
      <c r="A40" s="6" t="s">
        <v>2488</v>
      </c>
      <c r="B40" s="6" t="s">
        <v>186</v>
      </c>
      <c r="C40" s="5">
        <f t="shared" si="1"/>
        <v>1</v>
      </c>
      <c r="D40" s="1" t="s">
        <v>116</v>
      </c>
      <c r="E40" s="1" t="s">
        <v>2497</v>
      </c>
      <c r="F40" s="1" t="str">
        <f t="shared" si="2"/>
        <v>Green</v>
      </c>
      <c r="G40" s="5" t="s">
        <v>25</v>
      </c>
      <c r="H40" s="5" t="s">
        <v>602</v>
      </c>
      <c r="I40" s="5">
        <f t="shared" si="3"/>
        <v>0.0646</v>
      </c>
      <c r="J40" s="5" t="s">
        <v>603</v>
      </c>
      <c r="K40" s="5">
        <f t="shared" si="4"/>
        <v>9.090562</v>
      </c>
      <c r="L40" s="5" t="s">
        <v>605</v>
      </c>
      <c r="M40" s="5">
        <f t="shared" si="5"/>
        <v>0.0485</v>
      </c>
      <c r="N40" s="6" t="s">
        <v>2686</v>
      </c>
      <c r="O40" s="5">
        <f t="shared" si="6"/>
        <v>34</v>
      </c>
    </row>
    <row r="41">
      <c r="A41" s="6" t="s">
        <v>2488</v>
      </c>
      <c r="B41" s="6" t="s">
        <v>186</v>
      </c>
      <c r="C41" s="5">
        <f t="shared" si="1"/>
        <v>1</v>
      </c>
      <c r="D41" s="1" t="s">
        <v>116</v>
      </c>
      <c r="E41" s="1" t="s">
        <v>29</v>
      </c>
      <c r="F41" s="1" t="str">
        <f t="shared" si="2"/>
        <v>Blue</v>
      </c>
      <c r="G41" s="5" t="s">
        <v>14</v>
      </c>
      <c r="H41" s="5" t="s">
        <v>608</v>
      </c>
      <c r="I41" s="5">
        <f t="shared" si="3"/>
        <v>0.0052</v>
      </c>
      <c r="J41" s="5" t="s">
        <v>609</v>
      </c>
      <c r="K41" s="5">
        <f t="shared" si="4"/>
        <v>0.655369</v>
      </c>
      <c r="L41" s="5" t="s">
        <v>479</v>
      </c>
      <c r="M41" s="5">
        <f t="shared" si="5"/>
        <v>0.0011</v>
      </c>
      <c r="N41" s="6" t="s">
        <v>397</v>
      </c>
      <c r="O41" s="5">
        <f t="shared" si="6"/>
        <v>2</v>
      </c>
    </row>
    <row r="42">
      <c r="A42" s="6" t="s">
        <v>2488</v>
      </c>
      <c r="B42" s="6" t="s">
        <v>186</v>
      </c>
      <c r="C42" s="5">
        <f t="shared" si="1"/>
        <v>1</v>
      </c>
      <c r="D42" s="1" t="s">
        <v>116</v>
      </c>
      <c r="E42" s="1" t="s">
        <v>29</v>
      </c>
      <c r="F42" s="1" t="str">
        <f t="shared" si="2"/>
        <v>Blue</v>
      </c>
      <c r="G42" s="5" t="s">
        <v>21</v>
      </c>
      <c r="H42" s="5" t="s">
        <v>614</v>
      </c>
      <c r="I42" s="5">
        <f t="shared" si="3"/>
        <v>49.6951</v>
      </c>
      <c r="J42" s="5" t="s">
        <v>615</v>
      </c>
      <c r="K42" s="5">
        <f t="shared" si="4"/>
        <v>8107.083433</v>
      </c>
      <c r="L42" s="5" t="s">
        <v>617</v>
      </c>
      <c r="M42" s="5">
        <f t="shared" si="5"/>
        <v>19.878</v>
      </c>
      <c r="N42" s="6" t="s">
        <v>2688</v>
      </c>
      <c r="O42" s="5">
        <f t="shared" si="6"/>
        <v>1820</v>
      </c>
    </row>
    <row r="43">
      <c r="A43" s="6" t="s">
        <v>2488</v>
      </c>
      <c r="B43" s="6" t="s">
        <v>186</v>
      </c>
      <c r="C43" s="5">
        <f t="shared" si="1"/>
        <v>1</v>
      </c>
      <c r="D43" s="1" t="s">
        <v>116</v>
      </c>
      <c r="E43" s="1" t="s">
        <v>45</v>
      </c>
      <c r="F43" s="1" t="str">
        <f t="shared" si="2"/>
        <v>Yellow</v>
      </c>
      <c r="G43" s="5" t="s">
        <v>17</v>
      </c>
      <c r="H43" s="5" t="s">
        <v>621</v>
      </c>
      <c r="I43" s="5">
        <f t="shared" si="3"/>
        <v>36.8688</v>
      </c>
      <c r="J43" s="5" t="s">
        <v>622</v>
      </c>
      <c r="K43" s="5">
        <f t="shared" si="4"/>
        <v>2073.765747</v>
      </c>
      <c r="L43" s="5" t="s">
        <v>623</v>
      </c>
      <c r="M43" s="5">
        <f t="shared" si="5"/>
        <v>13.2728</v>
      </c>
      <c r="N43" s="6" t="s">
        <v>2692</v>
      </c>
      <c r="O43" s="5">
        <f t="shared" si="6"/>
        <v>2184</v>
      </c>
    </row>
    <row r="44">
      <c r="A44" s="6" t="s">
        <v>2488</v>
      </c>
      <c r="B44" s="6" t="s">
        <v>186</v>
      </c>
      <c r="C44" s="5">
        <f t="shared" si="1"/>
        <v>1</v>
      </c>
      <c r="D44" s="1" t="s">
        <v>116</v>
      </c>
      <c r="E44" s="1" t="s">
        <v>32</v>
      </c>
      <c r="F44" s="1" t="str">
        <f t="shared" si="2"/>
        <v>Black</v>
      </c>
      <c r="G44" s="5" t="s">
        <v>14</v>
      </c>
      <c r="H44" s="9" t="s">
        <v>2693</v>
      </c>
      <c r="I44" s="5">
        <f t="shared" si="3"/>
        <v>2.7811</v>
      </c>
      <c r="J44" s="5" t="s">
        <v>628</v>
      </c>
      <c r="K44" s="5">
        <f t="shared" si="4"/>
        <v>190.909025</v>
      </c>
      <c r="L44" s="5" t="s">
        <v>629</v>
      </c>
      <c r="M44" s="5">
        <f t="shared" si="5"/>
        <v>0.6397</v>
      </c>
      <c r="N44" s="6" t="s">
        <v>2694</v>
      </c>
      <c r="O44" s="5">
        <f t="shared" si="6"/>
        <v>842</v>
      </c>
    </row>
    <row r="45">
      <c r="A45" s="6" t="s">
        <v>2488</v>
      </c>
      <c r="B45" s="6" t="s">
        <v>186</v>
      </c>
      <c r="C45" s="5">
        <f t="shared" si="1"/>
        <v>1</v>
      </c>
      <c r="D45" s="1" t="s">
        <v>116</v>
      </c>
      <c r="E45" s="1" t="s">
        <v>32</v>
      </c>
      <c r="F45" s="1" t="str">
        <f t="shared" si="2"/>
        <v>Black</v>
      </c>
      <c r="G45" s="5" t="s">
        <v>21</v>
      </c>
      <c r="H45" s="9" t="s">
        <v>2696</v>
      </c>
      <c r="I45" s="5">
        <f t="shared" si="3"/>
        <v>5.3559</v>
      </c>
      <c r="J45" s="5" t="s">
        <v>632</v>
      </c>
      <c r="K45" s="5">
        <f t="shared" si="4"/>
        <v>807.009751</v>
      </c>
      <c r="L45" s="9" t="s">
        <v>2699</v>
      </c>
      <c r="M45" s="5">
        <f t="shared" si="5"/>
        <v>2.4102</v>
      </c>
      <c r="N45" s="6" t="s">
        <v>2700</v>
      </c>
      <c r="O45" s="5">
        <f t="shared" si="6"/>
        <v>1879</v>
      </c>
    </row>
    <row r="46">
      <c r="A46" s="6" t="s">
        <v>2488</v>
      </c>
      <c r="B46" s="6" t="s">
        <v>186</v>
      </c>
      <c r="C46" s="5">
        <f t="shared" si="1"/>
        <v>1</v>
      </c>
      <c r="D46" s="1" t="s">
        <v>116</v>
      </c>
      <c r="E46" s="1" t="s">
        <v>147</v>
      </c>
      <c r="F46" s="1" t="str">
        <f t="shared" si="2"/>
        <v>Deep</v>
      </c>
      <c r="G46" s="5" t="s">
        <v>39</v>
      </c>
      <c r="H46" s="9" t="s">
        <v>2701</v>
      </c>
      <c r="I46" s="5">
        <f t="shared" si="3"/>
        <v>1.8007</v>
      </c>
      <c r="J46" s="5" t="s">
        <v>634</v>
      </c>
      <c r="K46" s="5">
        <f t="shared" si="4"/>
        <v>496.770161</v>
      </c>
      <c r="L46" s="5" t="s">
        <v>635</v>
      </c>
      <c r="M46" s="5">
        <f t="shared" si="5"/>
        <v>0.3421</v>
      </c>
      <c r="N46" s="6" t="s">
        <v>248</v>
      </c>
      <c r="O46" s="5">
        <f t="shared" si="6"/>
        <v>96</v>
      </c>
    </row>
    <row r="47">
      <c r="A47" s="6" t="s">
        <v>2488</v>
      </c>
      <c r="B47" s="6" t="s">
        <v>186</v>
      </c>
      <c r="C47" s="5">
        <f t="shared" si="1"/>
        <v>1</v>
      </c>
      <c r="D47" s="1" t="s">
        <v>116</v>
      </c>
      <c r="E47" s="1" t="s">
        <v>147</v>
      </c>
      <c r="F47" s="1" t="str">
        <f t="shared" si="2"/>
        <v>Deep</v>
      </c>
      <c r="G47" s="5" t="s">
        <v>17</v>
      </c>
      <c r="H47" s="5" t="s">
        <v>637</v>
      </c>
      <c r="I47" s="5">
        <f t="shared" si="3"/>
        <v>0.0343</v>
      </c>
      <c r="J47" s="5" t="s">
        <v>638</v>
      </c>
      <c r="K47" s="5">
        <f t="shared" si="4"/>
        <v>10.777786</v>
      </c>
      <c r="L47" s="5" t="s">
        <v>639</v>
      </c>
      <c r="M47" s="5">
        <f t="shared" si="5"/>
        <v>0.0121</v>
      </c>
      <c r="N47" s="6" t="s">
        <v>2672</v>
      </c>
      <c r="O47" s="5">
        <f t="shared" si="6"/>
        <v>8</v>
      </c>
    </row>
    <row r="48">
      <c r="A48" s="6" t="s">
        <v>2488</v>
      </c>
      <c r="B48" s="6" t="s">
        <v>186</v>
      </c>
      <c r="C48" s="5">
        <f t="shared" si="1"/>
        <v>1</v>
      </c>
      <c r="D48" s="1" t="s">
        <v>116</v>
      </c>
      <c r="E48" s="1" t="s">
        <v>147</v>
      </c>
      <c r="F48" s="1" t="str">
        <f t="shared" si="2"/>
        <v>Deep</v>
      </c>
      <c r="G48" s="5" t="s">
        <v>21</v>
      </c>
      <c r="H48" s="5" t="s">
        <v>641</v>
      </c>
      <c r="I48" s="5">
        <f t="shared" si="3"/>
        <v>0.0712</v>
      </c>
      <c r="J48" s="5" t="s">
        <v>643</v>
      </c>
      <c r="K48" s="5">
        <f t="shared" si="4"/>
        <v>35.072661</v>
      </c>
      <c r="L48" s="5" t="s">
        <v>645</v>
      </c>
      <c r="M48" s="5">
        <f t="shared" si="5"/>
        <v>0.0356</v>
      </c>
      <c r="N48" s="6" t="s">
        <v>2704</v>
      </c>
      <c r="O48" s="5">
        <f t="shared" si="6"/>
        <v>48</v>
      </c>
    </row>
    <row r="49">
      <c r="A49" s="6" t="s">
        <v>2488</v>
      </c>
      <c r="B49" s="6" t="s">
        <v>186</v>
      </c>
      <c r="C49" s="5">
        <f t="shared" si="1"/>
        <v>1</v>
      </c>
      <c r="D49" s="1" t="s">
        <v>116</v>
      </c>
      <c r="E49" s="1" t="s">
        <v>42</v>
      </c>
      <c r="F49" s="1" t="str">
        <f t="shared" si="2"/>
        <v>Red</v>
      </c>
      <c r="G49" s="5" t="s">
        <v>17</v>
      </c>
      <c r="H49" s="9" t="s">
        <v>647</v>
      </c>
      <c r="I49" s="5">
        <f t="shared" si="3"/>
        <v>2.1642</v>
      </c>
      <c r="J49" s="5" t="s">
        <v>648</v>
      </c>
      <c r="K49" s="5">
        <f t="shared" si="4"/>
        <v>341.345026</v>
      </c>
      <c r="L49" s="5" t="s">
        <v>649</v>
      </c>
      <c r="M49" s="5">
        <f t="shared" si="5"/>
        <v>0.8008</v>
      </c>
      <c r="N49" s="6" t="s">
        <v>2706</v>
      </c>
      <c r="O49" s="5">
        <f t="shared" si="6"/>
        <v>289</v>
      </c>
    </row>
    <row r="50">
      <c r="A50" s="6" t="s">
        <v>2488</v>
      </c>
      <c r="B50" s="6" t="s">
        <v>186</v>
      </c>
      <c r="C50" s="5">
        <f t="shared" si="1"/>
        <v>1</v>
      </c>
      <c r="D50" s="1" t="s">
        <v>116</v>
      </c>
      <c r="E50" s="1" t="s">
        <v>165</v>
      </c>
      <c r="F50" s="1" t="str">
        <f t="shared" si="2"/>
        <v>Vivid</v>
      </c>
      <c r="G50" s="5" t="s">
        <v>39</v>
      </c>
      <c r="H50" s="5" t="s">
        <v>652</v>
      </c>
      <c r="I50" s="5">
        <f t="shared" si="3"/>
        <v>0.3247</v>
      </c>
      <c r="J50" s="5" t="s">
        <v>653</v>
      </c>
      <c r="K50" s="5">
        <f t="shared" si="4"/>
        <v>59.056692</v>
      </c>
      <c r="L50" s="5" t="s">
        <v>654</v>
      </c>
      <c r="M50" s="5">
        <f t="shared" si="5"/>
        <v>0.0585</v>
      </c>
      <c r="N50" s="6" t="s">
        <v>2708</v>
      </c>
      <c r="O50" s="5">
        <f t="shared" si="6"/>
        <v>75</v>
      </c>
    </row>
    <row r="51">
      <c r="A51" s="6" t="s">
        <v>2488</v>
      </c>
      <c r="B51" s="6" t="s">
        <v>186</v>
      </c>
      <c r="C51" s="5">
        <f t="shared" si="1"/>
        <v>1</v>
      </c>
      <c r="D51" s="1" t="s">
        <v>116</v>
      </c>
      <c r="E51" s="1" t="s">
        <v>165</v>
      </c>
      <c r="F51" s="1" t="str">
        <f t="shared" si="2"/>
        <v>Vivid</v>
      </c>
      <c r="G51" s="5" t="s">
        <v>17</v>
      </c>
      <c r="H51" s="5" t="s">
        <v>657</v>
      </c>
      <c r="I51" s="5">
        <f t="shared" si="3"/>
        <v>1.147</v>
      </c>
      <c r="J51" s="5" t="s">
        <v>659</v>
      </c>
      <c r="K51" s="5">
        <f t="shared" si="4"/>
        <v>246.981215</v>
      </c>
      <c r="L51" s="5" t="s">
        <v>661</v>
      </c>
      <c r="M51" s="5">
        <f t="shared" si="5"/>
        <v>0.4015</v>
      </c>
      <c r="N51" s="6" t="s">
        <v>2584</v>
      </c>
      <c r="O51" s="5">
        <f t="shared" si="6"/>
        <v>88</v>
      </c>
    </row>
    <row r="52">
      <c r="A52" s="6" t="s">
        <v>2488</v>
      </c>
      <c r="B52" s="6" t="s">
        <v>186</v>
      </c>
      <c r="C52" s="5">
        <f t="shared" si="1"/>
        <v>1</v>
      </c>
      <c r="D52" s="1" t="s">
        <v>116</v>
      </c>
      <c r="E52" s="1" t="s">
        <v>330</v>
      </c>
      <c r="F52" s="1" t="str">
        <f t="shared" si="2"/>
        <v>Moderate</v>
      </c>
      <c r="G52" s="5" t="s">
        <v>17</v>
      </c>
      <c r="H52" s="9" t="s">
        <v>2710</v>
      </c>
      <c r="I52" s="5">
        <f t="shared" si="3"/>
        <v>1.2875</v>
      </c>
      <c r="J52" s="5" t="s">
        <v>663</v>
      </c>
      <c r="K52" s="5">
        <f t="shared" si="4"/>
        <v>233.906123</v>
      </c>
      <c r="L52" s="5" t="s">
        <v>667</v>
      </c>
      <c r="M52" s="5">
        <f t="shared" si="5"/>
        <v>0.4505</v>
      </c>
      <c r="N52" s="6" t="s">
        <v>2709</v>
      </c>
      <c r="O52" s="5">
        <f t="shared" si="6"/>
        <v>114</v>
      </c>
    </row>
    <row r="53">
      <c r="A53" s="6" t="s">
        <v>2488</v>
      </c>
      <c r="B53" s="6" t="s">
        <v>186</v>
      </c>
      <c r="C53" s="5">
        <f t="shared" si="1"/>
        <v>1</v>
      </c>
      <c r="D53" s="1" t="s">
        <v>116</v>
      </c>
      <c r="E53" s="1" t="s">
        <v>102</v>
      </c>
      <c r="F53" s="1" t="str">
        <f t="shared" si="2"/>
        <v>Pale</v>
      </c>
      <c r="G53" s="5" t="s">
        <v>17</v>
      </c>
      <c r="H53" s="5" t="s">
        <v>73</v>
      </c>
      <c r="I53" s="5">
        <f t="shared" si="3"/>
        <v>0.0013</v>
      </c>
      <c r="J53" s="5" t="s">
        <v>672</v>
      </c>
      <c r="K53" s="5">
        <f t="shared" si="4"/>
        <v>0.511883</v>
      </c>
      <c r="L53" s="5" t="s">
        <v>674</v>
      </c>
      <c r="M53" s="5">
        <f t="shared" si="5"/>
        <v>0.0005</v>
      </c>
      <c r="N53" s="6" t="s">
        <v>186</v>
      </c>
      <c r="O53" s="5">
        <f t="shared" si="6"/>
        <v>1</v>
      </c>
    </row>
    <row r="54">
      <c r="A54" s="6" t="s">
        <v>2488</v>
      </c>
      <c r="B54" s="6" t="s">
        <v>186</v>
      </c>
      <c r="C54" s="5">
        <f t="shared" si="1"/>
        <v>1</v>
      </c>
      <c r="D54" s="1" t="s">
        <v>116</v>
      </c>
      <c r="E54" s="1" t="s">
        <v>102</v>
      </c>
      <c r="F54" s="1" t="str">
        <f t="shared" si="2"/>
        <v>Pale</v>
      </c>
      <c r="G54" s="5" t="s">
        <v>21</v>
      </c>
      <c r="H54" s="5" t="s">
        <v>677</v>
      </c>
      <c r="I54" s="5">
        <f t="shared" si="3"/>
        <v>0.6515</v>
      </c>
      <c r="J54" s="5" t="s">
        <v>678</v>
      </c>
      <c r="K54" s="5">
        <f t="shared" si="4"/>
        <v>221.027694</v>
      </c>
      <c r="L54" s="5" t="s">
        <v>681</v>
      </c>
      <c r="M54" s="5">
        <f t="shared" si="5"/>
        <v>0.2605</v>
      </c>
      <c r="N54" s="6" t="s">
        <v>248</v>
      </c>
      <c r="O54" s="5">
        <f t="shared" si="6"/>
        <v>96</v>
      </c>
    </row>
    <row r="55">
      <c r="A55" s="6" t="s">
        <v>2488</v>
      </c>
      <c r="B55" s="6" t="s">
        <v>186</v>
      </c>
      <c r="C55" s="5">
        <f t="shared" si="1"/>
        <v>1</v>
      </c>
      <c r="D55" s="1" t="s">
        <v>116</v>
      </c>
      <c r="E55" s="1" t="s">
        <v>158</v>
      </c>
      <c r="F55" s="1" t="str">
        <f t="shared" si="2"/>
        <v>Dim</v>
      </c>
      <c r="G55" s="5" t="s">
        <v>39</v>
      </c>
      <c r="H55" s="5" t="s">
        <v>414</v>
      </c>
      <c r="I55" s="5">
        <f t="shared" si="3"/>
        <v>0.0007</v>
      </c>
      <c r="J55" s="5" t="s">
        <v>687</v>
      </c>
      <c r="K55" s="5">
        <f t="shared" si="4"/>
        <v>0.330204</v>
      </c>
      <c r="L55" s="5" t="s">
        <v>596</v>
      </c>
      <c r="M55" s="5">
        <f t="shared" si="5"/>
        <v>0.0001</v>
      </c>
      <c r="N55" s="6" t="s">
        <v>291</v>
      </c>
      <c r="O55" s="5">
        <f t="shared" si="6"/>
        <v>0</v>
      </c>
    </row>
    <row r="56">
      <c r="A56" s="6" t="s">
        <v>2488</v>
      </c>
      <c r="B56" s="6" t="s">
        <v>186</v>
      </c>
      <c r="C56" s="5">
        <f t="shared" si="1"/>
        <v>1</v>
      </c>
      <c r="D56" s="1" t="s">
        <v>116</v>
      </c>
      <c r="E56" s="1" t="s">
        <v>158</v>
      </c>
      <c r="F56" s="1" t="str">
        <f t="shared" si="2"/>
        <v>Dim</v>
      </c>
      <c r="G56" s="5" t="s">
        <v>17</v>
      </c>
      <c r="H56" s="5" t="s">
        <v>582</v>
      </c>
      <c r="I56" s="5">
        <f t="shared" si="3"/>
        <v>0.0577</v>
      </c>
      <c r="J56" s="5" t="s">
        <v>691</v>
      </c>
      <c r="K56" s="5">
        <f t="shared" si="4"/>
        <v>27.053737</v>
      </c>
      <c r="L56" s="5" t="s">
        <v>585</v>
      </c>
      <c r="M56" s="5">
        <f t="shared" si="5"/>
        <v>0.0202</v>
      </c>
      <c r="N56" s="6" t="s">
        <v>291</v>
      </c>
      <c r="O56" s="5">
        <f t="shared" si="6"/>
        <v>0</v>
      </c>
    </row>
    <row r="57">
      <c r="A57" s="6" t="s">
        <v>2488</v>
      </c>
      <c r="B57" s="6" t="s">
        <v>186</v>
      </c>
      <c r="C57" s="5">
        <f t="shared" si="1"/>
        <v>1</v>
      </c>
      <c r="D57" s="1" t="s">
        <v>116</v>
      </c>
      <c r="E57" s="1" t="s">
        <v>158</v>
      </c>
      <c r="F57" s="1" t="str">
        <f t="shared" si="2"/>
        <v>Dim</v>
      </c>
      <c r="G57" s="5" t="s">
        <v>21</v>
      </c>
      <c r="H57" s="5" t="s">
        <v>695</v>
      </c>
      <c r="I57" s="5">
        <f t="shared" si="3"/>
        <v>0.2991</v>
      </c>
      <c r="J57" s="5" t="s">
        <v>697</v>
      </c>
      <c r="K57" s="5">
        <f t="shared" si="4"/>
        <v>167.434489</v>
      </c>
      <c r="L57" s="5" t="s">
        <v>700</v>
      </c>
      <c r="M57" s="5">
        <f t="shared" si="5"/>
        <v>0.1256</v>
      </c>
      <c r="N57" s="6" t="s">
        <v>291</v>
      </c>
      <c r="O57" s="5">
        <f t="shared" si="6"/>
        <v>0</v>
      </c>
    </row>
    <row r="58">
      <c r="A58" s="6" t="s">
        <v>2488</v>
      </c>
      <c r="B58" s="6" t="s">
        <v>397</v>
      </c>
      <c r="C58" s="5">
        <f t="shared" si="1"/>
        <v>2</v>
      </c>
      <c r="D58" s="1" t="s">
        <v>12</v>
      </c>
      <c r="E58" s="1" t="s">
        <v>2497</v>
      </c>
      <c r="F58" s="1" t="str">
        <f t="shared" si="2"/>
        <v>Green</v>
      </c>
      <c r="G58" s="5" t="s">
        <v>14</v>
      </c>
      <c r="H58" s="9" t="s">
        <v>763</v>
      </c>
      <c r="I58" s="5">
        <f t="shared" si="3"/>
        <v>11.0802</v>
      </c>
      <c r="J58" s="5" t="s">
        <v>766</v>
      </c>
      <c r="K58" s="5">
        <f t="shared" si="4"/>
        <v>740.731002</v>
      </c>
      <c r="L58" s="9" t="s">
        <v>2718</v>
      </c>
      <c r="M58" s="5">
        <f t="shared" si="5"/>
        <v>2.3268</v>
      </c>
      <c r="N58" s="6" t="s">
        <v>2720</v>
      </c>
      <c r="O58" s="5">
        <f t="shared" si="6"/>
        <v>558</v>
      </c>
    </row>
    <row r="59">
      <c r="A59" s="6" t="s">
        <v>2488</v>
      </c>
      <c r="B59" s="6" t="s">
        <v>397</v>
      </c>
      <c r="C59" s="5">
        <f t="shared" si="1"/>
        <v>2</v>
      </c>
      <c r="D59" s="1" t="s">
        <v>12</v>
      </c>
      <c r="E59" s="1" t="s">
        <v>2497</v>
      </c>
      <c r="F59" s="1" t="str">
        <f t="shared" si="2"/>
        <v>Green</v>
      </c>
      <c r="G59" s="5" t="s">
        <v>17</v>
      </c>
      <c r="H59" s="5" t="s">
        <v>769</v>
      </c>
      <c r="I59" s="5">
        <f t="shared" si="3"/>
        <v>71.5818</v>
      </c>
      <c r="J59" s="5" t="s">
        <v>771</v>
      </c>
      <c r="K59" s="5">
        <f t="shared" si="4"/>
        <v>6362.673845</v>
      </c>
      <c r="L59" s="5" t="s">
        <v>772</v>
      </c>
      <c r="M59" s="5">
        <f t="shared" si="5"/>
        <v>25.0535</v>
      </c>
      <c r="N59" s="6" t="s">
        <v>2725</v>
      </c>
      <c r="O59" s="5">
        <f t="shared" si="6"/>
        <v>810</v>
      </c>
    </row>
    <row r="60">
      <c r="A60" s="6" t="s">
        <v>2488</v>
      </c>
      <c r="B60" s="6" t="s">
        <v>397</v>
      </c>
      <c r="C60" s="5">
        <f t="shared" si="1"/>
        <v>2</v>
      </c>
      <c r="D60" s="1" t="s">
        <v>12</v>
      </c>
      <c r="E60" s="1" t="s">
        <v>2497</v>
      </c>
      <c r="F60" s="1" t="str">
        <f t="shared" si="2"/>
        <v>Green</v>
      </c>
      <c r="G60" s="5" t="s">
        <v>21</v>
      </c>
      <c r="H60" s="5" t="s">
        <v>774</v>
      </c>
      <c r="I60" s="5">
        <f t="shared" si="3"/>
        <v>30.1637</v>
      </c>
      <c r="J60" s="5" t="s">
        <v>775</v>
      </c>
      <c r="K60" s="5">
        <f t="shared" si="4"/>
        <v>3418.376272</v>
      </c>
      <c r="L60" s="5" t="s">
        <v>778</v>
      </c>
      <c r="M60" s="5">
        <f t="shared" si="5"/>
        <v>15.082</v>
      </c>
      <c r="N60" s="6" t="s">
        <v>2730</v>
      </c>
      <c r="O60" s="5">
        <f t="shared" si="6"/>
        <v>587</v>
      </c>
    </row>
    <row r="61">
      <c r="A61" s="6" t="s">
        <v>2488</v>
      </c>
      <c r="B61" s="6" t="s">
        <v>397</v>
      </c>
      <c r="C61" s="5">
        <f t="shared" si="1"/>
        <v>2</v>
      </c>
      <c r="D61" s="1" t="s">
        <v>12</v>
      </c>
      <c r="E61" s="1" t="s">
        <v>29</v>
      </c>
      <c r="F61" s="1" t="str">
        <f t="shared" si="2"/>
        <v>Blue</v>
      </c>
      <c r="G61" s="5" t="s">
        <v>14</v>
      </c>
      <c r="H61" s="5" t="s">
        <v>780</v>
      </c>
      <c r="I61" s="5">
        <f t="shared" si="3"/>
        <v>0.0753</v>
      </c>
      <c r="J61" s="5" t="s">
        <v>781</v>
      </c>
      <c r="K61" s="5">
        <f t="shared" si="4"/>
        <v>8.411521</v>
      </c>
      <c r="L61" s="5" t="s">
        <v>784</v>
      </c>
      <c r="M61" s="5">
        <f t="shared" si="5"/>
        <v>0.0151</v>
      </c>
      <c r="N61" s="6" t="s">
        <v>557</v>
      </c>
      <c r="O61" s="5">
        <f t="shared" si="6"/>
        <v>10</v>
      </c>
    </row>
    <row r="62">
      <c r="A62" s="6" t="s">
        <v>2488</v>
      </c>
      <c r="B62" s="6" t="s">
        <v>397</v>
      </c>
      <c r="C62" s="5">
        <f t="shared" si="1"/>
        <v>2</v>
      </c>
      <c r="D62" s="1" t="s">
        <v>12</v>
      </c>
      <c r="E62" s="1" t="s">
        <v>29</v>
      </c>
      <c r="F62" s="1" t="str">
        <f t="shared" si="2"/>
        <v>Blue</v>
      </c>
      <c r="G62" s="5" t="s">
        <v>21</v>
      </c>
      <c r="H62" s="5" t="s">
        <v>786</v>
      </c>
      <c r="I62" s="5">
        <f t="shared" si="3"/>
        <v>21.9409</v>
      </c>
      <c r="J62" s="5" t="s">
        <v>787</v>
      </c>
      <c r="K62" s="5">
        <f t="shared" si="4"/>
        <v>4399.865798</v>
      </c>
      <c r="L62" s="5" t="s">
        <v>790</v>
      </c>
      <c r="M62" s="5">
        <f t="shared" si="5"/>
        <v>8.7763</v>
      </c>
      <c r="N62" s="6" t="s">
        <v>718</v>
      </c>
      <c r="O62" s="5">
        <f t="shared" si="6"/>
        <v>668</v>
      </c>
    </row>
    <row r="63">
      <c r="A63" s="6" t="s">
        <v>2488</v>
      </c>
      <c r="B63" s="6" t="s">
        <v>397</v>
      </c>
      <c r="C63" s="5">
        <f t="shared" si="1"/>
        <v>2</v>
      </c>
      <c r="D63" s="1" t="s">
        <v>12</v>
      </c>
      <c r="E63" s="1" t="s">
        <v>45</v>
      </c>
      <c r="F63" s="1" t="str">
        <f t="shared" si="2"/>
        <v>Yellow</v>
      </c>
      <c r="G63" s="5" t="s">
        <v>17</v>
      </c>
      <c r="H63" s="5" t="s">
        <v>792</v>
      </c>
      <c r="I63" s="5">
        <f t="shared" si="3"/>
        <v>4.788</v>
      </c>
      <c r="J63" s="5" t="s">
        <v>794</v>
      </c>
      <c r="K63" s="5">
        <f t="shared" si="4"/>
        <v>323.528652</v>
      </c>
      <c r="L63" s="9" t="s">
        <v>2739</v>
      </c>
      <c r="M63" s="5">
        <f t="shared" si="5"/>
        <v>1.7237</v>
      </c>
      <c r="N63" s="6" t="s">
        <v>2740</v>
      </c>
      <c r="O63" s="5">
        <f t="shared" si="6"/>
        <v>237</v>
      </c>
    </row>
    <row r="64">
      <c r="A64" s="6" t="s">
        <v>2488</v>
      </c>
      <c r="B64" s="6" t="s">
        <v>397</v>
      </c>
      <c r="C64" s="5">
        <f t="shared" si="1"/>
        <v>2</v>
      </c>
      <c r="D64" s="1" t="s">
        <v>12</v>
      </c>
      <c r="E64" s="1" t="s">
        <v>38</v>
      </c>
      <c r="F64" s="1" t="str">
        <f t="shared" si="2"/>
        <v>White</v>
      </c>
      <c r="G64" s="5" t="s">
        <v>39</v>
      </c>
      <c r="H64" s="9" t="s">
        <v>2742</v>
      </c>
      <c r="I64" s="5">
        <f t="shared" si="3"/>
        <v>2.5794</v>
      </c>
      <c r="J64" s="5" t="s">
        <v>798</v>
      </c>
      <c r="K64" s="5">
        <f t="shared" si="4"/>
        <v>284.872613</v>
      </c>
      <c r="L64" s="5" t="s">
        <v>799</v>
      </c>
      <c r="M64" s="5">
        <f t="shared" si="5"/>
        <v>0.4643</v>
      </c>
      <c r="N64" s="6" t="s">
        <v>2744</v>
      </c>
      <c r="O64" s="5">
        <f t="shared" si="6"/>
        <v>105</v>
      </c>
    </row>
    <row r="65">
      <c r="A65" s="6" t="s">
        <v>2488</v>
      </c>
      <c r="B65" s="6" t="s">
        <v>397</v>
      </c>
      <c r="C65" s="5">
        <f t="shared" si="1"/>
        <v>2</v>
      </c>
      <c r="D65" s="1" t="s">
        <v>12</v>
      </c>
      <c r="E65" s="1" t="s">
        <v>32</v>
      </c>
      <c r="F65" s="1" t="str">
        <f t="shared" si="2"/>
        <v>Black</v>
      </c>
      <c r="G65" s="5" t="s">
        <v>14</v>
      </c>
      <c r="H65" s="9" t="s">
        <v>2747</v>
      </c>
      <c r="I65" s="5">
        <f t="shared" si="3"/>
        <v>2.4279</v>
      </c>
      <c r="J65" s="5" t="s">
        <v>801</v>
      </c>
      <c r="K65" s="5">
        <f t="shared" si="4"/>
        <v>182.747544</v>
      </c>
      <c r="L65" s="5" t="s">
        <v>803</v>
      </c>
      <c r="M65" s="5">
        <f t="shared" si="5"/>
        <v>0.5584</v>
      </c>
      <c r="N65" s="6" t="s">
        <v>2749</v>
      </c>
      <c r="O65" s="5">
        <f t="shared" si="6"/>
        <v>343</v>
      </c>
    </row>
    <row r="66">
      <c r="A66" s="6" t="s">
        <v>2488</v>
      </c>
      <c r="B66" s="6" t="s">
        <v>397</v>
      </c>
      <c r="C66" s="5">
        <f t="shared" si="1"/>
        <v>2</v>
      </c>
      <c r="D66" s="1" t="s">
        <v>12</v>
      </c>
      <c r="E66" s="1" t="s">
        <v>32</v>
      </c>
      <c r="F66" s="1" t="str">
        <f t="shared" si="2"/>
        <v>Black</v>
      </c>
      <c r="G66" s="5" t="s">
        <v>21</v>
      </c>
      <c r="H66" s="5" t="s">
        <v>807</v>
      </c>
      <c r="I66" s="5">
        <f t="shared" si="3"/>
        <v>0.7081</v>
      </c>
      <c r="J66" s="5" t="s">
        <v>808</v>
      </c>
      <c r="K66" s="5">
        <f t="shared" si="4"/>
        <v>89.899092</v>
      </c>
      <c r="L66" s="5" t="s">
        <v>811</v>
      </c>
      <c r="M66" s="5">
        <f t="shared" si="5"/>
        <v>0.3186</v>
      </c>
      <c r="N66" s="6" t="s">
        <v>2754</v>
      </c>
      <c r="O66" s="5">
        <f t="shared" si="6"/>
        <v>208</v>
      </c>
    </row>
    <row r="67">
      <c r="A67" s="6" t="s">
        <v>2488</v>
      </c>
      <c r="B67" s="6" t="s">
        <v>397</v>
      </c>
      <c r="C67" s="5">
        <f t="shared" si="1"/>
        <v>2</v>
      </c>
      <c r="D67" s="1" t="s">
        <v>12</v>
      </c>
      <c r="E67" s="1" t="s">
        <v>42</v>
      </c>
      <c r="F67" s="1" t="str">
        <f t="shared" si="2"/>
        <v>Red</v>
      </c>
      <c r="G67" s="5" t="s">
        <v>17</v>
      </c>
      <c r="H67" s="5" t="s">
        <v>813</v>
      </c>
      <c r="I67" s="5">
        <f t="shared" si="3"/>
        <v>0.9907</v>
      </c>
      <c r="J67" s="5" t="s">
        <v>815</v>
      </c>
      <c r="K67" s="5">
        <f t="shared" si="4"/>
        <v>147.664938</v>
      </c>
      <c r="L67" s="5" t="s">
        <v>818</v>
      </c>
      <c r="M67" s="5">
        <f t="shared" si="5"/>
        <v>0.3666</v>
      </c>
      <c r="N67" s="6" t="s">
        <v>2758</v>
      </c>
      <c r="O67" s="5">
        <f t="shared" si="6"/>
        <v>77</v>
      </c>
    </row>
    <row r="68">
      <c r="A68" s="6" t="s">
        <v>2488</v>
      </c>
      <c r="B68" s="6" t="s">
        <v>397</v>
      </c>
      <c r="C68" s="5">
        <f t="shared" si="1"/>
        <v>2</v>
      </c>
      <c r="D68" s="1" t="s">
        <v>12</v>
      </c>
      <c r="E68" s="1" t="s">
        <v>48</v>
      </c>
      <c r="F68" s="1" t="str">
        <f t="shared" si="2"/>
        <v>Orange</v>
      </c>
      <c r="G68" s="5" t="s">
        <v>49</v>
      </c>
      <c r="H68" s="5" t="s">
        <v>487</v>
      </c>
      <c r="I68" s="5">
        <f t="shared" si="3"/>
        <v>0.0058</v>
      </c>
      <c r="J68" s="5" t="s">
        <v>821</v>
      </c>
      <c r="K68" s="5">
        <f t="shared" si="4"/>
        <v>1.908023</v>
      </c>
      <c r="L68" s="5" t="s">
        <v>331</v>
      </c>
      <c r="M68" s="5">
        <f t="shared" si="5"/>
        <v>0.0016</v>
      </c>
      <c r="N68" s="6" t="s">
        <v>397</v>
      </c>
      <c r="O68" s="5">
        <f t="shared" si="6"/>
        <v>2</v>
      </c>
    </row>
    <row r="69">
      <c r="A69" s="6" t="s">
        <v>2488</v>
      </c>
      <c r="B69" s="6" t="s">
        <v>397</v>
      </c>
      <c r="C69" s="5">
        <f t="shared" si="1"/>
        <v>2</v>
      </c>
      <c r="D69" s="1" t="s">
        <v>12</v>
      </c>
      <c r="E69" s="1" t="s">
        <v>48</v>
      </c>
      <c r="F69" s="1" t="str">
        <f t="shared" si="2"/>
        <v>Orange</v>
      </c>
      <c r="G69" s="5" t="s">
        <v>21</v>
      </c>
      <c r="H69" s="9" t="s">
        <v>825</v>
      </c>
      <c r="I69" s="5">
        <f t="shared" si="3"/>
        <v>1.0523</v>
      </c>
      <c r="J69" s="5" t="s">
        <v>826</v>
      </c>
      <c r="K69" s="5">
        <f t="shared" si="4"/>
        <v>136.397282</v>
      </c>
      <c r="L69" s="5" t="s">
        <v>829</v>
      </c>
      <c r="M69" s="5">
        <f t="shared" si="5"/>
        <v>0.4209</v>
      </c>
      <c r="N69" s="6" t="s">
        <v>2767</v>
      </c>
      <c r="O69" s="5">
        <f t="shared" si="6"/>
        <v>124</v>
      </c>
    </row>
    <row r="70">
      <c r="A70" s="6" t="s">
        <v>2488</v>
      </c>
      <c r="B70" s="6" t="s">
        <v>397</v>
      </c>
      <c r="C70" s="5">
        <f t="shared" si="1"/>
        <v>2</v>
      </c>
      <c r="D70" s="1" t="s">
        <v>12</v>
      </c>
      <c r="E70" s="1" t="s">
        <v>56</v>
      </c>
      <c r="F70" s="1" t="str">
        <f t="shared" si="2"/>
        <v>Purple</v>
      </c>
      <c r="G70" s="5" t="s">
        <v>21</v>
      </c>
      <c r="H70" s="5" t="s">
        <v>831</v>
      </c>
      <c r="I70" s="5">
        <f t="shared" si="3"/>
        <v>0.3763</v>
      </c>
      <c r="J70" s="5" t="s">
        <v>832</v>
      </c>
      <c r="K70" s="5">
        <f t="shared" si="4"/>
        <v>59.318734</v>
      </c>
      <c r="L70" s="5" t="s">
        <v>835</v>
      </c>
      <c r="M70" s="5">
        <f t="shared" si="5"/>
        <v>0.1505</v>
      </c>
      <c r="N70" s="6" t="s">
        <v>2768</v>
      </c>
      <c r="O70" s="5">
        <f t="shared" si="6"/>
        <v>165</v>
      </c>
    </row>
    <row r="71">
      <c r="A71" s="6" t="s">
        <v>2488</v>
      </c>
      <c r="B71" s="6" t="s">
        <v>397</v>
      </c>
      <c r="C71" s="5">
        <f t="shared" si="1"/>
        <v>2</v>
      </c>
      <c r="D71" s="1" t="s">
        <v>12</v>
      </c>
      <c r="E71" s="1" t="s">
        <v>64</v>
      </c>
      <c r="F71" s="1" t="str">
        <f t="shared" si="2"/>
        <v>Brown</v>
      </c>
      <c r="G71" s="5" t="s">
        <v>39</v>
      </c>
      <c r="H71" s="5" t="s">
        <v>837</v>
      </c>
      <c r="I71" s="5">
        <f t="shared" si="3"/>
        <v>0.5313</v>
      </c>
      <c r="J71" s="5" t="s">
        <v>838</v>
      </c>
      <c r="K71" s="5">
        <f t="shared" si="4"/>
        <v>46.850674</v>
      </c>
      <c r="L71" s="5" t="s">
        <v>841</v>
      </c>
      <c r="M71" s="5">
        <f t="shared" si="5"/>
        <v>0.0956</v>
      </c>
      <c r="N71" s="6" t="s">
        <v>2769</v>
      </c>
      <c r="O71" s="5">
        <f t="shared" si="6"/>
        <v>87</v>
      </c>
    </row>
    <row r="72">
      <c r="A72" s="6" t="s">
        <v>2488</v>
      </c>
      <c r="B72" s="6" t="s">
        <v>397</v>
      </c>
      <c r="C72" s="5">
        <f t="shared" si="1"/>
        <v>2</v>
      </c>
      <c r="D72" s="1" t="s">
        <v>12</v>
      </c>
      <c r="E72" s="1" t="s">
        <v>64</v>
      </c>
      <c r="F72" s="1" t="str">
        <f t="shared" si="2"/>
        <v>Brown</v>
      </c>
      <c r="G72" s="5" t="s">
        <v>21</v>
      </c>
      <c r="H72" s="5" t="s">
        <v>845</v>
      </c>
      <c r="I72" s="5">
        <f t="shared" si="3"/>
        <v>0.0106</v>
      </c>
      <c r="J72" s="5" t="s">
        <v>846</v>
      </c>
      <c r="K72" s="5">
        <f t="shared" si="4"/>
        <v>1.650026</v>
      </c>
      <c r="L72" s="5" t="s">
        <v>847</v>
      </c>
      <c r="M72" s="5">
        <f t="shared" si="5"/>
        <v>0.0042</v>
      </c>
      <c r="N72" s="6" t="s">
        <v>2672</v>
      </c>
      <c r="O72" s="5">
        <f t="shared" si="6"/>
        <v>8</v>
      </c>
    </row>
    <row r="73">
      <c r="A73" s="6" t="s">
        <v>2488</v>
      </c>
      <c r="B73" s="6" t="s">
        <v>397</v>
      </c>
      <c r="C73" s="5">
        <f t="shared" si="1"/>
        <v>2</v>
      </c>
      <c r="D73" s="1" t="s">
        <v>12</v>
      </c>
      <c r="E73" s="1" t="s">
        <v>848</v>
      </c>
      <c r="F73" s="1" t="str">
        <f t="shared" si="2"/>
        <v>Lime</v>
      </c>
      <c r="G73" s="5" t="s">
        <v>21</v>
      </c>
      <c r="H73" s="5" t="s">
        <v>851</v>
      </c>
      <c r="I73" s="5">
        <f t="shared" si="3"/>
        <v>0.2056</v>
      </c>
      <c r="J73" s="5" t="s">
        <v>852</v>
      </c>
      <c r="K73" s="5">
        <f t="shared" si="4"/>
        <v>41.075017</v>
      </c>
      <c r="L73" s="5" t="s">
        <v>853</v>
      </c>
      <c r="M73" s="5">
        <f t="shared" si="5"/>
        <v>0.0823</v>
      </c>
      <c r="N73" s="6" t="s">
        <v>2770</v>
      </c>
      <c r="O73" s="5">
        <f t="shared" si="6"/>
        <v>62</v>
      </c>
    </row>
    <row r="74">
      <c r="A74" s="6" t="s">
        <v>2488</v>
      </c>
      <c r="B74" s="6" t="s">
        <v>397</v>
      </c>
      <c r="C74" s="5">
        <f t="shared" si="1"/>
        <v>2</v>
      </c>
      <c r="D74" s="1" t="s">
        <v>68</v>
      </c>
      <c r="E74" s="1" t="s">
        <v>2497</v>
      </c>
      <c r="F74" s="1" t="str">
        <f t="shared" si="2"/>
        <v>Green</v>
      </c>
      <c r="G74" s="5" t="s">
        <v>14</v>
      </c>
      <c r="H74" s="5" t="s">
        <v>856</v>
      </c>
      <c r="I74" s="5">
        <f t="shared" si="3"/>
        <v>54.9092</v>
      </c>
      <c r="J74" s="5" t="s">
        <v>858</v>
      </c>
      <c r="K74" s="5">
        <f t="shared" si="4"/>
        <v>3357.609547</v>
      </c>
      <c r="L74" s="5" t="s">
        <v>861</v>
      </c>
      <c r="M74" s="5">
        <f t="shared" si="5"/>
        <v>11.531</v>
      </c>
      <c r="N74" s="6" t="s">
        <v>2771</v>
      </c>
      <c r="O74" s="5">
        <f t="shared" si="6"/>
        <v>8226</v>
      </c>
    </row>
    <row r="75">
      <c r="A75" s="6" t="s">
        <v>2488</v>
      </c>
      <c r="B75" s="6" t="s">
        <v>397</v>
      </c>
      <c r="C75" s="5">
        <f t="shared" si="1"/>
        <v>2</v>
      </c>
      <c r="D75" s="1" t="s">
        <v>68</v>
      </c>
      <c r="E75" s="1" t="s">
        <v>2497</v>
      </c>
      <c r="F75" s="1" t="str">
        <f t="shared" si="2"/>
        <v>Green</v>
      </c>
      <c r="G75" s="5" t="s">
        <v>17</v>
      </c>
      <c r="H75" s="5" t="s">
        <v>862</v>
      </c>
      <c r="I75" s="5">
        <f t="shared" si="3"/>
        <v>39.3809</v>
      </c>
      <c r="J75" s="5" t="s">
        <v>864</v>
      </c>
      <c r="K75" s="5">
        <f t="shared" si="4"/>
        <v>4194.076763</v>
      </c>
      <c r="L75" s="5" t="s">
        <v>866</v>
      </c>
      <c r="M75" s="5">
        <f t="shared" si="5"/>
        <v>13.7834</v>
      </c>
      <c r="N75" s="6" t="s">
        <v>2772</v>
      </c>
      <c r="O75" s="5">
        <f t="shared" si="6"/>
        <v>8143</v>
      </c>
    </row>
    <row r="76">
      <c r="A76" s="6" t="s">
        <v>2488</v>
      </c>
      <c r="B76" s="6" t="s">
        <v>397</v>
      </c>
      <c r="C76" s="5">
        <f t="shared" si="1"/>
        <v>2</v>
      </c>
      <c r="D76" s="1" t="s">
        <v>68</v>
      </c>
      <c r="E76" s="1" t="s">
        <v>2497</v>
      </c>
      <c r="F76" s="1" t="str">
        <f t="shared" si="2"/>
        <v>Green</v>
      </c>
      <c r="G76" s="5" t="s">
        <v>21</v>
      </c>
      <c r="H76" s="9" t="s">
        <v>2773</v>
      </c>
      <c r="I76" s="5">
        <f t="shared" si="3"/>
        <v>4.9295</v>
      </c>
      <c r="J76" s="5" t="s">
        <v>868</v>
      </c>
      <c r="K76" s="5">
        <f t="shared" si="4"/>
        <v>735.410338</v>
      </c>
      <c r="L76" s="9" t="s">
        <v>2774</v>
      </c>
      <c r="M76" s="5">
        <f t="shared" si="5"/>
        <v>2.4647</v>
      </c>
      <c r="N76" s="6" t="s">
        <v>2775</v>
      </c>
      <c r="O76" s="5">
        <f t="shared" si="6"/>
        <v>777</v>
      </c>
    </row>
    <row r="77">
      <c r="A77" s="6" t="s">
        <v>2488</v>
      </c>
      <c r="B77" s="6" t="s">
        <v>397</v>
      </c>
      <c r="C77" s="5">
        <f t="shared" si="1"/>
        <v>2</v>
      </c>
      <c r="D77" s="1" t="s">
        <v>68</v>
      </c>
      <c r="E77" s="1" t="s">
        <v>2497</v>
      </c>
      <c r="F77" s="1" t="str">
        <f t="shared" si="2"/>
        <v>Green</v>
      </c>
      <c r="G77" s="5" t="s">
        <v>25</v>
      </c>
      <c r="H77" s="5" t="s">
        <v>871</v>
      </c>
      <c r="I77" s="5">
        <f t="shared" si="3"/>
        <v>0.3959</v>
      </c>
      <c r="J77" s="5" t="s">
        <v>873</v>
      </c>
      <c r="K77" s="5">
        <f t="shared" si="4"/>
        <v>66.64688</v>
      </c>
      <c r="L77" s="5" t="s">
        <v>875</v>
      </c>
      <c r="M77" s="5">
        <f t="shared" si="5"/>
        <v>0.2969</v>
      </c>
      <c r="N77" s="6" t="s">
        <v>2776</v>
      </c>
      <c r="O77" s="5">
        <f t="shared" si="6"/>
        <v>273</v>
      </c>
    </row>
    <row r="78">
      <c r="A78" s="6" t="s">
        <v>2488</v>
      </c>
      <c r="B78" s="6" t="s">
        <v>397</v>
      </c>
      <c r="C78" s="5">
        <f t="shared" si="1"/>
        <v>2</v>
      </c>
      <c r="D78" s="1" t="s">
        <v>68</v>
      </c>
      <c r="E78" s="1" t="s">
        <v>29</v>
      </c>
      <c r="F78" s="1" t="str">
        <f t="shared" si="2"/>
        <v>Blue</v>
      </c>
      <c r="G78" s="5" t="s">
        <v>14</v>
      </c>
      <c r="H78" s="5" t="s">
        <v>878</v>
      </c>
      <c r="I78" s="5">
        <f t="shared" si="3"/>
        <v>0.0044</v>
      </c>
      <c r="J78" s="5" t="s">
        <v>879</v>
      </c>
      <c r="K78" s="5">
        <f t="shared" si="4"/>
        <v>0.385702</v>
      </c>
      <c r="L78" s="5" t="s">
        <v>574</v>
      </c>
      <c r="M78" s="5">
        <f t="shared" si="5"/>
        <v>0.0009</v>
      </c>
      <c r="N78" s="6" t="s">
        <v>397</v>
      </c>
      <c r="O78" s="5">
        <f t="shared" si="6"/>
        <v>2</v>
      </c>
    </row>
    <row r="79">
      <c r="A79" s="6" t="s">
        <v>2488</v>
      </c>
      <c r="B79" s="6" t="s">
        <v>397</v>
      </c>
      <c r="C79" s="5">
        <f t="shared" si="1"/>
        <v>2</v>
      </c>
      <c r="D79" s="1" t="s">
        <v>68</v>
      </c>
      <c r="E79" s="1" t="s">
        <v>29</v>
      </c>
      <c r="F79" s="1" t="str">
        <f t="shared" si="2"/>
        <v>Blue</v>
      </c>
      <c r="G79" s="5" t="s">
        <v>21</v>
      </c>
      <c r="H79" s="9" t="s">
        <v>2777</v>
      </c>
      <c r="I79" s="5">
        <f t="shared" si="3"/>
        <v>7.3705</v>
      </c>
      <c r="J79" s="5" t="s">
        <v>884</v>
      </c>
      <c r="K79" s="5">
        <f t="shared" si="4"/>
        <v>1552.946177</v>
      </c>
      <c r="L79" s="9" t="s">
        <v>2778</v>
      </c>
      <c r="M79" s="5">
        <f t="shared" si="5"/>
        <v>2.9482</v>
      </c>
      <c r="N79" s="6" t="s">
        <v>2779</v>
      </c>
      <c r="O79" s="5">
        <f t="shared" si="6"/>
        <v>941</v>
      </c>
    </row>
    <row r="80">
      <c r="A80" s="6" t="s">
        <v>2488</v>
      </c>
      <c r="B80" s="6" t="s">
        <v>397</v>
      </c>
      <c r="C80" s="5">
        <f t="shared" si="1"/>
        <v>2</v>
      </c>
      <c r="D80" s="1" t="s">
        <v>68</v>
      </c>
      <c r="E80" s="1" t="s">
        <v>45</v>
      </c>
      <c r="F80" s="1" t="str">
        <f t="shared" si="2"/>
        <v>Yellow</v>
      </c>
      <c r="G80" s="5" t="s">
        <v>17</v>
      </c>
      <c r="H80" s="5" t="s">
        <v>887</v>
      </c>
      <c r="I80" s="5">
        <f t="shared" si="3"/>
        <v>7.646</v>
      </c>
      <c r="J80" s="5" t="s">
        <v>888</v>
      </c>
      <c r="K80" s="5">
        <f t="shared" si="4"/>
        <v>547.562863</v>
      </c>
      <c r="L80" s="9" t="s">
        <v>2780</v>
      </c>
      <c r="M80" s="5">
        <f t="shared" si="5"/>
        <v>2.7526</v>
      </c>
      <c r="N80" s="6" t="s">
        <v>2781</v>
      </c>
      <c r="O80" s="5">
        <f t="shared" si="6"/>
        <v>1592</v>
      </c>
    </row>
    <row r="81">
      <c r="A81" s="6" t="s">
        <v>2488</v>
      </c>
      <c r="B81" s="6" t="s">
        <v>397</v>
      </c>
      <c r="C81" s="5">
        <f t="shared" si="1"/>
        <v>2</v>
      </c>
      <c r="D81" s="1" t="s">
        <v>68</v>
      </c>
      <c r="E81" s="1" t="s">
        <v>32</v>
      </c>
      <c r="F81" s="1" t="str">
        <f t="shared" si="2"/>
        <v>Black</v>
      </c>
      <c r="G81" s="5" t="s">
        <v>14</v>
      </c>
      <c r="H81" s="9" t="s">
        <v>891</v>
      </c>
      <c r="I81" s="5">
        <f t="shared" si="3"/>
        <v>4.0811</v>
      </c>
      <c r="J81" s="5" t="s">
        <v>892</v>
      </c>
      <c r="K81" s="5">
        <f t="shared" si="4"/>
        <v>299.708529</v>
      </c>
      <c r="L81" s="5" t="s">
        <v>893</v>
      </c>
      <c r="M81" s="5">
        <f t="shared" si="5"/>
        <v>0.9387</v>
      </c>
      <c r="N81" s="6" t="s">
        <v>2782</v>
      </c>
      <c r="O81" s="5">
        <f t="shared" si="6"/>
        <v>1955</v>
      </c>
    </row>
    <row r="82">
      <c r="A82" s="6" t="s">
        <v>2488</v>
      </c>
      <c r="B82" s="6" t="s">
        <v>397</v>
      </c>
      <c r="C82" s="5">
        <f t="shared" si="1"/>
        <v>2</v>
      </c>
      <c r="D82" s="1" t="s">
        <v>68</v>
      </c>
      <c r="E82" s="1" t="s">
        <v>32</v>
      </c>
      <c r="F82" s="1" t="str">
        <f t="shared" si="2"/>
        <v>Black</v>
      </c>
      <c r="G82" s="5" t="s">
        <v>21</v>
      </c>
      <c r="H82" s="5" t="s">
        <v>897</v>
      </c>
      <c r="I82" s="5">
        <f t="shared" si="3"/>
        <v>0.5181</v>
      </c>
      <c r="J82" s="5" t="s">
        <v>898</v>
      </c>
      <c r="K82" s="5">
        <f t="shared" si="4"/>
        <v>82.924092</v>
      </c>
      <c r="L82" s="5" t="s">
        <v>899</v>
      </c>
      <c r="M82" s="5">
        <f t="shared" si="5"/>
        <v>0.2331</v>
      </c>
      <c r="N82" s="6" t="s">
        <v>2783</v>
      </c>
      <c r="O82" s="5">
        <f t="shared" si="6"/>
        <v>507</v>
      </c>
    </row>
    <row r="83">
      <c r="A83" s="6" t="s">
        <v>2488</v>
      </c>
      <c r="B83" s="6" t="s">
        <v>397</v>
      </c>
      <c r="C83" s="5">
        <f t="shared" si="1"/>
        <v>2</v>
      </c>
      <c r="D83" s="1" t="s">
        <v>68</v>
      </c>
      <c r="E83" s="1" t="s">
        <v>38</v>
      </c>
      <c r="F83" s="1" t="str">
        <f t="shared" si="2"/>
        <v>White</v>
      </c>
      <c r="G83" s="5" t="s">
        <v>39</v>
      </c>
      <c r="H83" s="9" t="s">
        <v>2784</v>
      </c>
      <c r="I83" s="5">
        <f t="shared" si="3"/>
        <v>1.4093</v>
      </c>
      <c r="J83" s="5" t="s">
        <v>903</v>
      </c>
      <c r="K83" s="5">
        <f t="shared" si="4"/>
        <v>132.623274</v>
      </c>
      <c r="L83" s="5" t="s">
        <v>904</v>
      </c>
      <c r="M83" s="5">
        <f t="shared" si="5"/>
        <v>0.2537</v>
      </c>
      <c r="N83" s="6" t="s">
        <v>2663</v>
      </c>
      <c r="O83" s="5">
        <f t="shared" si="6"/>
        <v>222</v>
      </c>
    </row>
    <row r="84">
      <c r="A84" s="6" t="s">
        <v>2488</v>
      </c>
      <c r="B84" s="6" t="s">
        <v>397</v>
      </c>
      <c r="C84" s="5">
        <f t="shared" si="1"/>
        <v>2</v>
      </c>
      <c r="D84" s="1" t="s">
        <v>68</v>
      </c>
      <c r="E84" s="1" t="s">
        <v>42</v>
      </c>
      <c r="F84" s="1" t="str">
        <f t="shared" si="2"/>
        <v>Red</v>
      </c>
      <c r="G84" s="5" t="s">
        <v>17</v>
      </c>
      <c r="H84" s="5" t="s">
        <v>906</v>
      </c>
      <c r="I84" s="5">
        <f t="shared" si="3"/>
        <v>0.5252</v>
      </c>
      <c r="J84" s="5" t="s">
        <v>907</v>
      </c>
      <c r="K84" s="5">
        <f t="shared" si="4"/>
        <v>82.262954</v>
      </c>
      <c r="L84" s="5" t="s">
        <v>909</v>
      </c>
      <c r="M84" s="5">
        <f t="shared" si="5"/>
        <v>0.1943</v>
      </c>
      <c r="N84" s="6" t="s">
        <v>1665</v>
      </c>
      <c r="O84" s="5">
        <f t="shared" si="6"/>
        <v>279</v>
      </c>
    </row>
    <row r="85">
      <c r="A85" s="6" t="s">
        <v>2488</v>
      </c>
      <c r="B85" s="6" t="s">
        <v>397</v>
      </c>
      <c r="C85" s="5">
        <f t="shared" si="1"/>
        <v>2</v>
      </c>
      <c r="D85" s="1" t="s">
        <v>68</v>
      </c>
      <c r="E85" s="1" t="s">
        <v>544</v>
      </c>
      <c r="F85" s="1" t="str">
        <f t="shared" si="2"/>
        <v>Golden</v>
      </c>
      <c r="G85" s="5" t="s">
        <v>17</v>
      </c>
      <c r="H85" s="5" t="s">
        <v>912</v>
      </c>
      <c r="I85" s="5">
        <f t="shared" si="3"/>
        <v>0.8628</v>
      </c>
      <c r="J85" s="5" t="s">
        <v>913</v>
      </c>
      <c r="K85" s="5">
        <f t="shared" si="4"/>
        <v>77.771447</v>
      </c>
      <c r="L85" s="5" t="s">
        <v>111</v>
      </c>
      <c r="M85" s="5">
        <f t="shared" si="5"/>
        <v>0.302</v>
      </c>
      <c r="N85" s="6" t="s">
        <v>2785</v>
      </c>
      <c r="O85" s="5">
        <f t="shared" si="6"/>
        <v>213</v>
      </c>
    </row>
    <row r="86">
      <c r="A86" s="6" t="s">
        <v>2488</v>
      </c>
      <c r="B86" s="6" t="s">
        <v>397</v>
      </c>
      <c r="C86" s="5">
        <f t="shared" si="1"/>
        <v>2</v>
      </c>
      <c r="D86" s="1" t="s">
        <v>68</v>
      </c>
      <c r="E86" s="1" t="s">
        <v>165</v>
      </c>
      <c r="F86" s="1" t="str">
        <f t="shared" si="2"/>
        <v>Vivid</v>
      </c>
      <c r="G86" s="5" t="s">
        <v>39</v>
      </c>
      <c r="H86" s="5" t="s">
        <v>916</v>
      </c>
      <c r="I86" s="5">
        <f t="shared" si="3"/>
        <v>0.0235</v>
      </c>
      <c r="J86" s="5" t="s">
        <v>917</v>
      </c>
      <c r="K86" s="5">
        <f t="shared" si="4"/>
        <v>4.290931</v>
      </c>
      <c r="L86" s="5" t="s">
        <v>847</v>
      </c>
      <c r="M86" s="5">
        <f t="shared" si="5"/>
        <v>0.0042</v>
      </c>
      <c r="N86" s="6" t="s">
        <v>291</v>
      </c>
      <c r="O86" s="5">
        <f t="shared" si="6"/>
        <v>0</v>
      </c>
    </row>
    <row r="87">
      <c r="A87" s="6" t="s">
        <v>2488</v>
      </c>
      <c r="B87" s="6" t="s">
        <v>397</v>
      </c>
      <c r="C87" s="5">
        <f t="shared" si="1"/>
        <v>2</v>
      </c>
      <c r="D87" s="1" t="s">
        <v>68</v>
      </c>
      <c r="E87" s="1" t="s">
        <v>165</v>
      </c>
      <c r="F87" s="1" t="str">
        <f t="shared" si="2"/>
        <v>Vivid</v>
      </c>
      <c r="G87" s="5" t="s">
        <v>17</v>
      </c>
      <c r="H87" s="5" t="s">
        <v>921</v>
      </c>
      <c r="I87" s="5">
        <f t="shared" si="3"/>
        <v>0.2102</v>
      </c>
      <c r="J87" s="5" t="s">
        <v>922</v>
      </c>
      <c r="K87" s="5">
        <f t="shared" si="4"/>
        <v>48.938784</v>
      </c>
      <c r="L87" s="5" t="s">
        <v>924</v>
      </c>
      <c r="M87" s="5">
        <f t="shared" si="5"/>
        <v>0.0735</v>
      </c>
      <c r="N87" s="6" t="s">
        <v>291</v>
      </c>
      <c r="O87" s="5">
        <f t="shared" si="6"/>
        <v>0</v>
      </c>
    </row>
    <row r="88">
      <c r="A88" s="6" t="s">
        <v>2488</v>
      </c>
      <c r="B88" s="6" t="s">
        <v>397</v>
      </c>
      <c r="C88" s="5">
        <f t="shared" si="1"/>
        <v>2</v>
      </c>
      <c r="D88" s="1" t="s">
        <v>68</v>
      </c>
      <c r="E88" s="1" t="s">
        <v>48</v>
      </c>
      <c r="F88" s="1" t="str">
        <f t="shared" si="2"/>
        <v>Orange</v>
      </c>
      <c r="G88" s="5" t="s">
        <v>49</v>
      </c>
      <c r="H88" s="5" t="s">
        <v>315</v>
      </c>
      <c r="I88" s="5">
        <f t="shared" si="3"/>
        <v>0.0033</v>
      </c>
      <c r="J88" s="5" t="s">
        <v>925</v>
      </c>
      <c r="K88" s="5">
        <f t="shared" si="4"/>
        <v>1.308484</v>
      </c>
      <c r="L88" s="5" t="s">
        <v>574</v>
      </c>
      <c r="M88" s="5">
        <f t="shared" si="5"/>
        <v>0.0009</v>
      </c>
      <c r="N88" s="6" t="s">
        <v>397</v>
      </c>
      <c r="O88" s="5">
        <f t="shared" si="6"/>
        <v>2</v>
      </c>
    </row>
    <row r="89">
      <c r="A89" s="6" t="s">
        <v>2488</v>
      </c>
      <c r="B89" s="6" t="s">
        <v>397</v>
      </c>
      <c r="C89" s="5">
        <f t="shared" si="1"/>
        <v>2</v>
      </c>
      <c r="D89" s="1" t="s">
        <v>68</v>
      </c>
      <c r="E89" s="1" t="s">
        <v>48</v>
      </c>
      <c r="F89" s="1" t="str">
        <f t="shared" si="2"/>
        <v>Orange</v>
      </c>
      <c r="G89" s="5" t="s">
        <v>72</v>
      </c>
      <c r="H89" s="5" t="s">
        <v>928</v>
      </c>
      <c r="I89" s="5">
        <f t="shared" si="3"/>
        <v>0.0159</v>
      </c>
      <c r="J89" s="5" t="s">
        <v>929</v>
      </c>
      <c r="K89" s="5">
        <f t="shared" si="4"/>
        <v>3.317889</v>
      </c>
      <c r="L89" s="5" t="s">
        <v>931</v>
      </c>
      <c r="M89" s="5">
        <f t="shared" si="5"/>
        <v>0.0048</v>
      </c>
      <c r="N89" s="6" t="s">
        <v>397</v>
      </c>
      <c r="O89" s="5">
        <f t="shared" si="6"/>
        <v>2</v>
      </c>
    </row>
    <row r="90">
      <c r="A90" s="6" t="s">
        <v>2488</v>
      </c>
      <c r="B90" s="6" t="s">
        <v>397</v>
      </c>
      <c r="C90" s="5">
        <f t="shared" si="1"/>
        <v>2</v>
      </c>
      <c r="D90" s="1" t="s">
        <v>68</v>
      </c>
      <c r="E90" s="1" t="s">
        <v>48</v>
      </c>
      <c r="F90" s="1" t="str">
        <f t="shared" si="2"/>
        <v>Orange</v>
      </c>
      <c r="G90" s="5" t="s">
        <v>21</v>
      </c>
      <c r="H90" s="5" t="s">
        <v>933</v>
      </c>
      <c r="I90" s="5">
        <f t="shared" si="3"/>
        <v>0.3496</v>
      </c>
      <c r="J90" s="5" t="s">
        <v>934</v>
      </c>
      <c r="K90" s="5">
        <f t="shared" si="4"/>
        <v>38.380471</v>
      </c>
      <c r="L90" s="5" t="s">
        <v>937</v>
      </c>
      <c r="M90" s="5">
        <f t="shared" si="5"/>
        <v>0.1398</v>
      </c>
      <c r="N90" s="6" t="s">
        <v>2786</v>
      </c>
      <c r="O90" s="5">
        <f t="shared" si="6"/>
        <v>206</v>
      </c>
    </row>
    <row r="91">
      <c r="A91" s="6" t="s">
        <v>2488</v>
      </c>
      <c r="B91" s="6" t="s">
        <v>397</v>
      </c>
      <c r="C91" s="5">
        <f t="shared" si="1"/>
        <v>2</v>
      </c>
      <c r="D91" s="1" t="s">
        <v>68</v>
      </c>
      <c r="E91" s="1" t="s">
        <v>102</v>
      </c>
      <c r="F91" s="1" t="str">
        <f t="shared" si="2"/>
        <v>Pale</v>
      </c>
      <c r="G91" s="5" t="s">
        <v>39</v>
      </c>
      <c r="H91" s="5" t="s">
        <v>333</v>
      </c>
      <c r="I91" s="5">
        <f t="shared" si="3"/>
        <v>0.0003</v>
      </c>
      <c r="J91" s="5" t="s">
        <v>940</v>
      </c>
      <c r="K91" s="5">
        <f t="shared" si="4"/>
        <v>0.060471</v>
      </c>
      <c r="L91" s="5" t="s">
        <v>596</v>
      </c>
      <c r="M91" s="5">
        <f t="shared" si="5"/>
        <v>0.0001</v>
      </c>
      <c r="N91" s="6" t="s">
        <v>291</v>
      </c>
      <c r="O91" s="5">
        <f t="shared" si="6"/>
        <v>0</v>
      </c>
    </row>
    <row r="92">
      <c r="A92" s="6" t="s">
        <v>2488</v>
      </c>
      <c r="B92" s="6" t="s">
        <v>397</v>
      </c>
      <c r="C92" s="5">
        <f t="shared" si="1"/>
        <v>2</v>
      </c>
      <c r="D92" s="1" t="s">
        <v>68</v>
      </c>
      <c r="E92" s="1" t="s">
        <v>102</v>
      </c>
      <c r="F92" s="1" t="str">
        <f t="shared" si="2"/>
        <v>Pale</v>
      </c>
      <c r="G92" s="5" t="s">
        <v>21</v>
      </c>
      <c r="H92" s="5" t="s">
        <v>943</v>
      </c>
      <c r="I92" s="5">
        <f t="shared" si="3"/>
        <v>0.0954</v>
      </c>
      <c r="J92" s="5" t="s">
        <v>945</v>
      </c>
      <c r="K92" s="5">
        <f t="shared" si="4"/>
        <v>37.05183</v>
      </c>
      <c r="L92" s="5" t="s">
        <v>947</v>
      </c>
      <c r="M92" s="5">
        <f t="shared" si="5"/>
        <v>0.0381</v>
      </c>
      <c r="N92" s="6" t="s">
        <v>291</v>
      </c>
      <c r="O92" s="5">
        <f t="shared" si="6"/>
        <v>0</v>
      </c>
    </row>
    <row r="93">
      <c r="A93" s="6" t="s">
        <v>2488</v>
      </c>
      <c r="B93" s="6" t="s">
        <v>397</v>
      </c>
      <c r="C93" s="5">
        <f t="shared" si="1"/>
        <v>2</v>
      </c>
      <c r="D93" s="1" t="s">
        <v>116</v>
      </c>
      <c r="E93" s="1" t="s">
        <v>2497</v>
      </c>
      <c r="F93" s="1" t="str">
        <f t="shared" si="2"/>
        <v>Green</v>
      </c>
      <c r="G93" s="5" t="s">
        <v>14</v>
      </c>
      <c r="H93" s="5" t="s">
        <v>949</v>
      </c>
      <c r="I93" s="5">
        <f t="shared" si="3"/>
        <v>158.1197</v>
      </c>
      <c r="J93" s="5" t="s">
        <v>951</v>
      </c>
      <c r="K93" s="5">
        <f t="shared" si="4"/>
        <v>8438.52704</v>
      </c>
      <c r="L93" s="5" t="s">
        <v>952</v>
      </c>
      <c r="M93" s="5">
        <f t="shared" si="5"/>
        <v>33.2051</v>
      </c>
      <c r="N93" s="6" t="s">
        <v>2787</v>
      </c>
      <c r="O93" s="5">
        <f t="shared" si="6"/>
        <v>11647</v>
      </c>
    </row>
    <row r="94">
      <c r="A94" s="6" t="s">
        <v>2488</v>
      </c>
      <c r="B94" s="6" t="s">
        <v>397</v>
      </c>
      <c r="C94" s="5">
        <f t="shared" si="1"/>
        <v>2</v>
      </c>
      <c r="D94" s="1" t="s">
        <v>116</v>
      </c>
      <c r="E94" s="1" t="s">
        <v>2497</v>
      </c>
      <c r="F94" s="1" t="str">
        <f t="shared" si="2"/>
        <v>Green</v>
      </c>
      <c r="G94" s="5" t="s">
        <v>17</v>
      </c>
      <c r="H94" s="5" t="s">
        <v>954</v>
      </c>
      <c r="I94" s="5">
        <f t="shared" si="3"/>
        <v>110.5001</v>
      </c>
      <c r="J94" s="5" t="s">
        <v>955</v>
      </c>
      <c r="K94" s="5">
        <f t="shared" si="4"/>
        <v>10562.12869</v>
      </c>
      <c r="L94" s="5" t="s">
        <v>956</v>
      </c>
      <c r="M94" s="5">
        <f t="shared" si="5"/>
        <v>38.6751</v>
      </c>
      <c r="N94" s="6" t="s">
        <v>2788</v>
      </c>
      <c r="O94" s="5">
        <f t="shared" si="6"/>
        <v>15152</v>
      </c>
    </row>
    <row r="95">
      <c r="A95" s="6" t="s">
        <v>2488</v>
      </c>
      <c r="B95" s="6" t="s">
        <v>397</v>
      </c>
      <c r="C95" s="5">
        <f t="shared" si="1"/>
        <v>2</v>
      </c>
      <c r="D95" s="1" t="s">
        <v>116</v>
      </c>
      <c r="E95" s="1" t="s">
        <v>2497</v>
      </c>
      <c r="F95" s="1" t="str">
        <f t="shared" si="2"/>
        <v>Green</v>
      </c>
      <c r="G95" s="5" t="s">
        <v>21</v>
      </c>
      <c r="H95" s="9" t="s">
        <v>2789</v>
      </c>
      <c r="I95" s="5">
        <f t="shared" si="3"/>
        <v>6.4026</v>
      </c>
      <c r="J95" s="5" t="s">
        <v>958</v>
      </c>
      <c r="K95" s="5">
        <f t="shared" si="4"/>
        <v>912.741207</v>
      </c>
      <c r="L95" s="9" t="s">
        <v>2790</v>
      </c>
      <c r="M95" s="5">
        <f t="shared" si="5"/>
        <v>3.2013</v>
      </c>
      <c r="N95" s="6" t="s">
        <v>2791</v>
      </c>
      <c r="O95" s="5">
        <f t="shared" si="6"/>
        <v>780</v>
      </c>
    </row>
    <row r="96">
      <c r="A96" s="6" t="s">
        <v>2488</v>
      </c>
      <c r="B96" s="6" t="s">
        <v>397</v>
      </c>
      <c r="C96" s="5">
        <f t="shared" si="1"/>
        <v>2</v>
      </c>
      <c r="D96" s="1" t="s">
        <v>116</v>
      </c>
      <c r="E96" s="1" t="s">
        <v>2497</v>
      </c>
      <c r="F96" s="1" t="str">
        <f t="shared" si="2"/>
        <v>Green</v>
      </c>
      <c r="G96" s="5" t="s">
        <v>25</v>
      </c>
      <c r="H96" s="5" t="s">
        <v>567</v>
      </c>
      <c r="I96" s="5">
        <f t="shared" si="3"/>
        <v>0.0408</v>
      </c>
      <c r="J96" s="5" t="s">
        <v>969</v>
      </c>
      <c r="K96" s="5">
        <f t="shared" si="4"/>
        <v>5.509437</v>
      </c>
      <c r="L96" s="5" t="s">
        <v>972</v>
      </c>
      <c r="M96" s="5">
        <f t="shared" si="5"/>
        <v>0.0306</v>
      </c>
      <c r="N96" s="6" t="s">
        <v>2792</v>
      </c>
      <c r="O96" s="5">
        <f t="shared" si="6"/>
        <v>30</v>
      </c>
    </row>
    <row r="97">
      <c r="A97" s="6" t="s">
        <v>2488</v>
      </c>
      <c r="B97" s="6" t="s">
        <v>397</v>
      </c>
      <c r="C97" s="5">
        <f t="shared" si="1"/>
        <v>2</v>
      </c>
      <c r="D97" s="1" t="s">
        <v>116</v>
      </c>
      <c r="E97" s="1" t="s">
        <v>29</v>
      </c>
      <c r="F97" s="1" t="str">
        <f t="shared" si="2"/>
        <v>Blue</v>
      </c>
      <c r="G97" s="5" t="s">
        <v>14</v>
      </c>
      <c r="H97" s="5" t="s">
        <v>974</v>
      </c>
      <c r="I97" s="5">
        <f t="shared" si="3"/>
        <v>0.0165</v>
      </c>
      <c r="J97" s="5" t="s">
        <v>975</v>
      </c>
      <c r="K97" s="5">
        <f t="shared" si="4"/>
        <v>2.359302</v>
      </c>
      <c r="L97" s="5" t="s">
        <v>315</v>
      </c>
      <c r="M97" s="5">
        <f t="shared" si="5"/>
        <v>0.0033</v>
      </c>
      <c r="N97" s="6" t="s">
        <v>2793</v>
      </c>
      <c r="O97" s="5">
        <f t="shared" si="6"/>
        <v>12</v>
      </c>
    </row>
    <row r="98">
      <c r="A98" s="6" t="s">
        <v>2488</v>
      </c>
      <c r="B98" s="6" t="s">
        <v>397</v>
      </c>
      <c r="C98" s="5">
        <f t="shared" si="1"/>
        <v>2</v>
      </c>
      <c r="D98" s="1" t="s">
        <v>116</v>
      </c>
      <c r="E98" s="1" t="s">
        <v>29</v>
      </c>
      <c r="F98" s="1" t="str">
        <f t="shared" si="2"/>
        <v>Blue</v>
      </c>
      <c r="G98" s="5" t="s">
        <v>21</v>
      </c>
      <c r="H98" s="5" t="s">
        <v>982</v>
      </c>
      <c r="I98" s="5">
        <f t="shared" si="3"/>
        <v>20.2505</v>
      </c>
      <c r="J98" s="5" t="s">
        <v>983</v>
      </c>
      <c r="K98" s="5">
        <f t="shared" si="4"/>
        <v>4419.943142</v>
      </c>
      <c r="L98" s="5" t="s">
        <v>987</v>
      </c>
      <c r="M98" s="5">
        <f t="shared" si="5"/>
        <v>8.1002</v>
      </c>
      <c r="N98" s="6" t="s">
        <v>2794</v>
      </c>
      <c r="O98" s="5">
        <f t="shared" si="6"/>
        <v>1675</v>
      </c>
    </row>
    <row r="99">
      <c r="A99" s="6" t="s">
        <v>2488</v>
      </c>
      <c r="B99" s="6" t="s">
        <v>397</v>
      </c>
      <c r="C99" s="5">
        <f t="shared" si="1"/>
        <v>2</v>
      </c>
      <c r="D99" s="1" t="s">
        <v>116</v>
      </c>
      <c r="E99" s="1" t="s">
        <v>45</v>
      </c>
      <c r="F99" s="1" t="str">
        <f t="shared" si="2"/>
        <v>Yellow</v>
      </c>
      <c r="G99" s="5" t="s">
        <v>17</v>
      </c>
      <c r="H99" s="5" t="s">
        <v>988</v>
      </c>
      <c r="I99" s="5">
        <f t="shared" si="3"/>
        <v>19.6373</v>
      </c>
      <c r="J99" s="5" t="s">
        <v>990</v>
      </c>
      <c r="K99" s="5">
        <f t="shared" si="4"/>
        <v>1418.480059</v>
      </c>
      <c r="L99" s="9" t="s">
        <v>1159</v>
      </c>
      <c r="M99" s="5">
        <f t="shared" si="5"/>
        <v>7.0695</v>
      </c>
      <c r="N99" s="6" t="s">
        <v>2861</v>
      </c>
      <c r="O99" s="5">
        <f t="shared" si="6"/>
        <v>2062</v>
      </c>
    </row>
    <row r="100">
      <c r="A100" s="6" t="s">
        <v>2488</v>
      </c>
      <c r="B100" s="6" t="s">
        <v>397</v>
      </c>
      <c r="C100" s="5">
        <f t="shared" si="1"/>
        <v>2</v>
      </c>
      <c r="D100" s="1" t="s">
        <v>116</v>
      </c>
      <c r="E100" s="1" t="s">
        <v>32</v>
      </c>
      <c r="F100" s="1" t="str">
        <f t="shared" si="2"/>
        <v>Black</v>
      </c>
      <c r="G100" s="5" t="s">
        <v>14</v>
      </c>
      <c r="H100" s="5" t="s">
        <v>1163</v>
      </c>
      <c r="I100" s="5">
        <f t="shared" si="3"/>
        <v>2.978</v>
      </c>
      <c r="J100" s="5" t="s">
        <v>1164</v>
      </c>
      <c r="K100" s="5">
        <f t="shared" si="4"/>
        <v>170.088854</v>
      </c>
      <c r="L100" s="5" t="s">
        <v>1166</v>
      </c>
      <c r="M100" s="5">
        <f t="shared" si="5"/>
        <v>0.6849</v>
      </c>
      <c r="N100" s="6" t="s">
        <v>2871</v>
      </c>
      <c r="O100" s="5">
        <f t="shared" si="6"/>
        <v>800</v>
      </c>
    </row>
    <row r="101">
      <c r="A101" s="6" t="s">
        <v>2488</v>
      </c>
      <c r="B101" s="6" t="s">
        <v>397</v>
      </c>
      <c r="C101" s="5">
        <f t="shared" si="1"/>
        <v>2</v>
      </c>
      <c r="D101" s="1" t="s">
        <v>116</v>
      </c>
      <c r="E101" s="1" t="s">
        <v>32</v>
      </c>
      <c r="F101" s="1" t="str">
        <f t="shared" si="2"/>
        <v>Black</v>
      </c>
      <c r="G101" s="5" t="s">
        <v>21</v>
      </c>
      <c r="H101" s="9" t="s">
        <v>2874</v>
      </c>
      <c r="I101" s="5">
        <f t="shared" si="3"/>
        <v>3.2412</v>
      </c>
      <c r="J101" s="5" t="s">
        <v>1169</v>
      </c>
      <c r="K101" s="5">
        <f t="shared" si="4"/>
        <v>503.776524</v>
      </c>
      <c r="L101" s="9" t="s">
        <v>2877</v>
      </c>
      <c r="M101" s="5">
        <f t="shared" si="5"/>
        <v>1.4585</v>
      </c>
      <c r="N101" s="6" t="s">
        <v>2878</v>
      </c>
      <c r="O101" s="5">
        <f t="shared" si="6"/>
        <v>2043</v>
      </c>
    </row>
    <row r="102">
      <c r="A102" s="6" t="s">
        <v>2488</v>
      </c>
      <c r="B102" s="6" t="s">
        <v>397</v>
      </c>
      <c r="C102" s="5">
        <f t="shared" si="1"/>
        <v>2</v>
      </c>
      <c r="D102" s="1" t="s">
        <v>116</v>
      </c>
      <c r="E102" s="1" t="s">
        <v>147</v>
      </c>
      <c r="F102" s="1" t="str">
        <f t="shared" si="2"/>
        <v>Deep</v>
      </c>
      <c r="G102" s="5" t="s">
        <v>39</v>
      </c>
      <c r="H102" s="5" t="s">
        <v>1171</v>
      </c>
      <c r="I102" s="5">
        <f t="shared" si="3"/>
        <v>1.541</v>
      </c>
      <c r="J102" s="5" t="s">
        <v>1173</v>
      </c>
      <c r="K102" s="5">
        <f t="shared" si="4"/>
        <v>407.293637</v>
      </c>
      <c r="L102" s="5" t="s">
        <v>1174</v>
      </c>
      <c r="M102" s="5">
        <f t="shared" si="5"/>
        <v>0.2928</v>
      </c>
      <c r="N102" s="6" t="s">
        <v>2886</v>
      </c>
      <c r="O102" s="5">
        <f t="shared" si="6"/>
        <v>101</v>
      </c>
    </row>
    <row r="103">
      <c r="A103" s="6" t="s">
        <v>2488</v>
      </c>
      <c r="B103" s="6" t="s">
        <v>397</v>
      </c>
      <c r="C103" s="5">
        <f t="shared" si="1"/>
        <v>2</v>
      </c>
      <c r="D103" s="1" t="s">
        <v>116</v>
      </c>
      <c r="E103" s="1" t="s">
        <v>147</v>
      </c>
      <c r="F103" s="1" t="str">
        <f t="shared" si="2"/>
        <v>Deep</v>
      </c>
      <c r="G103" s="5" t="s">
        <v>17</v>
      </c>
      <c r="H103" s="5" t="s">
        <v>1176</v>
      </c>
      <c r="I103" s="5">
        <f t="shared" si="3"/>
        <v>0.0206</v>
      </c>
      <c r="J103" s="5" t="s">
        <v>1178</v>
      </c>
      <c r="K103" s="5">
        <f t="shared" si="4"/>
        <v>6.792725</v>
      </c>
      <c r="L103" s="5" t="s">
        <v>1179</v>
      </c>
      <c r="M103" s="5">
        <f t="shared" si="5"/>
        <v>0.0073</v>
      </c>
      <c r="N103" s="6" t="s">
        <v>600</v>
      </c>
      <c r="O103" s="5">
        <f t="shared" si="6"/>
        <v>7</v>
      </c>
    </row>
    <row r="104">
      <c r="A104" s="6" t="s">
        <v>2488</v>
      </c>
      <c r="B104" s="6" t="s">
        <v>397</v>
      </c>
      <c r="C104" s="5">
        <f t="shared" si="1"/>
        <v>2</v>
      </c>
      <c r="D104" s="1" t="s">
        <v>116</v>
      </c>
      <c r="E104" s="1" t="s">
        <v>147</v>
      </c>
      <c r="F104" s="1" t="str">
        <f t="shared" si="2"/>
        <v>Deep</v>
      </c>
      <c r="G104" s="5" t="s">
        <v>21</v>
      </c>
      <c r="H104" s="5" t="s">
        <v>1182</v>
      </c>
      <c r="I104" s="5">
        <f t="shared" si="3"/>
        <v>0.0738</v>
      </c>
      <c r="J104" s="5" t="s">
        <v>1183</v>
      </c>
      <c r="K104" s="5">
        <f t="shared" si="4"/>
        <v>36.475166</v>
      </c>
      <c r="L104" s="5" t="s">
        <v>1185</v>
      </c>
      <c r="M104" s="5">
        <f t="shared" si="5"/>
        <v>0.0369</v>
      </c>
      <c r="N104" s="6" t="s">
        <v>2898</v>
      </c>
      <c r="O104" s="5">
        <f t="shared" si="6"/>
        <v>54</v>
      </c>
    </row>
    <row r="105">
      <c r="A105" s="6" t="s">
        <v>2488</v>
      </c>
      <c r="B105" s="6" t="s">
        <v>397</v>
      </c>
      <c r="C105" s="5">
        <f t="shared" si="1"/>
        <v>2</v>
      </c>
      <c r="D105" s="1" t="s">
        <v>116</v>
      </c>
      <c r="E105" s="1" t="s">
        <v>158</v>
      </c>
      <c r="F105" s="1" t="str">
        <f t="shared" si="2"/>
        <v>Dim</v>
      </c>
      <c r="G105" s="5" t="s">
        <v>39</v>
      </c>
      <c r="H105" s="5" t="s">
        <v>73</v>
      </c>
      <c r="I105" s="5">
        <f t="shared" si="3"/>
        <v>0.0013</v>
      </c>
      <c r="J105" s="5" t="s">
        <v>1188</v>
      </c>
      <c r="K105" s="5">
        <f t="shared" si="4"/>
        <v>0.660408</v>
      </c>
      <c r="L105" s="5" t="s">
        <v>333</v>
      </c>
      <c r="M105" s="5">
        <f t="shared" si="5"/>
        <v>0.0003</v>
      </c>
      <c r="N105" s="6" t="s">
        <v>291</v>
      </c>
      <c r="O105" s="5">
        <f t="shared" si="6"/>
        <v>0</v>
      </c>
    </row>
    <row r="106">
      <c r="A106" s="6" t="s">
        <v>2488</v>
      </c>
      <c r="B106" s="6" t="s">
        <v>397</v>
      </c>
      <c r="C106" s="5">
        <f t="shared" si="1"/>
        <v>2</v>
      </c>
      <c r="D106" s="1" t="s">
        <v>116</v>
      </c>
      <c r="E106" s="1" t="s">
        <v>158</v>
      </c>
      <c r="F106" s="1" t="str">
        <f t="shared" si="2"/>
        <v>Dim</v>
      </c>
      <c r="G106" s="5" t="s">
        <v>17</v>
      </c>
      <c r="H106" s="5" t="s">
        <v>1191</v>
      </c>
      <c r="I106" s="5">
        <f t="shared" si="3"/>
        <v>0.0551</v>
      </c>
      <c r="J106" s="5" t="s">
        <v>1192</v>
      </c>
      <c r="K106" s="5">
        <f t="shared" si="4"/>
        <v>25.322154</v>
      </c>
      <c r="L106" s="5" t="s">
        <v>1193</v>
      </c>
      <c r="M106" s="5">
        <f t="shared" si="5"/>
        <v>0.0193</v>
      </c>
      <c r="N106" s="6" t="s">
        <v>291</v>
      </c>
      <c r="O106" s="5">
        <f t="shared" si="6"/>
        <v>0</v>
      </c>
    </row>
    <row r="107">
      <c r="A107" s="6" t="s">
        <v>2488</v>
      </c>
      <c r="B107" s="6" t="s">
        <v>397</v>
      </c>
      <c r="C107" s="5">
        <f t="shared" si="1"/>
        <v>2</v>
      </c>
      <c r="D107" s="1" t="s">
        <v>116</v>
      </c>
      <c r="E107" s="1" t="s">
        <v>158</v>
      </c>
      <c r="F107" s="1" t="str">
        <f t="shared" si="2"/>
        <v>Dim</v>
      </c>
      <c r="G107" s="5" t="s">
        <v>21</v>
      </c>
      <c r="H107" s="5" t="s">
        <v>1196</v>
      </c>
      <c r="I107" s="5">
        <f t="shared" si="3"/>
        <v>0.4099</v>
      </c>
      <c r="J107" s="5" t="s">
        <v>1197</v>
      </c>
      <c r="K107" s="5">
        <f t="shared" si="4"/>
        <v>222.275641</v>
      </c>
      <c r="L107" s="5" t="s">
        <v>1199</v>
      </c>
      <c r="M107" s="5">
        <f t="shared" si="5"/>
        <v>0.1721</v>
      </c>
      <c r="N107" s="6" t="s">
        <v>291</v>
      </c>
      <c r="O107" s="5">
        <f t="shared" si="6"/>
        <v>0</v>
      </c>
    </row>
    <row r="108">
      <c r="A108" s="6" t="s">
        <v>2488</v>
      </c>
      <c r="B108" s="6" t="s">
        <v>397</v>
      </c>
      <c r="C108" s="5">
        <f t="shared" si="1"/>
        <v>2</v>
      </c>
      <c r="D108" s="1" t="s">
        <v>116</v>
      </c>
      <c r="E108" s="1" t="s">
        <v>165</v>
      </c>
      <c r="F108" s="1" t="str">
        <f t="shared" si="2"/>
        <v>Vivid</v>
      </c>
      <c r="G108" s="5" t="s">
        <v>39</v>
      </c>
      <c r="H108" s="5" t="s">
        <v>1202</v>
      </c>
      <c r="I108" s="5">
        <f t="shared" si="3"/>
        <v>0.2964</v>
      </c>
      <c r="J108" s="5" t="s">
        <v>1204</v>
      </c>
      <c r="K108" s="5">
        <f t="shared" si="4"/>
        <v>53.936471</v>
      </c>
      <c r="L108" s="5" t="s">
        <v>1205</v>
      </c>
      <c r="M108" s="5">
        <f t="shared" si="5"/>
        <v>0.0533</v>
      </c>
      <c r="N108" s="6" t="s">
        <v>277</v>
      </c>
      <c r="O108" s="5">
        <f t="shared" si="6"/>
        <v>78</v>
      </c>
    </row>
    <row r="109">
      <c r="A109" s="6" t="s">
        <v>2488</v>
      </c>
      <c r="B109" s="6" t="s">
        <v>397</v>
      </c>
      <c r="C109" s="5">
        <f t="shared" si="1"/>
        <v>2</v>
      </c>
      <c r="D109" s="1" t="s">
        <v>116</v>
      </c>
      <c r="E109" s="1" t="s">
        <v>165</v>
      </c>
      <c r="F109" s="1" t="str">
        <f t="shared" si="2"/>
        <v>Vivid</v>
      </c>
      <c r="G109" s="5" t="s">
        <v>17</v>
      </c>
      <c r="H109" s="5" t="s">
        <v>1208</v>
      </c>
      <c r="I109" s="5">
        <f t="shared" si="3"/>
        <v>0.8342</v>
      </c>
      <c r="J109" s="5" t="s">
        <v>1209</v>
      </c>
      <c r="K109" s="5">
        <f t="shared" si="4"/>
        <v>187.833551</v>
      </c>
      <c r="L109" s="5" t="s">
        <v>1210</v>
      </c>
      <c r="M109" s="5">
        <f t="shared" si="5"/>
        <v>0.292</v>
      </c>
      <c r="N109" s="6" t="s">
        <v>2584</v>
      </c>
      <c r="O109" s="5">
        <f t="shared" si="6"/>
        <v>88</v>
      </c>
    </row>
    <row r="110">
      <c r="A110" s="6" t="s">
        <v>2488</v>
      </c>
      <c r="B110" s="6" t="s">
        <v>397</v>
      </c>
      <c r="C110" s="5">
        <f t="shared" si="1"/>
        <v>2</v>
      </c>
      <c r="D110" s="1" t="s">
        <v>116</v>
      </c>
      <c r="E110" s="1" t="s">
        <v>42</v>
      </c>
      <c r="F110" s="1" t="str">
        <f t="shared" si="2"/>
        <v>Red</v>
      </c>
      <c r="G110" s="5" t="s">
        <v>17</v>
      </c>
      <c r="H110" s="5" t="s">
        <v>1212</v>
      </c>
      <c r="I110" s="5">
        <f t="shared" si="3"/>
        <v>1.403</v>
      </c>
      <c r="J110" s="5" t="s">
        <v>1213</v>
      </c>
      <c r="K110" s="5">
        <f t="shared" si="4"/>
        <v>229.581509</v>
      </c>
      <c r="L110" s="5" t="s">
        <v>1214</v>
      </c>
      <c r="M110" s="5">
        <f t="shared" si="5"/>
        <v>0.519</v>
      </c>
      <c r="N110" s="6" t="s">
        <v>2927</v>
      </c>
      <c r="O110" s="5">
        <f t="shared" si="6"/>
        <v>266</v>
      </c>
    </row>
    <row r="111">
      <c r="A111" s="6" t="s">
        <v>2488</v>
      </c>
      <c r="B111" s="6" t="s">
        <v>397</v>
      </c>
      <c r="C111" s="5">
        <f t="shared" si="1"/>
        <v>2</v>
      </c>
      <c r="D111" s="1" t="s">
        <v>116</v>
      </c>
      <c r="E111" s="1" t="s">
        <v>330</v>
      </c>
      <c r="F111" s="1" t="str">
        <f t="shared" si="2"/>
        <v>Moderate</v>
      </c>
      <c r="G111" s="5" t="s">
        <v>17</v>
      </c>
      <c r="H111" s="9" t="s">
        <v>1217</v>
      </c>
      <c r="I111" s="5">
        <f t="shared" si="3"/>
        <v>1.0795</v>
      </c>
      <c r="J111" s="5" t="s">
        <v>1218</v>
      </c>
      <c r="K111" s="5">
        <f t="shared" si="4"/>
        <v>201.002334</v>
      </c>
      <c r="L111" s="5" t="s">
        <v>1220</v>
      </c>
      <c r="M111" s="5">
        <f t="shared" si="5"/>
        <v>0.3777</v>
      </c>
      <c r="N111" s="6" t="s">
        <v>2932</v>
      </c>
      <c r="O111" s="5">
        <f t="shared" si="6"/>
        <v>117</v>
      </c>
    </row>
    <row r="112">
      <c r="A112" s="6" t="s">
        <v>2488</v>
      </c>
      <c r="B112" s="6" t="s">
        <v>397</v>
      </c>
      <c r="C112" s="5">
        <f t="shared" si="1"/>
        <v>2</v>
      </c>
      <c r="D112" s="1" t="s">
        <v>116</v>
      </c>
      <c r="E112" s="1" t="s">
        <v>102</v>
      </c>
      <c r="F112" s="1" t="str">
        <f t="shared" si="2"/>
        <v>Pale</v>
      </c>
      <c r="G112" s="5" t="s">
        <v>39</v>
      </c>
      <c r="H112" s="5" t="s">
        <v>73</v>
      </c>
      <c r="I112" s="5">
        <f t="shared" si="3"/>
        <v>0.0013</v>
      </c>
      <c r="J112" s="5" t="s">
        <v>1221</v>
      </c>
      <c r="K112" s="5">
        <f t="shared" si="4"/>
        <v>0.51301</v>
      </c>
      <c r="L112" s="5" t="s">
        <v>333</v>
      </c>
      <c r="M112" s="5">
        <f t="shared" si="5"/>
        <v>0.0003</v>
      </c>
      <c r="N112" s="6" t="s">
        <v>397</v>
      </c>
      <c r="O112" s="5">
        <f t="shared" si="6"/>
        <v>2</v>
      </c>
    </row>
    <row r="113">
      <c r="A113" s="6" t="s">
        <v>2488</v>
      </c>
      <c r="B113" s="6" t="s">
        <v>397</v>
      </c>
      <c r="C113" s="5">
        <f t="shared" si="1"/>
        <v>2</v>
      </c>
      <c r="D113" s="1" t="s">
        <v>116</v>
      </c>
      <c r="E113" s="1" t="s">
        <v>102</v>
      </c>
      <c r="F113" s="1" t="str">
        <f t="shared" si="2"/>
        <v>Pale</v>
      </c>
      <c r="G113" s="5" t="s">
        <v>21</v>
      </c>
      <c r="H113" s="5" t="s">
        <v>1225</v>
      </c>
      <c r="I113" s="5">
        <f t="shared" si="3"/>
        <v>0.5091</v>
      </c>
      <c r="J113" s="5" t="s">
        <v>1226</v>
      </c>
      <c r="K113" s="5">
        <f t="shared" si="4"/>
        <v>184.811387</v>
      </c>
      <c r="L113" s="5" t="s">
        <v>1229</v>
      </c>
      <c r="M113" s="5">
        <f t="shared" si="5"/>
        <v>0.2036</v>
      </c>
      <c r="N113" s="6" t="s">
        <v>2769</v>
      </c>
      <c r="O113" s="5">
        <f t="shared" si="6"/>
        <v>87</v>
      </c>
    </row>
    <row r="114">
      <c r="A114" s="6" t="s">
        <v>2488</v>
      </c>
      <c r="B114" s="6" t="s">
        <v>2677</v>
      </c>
      <c r="C114" s="5">
        <f t="shared" si="1"/>
        <v>3</v>
      </c>
      <c r="D114" s="1" t="s">
        <v>12</v>
      </c>
      <c r="E114" s="1" t="s">
        <v>2497</v>
      </c>
      <c r="F114" s="1" t="str">
        <f t="shared" si="2"/>
        <v>Green</v>
      </c>
      <c r="G114" s="5" t="s">
        <v>14</v>
      </c>
      <c r="H114" s="9" t="s">
        <v>2945</v>
      </c>
      <c r="I114" s="5">
        <f t="shared" si="3"/>
        <v>12.7284</v>
      </c>
      <c r="J114" s="5" t="s">
        <v>1232</v>
      </c>
      <c r="K114" s="5">
        <f t="shared" si="4"/>
        <v>883.86949</v>
      </c>
      <c r="L114" s="5" t="s">
        <v>1233</v>
      </c>
      <c r="M114" s="5">
        <f t="shared" si="5"/>
        <v>2.673</v>
      </c>
      <c r="N114" s="6" t="s">
        <v>2948</v>
      </c>
      <c r="O114" s="5">
        <f t="shared" si="6"/>
        <v>565</v>
      </c>
    </row>
    <row r="115">
      <c r="A115" s="6" t="s">
        <v>2488</v>
      </c>
      <c r="B115" s="6" t="s">
        <v>2677</v>
      </c>
      <c r="C115" s="5">
        <f t="shared" si="1"/>
        <v>3</v>
      </c>
      <c r="D115" s="1" t="s">
        <v>12</v>
      </c>
      <c r="E115" s="1" t="s">
        <v>2497</v>
      </c>
      <c r="F115" s="1" t="str">
        <f t="shared" si="2"/>
        <v>Green</v>
      </c>
      <c r="G115" s="5" t="s">
        <v>17</v>
      </c>
      <c r="H115" s="5" t="s">
        <v>1235</v>
      </c>
      <c r="I115" s="5">
        <f t="shared" si="3"/>
        <v>71.5553</v>
      </c>
      <c r="J115" s="5" t="s">
        <v>1236</v>
      </c>
      <c r="K115" s="5">
        <f t="shared" si="4"/>
        <v>6611.277901</v>
      </c>
      <c r="L115" s="5" t="s">
        <v>1237</v>
      </c>
      <c r="M115" s="5">
        <f t="shared" si="5"/>
        <v>25.0443</v>
      </c>
      <c r="N115" s="6" t="s">
        <v>2952</v>
      </c>
      <c r="O115" s="5">
        <f t="shared" si="6"/>
        <v>794</v>
      </c>
    </row>
    <row r="116">
      <c r="A116" s="6" t="s">
        <v>2488</v>
      </c>
      <c r="B116" s="6" t="s">
        <v>2677</v>
      </c>
      <c r="C116" s="5">
        <f t="shared" si="1"/>
        <v>3</v>
      </c>
      <c r="D116" s="1" t="s">
        <v>12</v>
      </c>
      <c r="E116" s="1" t="s">
        <v>2497</v>
      </c>
      <c r="F116" s="1" t="str">
        <f t="shared" si="2"/>
        <v>Green</v>
      </c>
      <c r="G116" s="5" t="s">
        <v>21</v>
      </c>
      <c r="H116" s="5" t="s">
        <v>1240</v>
      </c>
      <c r="I116" s="5">
        <f t="shared" si="3"/>
        <v>36.161</v>
      </c>
      <c r="J116" s="5" t="s">
        <v>1241</v>
      </c>
      <c r="K116" s="5">
        <f t="shared" si="4"/>
        <v>4368.40284</v>
      </c>
      <c r="L116" s="5" t="s">
        <v>1242</v>
      </c>
      <c r="M116" s="5">
        <f t="shared" si="5"/>
        <v>18.0803</v>
      </c>
      <c r="N116" s="6" t="s">
        <v>2956</v>
      </c>
      <c r="O116" s="5">
        <f t="shared" si="6"/>
        <v>580</v>
      </c>
    </row>
    <row r="117">
      <c r="A117" s="6" t="s">
        <v>2488</v>
      </c>
      <c r="B117" s="6" t="s">
        <v>2677</v>
      </c>
      <c r="C117" s="5">
        <f t="shared" si="1"/>
        <v>3</v>
      </c>
      <c r="D117" s="1" t="s">
        <v>12</v>
      </c>
      <c r="E117" s="1" t="s">
        <v>29</v>
      </c>
      <c r="F117" s="1" t="str">
        <f t="shared" si="2"/>
        <v>Blue</v>
      </c>
      <c r="G117" s="5" t="s">
        <v>14</v>
      </c>
      <c r="H117" s="5" t="s">
        <v>1244</v>
      </c>
      <c r="I117" s="5">
        <f t="shared" si="3"/>
        <v>0.0728</v>
      </c>
      <c r="J117" s="5" t="s">
        <v>1246</v>
      </c>
      <c r="K117" s="5">
        <f t="shared" si="4"/>
        <v>8.987191</v>
      </c>
      <c r="L117" s="5" t="s">
        <v>1247</v>
      </c>
      <c r="M117" s="5">
        <f t="shared" si="5"/>
        <v>0.0146</v>
      </c>
      <c r="N117" s="6" t="s">
        <v>2591</v>
      </c>
      <c r="O117" s="5">
        <f t="shared" si="6"/>
        <v>11</v>
      </c>
    </row>
    <row r="118">
      <c r="A118" s="6" t="s">
        <v>2488</v>
      </c>
      <c r="B118" s="6" t="s">
        <v>2677</v>
      </c>
      <c r="C118" s="5">
        <f t="shared" si="1"/>
        <v>3</v>
      </c>
      <c r="D118" s="1" t="s">
        <v>12</v>
      </c>
      <c r="E118" s="1" t="s">
        <v>29</v>
      </c>
      <c r="F118" s="1" t="str">
        <f t="shared" si="2"/>
        <v>Blue</v>
      </c>
      <c r="G118" s="5" t="s">
        <v>21</v>
      </c>
      <c r="H118" s="5" t="s">
        <v>1250</v>
      </c>
      <c r="I118" s="5">
        <f t="shared" si="3"/>
        <v>25.6654</v>
      </c>
      <c r="J118" s="5" t="s">
        <v>1251</v>
      </c>
      <c r="K118" s="5">
        <f t="shared" si="4"/>
        <v>5080.932744</v>
      </c>
      <c r="L118" s="9" t="s">
        <v>2963</v>
      </c>
      <c r="M118" s="5">
        <f t="shared" si="5"/>
        <v>10.2662</v>
      </c>
      <c r="N118" s="6" t="s">
        <v>2685</v>
      </c>
      <c r="O118" s="5">
        <f t="shared" si="6"/>
        <v>664</v>
      </c>
    </row>
    <row r="119">
      <c r="A119" s="6" t="s">
        <v>2488</v>
      </c>
      <c r="B119" s="6" t="s">
        <v>2677</v>
      </c>
      <c r="C119" s="5">
        <f t="shared" si="1"/>
        <v>3</v>
      </c>
      <c r="D119" s="1" t="s">
        <v>12</v>
      </c>
      <c r="E119" s="1" t="s">
        <v>38</v>
      </c>
      <c r="F119" s="1" t="str">
        <f t="shared" si="2"/>
        <v>White</v>
      </c>
      <c r="G119" s="5" t="s">
        <v>39</v>
      </c>
      <c r="H119" s="9" t="s">
        <v>2967</v>
      </c>
      <c r="I119" s="5">
        <f t="shared" si="3"/>
        <v>3.6165</v>
      </c>
      <c r="J119" s="5" t="s">
        <v>1255</v>
      </c>
      <c r="K119" s="5">
        <f t="shared" si="4"/>
        <v>381.379502</v>
      </c>
      <c r="L119" s="5" t="s">
        <v>1256</v>
      </c>
      <c r="M119" s="5">
        <f t="shared" si="5"/>
        <v>0.651</v>
      </c>
      <c r="N119" s="6" t="s">
        <v>2555</v>
      </c>
      <c r="O119" s="5">
        <f t="shared" si="6"/>
        <v>102</v>
      </c>
    </row>
    <row r="120">
      <c r="A120" s="6" t="s">
        <v>2488</v>
      </c>
      <c r="B120" s="6" t="s">
        <v>2677</v>
      </c>
      <c r="C120" s="5">
        <f t="shared" si="1"/>
        <v>3</v>
      </c>
      <c r="D120" s="1" t="s">
        <v>12</v>
      </c>
      <c r="E120" s="1" t="s">
        <v>45</v>
      </c>
      <c r="F120" s="1" t="str">
        <f t="shared" si="2"/>
        <v>Yellow</v>
      </c>
      <c r="G120" s="5" t="s">
        <v>17</v>
      </c>
      <c r="H120" s="9" t="s">
        <v>3017</v>
      </c>
      <c r="I120" s="5">
        <f t="shared" si="3"/>
        <v>4.7589</v>
      </c>
      <c r="J120" s="5" t="s">
        <v>1258</v>
      </c>
      <c r="K120" s="5">
        <f t="shared" si="4"/>
        <v>326.445788</v>
      </c>
      <c r="L120" s="9" t="s">
        <v>3020</v>
      </c>
      <c r="M120" s="5">
        <f t="shared" si="5"/>
        <v>1.7132</v>
      </c>
      <c r="N120" s="6" t="s">
        <v>3022</v>
      </c>
      <c r="O120" s="5">
        <f t="shared" si="6"/>
        <v>236</v>
      </c>
    </row>
    <row r="121">
      <c r="A121" s="6" t="s">
        <v>2488</v>
      </c>
      <c r="B121" s="6" t="s">
        <v>2677</v>
      </c>
      <c r="C121" s="5">
        <f t="shared" si="1"/>
        <v>3</v>
      </c>
      <c r="D121" s="1" t="s">
        <v>12</v>
      </c>
      <c r="E121" s="1" t="s">
        <v>32</v>
      </c>
      <c r="F121" s="1" t="str">
        <f t="shared" si="2"/>
        <v>Black</v>
      </c>
      <c r="G121" s="5" t="s">
        <v>14</v>
      </c>
      <c r="H121" s="9" t="s">
        <v>3026</v>
      </c>
      <c r="I121" s="5">
        <f t="shared" si="3"/>
        <v>2.5793</v>
      </c>
      <c r="J121" s="5" t="s">
        <v>1262</v>
      </c>
      <c r="K121" s="5">
        <f t="shared" si="4"/>
        <v>194.223798</v>
      </c>
      <c r="L121" s="5" t="s">
        <v>1264</v>
      </c>
      <c r="M121" s="5">
        <f t="shared" si="5"/>
        <v>0.5932</v>
      </c>
      <c r="N121" s="6" t="s">
        <v>3028</v>
      </c>
      <c r="O121" s="5">
        <f t="shared" si="6"/>
        <v>310</v>
      </c>
    </row>
    <row r="122">
      <c r="A122" s="6" t="s">
        <v>2488</v>
      </c>
      <c r="B122" s="6" t="s">
        <v>2677</v>
      </c>
      <c r="C122" s="5">
        <f t="shared" si="1"/>
        <v>3</v>
      </c>
      <c r="D122" s="1" t="s">
        <v>12</v>
      </c>
      <c r="E122" s="1" t="s">
        <v>32</v>
      </c>
      <c r="F122" s="1" t="str">
        <f t="shared" si="2"/>
        <v>Black</v>
      </c>
      <c r="G122" s="5" t="s">
        <v>21</v>
      </c>
      <c r="H122" s="5" t="s">
        <v>1267</v>
      </c>
      <c r="I122" s="5">
        <f t="shared" si="3"/>
        <v>0.4134</v>
      </c>
      <c r="J122" s="5" t="s">
        <v>1268</v>
      </c>
      <c r="K122" s="5">
        <f t="shared" si="4"/>
        <v>59.907001</v>
      </c>
      <c r="L122" s="5" t="s">
        <v>1269</v>
      </c>
      <c r="M122" s="5">
        <f t="shared" si="5"/>
        <v>0.186</v>
      </c>
      <c r="N122" s="6" t="s">
        <v>3169</v>
      </c>
      <c r="O122" s="5">
        <f t="shared" si="6"/>
        <v>148</v>
      </c>
    </row>
    <row r="123">
      <c r="A123" s="6" t="s">
        <v>2488</v>
      </c>
      <c r="B123" s="6" t="s">
        <v>2677</v>
      </c>
      <c r="C123" s="5">
        <f t="shared" si="1"/>
        <v>3</v>
      </c>
      <c r="D123" s="1" t="s">
        <v>12</v>
      </c>
      <c r="E123" s="1" t="s">
        <v>48</v>
      </c>
      <c r="F123" s="1" t="str">
        <f t="shared" si="2"/>
        <v>Orange</v>
      </c>
      <c r="G123" s="5" t="s">
        <v>49</v>
      </c>
      <c r="H123" s="5" t="s">
        <v>1272</v>
      </c>
      <c r="I123" s="5">
        <f t="shared" si="3"/>
        <v>0.0082</v>
      </c>
      <c r="J123" s="5" t="s">
        <v>1273</v>
      </c>
      <c r="K123" s="5">
        <f t="shared" si="4"/>
        <v>2.719411</v>
      </c>
      <c r="L123" s="5" t="s">
        <v>880</v>
      </c>
      <c r="M123" s="5">
        <f t="shared" si="5"/>
        <v>0.0023</v>
      </c>
      <c r="N123" s="6" t="s">
        <v>2677</v>
      </c>
      <c r="O123" s="5">
        <f t="shared" si="6"/>
        <v>3</v>
      </c>
    </row>
    <row r="124">
      <c r="A124" s="6" t="s">
        <v>2488</v>
      </c>
      <c r="B124" s="6" t="s">
        <v>2677</v>
      </c>
      <c r="C124" s="5">
        <f t="shared" si="1"/>
        <v>3</v>
      </c>
      <c r="D124" s="1" t="s">
        <v>12</v>
      </c>
      <c r="E124" s="1" t="s">
        <v>48</v>
      </c>
      <c r="F124" s="1" t="str">
        <f t="shared" si="2"/>
        <v>Orange</v>
      </c>
      <c r="G124" s="5" t="s">
        <v>21</v>
      </c>
      <c r="H124" s="9" t="s">
        <v>1277</v>
      </c>
      <c r="I124" s="5">
        <f t="shared" si="3"/>
        <v>1.0868</v>
      </c>
      <c r="J124" s="5" t="s">
        <v>1278</v>
      </c>
      <c r="K124" s="5">
        <f t="shared" si="4"/>
        <v>140.99037</v>
      </c>
      <c r="L124" s="5" t="s">
        <v>1280</v>
      </c>
      <c r="M124" s="5">
        <f t="shared" si="5"/>
        <v>0.4347</v>
      </c>
      <c r="N124" s="6" t="s">
        <v>3179</v>
      </c>
      <c r="O124" s="5">
        <f t="shared" si="6"/>
        <v>123</v>
      </c>
    </row>
    <row r="125">
      <c r="A125" s="6" t="s">
        <v>2488</v>
      </c>
      <c r="B125" s="6" t="s">
        <v>2677</v>
      </c>
      <c r="C125" s="5">
        <f t="shared" si="1"/>
        <v>3</v>
      </c>
      <c r="D125" s="1" t="s">
        <v>12</v>
      </c>
      <c r="E125" s="1" t="s">
        <v>42</v>
      </c>
      <c r="F125" s="1" t="str">
        <f t="shared" si="2"/>
        <v>Red</v>
      </c>
      <c r="G125" s="5" t="s">
        <v>17</v>
      </c>
      <c r="H125" s="5" t="s">
        <v>1283</v>
      </c>
      <c r="I125" s="5">
        <f t="shared" si="3"/>
        <v>0.7852</v>
      </c>
      <c r="J125" s="5" t="s">
        <v>1284</v>
      </c>
      <c r="K125" s="5">
        <f t="shared" si="4"/>
        <v>112.194176</v>
      </c>
      <c r="L125" s="5" t="s">
        <v>1286</v>
      </c>
      <c r="M125" s="5">
        <f t="shared" si="5"/>
        <v>0.2905</v>
      </c>
      <c r="N125" s="6" t="s">
        <v>3184</v>
      </c>
      <c r="O125" s="5">
        <f t="shared" si="6"/>
        <v>73</v>
      </c>
    </row>
    <row r="126">
      <c r="A126" s="6" t="s">
        <v>2488</v>
      </c>
      <c r="B126" s="6" t="s">
        <v>2677</v>
      </c>
      <c r="C126" s="5">
        <f t="shared" si="1"/>
        <v>3</v>
      </c>
      <c r="D126" s="1" t="s">
        <v>12</v>
      </c>
      <c r="E126" s="1" t="s">
        <v>60</v>
      </c>
      <c r="F126" s="1" t="str">
        <f t="shared" si="2"/>
        <v>Pink</v>
      </c>
      <c r="G126" s="5" t="s">
        <v>39</v>
      </c>
      <c r="H126" s="5" t="s">
        <v>1289</v>
      </c>
      <c r="I126" s="5">
        <f t="shared" si="3"/>
        <v>0.2595</v>
      </c>
      <c r="J126" s="5" t="s">
        <v>1290</v>
      </c>
      <c r="K126" s="5">
        <f t="shared" si="4"/>
        <v>45.09343</v>
      </c>
      <c r="L126" s="5" t="s">
        <v>1292</v>
      </c>
      <c r="M126" s="5">
        <f t="shared" si="5"/>
        <v>0.0493</v>
      </c>
      <c r="N126" s="6" t="s">
        <v>2769</v>
      </c>
      <c r="O126" s="5">
        <f t="shared" si="6"/>
        <v>87</v>
      </c>
    </row>
    <row r="127">
      <c r="A127" s="6" t="s">
        <v>2488</v>
      </c>
      <c r="B127" s="6" t="s">
        <v>2677</v>
      </c>
      <c r="C127" s="5">
        <f t="shared" si="1"/>
        <v>3</v>
      </c>
      <c r="D127" s="1" t="s">
        <v>12</v>
      </c>
      <c r="E127" s="1" t="s">
        <v>60</v>
      </c>
      <c r="F127" s="1" t="str">
        <f t="shared" si="2"/>
        <v>Pink</v>
      </c>
      <c r="G127" s="5" t="s">
        <v>17</v>
      </c>
      <c r="H127" s="5" t="s">
        <v>414</v>
      </c>
      <c r="I127" s="5">
        <f t="shared" si="3"/>
        <v>0.0007</v>
      </c>
      <c r="J127" s="5" t="s">
        <v>1294</v>
      </c>
      <c r="K127" s="5">
        <f t="shared" si="4"/>
        <v>0.069555</v>
      </c>
      <c r="L127" s="5" t="s">
        <v>333</v>
      </c>
      <c r="M127" s="5">
        <f t="shared" si="5"/>
        <v>0.0003</v>
      </c>
      <c r="N127" s="6" t="s">
        <v>397</v>
      </c>
      <c r="O127" s="5">
        <f t="shared" si="6"/>
        <v>2</v>
      </c>
    </row>
    <row r="128">
      <c r="A128" s="6" t="s">
        <v>2488</v>
      </c>
      <c r="B128" s="6" t="s">
        <v>2677</v>
      </c>
      <c r="C128" s="5">
        <f t="shared" si="1"/>
        <v>3</v>
      </c>
      <c r="D128" s="1" t="s">
        <v>12</v>
      </c>
      <c r="E128" s="1" t="s">
        <v>848</v>
      </c>
      <c r="F128" s="1" t="str">
        <f t="shared" si="2"/>
        <v>Lime</v>
      </c>
      <c r="G128" s="5" t="s">
        <v>21</v>
      </c>
      <c r="H128" s="5" t="s">
        <v>1297</v>
      </c>
      <c r="I128" s="5">
        <f t="shared" si="3"/>
        <v>0.2084</v>
      </c>
      <c r="J128" s="5" t="s">
        <v>1298</v>
      </c>
      <c r="K128" s="5">
        <f t="shared" si="4"/>
        <v>42.177223</v>
      </c>
      <c r="L128" s="5" t="s">
        <v>1301</v>
      </c>
      <c r="M128" s="5">
        <f t="shared" si="5"/>
        <v>0.0833</v>
      </c>
      <c r="N128" s="6" t="s">
        <v>3203</v>
      </c>
      <c r="O128" s="5">
        <f t="shared" si="6"/>
        <v>56</v>
      </c>
    </row>
    <row r="129">
      <c r="A129" s="6" t="s">
        <v>2488</v>
      </c>
      <c r="B129" s="6" t="s">
        <v>2677</v>
      </c>
      <c r="C129" s="5">
        <f t="shared" si="1"/>
        <v>3</v>
      </c>
      <c r="D129" s="1" t="s">
        <v>12</v>
      </c>
      <c r="E129" s="1" t="s">
        <v>64</v>
      </c>
      <c r="F129" s="1" t="str">
        <f t="shared" si="2"/>
        <v>Brown</v>
      </c>
      <c r="G129" s="5" t="s">
        <v>39</v>
      </c>
      <c r="H129" s="5" t="s">
        <v>1303</v>
      </c>
      <c r="I129" s="5">
        <f t="shared" si="3"/>
        <v>0.3992</v>
      </c>
      <c r="J129" s="5" t="s">
        <v>1304</v>
      </c>
      <c r="K129" s="5">
        <f t="shared" si="4"/>
        <v>38.224321</v>
      </c>
      <c r="L129" s="5" t="s">
        <v>1307</v>
      </c>
      <c r="M129" s="5">
        <f t="shared" si="5"/>
        <v>0.0719</v>
      </c>
      <c r="N129" s="6" t="s">
        <v>3209</v>
      </c>
      <c r="O129" s="5">
        <f t="shared" si="6"/>
        <v>91</v>
      </c>
    </row>
    <row r="130">
      <c r="A130" s="6" t="s">
        <v>2488</v>
      </c>
      <c r="B130" s="6" t="s">
        <v>2677</v>
      </c>
      <c r="C130" s="5">
        <f t="shared" si="1"/>
        <v>3</v>
      </c>
      <c r="D130" s="1" t="s">
        <v>12</v>
      </c>
      <c r="E130" s="1" t="s">
        <v>64</v>
      </c>
      <c r="F130" s="1" t="str">
        <f t="shared" si="2"/>
        <v>Brown</v>
      </c>
      <c r="G130" s="5" t="s">
        <v>21</v>
      </c>
      <c r="H130" s="5" t="s">
        <v>152</v>
      </c>
      <c r="I130" s="5">
        <f t="shared" si="3"/>
        <v>0.011</v>
      </c>
      <c r="J130" s="5" t="s">
        <v>1309</v>
      </c>
      <c r="K130" s="5">
        <f t="shared" si="4"/>
        <v>1.612696</v>
      </c>
      <c r="L130" s="5" t="s">
        <v>878</v>
      </c>
      <c r="M130" s="5">
        <f t="shared" si="5"/>
        <v>0.0044</v>
      </c>
      <c r="N130" s="6" t="s">
        <v>2521</v>
      </c>
      <c r="O130" s="5">
        <f t="shared" si="6"/>
        <v>6</v>
      </c>
    </row>
    <row r="131">
      <c r="A131" s="6" t="s">
        <v>2488</v>
      </c>
      <c r="B131" s="6" t="s">
        <v>2677</v>
      </c>
      <c r="C131" s="5">
        <f t="shared" si="1"/>
        <v>3</v>
      </c>
      <c r="D131" s="1" t="s">
        <v>68</v>
      </c>
      <c r="E131" s="1" t="s">
        <v>2497</v>
      </c>
      <c r="F131" s="1" t="str">
        <f t="shared" si="2"/>
        <v>Green</v>
      </c>
      <c r="G131" s="5" t="s">
        <v>14</v>
      </c>
      <c r="H131" s="5" t="s">
        <v>1313</v>
      </c>
      <c r="I131" s="5">
        <f t="shared" si="3"/>
        <v>58.9925</v>
      </c>
      <c r="J131" s="5" t="s">
        <v>1314</v>
      </c>
      <c r="K131" s="5">
        <f t="shared" si="4"/>
        <v>3420.009855</v>
      </c>
      <c r="L131" s="9" t="s">
        <v>3244</v>
      </c>
      <c r="M131" s="5">
        <f t="shared" si="5"/>
        <v>12.3884</v>
      </c>
      <c r="N131" s="6" t="s">
        <v>3246</v>
      </c>
      <c r="O131" s="5">
        <f t="shared" si="6"/>
        <v>7304</v>
      </c>
    </row>
    <row r="132">
      <c r="A132" s="6" t="s">
        <v>2488</v>
      </c>
      <c r="B132" s="6" t="s">
        <v>2677</v>
      </c>
      <c r="C132" s="5">
        <f t="shared" si="1"/>
        <v>3</v>
      </c>
      <c r="D132" s="1" t="s">
        <v>68</v>
      </c>
      <c r="E132" s="1" t="s">
        <v>2497</v>
      </c>
      <c r="F132" s="1" t="str">
        <f t="shared" si="2"/>
        <v>Green</v>
      </c>
      <c r="G132" s="5" t="s">
        <v>17</v>
      </c>
      <c r="H132" s="5" t="s">
        <v>1318</v>
      </c>
      <c r="I132" s="5">
        <f t="shared" si="3"/>
        <v>55.1167</v>
      </c>
      <c r="J132" s="5" t="s">
        <v>1319</v>
      </c>
      <c r="K132" s="5">
        <f t="shared" si="4"/>
        <v>5533.045968</v>
      </c>
      <c r="L132" s="5" t="s">
        <v>1321</v>
      </c>
      <c r="M132" s="5">
        <f t="shared" si="5"/>
        <v>19.2909</v>
      </c>
      <c r="N132" s="6" t="s">
        <v>3252</v>
      </c>
      <c r="O132" s="5">
        <f t="shared" si="6"/>
        <v>8857</v>
      </c>
    </row>
    <row r="133">
      <c r="A133" s="6" t="s">
        <v>2488</v>
      </c>
      <c r="B133" s="6" t="s">
        <v>2677</v>
      </c>
      <c r="C133" s="5">
        <f t="shared" si="1"/>
        <v>3</v>
      </c>
      <c r="D133" s="1" t="s">
        <v>68</v>
      </c>
      <c r="E133" s="1" t="s">
        <v>2497</v>
      </c>
      <c r="F133" s="1" t="str">
        <f t="shared" si="2"/>
        <v>Green</v>
      </c>
      <c r="G133" s="5" t="s">
        <v>21</v>
      </c>
      <c r="H133" s="9" t="s">
        <v>1323</v>
      </c>
      <c r="I133" s="5">
        <f t="shared" si="3"/>
        <v>5.0973</v>
      </c>
      <c r="J133" s="5" t="s">
        <v>1324</v>
      </c>
      <c r="K133" s="5">
        <f t="shared" si="4"/>
        <v>751.429353</v>
      </c>
      <c r="L133" s="9" t="s">
        <v>3257</v>
      </c>
      <c r="M133" s="5">
        <f t="shared" si="5"/>
        <v>2.5487</v>
      </c>
      <c r="N133" s="6" t="s">
        <v>3258</v>
      </c>
      <c r="O133" s="5">
        <f t="shared" si="6"/>
        <v>568</v>
      </c>
    </row>
    <row r="134">
      <c r="A134" s="6" t="s">
        <v>2488</v>
      </c>
      <c r="B134" s="6" t="s">
        <v>2677</v>
      </c>
      <c r="C134" s="5">
        <f t="shared" si="1"/>
        <v>3</v>
      </c>
      <c r="D134" s="1" t="s">
        <v>68</v>
      </c>
      <c r="E134" s="1" t="s">
        <v>2497</v>
      </c>
      <c r="F134" s="1" t="str">
        <f t="shared" si="2"/>
        <v>Green</v>
      </c>
      <c r="G134" s="5" t="s">
        <v>25</v>
      </c>
      <c r="H134" s="5" t="s">
        <v>1327</v>
      </c>
      <c r="I134" s="5">
        <f t="shared" si="3"/>
        <v>0.3926</v>
      </c>
      <c r="J134" s="5" t="s">
        <v>1328</v>
      </c>
      <c r="K134" s="5">
        <f t="shared" si="4"/>
        <v>67.253647</v>
      </c>
      <c r="L134" s="5" t="s">
        <v>1329</v>
      </c>
      <c r="M134" s="5">
        <f t="shared" si="5"/>
        <v>0.2945</v>
      </c>
      <c r="N134" s="6" t="s">
        <v>3267</v>
      </c>
      <c r="O134" s="5">
        <f t="shared" si="6"/>
        <v>203</v>
      </c>
    </row>
    <row r="135">
      <c r="A135" s="6" t="s">
        <v>2488</v>
      </c>
      <c r="B135" s="6" t="s">
        <v>2677</v>
      </c>
      <c r="C135" s="5">
        <f t="shared" si="1"/>
        <v>3</v>
      </c>
      <c r="D135" s="1" t="s">
        <v>68</v>
      </c>
      <c r="E135" s="1" t="s">
        <v>29</v>
      </c>
      <c r="F135" s="1" t="str">
        <f t="shared" si="2"/>
        <v>Blue</v>
      </c>
      <c r="G135" s="5" t="s">
        <v>14</v>
      </c>
      <c r="H135" s="5" t="s">
        <v>1331</v>
      </c>
      <c r="I135" s="5">
        <f t="shared" si="3"/>
        <v>0.004</v>
      </c>
      <c r="J135" s="5" t="s">
        <v>1332</v>
      </c>
      <c r="K135" s="5">
        <f t="shared" si="4"/>
        <v>0.587074</v>
      </c>
      <c r="L135" s="5" t="s">
        <v>429</v>
      </c>
      <c r="M135" s="5">
        <f t="shared" si="5"/>
        <v>0.0008</v>
      </c>
      <c r="N135" s="6" t="s">
        <v>186</v>
      </c>
      <c r="O135" s="5">
        <f t="shared" si="6"/>
        <v>1</v>
      </c>
    </row>
    <row r="136">
      <c r="A136" s="6" t="s">
        <v>2488</v>
      </c>
      <c r="B136" s="6" t="s">
        <v>2677</v>
      </c>
      <c r="C136" s="5">
        <f t="shared" si="1"/>
        <v>3</v>
      </c>
      <c r="D136" s="1" t="s">
        <v>68</v>
      </c>
      <c r="E136" s="1" t="s">
        <v>29</v>
      </c>
      <c r="F136" s="1" t="str">
        <f t="shared" si="2"/>
        <v>Blue</v>
      </c>
      <c r="G136" s="5" t="s">
        <v>21</v>
      </c>
      <c r="H136" s="5" t="s">
        <v>1334</v>
      </c>
      <c r="I136" s="5">
        <f t="shared" si="3"/>
        <v>5.984</v>
      </c>
      <c r="J136" s="5" t="s">
        <v>1335</v>
      </c>
      <c r="K136" s="5">
        <f t="shared" si="4"/>
        <v>1257.186042</v>
      </c>
      <c r="L136" s="9" t="s">
        <v>3278</v>
      </c>
      <c r="M136" s="5">
        <f t="shared" si="5"/>
        <v>2.3936</v>
      </c>
      <c r="N136" s="6" t="s">
        <v>3279</v>
      </c>
      <c r="O136" s="5">
        <f t="shared" si="6"/>
        <v>874</v>
      </c>
    </row>
    <row r="137">
      <c r="A137" s="6" t="s">
        <v>2488</v>
      </c>
      <c r="B137" s="6" t="s">
        <v>2677</v>
      </c>
      <c r="C137" s="5">
        <f t="shared" si="1"/>
        <v>3</v>
      </c>
      <c r="D137" s="1" t="s">
        <v>68</v>
      </c>
      <c r="E137" s="1" t="s">
        <v>45</v>
      </c>
      <c r="F137" s="1" t="str">
        <f t="shared" si="2"/>
        <v>Yellow</v>
      </c>
      <c r="G137" s="5" t="s">
        <v>17</v>
      </c>
      <c r="H137" s="5" t="s">
        <v>1339</v>
      </c>
      <c r="I137" s="5">
        <f t="shared" si="3"/>
        <v>16.7714</v>
      </c>
      <c r="J137" s="5" t="s">
        <v>1340</v>
      </c>
      <c r="K137" s="5">
        <f t="shared" si="4"/>
        <v>957.650107</v>
      </c>
      <c r="L137" s="9" t="s">
        <v>1342</v>
      </c>
      <c r="M137" s="5">
        <f t="shared" si="5"/>
        <v>6.0377</v>
      </c>
      <c r="N137" s="6" t="s">
        <v>3289</v>
      </c>
      <c r="O137" s="5">
        <f t="shared" si="6"/>
        <v>1817</v>
      </c>
    </row>
    <row r="138">
      <c r="A138" s="6" t="s">
        <v>2488</v>
      </c>
      <c r="B138" s="6" t="s">
        <v>2677</v>
      </c>
      <c r="C138" s="5">
        <f t="shared" si="1"/>
        <v>3</v>
      </c>
      <c r="D138" s="1" t="s">
        <v>68</v>
      </c>
      <c r="E138" s="1" t="s">
        <v>32</v>
      </c>
      <c r="F138" s="1" t="str">
        <f t="shared" si="2"/>
        <v>Black</v>
      </c>
      <c r="G138" s="5" t="s">
        <v>14</v>
      </c>
      <c r="H138" s="9" t="s">
        <v>3294</v>
      </c>
      <c r="I138" s="5">
        <f t="shared" si="3"/>
        <v>6.6417</v>
      </c>
      <c r="J138" s="5" t="s">
        <v>1344</v>
      </c>
      <c r="K138" s="5">
        <f t="shared" si="4"/>
        <v>461.544797</v>
      </c>
      <c r="L138" s="9" t="s">
        <v>3296</v>
      </c>
      <c r="M138" s="5">
        <f t="shared" si="5"/>
        <v>1.5276</v>
      </c>
      <c r="N138" s="6" t="s">
        <v>3298</v>
      </c>
      <c r="O138" s="5">
        <f t="shared" si="6"/>
        <v>2390</v>
      </c>
    </row>
    <row r="139">
      <c r="A139" s="6" t="s">
        <v>2488</v>
      </c>
      <c r="B139" s="6" t="s">
        <v>2677</v>
      </c>
      <c r="C139" s="5">
        <f t="shared" si="1"/>
        <v>3</v>
      </c>
      <c r="D139" s="1" t="s">
        <v>68</v>
      </c>
      <c r="E139" s="1" t="s">
        <v>32</v>
      </c>
      <c r="F139" s="1" t="str">
        <f t="shared" si="2"/>
        <v>Black</v>
      </c>
      <c r="G139" s="5" t="s">
        <v>21</v>
      </c>
      <c r="H139" s="5" t="s">
        <v>1346</v>
      </c>
      <c r="I139" s="5">
        <f t="shared" si="3"/>
        <v>0.5295</v>
      </c>
      <c r="J139" s="5" t="s">
        <v>1347</v>
      </c>
      <c r="K139" s="5">
        <f t="shared" si="4"/>
        <v>85.414349</v>
      </c>
      <c r="L139" s="5" t="s">
        <v>1349</v>
      </c>
      <c r="M139" s="5">
        <f t="shared" si="5"/>
        <v>0.2383</v>
      </c>
      <c r="N139" s="6" t="s">
        <v>3306</v>
      </c>
      <c r="O139" s="5">
        <f t="shared" si="6"/>
        <v>446</v>
      </c>
    </row>
    <row r="140">
      <c r="A140" s="6" t="s">
        <v>2488</v>
      </c>
      <c r="B140" s="6" t="s">
        <v>2677</v>
      </c>
      <c r="C140" s="5">
        <f t="shared" si="1"/>
        <v>3</v>
      </c>
      <c r="D140" s="1" t="s">
        <v>68</v>
      </c>
      <c r="E140" s="1" t="s">
        <v>42</v>
      </c>
      <c r="F140" s="1" t="str">
        <f t="shared" si="2"/>
        <v>Red</v>
      </c>
      <c r="G140" s="5" t="s">
        <v>17</v>
      </c>
      <c r="H140" s="9" t="s">
        <v>3310</v>
      </c>
      <c r="I140" s="5">
        <f t="shared" si="3"/>
        <v>1.2914</v>
      </c>
      <c r="J140" s="5" t="s">
        <v>1352</v>
      </c>
      <c r="K140" s="5">
        <f t="shared" si="4"/>
        <v>193.421163</v>
      </c>
      <c r="L140" s="5" t="s">
        <v>1354</v>
      </c>
      <c r="M140" s="5">
        <f t="shared" si="5"/>
        <v>0.4778</v>
      </c>
      <c r="N140" s="6" t="s">
        <v>3313</v>
      </c>
      <c r="O140" s="5">
        <f t="shared" si="6"/>
        <v>475</v>
      </c>
    </row>
    <row r="141">
      <c r="A141" s="6" t="s">
        <v>2488</v>
      </c>
      <c r="B141" s="6" t="s">
        <v>2677</v>
      </c>
      <c r="C141" s="5">
        <f t="shared" si="1"/>
        <v>3</v>
      </c>
      <c r="D141" s="1" t="s">
        <v>68</v>
      </c>
      <c r="E141" s="1" t="s">
        <v>38</v>
      </c>
      <c r="F141" s="1" t="str">
        <f t="shared" si="2"/>
        <v>White</v>
      </c>
      <c r="G141" s="5" t="s">
        <v>39</v>
      </c>
      <c r="H141" s="9" t="s">
        <v>3317</v>
      </c>
      <c r="I141" s="5">
        <f t="shared" si="3"/>
        <v>1.7221</v>
      </c>
      <c r="J141" s="5" t="s">
        <v>1358</v>
      </c>
      <c r="K141" s="5">
        <f t="shared" si="4"/>
        <v>162.790081</v>
      </c>
      <c r="L141" s="5" t="s">
        <v>1359</v>
      </c>
      <c r="M141" s="5">
        <f t="shared" si="5"/>
        <v>0.31</v>
      </c>
      <c r="N141" s="6" t="s">
        <v>3321</v>
      </c>
      <c r="O141" s="5">
        <f t="shared" si="6"/>
        <v>232</v>
      </c>
    </row>
    <row r="142">
      <c r="A142" s="6" t="s">
        <v>2488</v>
      </c>
      <c r="B142" s="6" t="s">
        <v>2677</v>
      </c>
      <c r="C142" s="5">
        <f t="shared" si="1"/>
        <v>3</v>
      </c>
      <c r="D142" s="1" t="s">
        <v>68</v>
      </c>
      <c r="E142" s="1" t="s">
        <v>544</v>
      </c>
      <c r="F142" s="1" t="str">
        <f t="shared" si="2"/>
        <v>Golden</v>
      </c>
      <c r="G142" s="5" t="s">
        <v>17</v>
      </c>
      <c r="H142" s="9" t="s">
        <v>1363</v>
      </c>
      <c r="I142" s="5">
        <f t="shared" si="3"/>
        <v>1.0598</v>
      </c>
      <c r="J142" s="5" t="s">
        <v>1364</v>
      </c>
      <c r="K142" s="5">
        <f t="shared" si="4"/>
        <v>97.76571</v>
      </c>
      <c r="L142" s="5" t="s">
        <v>1366</v>
      </c>
      <c r="M142" s="5">
        <f t="shared" si="5"/>
        <v>0.371</v>
      </c>
      <c r="N142" s="6" t="s">
        <v>3327</v>
      </c>
      <c r="O142" s="5">
        <f t="shared" si="6"/>
        <v>221</v>
      </c>
    </row>
    <row r="143">
      <c r="A143" s="6" t="s">
        <v>2488</v>
      </c>
      <c r="B143" s="6" t="s">
        <v>2677</v>
      </c>
      <c r="C143" s="5">
        <f t="shared" si="1"/>
        <v>3</v>
      </c>
      <c r="D143" s="1" t="s">
        <v>68</v>
      </c>
      <c r="E143" s="1" t="s">
        <v>281</v>
      </c>
      <c r="F143" s="1" t="str">
        <f t="shared" si="2"/>
        <v>Virulent</v>
      </c>
      <c r="G143" s="5" t="s">
        <v>72</v>
      </c>
      <c r="H143" s="5" t="s">
        <v>1369</v>
      </c>
      <c r="I143" s="5">
        <f t="shared" si="3"/>
        <v>0.2531</v>
      </c>
      <c r="J143" s="5" t="s">
        <v>1371</v>
      </c>
      <c r="K143" s="5">
        <f t="shared" si="4"/>
        <v>50.093305</v>
      </c>
      <c r="L143" s="5" t="s">
        <v>1373</v>
      </c>
      <c r="M143" s="5">
        <f t="shared" si="5"/>
        <v>0.081</v>
      </c>
      <c r="N143" s="6" t="s">
        <v>291</v>
      </c>
      <c r="O143" s="5">
        <f t="shared" si="6"/>
        <v>0</v>
      </c>
    </row>
    <row r="144">
      <c r="A144" s="6" t="s">
        <v>2488</v>
      </c>
      <c r="B144" s="6" t="s">
        <v>2677</v>
      </c>
      <c r="C144" s="5">
        <f t="shared" si="1"/>
        <v>3</v>
      </c>
      <c r="D144" s="1" t="s">
        <v>68</v>
      </c>
      <c r="E144" s="1" t="s">
        <v>48</v>
      </c>
      <c r="F144" s="1" t="str">
        <f t="shared" si="2"/>
        <v>Orange</v>
      </c>
      <c r="G144" s="5" t="s">
        <v>49</v>
      </c>
      <c r="H144" s="5" t="s">
        <v>414</v>
      </c>
      <c r="I144" s="5">
        <f t="shared" si="3"/>
        <v>0.0007</v>
      </c>
      <c r="J144" s="5" t="s">
        <v>1375</v>
      </c>
      <c r="K144" s="5">
        <f t="shared" si="4"/>
        <v>0.274441</v>
      </c>
      <c r="L144" s="5" t="s">
        <v>376</v>
      </c>
      <c r="M144" s="5">
        <f t="shared" si="5"/>
        <v>0.0002</v>
      </c>
      <c r="N144" s="6" t="s">
        <v>397</v>
      </c>
      <c r="O144" s="5">
        <f t="shared" si="6"/>
        <v>2</v>
      </c>
    </row>
    <row r="145">
      <c r="A145" s="6" t="s">
        <v>2488</v>
      </c>
      <c r="B145" s="6" t="s">
        <v>2677</v>
      </c>
      <c r="C145" s="5">
        <f t="shared" si="1"/>
        <v>3</v>
      </c>
      <c r="D145" s="1" t="s">
        <v>68</v>
      </c>
      <c r="E145" s="1" t="s">
        <v>48</v>
      </c>
      <c r="F145" s="1" t="str">
        <f t="shared" si="2"/>
        <v>Orange</v>
      </c>
      <c r="G145" s="5" t="s">
        <v>72</v>
      </c>
      <c r="H145" s="5" t="s">
        <v>414</v>
      </c>
      <c r="I145" s="5">
        <f t="shared" si="3"/>
        <v>0.0007</v>
      </c>
      <c r="J145" s="5" t="s">
        <v>1377</v>
      </c>
      <c r="K145" s="5">
        <f t="shared" si="4"/>
        <v>0.138314</v>
      </c>
      <c r="L145" s="5" t="s">
        <v>376</v>
      </c>
      <c r="M145" s="5">
        <f t="shared" si="5"/>
        <v>0.0002</v>
      </c>
      <c r="N145" s="6" t="s">
        <v>186</v>
      </c>
      <c r="O145" s="5">
        <f t="shared" si="6"/>
        <v>1</v>
      </c>
    </row>
    <row r="146">
      <c r="A146" s="6" t="s">
        <v>2488</v>
      </c>
      <c r="B146" s="6" t="s">
        <v>2677</v>
      </c>
      <c r="C146" s="5">
        <f t="shared" si="1"/>
        <v>3</v>
      </c>
      <c r="D146" s="1" t="s">
        <v>68</v>
      </c>
      <c r="E146" s="1" t="s">
        <v>48</v>
      </c>
      <c r="F146" s="1" t="str">
        <f t="shared" si="2"/>
        <v>Orange</v>
      </c>
      <c r="G146" s="5" t="s">
        <v>21</v>
      </c>
      <c r="H146" s="5" t="s">
        <v>1381</v>
      </c>
      <c r="I146" s="5">
        <f t="shared" si="3"/>
        <v>0.4348</v>
      </c>
      <c r="J146" s="5" t="s">
        <v>1382</v>
      </c>
      <c r="K146" s="5">
        <f t="shared" si="4"/>
        <v>47.505247</v>
      </c>
      <c r="L146" s="5" t="s">
        <v>1385</v>
      </c>
      <c r="M146" s="5">
        <f t="shared" si="5"/>
        <v>0.1739</v>
      </c>
      <c r="N146" s="6" t="s">
        <v>3513</v>
      </c>
      <c r="O146" s="5">
        <f t="shared" si="6"/>
        <v>256</v>
      </c>
    </row>
    <row r="147">
      <c r="A147" s="6" t="s">
        <v>2488</v>
      </c>
      <c r="B147" s="6" t="s">
        <v>2677</v>
      </c>
      <c r="C147" s="5">
        <f t="shared" si="1"/>
        <v>3</v>
      </c>
      <c r="D147" s="1" t="s">
        <v>68</v>
      </c>
      <c r="E147" s="1" t="s">
        <v>165</v>
      </c>
      <c r="F147" s="1" t="str">
        <f t="shared" si="2"/>
        <v>Vivid</v>
      </c>
      <c r="G147" s="5" t="s">
        <v>39</v>
      </c>
      <c r="H147" s="5" t="s">
        <v>1387</v>
      </c>
      <c r="I147" s="5">
        <f t="shared" si="3"/>
        <v>0.038</v>
      </c>
      <c r="J147" s="5" t="s">
        <v>1388</v>
      </c>
      <c r="K147" s="5">
        <f t="shared" si="4"/>
        <v>6.911678</v>
      </c>
      <c r="L147" s="5" t="s">
        <v>50</v>
      </c>
      <c r="M147" s="5">
        <f t="shared" si="5"/>
        <v>0.0068</v>
      </c>
      <c r="N147" s="6" t="s">
        <v>291</v>
      </c>
      <c r="O147" s="5">
        <f t="shared" si="6"/>
        <v>0</v>
      </c>
    </row>
    <row r="148">
      <c r="A148" s="6" t="s">
        <v>2488</v>
      </c>
      <c r="B148" s="6" t="s">
        <v>2677</v>
      </c>
      <c r="C148" s="5">
        <f t="shared" si="1"/>
        <v>3</v>
      </c>
      <c r="D148" s="1" t="s">
        <v>68</v>
      </c>
      <c r="E148" s="1" t="s">
        <v>165</v>
      </c>
      <c r="F148" s="1" t="str">
        <f t="shared" si="2"/>
        <v>Vivid</v>
      </c>
      <c r="G148" s="5" t="s">
        <v>17</v>
      </c>
      <c r="H148" s="5" t="s">
        <v>1391</v>
      </c>
      <c r="I148" s="5">
        <f t="shared" si="3"/>
        <v>0.1571</v>
      </c>
      <c r="J148" s="5" t="s">
        <v>1392</v>
      </c>
      <c r="K148" s="5">
        <f t="shared" si="4"/>
        <v>35.343786</v>
      </c>
      <c r="L148" s="5" t="s">
        <v>1394</v>
      </c>
      <c r="M148" s="5">
        <f t="shared" si="5"/>
        <v>0.055</v>
      </c>
      <c r="N148" s="6" t="s">
        <v>291</v>
      </c>
      <c r="O148" s="5">
        <f t="shared" si="6"/>
        <v>0</v>
      </c>
    </row>
    <row r="149">
      <c r="A149" s="6" t="s">
        <v>2488</v>
      </c>
      <c r="B149" s="6" t="s">
        <v>2677</v>
      </c>
      <c r="C149" s="5">
        <f t="shared" si="1"/>
        <v>3</v>
      </c>
      <c r="D149" s="1" t="s">
        <v>116</v>
      </c>
      <c r="E149" s="1" t="s">
        <v>2497</v>
      </c>
      <c r="F149" s="1" t="str">
        <f t="shared" si="2"/>
        <v>Green</v>
      </c>
      <c r="G149" s="5" t="s">
        <v>14</v>
      </c>
      <c r="H149" s="5" t="s">
        <v>1396</v>
      </c>
      <c r="I149" s="5">
        <f t="shared" si="3"/>
        <v>160.7599</v>
      </c>
      <c r="J149" s="5" t="s">
        <v>1398</v>
      </c>
      <c r="K149" s="5">
        <f t="shared" si="4"/>
        <v>8375.874438</v>
      </c>
      <c r="L149" s="5" t="s">
        <v>1399</v>
      </c>
      <c r="M149" s="5">
        <f t="shared" si="5"/>
        <v>33.7595</v>
      </c>
      <c r="N149" s="6" t="s">
        <v>3518</v>
      </c>
      <c r="O149" s="5">
        <f t="shared" si="6"/>
        <v>11876</v>
      </c>
    </row>
    <row r="150">
      <c r="A150" s="6" t="s">
        <v>2488</v>
      </c>
      <c r="B150" s="6" t="s">
        <v>2677</v>
      </c>
      <c r="C150" s="5">
        <f t="shared" si="1"/>
        <v>3</v>
      </c>
      <c r="D150" s="1" t="s">
        <v>116</v>
      </c>
      <c r="E150" s="1" t="s">
        <v>2497</v>
      </c>
      <c r="F150" s="1" t="str">
        <f t="shared" si="2"/>
        <v>Green</v>
      </c>
      <c r="G150" s="5" t="s">
        <v>17</v>
      </c>
      <c r="H150" s="5" t="s">
        <v>1402</v>
      </c>
      <c r="I150" s="5">
        <f t="shared" si="3"/>
        <v>128.3013</v>
      </c>
      <c r="J150" s="5" t="s">
        <v>1404</v>
      </c>
      <c r="K150" s="5">
        <f t="shared" si="4"/>
        <v>12122.70285</v>
      </c>
      <c r="L150" s="5" t="s">
        <v>1405</v>
      </c>
      <c r="M150" s="5">
        <f t="shared" si="5"/>
        <v>44.9054</v>
      </c>
      <c r="N150" s="6" t="s">
        <v>3520</v>
      </c>
      <c r="O150" s="5">
        <f t="shared" si="6"/>
        <v>15756</v>
      </c>
    </row>
    <row r="151">
      <c r="A151" s="6" t="s">
        <v>2488</v>
      </c>
      <c r="B151" s="6" t="s">
        <v>2677</v>
      </c>
      <c r="C151" s="5">
        <f t="shared" si="1"/>
        <v>3</v>
      </c>
      <c r="D151" s="1" t="s">
        <v>116</v>
      </c>
      <c r="E151" s="1" t="s">
        <v>2497</v>
      </c>
      <c r="F151" s="1" t="str">
        <f t="shared" si="2"/>
        <v>Green</v>
      </c>
      <c r="G151" s="5" t="s">
        <v>21</v>
      </c>
      <c r="H151" s="9" t="s">
        <v>3522</v>
      </c>
      <c r="I151" s="5">
        <f t="shared" si="3"/>
        <v>10.4898</v>
      </c>
      <c r="J151" s="5" t="s">
        <v>1408</v>
      </c>
      <c r="K151" s="5">
        <f t="shared" si="4"/>
        <v>1390.042249</v>
      </c>
      <c r="L151" s="9" t="s">
        <v>3523</v>
      </c>
      <c r="M151" s="5">
        <f t="shared" si="5"/>
        <v>5.2449</v>
      </c>
      <c r="N151" s="6" t="s">
        <v>3524</v>
      </c>
      <c r="O151" s="5">
        <f t="shared" si="6"/>
        <v>762</v>
      </c>
    </row>
    <row r="152">
      <c r="A152" s="6" t="s">
        <v>2488</v>
      </c>
      <c r="B152" s="6" t="s">
        <v>2677</v>
      </c>
      <c r="C152" s="5">
        <f t="shared" si="1"/>
        <v>3</v>
      </c>
      <c r="D152" s="1" t="s">
        <v>116</v>
      </c>
      <c r="E152" s="1" t="s">
        <v>2497</v>
      </c>
      <c r="F152" s="1" t="str">
        <f t="shared" si="2"/>
        <v>Green</v>
      </c>
      <c r="G152" s="5" t="s">
        <v>25</v>
      </c>
      <c r="H152" s="5" t="s">
        <v>1411</v>
      </c>
      <c r="I152" s="5">
        <f t="shared" si="3"/>
        <v>0.008</v>
      </c>
      <c r="J152" s="5" t="s">
        <v>1412</v>
      </c>
      <c r="K152" s="5">
        <f t="shared" si="4"/>
        <v>1.284879</v>
      </c>
      <c r="L152" s="5" t="s">
        <v>1413</v>
      </c>
      <c r="M152" s="5">
        <f t="shared" si="5"/>
        <v>0.006</v>
      </c>
      <c r="N152" s="6" t="s">
        <v>2677</v>
      </c>
      <c r="O152" s="5">
        <f t="shared" si="6"/>
        <v>3</v>
      </c>
    </row>
    <row r="153">
      <c r="A153" s="6" t="s">
        <v>2488</v>
      </c>
      <c r="B153" s="6" t="s">
        <v>2677</v>
      </c>
      <c r="C153" s="5">
        <f t="shared" si="1"/>
        <v>3</v>
      </c>
      <c r="D153" s="1" t="s">
        <v>116</v>
      </c>
      <c r="E153" s="1" t="s">
        <v>29</v>
      </c>
      <c r="F153" s="1" t="str">
        <f t="shared" si="2"/>
        <v>Blue</v>
      </c>
      <c r="G153" s="5" t="s">
        <v>14</v>
      </c>
      <c r="H153" s="5" t="s">
        <v>1416</v>
      </c>
      <c r="I153" s="5">
        <f t="shared" si="3"/>
        <v>0.084</v>
      </c>
      <c r="J153" s="5" t="s">
        <v>1417</v>
      </c>
      <c r="K153" s="5">
        <f t="shared" si="4"/>
        <v>12.614995</v>
      </c>
      <c r="L153" s="5" t="s">
        <v>1418</v>
      </c>
      <c r="M153" s="5">
        <f t="shared" si="5"/>
        <v>0.0168</v>
      </c>
      <c r="N153" s="6" t="s">
        <v>2704</v>
      </c>
      <c r="O153" s="5">
        <f t="shared" si="6"/>
        <v>48</v>
      </c>
    </row>
    <row r="154">
      <c r="A154" s="6" t="s">
        <v>2488</v>
      </c>
      <c r="B154" s="6" t="s">
        <v>2677</v>
      </c>
      <c r="C154" s="5">
        <f t="shared" si="1"/>
        <v>3</v>
      </c>
      <c r="D154" s="1" t="s">
        <v>116</v>
      </c>
      <c r="E154" s="1" t="s">
        <v>29</v>
      </c>
      <c r="F154" s="1" t="str">
        <f t="shared" si="2"/>
        <v>Blue</v>
      </c>
      <c r="G154" s="5" t="s">
        <v>21</v>
      </c>
      <c r="H154" s="5" t="s">
        <v>1421</v>
      </c>
      <c r="I154" s="5">
        <f t="shared" si="3"/>
        <v>36.1689</v>
      </c>
      <c r="J154" s="5" t="s">
        <v>1422</v>
      </c>
      <c r="K154" s="5">
        <f t="shared" si="4"/>
        <v>6994.548254</v>
      </c>
      <c r="L154" s="5" t="s">
        <v>1423</v>
      </c>
      <c r="M154" s="5">
        <f t="shared" si="5"/>
        <v>14.4676</v>
      </c>
      <c r="N154" s="6" t="s">
        <v>3527</v>
      </c>
      <c r="O154" s="5">
        <f t="shared" si="6"/>
        <v>1692</v>
      </c>
    </row>
    <row r="155">
      <c r="A155" s="6" t="s">
        <v>2488</v>
      </c>
      <c r="B155" s="6" t="s">
        <v>2677</v>
      </c>
      <c r="C155" s="5">
        <f t="shared" si="1"/>
        <v>3</v>
      </c>
      <c r="D155" s="1" t="s">
        <v>116</v>
      </c>
      <c r="E155" s="1" t="s">
        <v>45</v>
      </c>
      <c r="F155" s="1" t="str">
        <f t="shared" si="2"/>
        <v>Yellow</v>
      </c>
      <c r="G155" s="5" t="s">
        <v>17</v>
      </c>
      <c r="H155" s="5" t="s">
        <v>1425</v>
      </c>
      <c r="I155" s="5">
        <f t="shared" si="3"/>
        <v>26.1577</v>
      </c>
      <c r="J155" s="5" t="s">
        <v>1426</v>
      </c>
      <c r="K155" s="5">
        <f t="shared" si="4"/>
        <v>1774.121005</v>
      </c>
      <c r="L155" s="9" t="s">
        <v>3528</v>
      </c>
      <c r="M155" s="5">
        <f t="shared" si="5"/>
        <v>9.4168</v>
      </c>
      <c r="N155" s="6" t="s">
        <v>3529</v>
      </c>
      <c r="O155" s="5">
        <f t="shared" si="6"/>
        <v>1981</v>
      </c>
    </row>
    <row r="156">
      <c r="A156" s="6" t="s">
        <v>2488</v>
      </c>
      <c r="B156" s="6" t="s">
        <v>2677</v>
      </c>
      <c r="C156" s="5">
        <f t="shared" si="1"/>
        <v>3</v>
      </c>
      <c r="D156" s="1" t="s">
        <v>116</v>
      </c>
      <c r="E156" s="1" t="s">
        <v>147</v>
      </c>
      <c r="F156" s="1" t="str">
        <f t="shared" si="2"/>
        <v>Deep</v>
      </c>
      <c r="G156" s="5" t="s">
        <v>39</v>
      </c>
      <c r="H156" s="9" t="s">
        <v>3530</v>
      </c>
      <c r="I156" s="5">
        <f t="shared" si="3"/>
        <v>1.7753</v>
      </c>
      <c r="J156" s="5" t="s">
        <v>1429</v>
      </c>
      <c r="K156" s="5">
        <f t="shared" si="4"/>
        <v>504.261818</v>
      </c>
      <c r="L156" s="5" t="s">
        <v>1431</v>
      </c>
      <c r="M156" s="5">
        <f t="shared" si="5"/>
        <v>0.3373</v>
      </c>
      <c r="N156" s="6" t="s">
        <v>258</v>
      </c>
      <c r="O156" s="5">
        <f t="shared" si="6"/>
        <v>95</v>
      </c>
    </row>
    <row r="157">
      <c r="A157" s="6" t="s">
        <v>2488</v>
      </c>
      <c r="B157" s="6" t="s">
        <v>2677</v>
      </c>
      <c r="C157" s="5">
        <f t="shared" si="1"/>
        <v>3</v>
      </c>
      <c r="D157" s="1" t="s">
        <v>116</v>
      </c>
      <c r="E157" s="1" t="s">
        <v>147</v>
      </c>
      <c r="F157" s="1" t="str">
        <f t="shared" si="2"/>
        <v>Deep</v>
      </c>
      <c r="G157" s="5" t="s">
        <v>17</v>
      </c>
      <c r="H157" s="5" t="s">
        <v>1434</v>
      </c>
      <c r="I157" s="5">
        <f t="shared" si="3"/>
        <v>0.019</v>
      </c>
      <c r="J157" s="5" t="s">
        <v>1435</v>
      </c>
      <c r="K157" s="5">
        <f t="shared" si="4"/>
        <v>6.121244</v>
      </c>
      <c r="L157" s="5" t="s">
        <v>1437</v>
      </c>
      <c r="M157" s="5">
        <f t="shared" si="5"/>
        <v>0.0067</v>
      </c>
      <c r="N157" s="6" t="s">
        <v>2672</v>
      </c>
      <c r="O157" s="5">
        <f t="shared" si="6"/>
        <v>8</v>
      </c>
    </row>
    <row r="158">
      <c r="A158" s="6" t="s">
        <v>2488</v>
      </c>
      <c r="B158" s="6" t="s">
        <v>2677</v>
      </c>
      <c r="C158" s="5">
        <f t="shared" si="1"/>
        <v>3</v>
      </c>
      <c r="D158" s="1" t="s">
        <v>116</v>
      </c>
      <c r="E158" s="1" t="s">
        <v>147</v>
      </c>
      <c r="F158" s="1" t="str">
        <f t="shared" si="2"/>
        <v>Deep</v>
      </c>
      <c r="G158" s="5" t="s">
        <v>21</v>
      </c>
      <c r="H158" s="5" t="s">
        <v>1439</v>
      </c>
      <c r="I158" s="5">
        <f t="shared" si="3"/>
        <v>0.0965</v>
      </c>
      <c r="J158" s="5" t="s">
        <v>1440</v>
      </c>
      <c r="K158" s="5">
        <f t="shared" si="4"/>
        <v>47.773322</v>
      </c>
      <c r="L158" s="5" t="s">
        <v>1442</v>
      </c>
      <c r="M158" s="5">
        <f t="shared" si="5"/>
        <v>0.0483</v>
      </c>
      <c r="N158" s="6" t="s">
        <v>2770</v>
      </c>
      <c r="O158" s="5">
        <f t="shared" si="6"/>
        <v>62</v>
      </c>
    </row>
    <row r="159">
      <c r="A159" s="6" t="s">
        <v>2488</v>
      </c>
      <c r="B159" s="6" t="s">
        <v>2677</v>
      </c>
      <c r="C159" s="5">
        <f t="shared" si="1"/>
        <v>3</v>
      </c>
      <c r="D159" s="1" t="s">
        <v>116</v>
      </c>
      <c r="E159" s="1" t="s">
        <v>32</v>
      </c>
      <c r="F159" s="1" t="str">
        <f t="shared" si="2"/>
        <v>Black</v>
      </c>
      <c r="G159" s="5" t="s">
        <v>14</v>
      </c>
      <c r="H159" s="5" t="s">
        <v>1445</v>
      </c>
      <c r="I159" s="5">
        <f t="shared" si="3"/>
        <v>3.219</v>
      </c>
      <c r="J159" s="5" t="s">
        <v>1446</v>
      </c>
      <c r="K159" s="5">
        <f t="shared" si="4"/>
        <v>151.434106</v>
      </c>
      <c r="L159" s="5" t="s">
        <v>1448</v>
      </c>
      <c r="M159" s="5">
        <f t="shared" si="5"/>
        <v>0.7404</v>
      </c>
      <c r="N159" s="6" t="s">
        <v>3607</v>
      </c>
      <c r="O159" s="5">
        <f t="shared" si="6"/>
        <v>707</v>
      </c>
    </row>
    <row r="160">
      <c r="A160" s="6" t="s">
        <v>2488</v>
      </c>
      <c r="B160" s="6" t="s">
        <v>2677</v>
      </c>
      <c r="C160" s="5">
        <f t="shared" si="1"/>
        <v>3</v>
      </c>
      <c r="D160" s="1" t="s">
        <v>116</v>
      </c>
      <c r="E160" s="1" t="s">
        <v>32</v>
      </c>
      <c r="F160" s="1" t="str">
        <f t="shared" si="2"/>
        <v>Black</v>
      </c>
      <c r="G160" s="5" t="s">
        <v>21</v>
      </c>
      <c r="H160" s="9" t="s">
        <v>3608</v>
      </c>
      <c r="I160" s="5">
        <f t="shared" si="3"/>
        <v>2.5952</v>
      </c>
      <c r="J160" s="5" t="s">
        <v>1451</v>
      </c>
      <c r="K160" s="5">
        <f t="shared" si="4"/>
        <v>395.922213</v>
      </c>
      <c r="L160" s="9" t="s">
        <v>1452</v>
      </c>
      <c r="M160" s="5">
        <f t="shared" si="5"/>
        <v>1.1678</v>
      </c>
      <c r="N160" s="6" t="s">
        <v>3609</v>
      </c>
      <c r="O160" s="5">
        <f t="shared" si="6"/>
        <v>1904</v>
      </c>
    </row>
    <row r="161">
      <c r="A161" s="6" t="s">
        <v>2488</v>
      </c>
      <c r="B161" s="6" t="s">
        <v>2677</v>
      </c>
      <c r="C161" s="5">
        <f t="shared" si="1"/>
        <v>3</v>
      </c>
      <c r="D161" s="1" t="s">
        <v>116</v>
      </c>
      <c r="E161" s="1" t="s">
        <v>42</v>
      </c>
      <c r="F161" s="1" t="str">
        <f t="shared" si="2"/>
        <v>Red</v>
      </c>
      <c r="G161" s="5" t="s">
        <v>17</v>
      </c>
      <c r="H161" s="9" t="s">
        <v>3610</v>
      </c>
      <c r="I161" s="5">
        <f t="shared" si="3"/>
        <v>2.7406</v>
      </c>
      <c r="J161" s="5" t="s">
        <v>1455</v>
      </c>
      <c r="K161" s="5">
        <f t="shared" si="4"/>
        <v>481.704229</v>
      </c>
      <c r="L161" s="5" t="s">
        <v>1457</v>
      </c>
      <c r="M161" s="5">
        <f t="shared" si="5"/>
        <v>1.014</v>
      </c>
      <c r="N161" s="6" t="s">
        <v>3611</v>
      </c>
      <c r="O161" s="5">
        <f t="shared" si="6"/>
        <v>353</v>
      </c>
    </row>
    <row r="162">
      <c r="A162" s="6" t="s">
        <v>2488</v>
      </c>
      <c r="B162" s="6" t="s">
        <v>2677</v>
      </c>
      <c r="C162" s="5">
        <f t="shared" si="1"/>
        <v>3</v>
      </c>
      <c r="D162" s="1" t="s">
        <v>116</v>
      </c>
      <c r="E162" s="1" t="s">
        <v>158</v>
      </c>
      <c r="F162" s="1" t="str">
        <f t="shared" si="2"/>
        <v>Dim</v>
      </c>
      <c r="G162" s="5" t="s">
        <v>39</v>
      </c>
      <c r="H162" s="5" t="s">
        <v>1460</v>
      </c>
      <c r="I162" s="5">
        <f t="shared" si="3"/>
        <v>0.002</v>
      </c>
      <c r="J162" s="5" t="s">
        <v>1462</v>
      </c>
      <c r="K162" s="5">
        <f t="shared" si="4"/>
        <v>0.990613</v>
      </c>
      <c r="L162" s="5" t="s">
        <v>75</v>
      </c>
      <c r="M162" s="5">
        <f t="shared" si="5"/>
        <v>0.0004</v>
      </c>
      <c r="N162" s="6" t="s">
        <v>291</v>
      </c>
      <c r="O162" s="5">
        <f t="shared" si="6"/>
        <v>0</v>
      </c>
    </row>
    <row r="163">
      <c r="A163" s="6" t="s">
        <v>2488</v>
      </c>
      <c r="B163" s="6" t="s">
        <v>2677</v>
      </c>
      <c r="C163" s="5">
        <f t="shared" si="1"/>
        <v>3</v>
      </c>
      <c r="D163" s="1" t="s">
        <v>116</v>
      </c>
      <c r="E163" s="1" t="s">
        <v>158</v>
      </c>
      <c r="F163" s="1" t="str">
        <f t="shared" si="2"/>
        <v>Dim</v>
      </c>
      <c r="G163" s="5" t="s">
        <v>17</v>
      </c>
      <c r="H163" s="5" t="s">
        <v>1465</v>
      </c>
      <c r="I163" s="5">
        <f t="shared" si="3"/>
        <v>0.0619</v>
      </c>
      <c r="J163" s="5" t="s">
        <v>1466</v>
      </c>
      <c r="K163" s="5">
        <f t="shared" si="4"/>
        <v>28.385296</v>
      </c>
      <c r="L163" s="5" t="s">
        <v>1467</v>
      </c>
      <c r="M163" s="5">
        <f t="shared" si="5"/>
        <v>0.0216</v>
      </c>
      <c r="N163" s="6" t="s">
        <v>291</v>
      </c>
      <c r="O163" s="5">
        <f t="shared" si="6"/>
        <v>0</v>
      </c>
    </row>
    <row r="164">
      <c r="A164" s="6" t="s">
        <v>2488</v>
      </c>
      <c r="B164" s="6" t="s">
        <v>2677</v>
      </c>
      <c r="C164" s="5">
        <f t="shared" si="1"/>
        <v>3</v>
      </c>
      <c r="D164" s="1" t="s">
        <v>116</v>
      </c>
      <c r="E164" s="1" t="s">
        <v>158</v>
      </c>
      <c r="F164" s="1" t="str">
        <f t="shared" si="2"/>
        <v>Dim</v>
      </c>
      <c r="G164" s="5" t="s">
        <v>21</v>
      </c>
      <c r="H164" s="5" t="s">
        <v>1470</v>
      </c>
      <c r="I164" s="5">
        <f t="shared" si="3"/>
        <v>0.4613</v>
      </c>
      <c r="J164" s="5" t="s">
        <v>1471</v>
      </c>
      <c r="K164" s="5">
        <f t="shared" si="4"/>
        <v>255.430531</v>
      </c>
      <c r="L164" s="5" t="s">
        <v>1473</v>
      </c>
      <c r="M164" s="5">
        <f t="shared" si="5"/>
        <v>0.1937</v>
      </c>
      <c r="N164" s="6" t="s">
        <v>291</v>
      </c>
      <c r="O164" s="5">
        <f t="shared" si="6"/>
        <v>0</v>
      </c>
    </row>
    <row r="165">
      <c r="A165" s="6" t="s">
        <v>2488</v>
      </c>
      <c r="B165" s="6" t="s">
        <v>2677</v>
      </c>
      <c r="C165" s="5">
        <f t="shared" si="1"/>
        <v>3</v>
      </c>
      <c r="D165" s="1" t="s">
        <v>116</v>
      </c>
      <c r="E165" s="1" t="s">
        <v>165</v>
      </c>
      <c r="F165" s="1" t="str">
        <f t="shared" si="2"/>
        <v>Vivid</v>
      </c>
      <c r="G165" s="5" t="s">
        <v>39</v>
      </c>
      <c r="H165" s="5" t="s">
        <v>1476</v>
      </c>
      <c r="I165" s="5">
        <f t="shared" si="3"/>
        <v>0.3527</v>
      </c>
      <c r="J165" s="5" t="s">
        <v>1477</v>
      </c>
      <c r="K165" s="5">
        <f t="shared" si="4"/>
        <v>64.167697</v>
      </c>
      <c r="L165" s="5" t="s">
        <v>1478</v>
      </c>
      <c r="M165" s="5">
        <f t="shared" si="5"/>
        <v>0.0635</v>
      </c>
      <c r="N165" s="6" t="s">
        <v>2758</v>
      </c>
      <c r="O165" s="5">
        <f t="shared" si="6"/>
        <v>77</v>
      </c>
    </row>
    <row r="166">
      <c r="A166" s="6" t="s">
        <v>2488</v>
      </c>
      <c r="B166" s="6" t="s">
        <v>2677</v>
      </c>
      <c r="C166" s="5">
        <f t="shared" si="1"/>
        <v>3</v>
      </c>
      <c r="D166" s="1" t="s">
        <v>116</v>
      </c>
      <c r="E166" s="1" t="s">
        <v>165</v>
      </c>
      <c r="F166" s="1" t="str">
        <f t="shared" si="2"/>
        <v>Vivid</v>
      </c>
      <c r="G166" s="5" t="s">
        <v>17</v>
      </c>
      <c r="H166" s="9" t="s">
        <v>1481</v>
      </c>
      <c r="I166" s="5">
        <f t="shared" si="3"/>
        <v>1.0126</v>
      </c>
      <c r="J166" s="5" t="s">
        <v>1482</v>
      </c>
      <c r="K166" s="5">
        <f t="shared" si="4"/>
        <v>211.265253</v>
      </c>
      <c r="L166" s="5" t="s">
        <v>1483</v>
      </c>
      <c r="M166" s="5">
        <f t="shared" si="5"/>
        <v>0.3544</v>
      </c>
      <c r="N166" s="6" t="s">
        <v>2769</v>
      </c>
      <c r="O166" s="5">
        <f t="shared" si="6"/>
        <v>87</v>
      </c>
    </row>
    <row r="167">
      <c r="A167" s="6" t="s">
        <v>2488</v>
      </c>
      <c r="B167" s="6" t="s">
        <v>2677</v>
      </c>
      <c r="C167" s="5">
        <f t="shared" si="1"/>
        <v>3</v>
      </c>
      <c r="D167" s="1" t="s">
        <v>116</v>
      </c>
      <c r="E167" s="1" t="s">
        <v>102</v>
      </c>
      <c r="F167" s="1" t="str">
        <f t="shared" si="2"/>
        <v>Pale</v>
      </c>
      <c r="G167" s="5" t="s">
        <v>21</v>
      </c>
      <c r="H167" s="5" t="s">
        <v>1486</v>
      </c>
      <c r="I167" s="5">
        <f t="shared" si="3"/>
        <v>0.5241</v>
      </c>
      <c r="J167" s="5" t="s">
        <v>1487</v>
      </c>
      <c r="K167" s="5">
        <f t="shared" si="4"/>
        <v>198.851962</v>
      </c>
      <c r="L167" s="5" t="s">
        <v>1489</v>
      </c>
      <c r="M167" s="5">
        <f t="shared" si="5"/>
        <v>0.2097</v>
      </c>
      <c r="N167" s="6" t="s">
        <v>291</v>
      </c>
      <c r="O167" s="5">
        <f t="shared" si="6"/>
        <v>0</v>
      </c>
    </row>
    <row r="168">
      <c r="A168" s="6" t="s">
        <v>2488</v>
      </c>
      <c r="B168" s="6" t="s">
        <v>2677</v>
      </c>
      <c r="C168" s="5">
        <f t="shared" si="1"/>
        <v>3</v>
      </c>
      <c r="D168" s="1" t="s">
        <v>116</v>
      </c>
      <c r="E168" s="1" t="s">
        <v>330</v>
      </c>
      <c r="F168" s="1" t="str">
        <f t="shared" si="2"/>
        <v>Moderate</v>
      </c>
      <c r="G168" s="5" t="s">
        <v>17</v>
      </c>
      <c r="H168" s="9" t="s">
        <v>3621</v>
      </c>
      <c r="I168" s="5">
        <f t="shared" si="3"/>
        <v>1.0016</v>
      </c>
      <c r="J168" s="5" t="s">
        <v>1491</v>
      </c>
      <c r="K168" s="5">
        <f t="shared" si="4"/>
        <v>197.967969</v>
      </c>
      <c r="L168" s="5" t="s">
        <v>1492</v>
      </c>
      <c r="M168" s="5">
        <f t="shared" si="5"/>
        <v>0.3504</v>
      </c>
      <c r="N168" s="6" t="s">
        <v>3623</v>
      </c>
      <c r="O168" s="5">
        <f t="shared" si="6"/>
        <v>118</v>
      </c>
    </row>
    <row r="169">
      <c r="A169" s="6" t="s">
        <v>2488</v>
      </c>
      <c r="B169" s="6" t="s">
        <v>273</v>
      </c>
      <c r="C169" s="5">
        <f t="shared" si="1"/>
        <v>4</v>
      </c>
      <c r="D169" s="1" t="s">
        <v>12</v>
      </c>
      <c r="E169" s="1" t="s">
        <v>2497</v>
      </c>
      <c r="F169" s="1" t="str">
        <f t="shared" si="2"/>
        <v>Green</v>
      </c>
      <c r="G169" s="5" t="s">
        <v>14</v>
      </c>
      <c r="H169" s="5" t="s">
        <v>1494</v>
      </c>
      <c r="I169" s="5">
        <f t="shared" si="3"/>
        <v>14.3286</v>
      </c>
      <c r="J169" s="5" t="s">
        <v>1495</v>
      </c>
      <c r="K169" s="5">
        <f t="shared" si="4"/>
        <v>961.059632</v>
      </c>
      <c r="L169" s="5" t="s">
        <v>1496</v>
      </c>
      <c r="M169" s="5">
        <f t="shared" si="5"/>
        <v>3.009</v>
      </c>
      <c r="N169" s="6" t="s">
        <v>2948</v>
      </c>
      <c r="O169" s="5">
        <f t="shared" si="6"/>
        <v>565</v>
      </c>
    </row>
    <row r="170">
      <c r="A170" s="6" t="s">
        <v>2488</v>
      </c>
      <c r="B170" s="6" t="s">
        <v>273</v>
      </c>
      <c r="C170" s="5">
        <f t="shared" si="1"/>
        <v>4</v>
      </c>
      <c r="D170" s="1" t="s">
        <v>12</v>
      </c>
      <c r="E170" s="1" t="s">
        <v>2497</v>
      </c>
      <c r="F170" s="1" t="str">
        <f t="shared" si="2"/>
        <v>Green</v>
      </c>
      <c r="G170" s="5" t="s">
        <v>17</v>
      </c>
      <c r="H170" s="5" t="s">
        <v>1705</v>
      </c>
      <c r="I170" s="5">
        <f t="shared" si="3"/>
        <v>58.0894</v>
      </c>
      <c r="J170" s="5" t="s">
        <v>1707</v>
      </c>
      <c r="K170" s="5">
        <f t="shared" si="4"/>
        <v>5859.277454</v>
      </c>
      <c r="L170" s="5" t="s">
        <v>1710</v>
      </c>
      <c r="M170" s="5">
        <f t="shared" si="5"/>
        <v>20.3312</v>
      </c>
      <c r="N170" s="6" t="s">
        <v>2684</v>
      </c>
      <c r="O170" s="5">
        <f t="shared" si="6"/>
        <v>796</v>
      </c>
    </row>
    <row r="171">
      <c r="A171" s="6" t="s">
        <v>2488</v>
      </c>
      <c r="B171" s="6" t="s">
        <v>273</v>
      </c>
      <c r="C171" s="5">
        <f t="shared" si="1"/>
        <v>4</v>
      </c>
      <c r="D171" s="1" t="s">
        <v>12</v>
      </c>
      <c r="E171" s="1" t="s">
        <v>2497</v>
      </c>
      <c r="F171" s="1" t="str">
        <f t="shared" si="2"/>
        <v>Green</v>
      </c>
      <c r="G171" s="5" t="s">
        <v>21</v>
      </c>
      <c r="H171" s="5" t="s">
        <v>1714</v>
      </c>
      <c r="I171" s="5">
        <f t="shared" si="3"/>
        <v>21.5185</v>
      </c>
      <c r="J171" s="5" t="s">
        <v>1716</v>
      </c>
      <c r="K171" s="5">
        <f t="shared" si="4"/>
        <v>2930.864958</v>
      </c>
      <c r="L171" s="9" t="s">
        <v>3625</v>
      </c>
      <c r="M171" s="5">
        <f t="shared" si="5"/>
        <v>10.7593</v>
      </c>
      <c r="N171" s="6" t="s">
        <v>3627</v>
      </c>
      <c r="O171" s="5">
        <f t="shared" si="6"/>
        <v>570</v>
      </c>
    </row>
    <row r="172">
      <c r="A172" s="6" t="s">
        <v>2488</v>
      </c>
      <c r="B172" s="6" t="s">
        <v>273</v>
      </c>
      <c r="C172" s="5">
        <f t="shared" si="1"/>
        <v>4</v>
      </c>
      <c r="D172" s="1" t="s">
        <v>12</v>
      </c>
      <c r="E172" s="1" t="s">
        <v>29</v>
      </c>
      <c r="F172" s="1" t="str">
        <f t="shared" si="2"/>
        <v>Blue</v>
      </c>
      <c r="G172" s="5" t="s">
        <v>14</v>
      </c>
      <c r="H172" s="5" t="s">
        <v>1720</v>
      </c>
      <c r="I172" s="5">
        <f t="shared" si="3"/>
        <v>0.0835</v>
      </c>
      <c r="J172" s="5" t="s">
        <v>1721</v>
      </c>
      <c r="K172" s="5">
        <f t="shared" si="4"/>
        <v>10.429016</v>
      </c>
      <c r="L172" s="5" t="s">
        <v>1723</v>
      </c>
      <c r="M172" s="5">
        <f t="shared" si="5"/>
        <v>0.0167</v>
      </c>
      <c r="N172" s="6" t="s">
        <v>2591</v>
      </c>
      <c r="O172" s="5">
        <f t="shared" si="6"/>
        <v>11</v>
      </c>
    </row>
    <row r="173">
      <c r="A173" s="6" t="s">
        <v>2488</v>
      </c>
      <c r="B173" s="6" t="s">
        <v>273</v>
      </c>
      <c r="C173" s="5">
        <f t="shared" si="1"/>
        <v>4</v>
      </c>
      <c r="D173" s="1" t="s">
        <v>12</v>
      </c>
      <c r="E173" s="1" t="s">
        <v>29</v>
      </c>
      <c r="F173" s="1" t="str">
        <f t="shared" si="2"/>
        <v>Blue</v>
      </c>
      <c r="G173" s="5" t="s">
        <v>21</v>
      </c>
      <c r="H173" s="5" t="s">
        <v>1726</v>
      </c>
      <c r="I173" s="5">
        <f t="shared" si="3"/>
        <v>15.4084</v>
      </c>
      <c r="J173" s="5" t="s">
        <v>1727</v>
      </c>
      <c r="K173" s="5">
        <f t="shared" si="4"/>
        <v>3419.515013</v>
      </c>
      <c r="L173" s="9" t="s">
        <v>1729</v>
      </c>
      <c r="M173" s="5">
        <f t="shared" si="5"/>
        <v>6.1634</v>
      </c>
      <c r="N173" s="6" t="s">
        <v>3628</v>
      </c>
      <c r="O173" s="5">
        <f t="shared" si="6"/>
        <v>628</v>
      </c>
    </row>
    <row r="174">
      <c r="A174" s="6" t="s">
        <v>2488</v>
      </c>
      <c r="B174" s="6" t="s">
        <v>273</v>
      </c>
      <c r="C174" s="5">
        <f t="shared" si="1"/>
        <v>4</v>
      </c>
      <c r="D174" s="1" t="s">
        <v>12</v>
      </c>
      <c r="E174" s="1" t="s">
        <v>45</v>
      </c>
      <c r="F174" s="1" t="str">
        <f t="shared" si="2"/>
        <v>Yellow</v>
      </c>
      <c r="G174" s="5" t="s">
        <v>17</v>
      </c>
      <c r="H174" s="9" t="s">
        <v>1731</v>
      </c>
      <c r="I174" s="5">
        <f t="shared" si="3"/>
        <v>4.0397</v>
      </c>
      <c r="J174" s="5" t="s">
        <v>1732</v>
      </c>
      <c r="K174" s="5">
        <f t="shared" si="4"/>
        <v>308.450321</v>
      </c>
      <c r="L174" s="9" t="s">
        <v>3630</v>
      </c>
      <c r="M174" s="5">
        <f t="shared" si="5"/>
        <v>1.4542</v>
      </c>
      <c r="N174" s="6" t="s">
        <v>3321</v>
      </c>
      <c r="O174" s="5">
        <f t="shared" si="6"/>
        <v>232</v>
      </c>
    </row>
    <row r="175">
      <c r="A175" s="6" t="s">
        <v>2488</v>
      </c>
      <c r="B175" s="6" t="s">
        <v>273</v>
      </c>
      <c r="C175" s="5">
        <f t="shared" si="1"/>
        <v>4</v>
      </c>
      <c r="D175" s="1" t="s">
        <v>12</v>
      </c>
      <c r="E175" s="1" t="s">
        <v>38</v>
      </c>
      <c r="F175" s="1" t="str">
        <f t="shared" si="2"/>
        <v>White</v>
      </c>
      <c r="G175" s="5" t="s">
        <v>39</v>
      </c>
      <c r="H175" s="5" t="s">
        <v>1735</v>
      </c>
      <c r="I175" s="5">
        <f t="shared" si="3"/>
        <v>2.769</v>
      </c>
      <c r="J175" s="5" t="s">
        <v>1737</v>
      </c>
      <c r="K175" s="5">
        <f t="shared" si="4"/>
        <v>305.049151</v>
      </c>
      <c r="L175" s="5" t="s">
        <v>1738</v>
      </c>
      <c r="M175" s="5">
        <f t="shared" si="5"/>
        <v>0.4984</v>
      </c>
      <c r="N175" s="6" t="s">
        <v>2886</v>
      </c>
      <c r="O175" s="5">
        <f t="shared" si="6"/>
        <v>101</v>
      </c>
    </row>
    <row r="176">
      <c r="A176" s="6" t="s">
        <v>2488</v>
      </c>
      <c r="B176" s="6" t="s">
        <v>273</v>
      </c>
      <c r="C176" s="5">
        <f t="shared" si="1"/>
        <v>4</v>
      </c>
      <c r="D176" s="1" t="s">
        <v>12</v>
      </c>
      <c r="E176" s="1" t="s">
        <v>32</v>
      </c>
      <c r="F176" s="1" t="str">
        <f t="shared" si="2"/>
        <v>Black</v>
      </c>
      <c r="G176" s="5" t="s">
        <v>14</v>
      </c>
      <c r="H176" s="9" t="s">
        <v>1740</v>
      </c>
      <c r="I176" s="5">
        <f t="shared" si="3"/>
        <v>2.1124</v>
      </c>
      <c r="J176" s="5" t="s">
        <v>1741</v>
      </c>
      <c r="K176" s="5">
        <f t="shared" si="4"/>
        <v>138.82256</v>
      </c>
      <c r="L176" s="5" t="s">
        <v>554</v>
      </c>
      <c r="M176" s="5">
        <f t="shared" si="5"/>
        <v>0.4859</v>
      </c>
      <c r="N176" s="6" t="s">
        <v>3632</v>
      </c>
      <c r="O176" s="5">
        <f t="shared" si="6"/>
        <v>260</v>
      </c>
    </row>
    <row r="177">
      <c r="A177" s="6" t="s">
        <v>2488</v>
      </c>
      <c r="B177" s="6" t="s">
        <v>273</v>
      </c>
      <c r="C177" s="5">
        <f t="shared" si="1"/>
        <v>4</v>
      </c>
      <c r="D177" s="1" t="s">
        <v>12</v>
      </c>
      <c r="E177" s="1" t="s">
        <v>32</v>
      </c>
      <c r="F177" s="1" t="str">
        <f t="shared" si="2"/>
        <v>Black</v>
      </c>
      <c r="G177" s="5" t="s">
        <v>21</v>
      </c>
      <c r="H177" s="5" t="s">
        <v>959</v>
      </c>
      <c r="I177" s="5">
        <f t="shared" si="3"/>
        <v>0.5541</v>
      </c>
      <c r="J177" s="5" t="s">
        <v>1743</v>
      </c>
      <c r="K177" s="5">
        <f t="shared" si="4"/>
        <v>59.11902</v>
      </c>
      <c r="L177" s="5" t="s">
        <v>1744</v>
      </c>
      <c r="M177" s="5">
        <f t="shared" si="5"/>
        <v>0.2493</v>
      </c>
      <c r="N177" s="6" t="s">
        <v>587</v>
      </c>
      <c r="O177" s="5">
        <f t="shared" si="6"/>
        <v>100</v>
      </c>
    </row>
    <row r="178">
      <c r="A178" s="6" t="s">
        <v>2488</v>
      </c>
      <c r="B178" s="6" t="s">
        <v>273</v>
      </c>
      <c r="C178" s="5">
        <f t="shared" si="1"/>
        <v>4</v>
      </c>
      <c r="D178" s="1" t="s">
        <v>12</v>
      </c>
      <c r="E178" s="1" t="s">
        <v>48</v>
      </c>
      <c r="F178" s="1" t="str">
        <f t="shared" si="2"/>
        <v>Orange</v>
      </c>
      <c r="G178" s="5" t="s">
        <v>49</v>
      </c>
      <c r="H178" s="5" t="s">
        <v>1746</v>
      </c>
      <c r="I178" s="5">
        <f t="shared" si="3"/>
        <v>0.0478</v>
      </c>
      <c r="J178" s="5" t="s">
        <v>1747</v>
      </c>
      <c r="K178" s="5">
        <f t="shared" si="4"/>
        <v>17.027862</v>
      </c>
      <c r="L178" s="5" t="s">
        <v>1749</v>
      </c>
      <c r="M178" s="5">
        <f t="shared" si="5"/>
        <v>0.0134</v>
      </c>
      <c r="N178" s="6" t="s">
        <v>3449</v>
      </c>
      <c r="O178" s="5">
        <f t="shared" si="6"/>
        <v>21</v>
      </c>
    </row>
    <row r="179">
      <c r="A179" s="6" t="s">
        <v>2488</v>
      </c>
      <c r="B179" s="6" t="s">
        <v>273</v>
      </c>
      <c r="C179" s="5">
        <f t="shared" si="1"/>
        <v>4</v>
      </c>
      <c r="D179" s="1" t="s">
        <v>12</v>
      </c>
      <c r="E179" s="1" t="s">
        <v>48</v>
      </c>
      <c r="F179" s="1" t="str">
        <f t="shared" si="2"/>
        <v>Orange</v>
      </c>
      <c r="G179" s="5" t="s">
        <v>21</v>
      </c>
      <c r="H179" s="5" t="s">
        <v>1753</v>
      </c>
      <c r="I179" s="5">
        <f t="shared" si="3"/>
        <v>0.9464</v>
      </c>
      <c r="J179" s="5" t="s">
        <v>1754</v>
      </c>
      <c r="K179" s="5">
        <f t="shared" si="4"/>
        <v>122.809512</v>
      </c>
      <c r="L179" s="5" t="s">
        <v>1756</v>
      </c>
      <c r="M179" s="5">
        <f t="shared" si="5"/>
        <v>0.3785</v>
      </c>
      <c r="N179" s="6" t="s">
        <v>3637</v>
      </c>
      <c r="O179" s="5">
        <f t="shared" si="6"/>
        <v>131</v>
      </c>
    </row>
    <row r="180">
      <c r="A180" s="6" t="s">
        <v>2488</v>
      </c>
      <c r="B180" s="6" t="s">
        <v>273</v>
      </c>
      <c r="C180" s="5">
        <f t="shared" si="1"/>
        <v>4</v>
      </c>
      <c r="D180" s="1" t="s">
        <v>12</v>
      </c>
      <c r="E180" s="1" t="s">
        <v>42</v>
      </c>
      <c r="F180" s="1" t="str">
        <f t="shared" si="2"/>
        <v>Red</v>
      </c>
      <c r="G180" s="5" t="s">
        <v>17</v>
      </c>
      <c r="H180" s="5" t="s">
        <v>1759</v>
      </c>
      <c r="I180" s="5">
        <f t="shared" si="3"/>
        <v>0.6534</v>
      </c>
      <c r="J180" s="5" t="s">
        <v>1760</v>
      </c>
      <c r="K180" s="5">
        <f t="shared" si="4"/>
        <v>91.436464</v>
      </c>
      <c r="L180" s="5" t="s">
        <v>1762</v>
      </c>
      <c r="M180" s="5">
        <f t="shared" si="5"/>
        <v>0.2418</v>
      </c>
      <c r="N180" s="6" t="s">
        <v>3639</v>
      </c>
      <c r="O180" s="5">
        <f t="shared" si="6"/>
        <v>60</v>
      </c>
    </row>
    <row r="181">
      <c r="A181" s="6" t="s">
        <v>2488</v>
      </c>
      <c r="B181" s="6" t="s">
        <v>273</v>
      </c>
      <c r="C181" s="5">
        <f t="shared" si="1"/>
        <v>4</v>
      </c>
      <c r="D181" s="1" t="s">
        <v>12</v>
      </c>
      <c r="E181" s="1" t="s">
        <v>64</v>
      </c>
      <c r="F181" s="1" t="str">
        <f t="shared" si="2"/>
        <v>Brown</v>
      </c>
      <c r="G181" s="5" t="s">
        <v>39</v>
      </c>
      <c r="H181" s="5" t="s">
        <v>1765</v>
      </c>
      <c r="I181" s="5">
        <f t="shared" si="3"/>
        <v>0.5382</v>
      </c>
      <c r="J181" s="5" t="s">
        <v>1766</v>
      </c>
      <c r="K181" s="5">
        <f t="shared" si="4"/>
        <v>46.874411</v>
      </c>
      <c r="L181" s="5" t="s">
        <v>1768</v>
      </c>
      <c r="M181" s="5">
        <f t="shared" si="5"/>
        <v>0.0969</v>
      </c>
      <c r="N181" s="6" t="s">
        <v>3209</v>
      </c>
      <c r="O181" s="5">
        <f t="shared" si="6"/>
        <v>91</v>
      </c>
    </row>
    <row r="182">
      <c r="A182" s="6" t="s">
        <v>2488</v>
      </c>
      <c r="B182" s="6" t="s">
        <v>273</v>
      </c>
      <c r="C182" s="5">
        <f t="shared" si="1"/>
        <v>4</v>
      </c>
      <c r="D182" s="1" t="s">
        <v>12</v>
      </c>
      <c r="E182" s="1" t="s">
        <v>64</v>
      </c>
      <c r="F182" s="1" t="str">
        <f t="shared" si="2"/>
        <v>Brown</v>
      </c>
      <c r="G182" s="5" t="s">
        <v>21</v>
      </c>
      <c r="H182" s="5" t="s">
        <v>1771</v>
      </c>
      <c r="I182" s="5">
        <f t="shared" si="3"/>
        <v>0.0174</v>
      </c>
      <c r="J182" s="5" t="s">
        <v>1772</v>
      </c>
      <c r="K182" s="5">
        <f t="shared" si="4"/>
        <v>2.096333</v>
      </c>
      <c r="L182" s="5" t="s">
        <v>1777</v>
      </c>
      <c r="M182" s="5">
        <f t="shared" si="5"/>
        <v>0.007</v>
      </c>
      <c r="N182" s="6" t="s">
        <v>2521</v>
      </c>
      <c r="O182" s="5">
        <f t="shared" si="6"/>
        <v>6</v>
      </c>
    </row>
    <row r="183">
      <c r="A183" s="6" t="s">
        <v>2488</v>
      </c>
      <c r="B183" s="6" t="s">
        <v>273</v>
      </c>
      <c r="C183" s="5">
        <f t="shared" si="1"/>
        <v>4</v>
      </c>
      <c r="D183" s="1" t="s">
        <v>12</v>
      </c>
      <c r="E183" s="1" t="s">
        <v>56</v>
      </c>
      <c r="F183" s="1" t="str">
        <f t="shared" si="2"/>
        <v>Purple</v>
      </c>
      <c r="G183" s="5" t="s">
        <v>21</v>
      </c>
      <c r="H183" s="5" t="s">
        <v>1780</v>
      </c>
      <c r="I183" s="5">
        <f t="shared" si="3"/>
        <v>0.2546</v>
      </c>
      <c r="J183" s="5" t="s">
        <v>1781</v>
      </c>
      <c r="K183" s="5">
        <f t="shared" si="4"/>
        <v>45.806486</v>
      </c>
      <c r="L183" s="5" t="s">
        <v>1783</v>
      </c>
      <c r="M183" s="5">
        <f t="shared" si="5"/>
        <v>0.1018</v>
      </c>
      <c r="N183" s="6" t="s">
        <v>3647</v>
      </c>
      <c r="O183" s="5">
        <f t="shared" si="6"/>
        <v>154</v>
      </c>
    </row>
    <row r="184">
      <c r="A184" s="6" t="s">
        <v>2488</v>
      </c>
      <c r="B184" s="6" t="s">
        <v>273</v>
      </c>
      <c r="C184" s="5">
        <f t="shared" si="1"/>
        <v>4</v>
      </c>
      <c r="D184" s="1" t="s">
        <v>12</v>
      </c>
      <c r="E184" s="1" t="s">
        <v>848</v>
      </c>
      <c r="F184" s="1" t="str">
        <f t="shared" si="2"/>
        <v>Lime</v>
      </c>
      <c r="G184" s="5" t="s">
        <v>21</v>
      </c>
      <c r="H184" s="5" t="s">
        <v>734</v>
      </c>
      <c r="I184" s="5">
        <f t="shared" si="3"/>
        <v>0.2126</v>
      </c>
      <c r="J184" s="5" t="s">
        <v>1787</v>
      </c>
      <c r="K184" s="5">
        <f t="shared" si="4"/>
        <v>42.238225</v>
      </c>
      <c r="L184" s="5" t="s">
        <v>1788</v>
      </c>
      <c r="M184" s="5">
        <f t="shared" si="5"/>
        <v>0.085</v>
      </c>
      <c r="N184" s="6" t="s">
        <v>291</v>
      </c>
      <c r="O184" s="5">
        <f t="shared" si="6"/>
        <v>0</v>
      </c>
    </row>
    <row r="185">
      <c r="A185" s="6" t="s">
        <v>2488</v>
      </c>
      <c r="B185" s="6" t="s">
        <v>273</v>
      </c>
      <c r="C185" s="5">
        <f t="shared" si="1"/>
        <v>4</v>
      </c>
      <c r="D185" s="1" t="s">
        <v>68</v>
      </c>
      <c r="E185" s="1" t="s">
        <v>2497</v>
      </c>
      <c r="F185" s="1" t="str">
        <f t="shared" si="2"/>
        <v>Green</v>
      </c>
      <c r="G185" s="5" t="s">
        <v>14</v>
      </c>
      <c r="H185" s="5" t="s">
        <v>1790</v>
      </c>
      <c r="I185" s="5">
        <f t="shared" si="3"/>
        <v>37.3693</v>
      </c>
      <c r="J185" s="5" t="s">
        <v>1791</v>
      </c>
      <c r="K185" s="5">
        <f t="shared" si="4"/>
        <v>2655.292965</v>
      </c>
      <c r="L185" s="9" t="s">
        <v>3685</v>
      </c>
      <c r="M185" s="5">
        <f t="shared" si="5"/>
        <v>7.8476</v>
      </c>
      <c r="N185" s="6" t="s">
        <v>3686</v>
      </c>
      <c r="O185" s="5">
        <f t="shared" si="6"/>
        <v>6542</v>
      </c>
    </row>
    <row r="186">
      <c r="A186" s="6" t="s">
        <v>2488</v>
      </c>
      <c r="B186" s="6" t="s">
        <v>273</v>
      </c>
      <c r="C186" s="5">
        <f t="shared" si="1"/>
        <v>4</v>
      </c>
      <c r="D186" s="1" t="s">
        <v>68</v>
      </c>
      <c r="E186" s="1" t="s">
        <v>2497</v>
      </c>
      <c r="F186" s="1" t="str">
        <f t="shared" si="2"/>
        <v>Green</v>
      </c>
      <c r="G186" s="5" t="s">
        <v>17</v>
      </c>
      <c r="H186" s="5" t="s">
        <v>1795</v>
      </c>
      <c r="I186" s="5">
        <f t="shared" si="3"/>
        <v>56.9814</v>
      </c>
      <c r="J186" s="5" t="s">
        <v>1796</v>
      </c>
      <c r="K186" s="5">
        <f t="shared" si="4"/>
        <v>5564.252255</v>
      </c>
      <c r="L186" s="5" t="s">
        <v>1798</v>
      </c>
      <c r="M186" s="5">
        <f t="shared" si="5"/>
        <v>19.9434</v>
      </c>
      <c r="N186" s="6" t="s">
        <v>3689</v>
      </c>
      <c r="O186" s="5">
        <f t="shared" si="6"/>
        <v>9222</v>
      </c>
    </row>
    <row r="187">
      <c r="A187" s="6" t="s">
        <v>2488</v>
      </c>
      <c r="B187" s="6" t="s">
        <v>273</v>
      </c>
      <c r="C187" s="5">
        <f t="shared" si="1"/>
        <v>4</v>
      </c>
      <c r="D187" s="1" t="s">
        <v>68</v>
      </c>
      <c r="E187" s="1" t="s">
        <v>2497</v>
      </c>
      <c r="F187" s="1" t="str">
        <f t="shared" si="2"/>
        <v>Green</v>
      </c>
      <c r="G187" s="5" t="s">
        <v>21</v>
      </c>
      <c r="H187" s="5" t="s">
        <v>1800</v>
      </c>
      <c r="I187" s="5">
        <f t="shared" si="3"/>
        <v>4.012</v>
      </c>
      <c r="J187" s="5" t="s">
        <v>1801</v>
      </c>
      <c r="K187" s="5">
        <f t="shared" si="4"/>
        <v>594.287953</v>
      </c>
      <c r="L187" s="9" t="s">
        <v>3694</v>
      </c>
      <c r="M187" s="5">
        <f t="shared" si="5"/>
        <v>2.0058</v>
      </c>
      <c r="N187" s="6" t="s">
        <v>3696</v>
      </c>
      <c r="O187" s="5">
        <f t="shared" si="6"/>
        <v>625</v>
      </c>
    </row>
    <row r="188">
      <c r="A188" s="6" t="s">
        <v>2488</v>
      </c>
      <c r="B188" s="6" t="s">
        <v>273</v>
      </c>
      <c r="C188" s="5">
        <f t="shared" si="1"/>
        <v>4</v>
      </c>
      <c r="D188" s="1" t="s">
        <v>68</v>
      </c>
      <c r="E188" s="1" t="s">
        <v>2497</v>
      </c>
      <c r="F188" s="1" t="str">
        <f t="shared" si="2"/>
        <v>Green</v>
      </c>
      <c r="G188" s="5" t="s">
        <v>25</v>
      </c>
      <c r="H188" s="5" t="s">
        <v>1804</v>
      </c>
      <c r="I188" s="5">
        <f t="shared" si="3"/>
        <v>0.3882</v>
      </c>
      <c r="J188" s="5" t="s">
        <v>1805</v>
      </c>
      <c r="K188" s="5">
        <f t="shared" si="4"/>
        <v>65.343701</v>
      </c>
      <c r="L188" s="5" t="s">
        <v>1807</v>
      </c>
      <c r="M188" s="5">
        <f t="shared" si="5"/>
        <v>0.2912</v>
      </c>
      <c r="N188" s="6" t="s">
        <v>3267</v>
      </c>
      <c r="O188" s="5">
        <f t="shared" si="6"/>
        <v>203</v>
      </c>
    </row>
    <row r="189">
      <c r="A189" s="6" t="s">
        <v>2488</v>
      </c>
      <c r="B189" s="6" t="s">
        <v>273</v>
      </c>
      <c r="C189" s="5">
        <f t="shared" si="1"/>
        <v>4</v>
      </c>
      <c r="D189" s="1" t="s">
        <v>68</v>
      </c>
      <c r="E189" s="1" t="s">
        <v>29</v>
      </c>
      <c r="F189" s="1" t="str">
        <f t="shared" si="2"/>
        <v>Blue</v>
      </c>
      <c r="G189" s="5" t="s">
        <v>14</v>
      </c>
      <c r="H189" s="5" t="s">
        <v>1809</v>
      </c>
      <c r="I189" s="5">
        <f t="shared" si="3"/>
        <v>0.0059</v>
      </c>
      <c r="J189" s="5" t="s">
        <v>1810</v>
      </c>
      <c r="K189" s="5">
        <f t="shared" si="4"/>
        <v>0.770477</v>
      </c>
      <c r="L189" s="5" t="s">
        <v>1813</v>
      </c>
      <c r="M189" s="5">
        <f t="shared" si="5"/>
        <v>0.0012</v>
      </c>
      <c r="N189" s="6" t="s">
        <v>2677</v>
      </c>
      <c r="O189" s="5">
        <f t="shared" si="6"/>
        <v>3</v>
      </c>
    </row>
    <row r="190">
      <c r="A190" s="6" t="s">
        <v>2488</v>
      </c>
      <c r="B190" s="6" t="s">
        <v>273</v>
      </c>
      <c r="C190" s="5">
        <f t="shared" si="1"/>
        <v>4</v>
      </c>
      <c r="D190" s="1" t="s">
        <v>68</v>
      </c>
      <c r="E190" s="1" t="s">
        <v>29</v>
      </c>
      <c r="F190" s="1" t="str">
        <f t="shared" si="2"/>
        <v>Blue</v>
      </c>
      <c r="G190" s="5" t="s">
        <v>21</v>
      </c>
      <c r="H190" s="9" t="s">
        <v>3711</v>
      </c>
      <c r="I190" s="5">
        <f t="shared" si="3"/>
        <v>5.9628</v>
      </c>
      <c r="J190" s="5" t="s">
        <v>1815</v>
      </c>
      <c r="K190" s="5">
        <f t="shared" si="4"/>
        <v>1136.385272</v>
      </c>
      <c r="L190" s="9" t="s">
        <v>3714</v>
      </c>
      <c r="M190" s="5">
        <f t="shared" si="5"/>
        <v>2.3852</v>
      </c>
      <c r="N190" s="6" t="s">
        <v>3715</v>
      </c>
      <c r="O190" s="5">
        <f t="shared" si="6"/>
        <v>846</v>
      </c>
    </row>
    <row r="191">
      <c r="A191" s="6" t="s">
        <v>2488</v>
      </c>
      <c r="B191" s="6" t="s">
        <v>273</v>
      </c>
      <c r="C191" s="5">
        <f t="shared" si="1"/>
        <v>4</v>
      </c>
      <c r="D191" s="1" t="s">
        <v>68</v>
      </c>
      <c r="E191" s="1" t="s">
        <v>45</v>
      </c>
      <c r="F191" s="1" t="str">
        <f t="shared" si="2"/>
        <v>Yellow</v>
      </c>
      <c r="G191" s="5" t="s">
        <v>17</v>
      </c>
      <c r="H191" s="5" t="s">
        <v>1818</v>
      </c>
      <c r="I191" s="5">
        <f t="shared" si="3"/>
        <v>16.906</v>
      </c>
      <c r="J191" s="5" t="s">
        <v>1819</v>
      </c>
      <c r="K191" s="5">
        <f t="shared" si="4"/>
        <v>993.906198</v>
      </c>
      <c r="L191" s="9" t="s">
        <v>1820</v>
      </c>
      <c r="M191" s="5">
        <f t="shared" si="5"/>
        <v>6.0862</v>
      </c>
      <c r="N191" s="6" t="s">
        <v>3721</v>
      </c>
      <c r="O191" s="5">
        <f t="shared" si="6"/>
        <v>1853</v>
      </c>
    </row>
    <row r="192">
      <c r="A192" s="6" t="s">
        <v>2488</v>
      </c>
      <c r="B192" s="6" t="s">
        <v>273</v>
      </c>
      <c r="C192" s="5">
        <f t="shared" si="1"/>
        <v>4</v>
      </c>
      <c r="D192" s="1" t="s">
        <v>68</v>
      </c>
      <c r="E192" s="1" t="s">
        <v>32</v>
      </c>
      <c r="F192" s="1" t="str">
        <f t="shared" si="2"/>
        <v>Black</v>
      </c>
      <c r="G192" s="5" t="s">
        <v>14</v>
      </c>
      <c r="H192" s="9" t="s">
        <v>3725</v>
      </c>
      <c r="I192" s="5">
        <f t="shared" si="3"/>
        <v>5.1908</v>
      </c>
      <c r="J192" s="5" t="s">
        <v>1824</v>
      </c>
      <c r="K192" s="5">
        <f t="shared" si="4"/>
        <v>360.733782</v>
      </c>
      <c r="L192" s="9" t="s">
        <v>3728</v>
      </c>
      <c r="M192" s="5">
        <f t="shared" si="5"/>
        <v>1.1939</v>
      </c>
      <c r="N192" s="6" t="s">
        <v>3730</v>
      </c>
      <c r="O192" s="5">
        <f t="shared" si="6"/>
        <v>1868</v>
      </c>
    </row>
    <row r="193">
      <c r="A193" s="6" t="s">
        <v>2488</v>
      </c>
      <c r="B193" s="6" t="s">
        <v>273</v>
      </c>
      <c r="C193" s="5">
        <f t="shared" si="1"/>
        <v>4</v>
      </c>
      <c r="D193" s="1" t="s">
        <v>68</v>
      </c>
      <c r="E193" s="1" t="s">
        <v>32</v>
      </c>
      <c r="F193" s="1" t="str">
        <f t="shared" si="2"/>
        <v>Black</v>
      </c>
      <c r="G193" s="5" t="s">
        <v>21</v>
      </c>
      <c r="H193" s="5" t="s">
        <v>1825</v>
      </c>
      <c r="I193" s="5">
        <f t="shared" si="3"/>
        <v>0.703</v>
      </c>
      <c r="J193" s="5" t="s">
        <v>1826</v>
      </c>
      <c r="K193" s="5">
        <f t="shared" si="4"/>
        <v>79.828062</v>
      </c>
      <c r="L193" s="5" t="s">
        <v>1828</v>
      </c>
      <c r="M193" s="5">
        <f t="shared" si="5"/>
        <v>0.3163</v>
      </c>
      <c r="N193" s="6" t="s">
        <v>3736</v>
      </c>
      <c r="O193" s="5">
        <f t="shared" si="6"/>
        <v>461</v>
      </c>
    </row>
    <row r="194">
      <c r="A194" s="6" t="s">
        <v>2488</v>
      </c>
      <c r="B194" s="6" t="s">
        <v>273</v>
      </c>
      <c r="C194" s="5">
        <f t="shared" si="1"/>
        <v>4</v>
      </c>
      <c r="D194" s="1" t="s">
        <v>68</v>
      </c>
      <c r="E194" s="1" t="s">
        <v>1830</v>
      </c>
      <c r="F194" s="1" t="str">
        <f t="shared" si="2"/>
        <v>Magenta</v>
      </c>
      <c r="G194" s="5" t="s">
        <v>72</v>
      </c>
      <c r="H194" s="9" t="s">
        <v>3740</v>
      </c>
      <c r="I194" s="5">
        <f t="shared" si="3"/>
        <v>3.3595</v>
      </c>
      <c r="J194" s="5" t="s">
        <v>1831</v>
      </c>
      <c r="K194" s="5">
        <f t="shared" si="4"/>
        <v>300.151785</v>
      </c>
      <c r="L194" s="5" t="s">
        <v>1834</v>
      </c>
      <c r="M194" s="5">
        <f t="shared" si="5"/>
        <v>1.075</v>
      </c>
      <c r="N194" s="6" t="s">
        <v>3744</v>
      </c>
      <c r="O194" s="5">
        <f t="shared" si="6"/>
        <v>3105</v>
      </c>
    </row>
    <row r="195">
      <c r="A195" s="6" t="s">
        <v>2488</v>
      </c>
      <c r="B195" s="6" t="s">
        <v>273</v>
      </c>
      <c r="C195" s="5">
        <f t="shared" si="1"/>
        <v>4</v>
      </c>
      <c r="D195" s="1" t="s">
        <v>68</v>
      </c>
      <c r="E195" s="1" t="s">
        <v>38</v>
      </c>
      <c r="F195" s="1" t="str">
        <f t="shared" si="2"/>
        <v>White</v>
      </c>
      <c r="G195" s="5" t="s">
        <v>39</v>
      </c>
      <c r="H195" s="9" t="s">
        <v>3747</v>
      </c>
      <c r="I195" s="5">
        <f t="shared" si="3"/>
        <v>1.4491</v>
      </c>
      <c r="J195" s="5" t="s">
        <v>1835</v>
      </c>
      <c r="K195" s="5">
        <f t="shared" si="4"/>
        <v>133.116458</v>
      </c>
      <c r="L195" s="5" t="s">
        <v>1838</v>
      </c>
      <c r="M195" s="5">
        <f t="shared" si="5"/>
        <v>0.2608</v>
      </c>
      <c r="N195" s="6" t="s">
        <v>3582</v>
      </c>
      <c r="O195" s="5">
        <f t="shared" si="6"/>
        <v>245</v>
      </c>
    </row>
    <row r="196">
      <c r="A196" s="6" t="s">
        <v>2488</v>
      </c>
      <c r="B196" s="6" t="s">
        <v>273</v>
      </c>
      <c r="C196" s="5">
        <f t="shared" si="1"/>
        <v>4</v>
      </c>
      <c r="D196" s="1" t="s">
        <v>68</v>
      </c>
      <c r="E196" s="1" t="s">
        <v>42</v>
      </c>
      <c r="F196" s="1" t="str">
        <f t="shared" si="2"/>
        <v>Red</v>
      </c>
      <c r="G196" s="5" t="s">
        <v>17</v>
      </c>
      <c r="H196" s="5" t="s">
        <v>1840</v>
      </c>
      <c r="I196" s="5">
        <f t="shared" si="3"/>
        <v>0.6772</v>
      </c>
      <c r="J196" s="5" t="s">
        <v>1841</v>
      </c>
      <c r="K196" s="5">
        <f t="shared" si="4"/>
        <v>112.223814</v>
      </c>
      <c r="L196" s="5" t="s">
        <v>1844</v>
      </c>
      <c r="M196" s="5">
        <f t="shared" si="5"/>
        <v>0.2506</v>
      </c>
      <c r="N196" s="6" t="s">
        <v>573</v>
      </c>
      <c r="O196" s="5">
        <f t="shared" si="6"/>
        <v>223</v>
      </c>
    </row>
    <row r="197">
      <c r="A197" s="6" t="s">
        <v>2488</v>
      </c>
      <c r="B197" s="6" t="s">
        <v>273</v>
      </c>
      <c r="C197" s="5">
        <f t="shared" si="1"/>
        <v>4</v>
      </c>
      <c r="D197" s="1" t="s">
        <v>68</v>
      </c>
      <c r="E197" s="1" t="s">
        <v>544</v>
      </c>
      <c r="F197" s="1" t="str">
        <f t="shared" si="2"/>
        <v>Golden</v>
      </c>
      <c r="G197" s="5" t="s">
        <v>17</v>
      </c>
      <c r="H197" s="9" t="s">
        <v>1846</v>
      </c>
      <c r="I197" s="5">
        <f t="shared" si="3"/>
        <v>1.0269</v>
      </c>
      <c r="J197" s="5" t="s">
        <v>1847</v>
      </c>
      <c r="K197" s="5">
        <f t="shared" si="4"/>
        <v>93.809293</v>
      </c>
      <c r="L197" s="5" t="s">
        <v>1848</v>
      </c>
      <c r="M197" s="5">
        <f t="shared" si="5"/>
        <v>0.3594</v>
      </c>
      <c r="N197" s="6" t="s">
        <v>728</v>
      </c>
      <c r="O197" s="5">
        <f t="shared" si="6"/>
        <v>525</v>
      </c>
    </row>
    <row r="198">
      <c r="A198" s="6" t="s">
        <v>2488</v>
      </c>
      <c r="B198" s="6" t="s">
        <v>273</v>
      </c>
      <c r="C198" s="5">
        <f t="shared" si="1"/>
        <v>4</v>
      </c>
      <c r="D198" s="1" t="s">
        <v>68</v>
      </c>
      <c r="E198" s="1" t="s">
        <v>1851</v>
      </c>
      <c r="F198" s="1" t="str">
        <f t="shared" si="2"/>
        <v>Rosy</v>
      </c>
      <c r="G198" s="5" t="s">
        <v>17</v>
      </c>
      <c r="H198" s="5" t="s">
        <v>1852</v>
      </c>
      <c r="I198" s="5">
        <f t="shared" si="3"/>
        <v>0.9615</v>
      </c>
      <c r="J198" s="5" t="s">
        <v>1853</v>
      </c>
      <c r="K198" s="5">
        <f t="shared" si="4"/>
        <v>73.01591</v>
      </c>
      <c r="L198" s="5" t="s">
        <v>1855</v>
      </c>
      <c r="M198" s="5">
        <f t="shared" si="5"/>
        <v>0.3702</v>
      </c>
      <c r="N198" s="6" t="s">
        <v>3768</v>
      </c>
      <c r="O198" s="5">
        <f t="shared" si="6"/>
        <v>1065</v>
      </c>
    </row>
    <row r="199">
      <c r="A199" s="6" t="s">
        <v>2488</v>
      </c>
      <c r="B199" s="6" t="s">
        <v>273</v>
      </c>
      <c r="C199" s="5">
        <f t="shared" si="1"/>
        <v>4</v>
      </c>
      <c r="D199" s="1" t="s">
        <v>68</v>
      </c>
      <c r="E199" s="1" t="s">
        <v>330</v>
      </c>
      <c r="F199" s="1" t="str">
        <f t="shared" si="2"/>
        <v>Moderate</v>
      </c>
      <c r="G199" s="5" t="s">
        <v>17</v>
      </c>
      <c r="H199" s="5" t="s">
        <v>1859</v>
      </c>
      <c r="I199" s="5">
        <f t="shared" si="3"/>
        <v>0.3359</v>
      </c>
      <c r="J199" s="5" t="s">
        <v>1860</v>
      </c>
      <c r="K199" s="5">
        <f t="shared" si="4"/>
        <v>66.834195</v>
      </c>
      <c r="L199" s="5" t="s">
        <v>1863</v>
      </c>
      <c r="M199" s="5">
        <f t="shared" si="5"/>
        <v>0.1176</v>
      </c>
      <c r="N199" s="6" t="s">
        <v>291</v>
      </c>
      <c r="O199" s="5">
        <f t="shared" si="6"/>
        <v>0</v>
      </c>
    </row>
    <row r="200">
      <c r="A200" s="6" t="s">
        <v>2488</v>
      </c>
      <c r="B200" s="6" t="s">
        <v>273</v>
      </c>
      <c r="C200" s="5">
        <f t="shared" si="1"/>
        <v>4</v>
      </c>
      <c r="D200" s="1" t="s">
        <v>116</v>
      </c>
      <c r="E200" s="1" t="s">
        <v>2497</v>
      </c>
      <c r="F200" s="1" t="str">
        <f t="shared" si="2"/>
        <v>Green</v>
      </c>
      <c r="G200" s="5" t="s">
        <v>14</v>
      </c>
      <c r="H200" s="5" t="s">
        <v>1865</v>
      </c>
      <c r="I200" s="5">
        <f t="shared" si="3"/>
        <v>85.8107</v>
      </c>
      <c r="J200" s="5" t="s">
        <v>1866</v>
      </c>
      <c r="K200" s="5">
        <f t="shared" si="4"/>
        <v>5634.594107</v>
      </c>
      <c r="L200" s="5" t="s">
        <v>1869</v>
      </c>
      <c r="M200" s="5">
        <f t="shared" si="5"/>
        <v>18.0203</v>
      </c>
      <c r="N200" s="6" t="s">
        <v>3784</v>
      </c>
      <c r="O200" s="5">
        <f t="shared" si="6"/>
        <v>10675</v>
      </c>
    </row>
    <row r="201">
      <c r="A201" s="6" t="s">
        <v>2488</v>
      </c>
      <c r="B201" s="6" t="s">
        <v>273</v>
      </c>
      <c r="C201" s="5">
        <f t="shared" si="1"/>
        <v>4</v>
      </c>
      <c r="D201" s="1" t="s">
        <v>116</v>
      </c>
      <c r="E201" s="1" t="s">
        <v>2497</v>
      </c>
      <c r="F201" s="1" t="str">
        <f t="shared" si="2"/>
        <v>Green</v>
      </c>
      <c r="G201" s="5" t="s">
        <v>17</v>
      </c>
      <c r="H201" s="5" t="s">
        <v>1871</v>
      </c>
      <c r="I201" s="5">
        <f t="shared" si="3"/>
        <v>143.6183</v>
      </c>
      <c r="J201" s="5" t="s">
        <v>1873</v>
      </c>
      <c r="K201" s="5">
        <f t="shared" si="4"/>
        <v>13515.3636</v>
      </c>
      <c r="L201" s="5" t="s">
        <v>1875</v>
      </c>
      <c r="M201" s="5">
        <f t="shared" si="5"/>
        <v>50.2664</v>
      </c>
      <c r="N201" s="6" t="s">
        <v>3790</v>
      </c>
      <c r="O201" s="5">
        <f t="shared" si="6"/>
        <v>15822</v>
      </c>
    </row>
    <row r="202">
      <c r="A202" s="6" t="s">
        <v>2488</v>
      </c>
      <c r="B202" s="6" t="s">
        <v>273</v>
      </c>
      <c r="C202" s="5">
        <f t="shared" si="1"/>
        <v>4</v>
      </c>
      <c r="D202" s="1" t="s">
        <v>116</v>
      </c>
      <c r="E202" s="1" t="s">
        <v>2497</v>
      </c>
      <c r="F202" s="1" t="str">
        <f t="shared" si="2"/>
        <v>Green</v>
      </c>
      <c r="G202" s="5" t="s">
        <v>21</v>
      </c>
      <c r="H202" s="9" t="s">
        <v>1878</v>
      </c>
      <c r="I202" s="5">
        <f t="shared" si="3"/>
        <v>6.1445</v>
      </c>
      <c r="J202" s="5" t="s">
        <v>1879</v>
      </c>
      <c r="K202" s="5">
        <f t="shared" si="4"/>
        <v>921.747494</v>
      </c>
      <c r="L202" s="9" t="s">
        <v>1881</v>
      </c>
      <c r="M202" s="5">
        <f t="shared" si="5"/>
        <v>3.0722</v>
      </c>
      <c r="N202" s="6" t="s">
        <v>3797</v>
      </c>
      <c r="O202" s="5">
        <f t="shared" si="6"/>
        <v>644</v>
      </c>
    </row>
    <row r="203">
      <c r="A203" s="6" t="s">
        <v>2488</v>
      </c>
      <c r="B203" s="6" t="s">
        <v>273</v>
      </c>
      <c r="C203" s="5">
        <f t="shared" si="1"/>
        <v>4</v>
      </c>
      <c r="D203" s="1" t="s">
        <v>116</v>
      </c>
      <c r="E203" s="1" t="s">
        <v>2497</v>
      </c>
      <c r="F203" s="1" t="str">
        <f t="shared" si="2"/>
        <v>Green</v>
      </c>
      <c r="G203" s="5" t="s">
        <v>25</v>
      </c>
      <c r="H203" s="5" t="s">
        <v>1884</v>
      </c>
      <c r="I203" s="5">
        <f t="shared" si="3"/>
        <v>0.0037</v>
      </c>
      <c r="J203" s="5" t="s">
        <v>1885</v>
      </c>
      <c r="K203" s="5">
        <f t="shared" si="4"/>
        <v>0.769681</v>
      </c>
      <c r="L203" s="5" t="s">
        <v>1886</v>
      </c>
      <c r="M203" s="5">
        <f t="shared" si="5"/>
        <v>0.0028</v>
      </c>
      <c r="N203" s="6" t="s">
        <v>397</v>
      </c>
      <c r="O203" s="5">
        <f t="shared" si="6"/>
        <v>2</v>
      </c>
    </row>
    <row r="204">
      <c r="A204" s="6" t="s">
        <v>2488</v>
      </c>
      <c r="B204" s="6" t="s">
        <v>273</v>
      </c>
      <c r="C204" s="5">
        <f t="shared" si="1"/>
        <v>4</v>
      </c>
      <c r="D204" s="1" t="s">
        <v>116</v>
      </c>
      <c r="E204" s="1" t="s">
        <v>29</v>
      </c>
      <c r="F204" s="1" t="str">
        <f t="shared" si="2"/>
        <v>Blue</v>
      </c>
      <c r="G204" s="5" t="s">
        <v>14</v>
      </c>
      <c r="H204" s="9" t="s">
        <v>3804</v>
      </c>
      <c r="I204" s="5">
        <f t="shared" si="3"/>
        <v>1.2159</v>
      </c>
      <c r="J204" s="5" t="s">
        <v>1889</v>
      </c>
      <c r="K204" s="5">
        <f t="shared" si="4"/>
        <v>130.732092</v>
      </c>
      <c r="L204" s="5" t="s">
        <v>1890</v>
      </c>
      <c r="M204" s="5">
        <f t="shared" si="5"/>
        <v>0.2432</v>
      </c>
      <c r="N204" s="6" t="s">
        <v>3806</v>
      </c>
      <c r="O204" s="5">
        <f t="shared" si="6"/>
        <v>190</v>
      </c>
    </row>
    <row r="205">
      <c r="A205" s="6" t="s">
        <v>2488</v>
      </c>
      <c r="B205" s="6" t="s">
        <v>273</v>
      </c>
      <c r="C205" s="5">
        <f t="shared" si="1"/>
        <v>4</v>
      </c>
      <c r="D205" s="1" t="s">
        <v>116</v>
      </c>
      <c r="E205" s="1" t="s">
        <v>29</v>
      </c>
      <c r="F205" s="1" t="str">
        <f t="shared" si="2"/>
        <v>Blue</v>
      </c>
      <c r="G205" s="5" t="s">
        <v>21</v>
      </c>
      <c r="H205" s="5" t="s">
        <v>1892</v>
      </c>
      <c r="I205" s="5">
        <f t="shared" si="3"/>
        <v>20.3542</v>
      </c>
      <c r="J205" s="5" t="s">
        <v>1893</v>
      </c>
      <c r="K205" s="5">
        <f t="shared" si="4"/>
        <v>4574.937022</v>
      </c>
      <c r="L205" s="9" t="s">
        <v>1895</v>
      </c>
      <c r="M205" s="5">
        <f t="shared" si="5"/>
        <v>8.1417</v>
      </c>
      <c r="N205" s="6" t="s">
        <v>3515</v>
      </c>
      <c r="O205" s="5">
        <f t="shared" si="6"/>
        <v>1774</v>
      </c>
    </row>
    <row r="206">
      <c r="A206" s="6" t="s">
        <v>2488</v>
      </c>
      <c r="B206" s="6" t="s">
        <v>273</v>
      </c>
      <c r="C206" s="5">
        <f t="shared" si="1"/>
        <v>4</v>
      </c>
      <c r="D206" s="1" t="s">
        <v>116</v>
      </c>
      <c r="E206" s="1" t="s">
        <v>45</v>
      </c>
      <c r="F206" s="1" t="str">
        <f t="shared" si="2"/>
        <v>Yellow</v>
      </c>
      <c r="G206" s="5" t="s">
        <v>17</v>
      </c>
      <c r="H206" s="5" t="s">
        <v>1897</v>
      </c>
      <c r="I206" s="5">
        <f t="shared" si="3"/>
        <v>35.1475</v>
      </c>
      <c r="J206" s="5" t="s">
        <v>1898</v>
      </c>
      <c r="K206" s="5">
        <f t="shared" si="4"/>
        <v>2209.3594</v>
      </c>
      <c r="L206" s="9" t="s">
        <v>3817</v>
      </c>
      <c r="M206" s="5">
        <f t="shared" si="5"/>
        <v>12.6531</v>
      </c>
      <c r="N206" s="6" t="s">
        <v>3819</v>
      </c>
      <c r="O206" s="5">
        <f t="shared" si="6"/>
        <v>1975</v>
      </c>
    </row>
    <row r="207">
      <c r="A207" s="6" t="s">
        <v>2488</v>
      </c>
      <c r="B207" s="6" t="s">
        <v>273</v>
      </c>
      <c r="C207" s="5">
        <f t="shared" si="1"/>
        <v>4</v>
      </c>
      <c r="D207" s="1" t="s">
        <v>116</v>
      </c>
      <c r="E207" s="1" t="s">
        <v>147</v>
      </c>
      <c r="F207" s="1" t="str">
        <f t="shared" si="2"/>
        <v>Deep</v>
      </c>
      <c r="G207" s="5" t="s">
        <v>39</v>
      </c>
      <c r="H207" s="9" t="s">
        <v>3833</v>
      </c>
      <c r="I207" s="5">
        <f t="shared" si="3"/>
        <v>1.9363</v>
      </c>
      <c r="J207" s="5" t="s">
        <v>1901</v>
      </c>
      <c r="K207" s="5">
        <f t="shared" si="4"/>
        <v>590.075329</v>
      </c>
      <c r="L207" s="5" t="s">
        <v>1902</v>
      </c>
      <c r="M207" s="5">
        <f t="shared" si="5"/>
        <v>0.368</v>
      </c>
      <c r="N207" s="6" t="s">
        <v>3836</v>
      </c>
      <c r="O207" s="5">
        <f t="shared" si="6"/>
        <v>107</v>
      </c>
    </row>
    <row r="208">
      <c r="A208" s="6" t="s">
        <v>2488</v>
      </c>
      <c r="B208" s="6" t="s">
        <v>273</v>
      </c>
      <c r="C208" s="5">
        <f t="shared" si="1"/>
        <v>4</v>
      </c>
      <c r="D208" s="1" t="s">
        <v>116</v>
      </c>
      <c r="E208" s="1" t="s">
        <v>147</v>
      </c>
      <c r="F208" s="1" t="str">
        <f t="shared" si="2"/>
        <v>Deep</v>
      </c>
      <c r="G208" s="5" t="s">
        <v>17</v>
      </c>
      <c r="H208" s="5" t="s">
        <v>1905</v>
      </c>
      <c r="I208" s="5">
        <f t="shared" si="3"/>
        <v>0.0307</v>
      </c>
      <c r="J208" s="5" t="s">
        <v>1906</v>
      </c>
      <c r="K208" s="5">
        <f t="shared" si="4"/>
        <v>11.345499</v>
      </c>
      <c r="L208" s="5" t="s">
        <v>507</v>
      </c>
      <c r="M208" s="5">
        <f t="shared" si="5"/>
        <v>0.0109</v>
      </c>
      <c r="N208" s="6" t="s">
        <v>600</v>
      </c>
      <c r="O208" s="5">
        <f t="shared" si="6"/>
        <v>7</v>
      </c>
    </row>
    <row r="209">
      <c r="A209" s="6" t="s">
        <v>2488</v>
      </c>
      <c r="B209" s="6" t="s">
        <v>273</v>
      </c>
      <c r="C209" s="5">
        <f t="shared" si="1"/>
        <v>4</v>
      </c>
      <c r="D209" s="1" t="s">
        <v>116</v>
      </c>
      <c r="E209" s="1" t="s">
        <v>147</v>
      </c>
      <c r="F209" s="1" t="str">
        <f t="shared" si="2"/>
        <v>Deep</v>
      </c>
      <c r="G209" s="5" t="s">
        <v>21</v>
      </c>
      <c r="H209" s="5" t="s">
        <v>1909</v>
      </c>
      <c r="I209" s="5">
        <f t="shared" si="3"/>
        <v>0.0729</v>
      </c>
      <c r="J209" s="5" t="s">
        <v>1910</v>
      </c>
      <c r="K209" s="5">
        <f t="shared" si="4"/>
        <v>36.270745</v>
      </c>
      <c r="L209" s="5" t="s">
        <v>1912</v>
      </c>
      <c r="M209" s="5">
        <f t="shared" si="5"/>
        <v>0.0365</v>
      </c>
      <c r="N209" s="6" t="s">
        <v>410</v>
      </c>
      <c r="O209" s="5">
        <f t="shared" si="6"/>
        <v>49</v>
      </c>
    </row>
    <row r="210">
      <c r="A210" s="6" t="s">
        <v>2488</v>
      </c>
      <c r="B210" s="6" t="s">
        <v>273</v>
      </c>
      <c r="C210" s="5">
        <f t="shared" si="1"/>
        <v>4</v>
      </c>
      <c r="D210" s="1" t="s">
        <v>116</v>
      </c>
      <c r="E210" s="1" t="s">
        <v>32</v>
      </c>
      <c r="F210" s="1" t="str">
        <f t="shared" si="2"/>
        <v>Black</v>
      </c>
      <c r="G210" s="5" t="s">
        <v>14</v>
      </c>
      <c r="H210" s="5" t="s">
        <v>1914</v>
      </c>
      <c r="I210" s="5">
        <f t="shared" si="3"/>
        <v>2.075</v>
      </c>
      <c r="J210" s="5" t="s">
        <v>1915</v>
      </c>
      <c r="K210" s="5">
        <f t="shared" si="4"/>
        <v>96.486401</v>
      </c>
      <c r="L210" s="5" t="s">
        <v>1916</v>
      </c>
      <c r="M210" s="5">
        <f t="shared" si="5"/>
        <v>0.4773</v>
      </c>
      <c r="N210" s="6" t="s">
        <v>3852</v>
      </c>
      <c r="O210" s="5">
        <f t="shared" si="6"/>
        <v>421</v>
      </c>
    </row>
    <row r="211">
      <c r="A211" s="6" t="s">
        <v>2488</v>
      </c>
      <c r="B211" s="6" t="s">
        <v>273</v>
      </c>
      <c r="C211" s="5">
        <f t="shared" si="1"/>
        <v>4</v>
      </c>
      <c r="D211" s="1" t="s">
        <v>116</v>
      </c>
      <c r="E211" s="1" t="s">
        <v>32</v>
      </c>
      <c r="F211" s="1" t="str">
        <f t="shared" si="2"/>
        <v>Black</v>
      </c>
      <c r="G211" s="5" t="s">
        <v>21</v>
      </c>
      <c r="H211" s="9" t="s">
        <v>3856</v>
      </c>
      <c r="I211" s="5">
        <f t="shared" si="3"/>
        <v>3.1939</v>
      </c>
      <c r="J211" s="5" t="s">
        <v>1918</v>
      </c>
      <c r="K211" s="5">
        <f t="shared" si="4"/>
        <v>374.999533</v>
      </c>
      <c r="L211" s="9" t="s">
        <v>3859</v>
      </c>
      <c r="M211" s="5">
        <f t="shared" si="5"/>
        <v>1.4373</v>
      </c>
      <c r="N211" s="6" t="s">
        <v>3862</v>
      </c>
      <c r="O211" s="5">
        <f t="shared" si="6"/>
        <v>1777</v>
      </c>
    </row>
    <row r="212">
      <c r="A212" s="6" t="s">
        <v>2488</v>
      </c>
      <c r="B212" s="6" t="s">
        <v>273</v>
      </c>
      <c r="C212" s="5">
        <f t="shared" si="1"/>
        <v>4</v>
      </c>
      <c r="D212" s="1" t="s">
        <v>116</v>
      </c>
      <c r="E212" s="1" t="s">
        <v>1830</v>
      </c>
      <c r="F212" s="1" t="str">
        <f t="shared" si="2"/>
        <v>Magenta</v>
      </c>
      <c r="G212" s="5" t="s">
        <v>72</v>
      </c>
      <c r="H212" s="9" t="s">
        <v>1920</v>
      </c>
      <c r="I212" s="5">
        <f t="shared" si="3"/>
        <v>5.1391</v>
      </c>
      <c r="J212" s="5" t="s">
        <v>1921</v>
      </c>
      <c r="K212" s="5">
        <f t="shared" si="4"/>
        <v>458.184074</v>
      </c>
      <c r="L212" s="9" t="s">
        <v>3872</v>
      </c>
      <c r="M212" s="5">
        <f t="shared" si="5"/>
        <v>1.6445</v>
      </c>
      <c r="N212" s="6" t="s">
        <v>3875</v>
      </c>
      <c r="O212" s="5">
        <f t="shared" si="6"/>
        <v>3919</v>
      </c>
    </row>
    <row r="213">
      <c r="A213" s="6" t="s">
        <v>2488</v>
      </c>
      <c r="B213" s="6" t="s">
        <v>273</v>
      </c>
      <c r="C213" s="5">
        <f t="shared" si="1"/>
        <v>4</v>
      </c>
      <c r="D213" s="1" t="s">
        <v>116</v>
      </c>
      <c r="E213" s="1" t="s">
        <v>42</v>
      </c>
      <c r="F213" s="1" t="str">
        <f t="shared" si="2"/>
        <v>Red</v>
      </c>
      <c r="G213" s="5" t="s">
        <v>17</v>
      </c>
      <c r="H213" s="9" t="s">
        <v>3877</v>
      </c>
      <c r="I213" s="5">
        <f t="shared" si="3"/>
        <v>1.5242</v>
      </c>
      <c r="J213" s="5" t="s">
        <v>1925</v>
      </c>
      <c r="K213" s="5">
        <f t="shared" si="4"/>
        <v>283.17352</v>
      </c>
      <c r="L213" s="5" t="s">
        <v>1927</v>
      </c>
      <c r="M213" s="5">
        <f t="shared" si="5"/>
        <v>0.5639</v>
      </c>
      <c r="N213" s="6" t="s">
        <v>3881</v>
      </c>
      <c r="O213" s="5">
        <f t="shared" si="6"/>
        <v>201</v>
      </c>
    </row>
    <row r="214">
      <c r="A214" s="6" t="s">
        <v>2488</v>
      </c>
      <c r="B214" s="6" t="s">
        <v>273</v>
      </c>
      <c r="C214" s="5">
        <f t="shared" si="1"/>
        <v>4</v>
      </c>
      <c r="D214" s="1" t="s">
        <v>116</v>
      </c>
      <c r="E214" s="1" t="s">
        <v>158</v>
      </c>
      <c r="F214" s="1" t="str">
        <f t="shared" si="2"/>
        <v>Dim</v>
      </c>
      <c r="G214" s="5" t="s">
        <v>39</v>
      </c>
      <c r="H214" s="5" t="s">
        <v>414</v>
      </c>
      <c r="I214" s="5">
        <f t="shared" si="3"/>
        <v>0.0007</v>
      </c>
      <c r="J214" s="5" t="s">
        <v>687</v>
      </c>
      <c r="K214" s="5">
        <f t="shared" si="4"/>
        <v>0.330204</v>
      </c>
      <c r="L214" s="5" t="s">
        <v>596</v>
      </c>
      <c r="M214" s="5">
        <f t="shared" si="5"/>
        <v>0.0001</v>
      </c>
      <c r="N214" s="6" t="s">
        <v>291</v>
      </c>
      <c r="O214" s="5">
        <f t="shared" si="6"/>
        <v>0</v>
      </c>
    </row>
    <row r="215">
      <c r="A215" s="6" t="s">
        <v>2488</v>
      </c>
      <c r="B215" s="6" t="s">
        <v>273</v>
      </c>
      <c r="C215" s="5">
        <f t="shared" si="1"/>
        <v>4</v>
      </c>
      <c r="D215" s="1" t="s">
        <v>116</v>
      </c>
      <c r="E215" s="1" t="s">
        <v>158</v>
      </c>
      <c r="F215" s="1" t="str">
        <f t="shared" si="2"/>
        <v>Dim</v>
      </c>
      <c r="G215" s="5" t="s">
        <v>17</v>
      </c>
      <c r="H215" s="5" t="s">
        <v>1933</v>
      </c>
      <c r="I215" s="5">
        <f t="shared" si="3"/>
        <v>0.0837</v>
      </c>
      <c r="J215" s="5" t="s">
        <v>1934</v>
      </c>
      <c r="K215" s="5">
        <f t="shared" si="4"/>
        <v>38.515669</v>
      </c>
      <c r="L215" s="5" t="s">
        <v>1935</v>
      </c>
      <c r="M215" s="5">
        <f t="shared" si="5"/>
        <v>0.0293</v>
      </c>
      <c r="N215" s="6" t="s">
        <v>291</v>
      </c>
      <c r="O215" s="5">
        <f t="shared" si="6"/>
        <v>0</v>
      </c>
    </row>
    <row r="216">
      <c r="A216" s="6" t="s">
        <v>2488</v>
      </c>
      <c r="B216" s="6" t="s">
        <v>273</v>
      </c>
      <c r="C216" s="5">
        <f t="shared" si="1"/>
        <v>4</v>
      </c>
      <c r="D216" s="1" t="s">
        <v>116</v>
      </c>
      <c r="E216" s="1" t="s">
        <v>158</v>
      </c>
      <c r="F216" s="1" t="str">
        <f t="shared" si="2"/>
        <v>Dim</v>
      </c>
      <c r="G216" s="5" t="s">
        <v>21</v>
      </c>
      <c r="H216" s="5" t="s">
        <v>1937</v>
      </c>
      <c r="I216" s="5">
        <f t="shared" si="3"/>
        <v>0.3279</v>
      </c>
      <c r="J216" s="5" t="s">
        <v>1939</v>
      </c>
      <c r="K216" s="5">
        <f t="shared" si="4"/>
        <v>191.166691</v>
      </c>
      <c r="L216" s="5" t="s">
        <v>1940</v>
      </c>
      <c r="M216" s="5">
        <f t="shared" si="5"/>
        <v>0.1377</v>
      </c>
      <c r="N216" s="6" t="s">
        <v>291</v>
      </c>
      <c r="O216" s="5">
        <f t="shared" si="6"/>
        <v>0</v>
      </c>
    </row>
    <row r="217">
      <c r="A217" s="6" t="s">
        <v>2488</v>
      </c>
      <c r="B217" s="6" t="s">
        <v>273</v>
      </c>
      <c r="C217" s="5">
        <f t="shared" si="1"/>
        <v>4</v>
      </c>
      <c r="D217" s="1" t="s">
        <v>116</v>
      </c>
      <c r="E217" s="1" t="s">
        <v>330</v>
      </c>
      <c r="F217" s="1" t="str">
        <f t="shared" si="2"/>
        <v>Moderate</v>
      </c>
      <c r="G217" s="5" t="s">
        <v>17</v>
      </c>
      <c r="H217" s="9" t="s">
        <v>1622</v>
      </c>
      <c r="I217" s="5">
        <f t="shared" si="3"/>
        <v>1.1543</v>
      </c>
      <c r="J217" s="5" t="s">
        <v>1944</v>
      </c>
      <c r="K217" s="5">
        <f t="shared" si="4"/>
        <v>213.325979</v>
      </c>
      <c r="L217" s="5" t="s">
        <v>1946</v>
      </c>
      <c r="M217" s="5">
        <f t="shared" si="5"/>
        <v>0.404</v>
      </c>
      <c r="N217" s="6" t="s">
        <v>3901</v>
      </c>
      <c r="O217" s="5">
        <f t="shared" si="6"/>
        <v>116</v>
      </c>
    </row>
    <row r="218">
      <c r="A218" s="6" t="s">
        <v>2488</v>
      </c>
      <c r="B218" s="6" t="s">
        <v>273</v>
      </c>
      <c r="C218" s="5">
        <f t="shared" si="1"/>
        <v>4</v>
      </c>
      <c r="D218" s="1" t="s">
        <v>116</v>
      </c>
      <c r="E218" s="1" t="s">
        <v>1949</v>
      </c>
      <c r="F218" s="1" t="str">
        <f t="shared" si="2"/>
        <v>Beige</v>
      </c>
      <c r="G218" s="5" t="s">
        <v>14</v>
      </c>
      <c r="H218" s="5" t="s">
        <v>1950</v>
      </c>
      <c r="I218" s="5">
        <f t="shared" si="3"/>
        <v>0.1671</v>
      </c>
      <c r="J218" s="5" t="s">
        <v>1951</v>
      </c>
      <c r="K218" s="5">
        <f t="shared" si="4"/>
        <v>83.72971</v>
      </c>
      <c r="L218" s="5" t="s">
        <v>1957</v>
      </c>
      <c r="M218" s="5">
        <f t="shared" si="5"/>
        <v>0.0334</v>
      </c>
      <c r="N218" s="6" t="s">
        <v>291</v>
      </c>
      <c r="O218" s="5">
        <f t="shared" si="6"/>
        <v>0</v>
      </c>
    </row>
    <row r="219">
      <c r="A219" s="6" t="s">
        <v>2488</v>
      </c>
      <c r="B219" s="6" t="s">
        <v>273</v>
      </c>
      <c r="C219" s="5">
        <f t="shared" si="1"/>
        <v>4</v>
      </c>
      <c r="D219" s="1" t="s">
        <v>116</v>
      </c>
      <c r="E219" s="1" t="s">
        <v>1949</v>
      </c>
      <c r="F219" s="1" t="str">
        <f t="shared" si="2"/>
        <v>Beige</v>
      </c>
      <c r="G219" s="5" t="s">
        <v>17</v>
      </c>
      <c r="H219" s="5" t="s">
        <v>1959</v>
      </c>
      <c r="I219" s="5">
        <f t="shared" si="3"/>
        <v>0.2441</v>
      </c>
      <c r="J219" s="5" t="s">
        <v>1960</v>
      </c>
      <c r="K219" s="5">
        <f t="shared" si="4"/>
        <v>124.685178</v>
      </c>
      <c r="L219" s="5" t="s">
        <v>1963</v>
      </c>
      <c r="M219" s="5">
        <f t="shared" si="5"/>
        <v>0.0855</v>
      </c>
      <c r="N219" s="6" t="s">
        <v>291</v>
      </c>
      <c r="O219" s="5">
        <f t="shared" si="6"/>
        <v>0</v>
      </c>
    </row>
    <row r="220">
      <c r="A220" s="6" t="s">
        <v>2488</v>
      </c>
      <c r="B220" s="6" t="s">
        <v>3552</v>
      </c>
      <c r="C220" s="5">
        <f t="shared" si="1"/>
        <v>5</v>
      </c>
      <c r="D220" s="1" t="s">
        <v>12</v>
      </c>
      <c r="E220" s="1" t="s">
        <v>2497</v>
      </c>
      <c r="F220" s="1" t="str">
        <f t="shared" si="2"/>
        <v>Green</v>
      </c>
      <c r="G220" s="5" t="s">
        <v>14</v>
      </c>
      <c r="H220" s="5" t="s">
        <v>1966</v>
      </c>
      <c r="I220" s="5">
        <f t="shared" si="3"/>
        <v>13.5576</v>
      </c>
      <c r="J220" s="5" t="s">
        <v>1967</v>
      </c>
      <c r="K220" s="5">
        <f t="shared" si="4"/>
        <v>911.409847</v>
      </c>
      <c r="L220" s="9" t="s">
        <v>3910</v>
      </c>
      <c r="M220" s="5">
        <f t="shared" si="5"/>
        <v>2.8471</v>
      </c>
      <c r="N220" s="6" t="s">
        <v>2720</v>
      </c>
      <c r="O220" s="5">
        <f t="shared" si="6"/>
        <v>558</v>
      </c>
    </row>
    <row r="221">
      <c r="A221" s="6" t="s">
        <v>2488</v>
      </c>
      <c r="B221" s="6" t="s">
        <v>3552</v>
      </c>
      <c r="C221" s="5">
        <f t="shared" si="1"/>
        <v>5</v>
      </c>
      <c r="D221" s="1" t="s">
        <v>12</v>
      </c>
      <c r="E221" s="1" t="s">
        <v>2497</v>
      </c>
      <c r="F221" s="1" t="str">
        <f t="shared" si="2"/>
        <v>Green</v>
      </c>
      <c r="G221" s="5" t="s">
        <v>17</v>
      </c>
      <c r="H221" s="5" t="s">
        <v>1970</v>
      </c>
      <c r="I221" s="5">
        <f t="shared" si="3"/>
        <v>47.7186</v>
      </c>
      <c r="J221" s="5" t="s">
        <v>1972</v>
      </c>
      <c r="K221" s="5">
        <f t="shared" si="4"/>
        <v>4885.222894</v>
      </c>
      <c r="L221" s="5" t="s">
        <v>1974</v>
      </c>
      <c r="M221" s="5">
        <f t="shared" si="5"/>
        <v>16.7014</v>
      </c>
      <c r="N221" s="6" t="s">
        <v>3917</v>
      </c>
      <c r="O221" s="5">
        <f t="shared" si="6"/>
        <v>788</v>
      </c>
    </row>
    <row r="222">
      <c r="A222" s="6" t="s">
        <v>2488</v>
      </c>
      <c r="B222" s="6" t="s">
        <v>3552</v>
      </c>
      <c r="C222" s="5">
        <f t="shared" si="1"/>
        <v>5</v>
      </c>
      <c r="D222" s="1" t="s">
        <v>12</v>
      </c>
      <c r="E222" s="1" t="s">
        <v>2497</v>
      </c>
      <c r="F222" s="1" t="str">
        <f t="shared" si="2"/>
        <v>Green</v>
      </c>
      <c r="G222" s="5" t="s">
        <v>21</v>
      </c>
      <c r="H222" s="5" t="s">
        <v>1976</v>
      </c>
      <c r="I222" s="5">
        <f t="shared" si="3"/>
        <v>44.885</v>
      </c>
      <c r="J222" s="5" t="s">
        <v>1977</v>
      </c>
      <c r="K222" s="5">
        <f t="shared" si="4"/>
        <v>4601.925382</v>
      </c>
      <c r="L222" s="5" t="s">
        <v>1979</v>
      </c>
      <c r="M222" s="5">
        <f t="shared" si="5"/>
        <v>22.4425</v>
      </c>
      <c r="N222" s="6" t="s">
        <v>3923</v>
      </c>
      <c r="O222" s="5">
        <f t="shared" si="6"/>
        <v>573</v>
      </c>
    </row>
    <row r="223">
      <c r="A223" s="6" t="s">
        <v>2488</v>
      </c>
      <c r="B223" s="6" t="s">
        <v>3552</v>
      </c>
      <c r="C223" s="5">
        <f t="shared" si="1"/>
        <v>5</v>
      </c>
      <c r="D223" s="1" t="s">
        <v>12</v>
      </c>
      <c r="E223" s="1" t="s">
        <v>29</v>
      </c>
      <c r="F223" s="1" t="str">
        <f t="shared" si="2"/>
        <v>Blue</v>
      </c>
      <c r="G223" s="5" t="s">
        <v>14</v>
      </c>
      <c r="H223" s="5" t="s">
        <v>1982</v>
      </c>
      <c r="I223" s="5">
        <f t="shared" si="3"/>
        <v>0.0874</v>
      </c>
      <c r="J223" s="5" t="s">
        <v>1983</v>
      </c>
      <c r="K223" s="5">
        <f t="shared" si="4"/>
        <v>10.906751</v>
      </c>
      <c r="L223" s="5" t="s">
        <v>1771</v>
      </c>
      <c r="M223" s="5">
        <f t="shared" si="5"/>
        <v>0.0174</v>
      </c>
      <c r="N223" s="6" t="s">
        <v>3927</v>
      </c>
      <c r="O223" s="5">
        <f t="shared" si="6"/>
        <v>9</v>
      </c>
    </row>
    <row r="224">
      <c r="A224" s="6" t="s">
        <v>2488</v>
      </c>
      <c r="B224" s="6" t="s">
        <v>3552</v>
      </c>
      <c r="C224" s="5">
        <f t="shared" si="1"/>
        <v>5</v>
      </c>
      <c r="D224" s="1" t="s">
        <v>12</v>
      </c>
      <c r="E224" s="1" t="s">
        <v>29</v>
      </c>
      <c r="F224" s="1" t="str">
        <f t="shared" si="2"/>
        <v>Blue</v>
      </c>
      <c r="G224" s="5" t="s">
        <v>21</v>
      </c>
      <c r="H224" s="5" t="s">
        <v>1986</v>
      </c>
      <c r="I224" s="5">
        <f t="shared" si="3"/>
        <v>30.9377</v>
      </c>
      <c r="J224" s="5" t="s">
        <v>1987</v>
      </c>
      <c r="K224" s="5">
        <f t="shared" si="4"/>
        <v>5422.175792</v>
      </c>
      <c r="L224" s="9" t="s">
        <v>3932</v>
      </c>
      <c r="M224" s="5">
        <f t="shared" si="5"/>
        <v>12.3752</v>
      </c>
      <c r="N224" s="6" t="s">
        <v>3934</v>
      </c>
      <c r="O224" s="5">
        <f t="shared" si="6"/>
        <v>645</v>
      </c>
    </row>
    <row r="225">
      <c r="A225" s="6" t="s">
        <v>2488</v>
      </c>
      <c r="B225" s="6" t="s">
        <v>3552</v>
      </c>
      <c r="C225" s="5">
        <f t="shared" si="1"/>
        <v>5</v>
      </c>
      <c r="D225" s="1" t="s">
        <v>12</v>
      </c>
      <c r="E225" s="1" t="s">
        <v>38</v>
      </c>
      <c r="F225" s="1" t="str">
        <f t="shared" si="2"/>
        <v>White</v>
      </c>
      <c r="G225" s="5" t="s">
        <v>39</v>
      </c>
      <c r="H225" s="9" t="s">
        <v>4213</v>
      </c>
      <c r="I225" s="5">
        <f t="shared" si="3"/>
        <v>2.4347</v>
      </c>
      <c r="J225" s="5" t="s">
        <v>1990</v>
      </c>
      <c r="K225" s="5">
        <f t="shared" si="4"/>
        <v>266.134121</v>
      </c>
      <c r="L225" s="5" t="s">
        <v>1991</v>
      </c>
      <c r="M225" s="5">
        <f t="shared" si="5"/>
        <v>0.4383</v>
      </c>
      <c r="N225" s="6" t="s">
        <v>3624</v>
      </c>
      <c r="O225" s="5">
        <f t="shared" si="6"/>
        <v>98</v>
      </c>
    </row>
    <row r="226">
      <c r="A226" s="6" t="s">
        <v>2488</v>
      </c>
      <c r="B226" s="6" t="s">
        <v>3552</v>
      </c>
      <c r="C226" s="5">
        <f t="shared" si="1"/>
        <v>5</v>
      </c>
      <c r="D226" s="1" t="s">
        <v>12</v>
      </c>
      <c r="E226" s="1" t="s">
        <v>45</v>
      </c>
      <c r="F226" s="1" t="str">
        <f t="shared" si="2"/>
        <v>Yellow</v>
      </c>
      <c r="G226" s="5" t="s">
        <v>17</v>
      </c>
      <c r="H226" s="9" t="s">
        <v>4214</v>
      </c>
      <c r="I226" s="5">
        <f t="shared" si="3"/>
        <v>3.0084</v>
      </c>
      <c r="J226" s="5" t="s">
        <v>1994</v>
      </c>
      <c r="K226" s="5">
        <f t="shared" si="4"/>
        <v>254.339266</v>
      </c>
      <c r="L226" s="5" t="s">
        <v>2260</v>
      </c>
      <c r="M226" s="5">
        <f t="shared" si="5"/>
        <v>1.083</v>
      </c>
      <c r="N226" s="6" t="s">
        <v>4215</v>
      </c>
      <c r="O226" s="5">
        <f t="shared" si="6"/>
        <v>229</v>
      </c>
    </row>
    <row r="227">
      <c r="A227" s="6" t="s">
        <v>2488</v>
      </c>
      <c r="B227" s="6" t="s">
        <v>3552</v>
      </c>
      <c r="C227" s="5">
        <f t="shared" si="1"/>
        <v>5</v>
      </c>
      <c r="D227" s="1" t="s">
        <v>12</v>
      </c>
      <c r="E227" s="1" t="s">
        <v>32</v>
      </c>
      <c r="F227" s="1" t="str">
        <f t="shared" si="2"/>
        <v>Black</v>
      </c>
      <c r="G227" s="5" t="s">
        <v>14</v>
      </c>
      <c r="H227" s="9" t="s">
        <v>4216</v>
      </c>
      <c r="I227" s="5">
        <f t="shared" si="3"/>
        <v>1.2446</v>
      </c>
      <c r="J227" s="5" t="s">
        <v>2261</v>
      </c>
      <c r="K227" s="5">
        <f t="shared" si="4"/>
        <v>82.654955</v>
      </c>
      <c r="L227" s="5" t="s">
        <v>2262</v>
      </c>
      <c r="M227" s="5">
        <f t="shared" si="5"/>
        <v>0.2862</v>
      </c>
      <c r="N227" s="6" t="s">
        <v>4217</v>
      </c>
      <c r="O227" s="5">
        <f t="shared" si="6"/>
        <v>205</v>
      </c>
    </row>
    <row r="228">
      <c r="A228" s="6" t="s">
        <v>2488</v>
      </c>
      <c r="B228" s="6" t="s">
        <v>3552</v>
      </c>
      <c r="C228" s="5">
        <f t="shared" si="1"/>
        <v>5</v>
      </c>
      <c r="D228" s="1" t="s">
        <v>12</v>
      </c>
      <c r="E228" s="1" t="s">
        <v>32</v>
      </c>
      <c r="F228" s="1" t="str">
        <f t="shared" si="2"/>
        <v>Black</v>
      </c>
      <c r="G228" s="5" t="s">
        <v>21</v>
      </c>
      <c r="H228" s="5" t="s">
        <v>2263</v>
      </c>
      <c r="I228" s="5">
        <f t="shared" si="3"/>
        <v>1.368</v>
      </c>
      <c r="J228" s="5" t="s">
        <v>2264</v>
      </c>
      <c r="K228" s="5">
        <f t="shared" si="4"/>
        <v>98.160894</v>
      </c>
      <c r="L228" s="5" t="s">
        <v>2265</v>
      </c>
      <c r="M228" s="5">
        <f t="shared" si="5"/>
        <v>0.6156</v>
      </c>
      <c r="N228" s="6" t="s">
        <v>4218</v>
      </c>
      <c r="O228" s="5">
        <f t="shared" si="6"/>
        <v>85</v>
      </c>
    </row>
    <row r="229">
      <c r="A229" s="6" t="s">
        <v>2488</v>
      </c>
      <c r="B229" s="6" t="s">
        <v>3552</v>
      </c>
      <c r="C229" s="5">
        <f t="shared" si="1"/>
        <v>5</v>
      </c>
      <c r="D229" s="1" t="s">
        <v>12</v>
      </c>
      <c r="E229" s="1" t="s">
        <v>56</v>
      </c>
      <c r="F229" s="1" t="str">
        <f t="shared" si="2"/>
        <v>Purple</v>
      </c>
      <c r="G229" s="5" t="s">
        <v>21</v>
      </c>
      <c r="H229" s="5" t="s">
        <v>2266</v>
      </c>
      <c r="I229" s="5">
        <f t="shared" si="3"/>
        <v>1.068</v>
      </c>
      <c r="J229" s="5" t="s">
        <v>2267</v>
      </c>
      <c r="K229" s="5">
        <f t="shared" si="4"/>
        <v>168.19323</v>
      </c>
      <c r="L229" s="5" t="s">
        <v>2268</v>
      </c>
      <c r="M229" s="5">
        <f t="shared" si="5"/>
        <v>0.4272</v>
      </c>
      <c r="N229" s="6" t="s">
        <v>4219</v>
      </c>
      <c r="O229" s="5">
        <f t="shared" si="6"/>
        <v>207</v>
      </c>
    </row>
    <row r="230">
      <c r="A230" s="6" t="s">
        <v>2488</v>
      </c>
      <c r="B230" s="6" t="s">
        <v>3552</v>
      </c>
      <c r="C230" s="5">
        <f t="shared" si="1"/>
        <v>5</v>
      </c>
      <c r="D230" s="1" t="s">
        <v>12</v>
      </c>
      <c r="E230" s="1" t="s">
        <v>48</v>
      </c>
      <c r="F230" s="1" t="str">
        <f t="shared" si="2"/>
        <v>Orange</v>
      </c>
      <c r="G230" s="5" t="s">
        <v>49</v>
      </c>
      <c r="H230" s="5" t="s">
        <v>2269</v>
      </c>
      <c r="I230" s="5">
        <f t="shared" si="3"/>
        <v>0.0445</v>
      </c>
      <c r="J230" s="5" t="s">
        <v>2270</v>
      </c>
      <c r="K230" s="5">
        <f t="shared" si="4"/>
        <v>14.372702</v>
      </c>
      <c r="L230" s="5" t="s">
        <v>1671</v>
      </c>
      <c r="M230" s="5">
        <f t="shared" si="5"/>
        <v>0.0125</v>
      </c>
      <c r="N230" s="6" t="s">
        <v>1638</v>
      </c>
      <c r="O230" s="5">
        <f t="shared" si="6"/>
        <v>16</v>
      </c>
    </row>
    <row r="231">
      <c r="A231" s="6" t="s">
        <v>2488</v>
      </c>
      <c r="B231" s="6" t="s">
        <v>3552</v>
      </c>
      <c r="C231" s="5">
        <f t="shared" si="1"/>
        <v>5</v>
      </c>
      <c r="D231" s="1" t="s">
        <v>12</v>
      </c>
      <c r="E231" s="1" t="s">
        <v>48</v>
      </c>
      <c r="F231" s="1" t="str">
        <f t="shared" si="2"/>
        <v>Orange</v>
      </c>
      <c r="G231" s="5" t="s">
        <v>21</v>
      </c>
      <c r="H231" s="9" t="s">
        <v>2271</v>
      </c>
      <c r="I231" s="5">
        <f t="shared" si="3"/>
        <v>1.1576</v>
      </c>
      <c r="J231" s="5" t="s">
        <v>2272</v>
      </c>
      <c r="K231" s="5">
        <f t="shared" si="4"/>
        <v>149.289834</v>
      </c>
      <c r="L231" s="5" t="s">
        <v>2273</v>
      </c>
      <c r="M231" s="5">
        <f t="shared" si="5"/>
        <v>0.4631</v>
      </c>
      <c r="N231" s="6" t="s">
        <v>3626</v>
      </c>
      <c r="O231" s="5">
        <f t="shared" si="6"/>
        <v>164</v>
      </c>
    </row>
    <row r="232">
      <c r="A232" s="6" t="s">
        <v>2488</v>
      </c>
      <c r="B232" s="6" t="s">
        <v>3552</v>
      </c>
      <c r="C232" s="5">
        <f t="shared" si="1"/>
        <v>5</v>
      </c>
      <c r="D232" s="1" t="s">
        <v>12</v>
      </c>
      <c r="E232" s="1" t="s">
        <v>42</v>
      </c>
      <c r="F232" s="1" t="str">
        <f t="shared" si="2"/>
        <v>Red</v>
      </c>
      <c r="G232" s="5" t="s">
        <v>17</v>
      </c>
      <c r="H232" s="5" t="s">
        <v>2274</v>
      </c>
      <c r="I232" s="5">
        <f t="shared" si="3"/>
        <v>0.4292</v>
      </c>
      <c r="J232" s="5" t="s">
        <v>2275</v>
      </c>
      <c r="K232" s="5">
        <f t="shared" si="4"/>
        <v>74.99866</v>
      </c>
      <c r="L232" s="5" t="s">
        <v>2276</v>
      </c>
      <c r="M232" s="5">
        <f t="shared" si="5"/>
        <v>0.1587</v>
      </c>
      <c r="N232" s="6" t="s">
        <v>3566</v>
      </c>
      <c r="O232" s="5">
        <f t="shared" si="6"/>
        <v>46</v>
      </c>
    </row>
    <row r="233">
      <c r="A233" s="6" t="s">
        <v>2488</v>
      </c>
      <c r="B233" s="6" t="s">
        <v>3552</v>
      </c>
      <c r="C233" s="5">
        <f t="shared" si="1"/>
        <v>5</v>
      </c>
      <c r="D233" s="1" t="s">
        <v>12</v>
      </c>
      <c r="E233" s="1" t="s">
        <v>544</v>
      </c>
      <c r="F233" s="1" t="str">
        <f t="shared" si="2"/>
        <v>Golden</v>
      </c>
      <c r="G233" s="5" t="s">
        <v>17</v>
      </c>
      <c r="H233" s="9" t="s">
        <v>4220</v>
      </c>
      <c r="I233" s="5">
        <f t="shared" si="3"/>
        <v>1.1917</v>
      </c>
      <c r="J233" s="5" t="s">
        <v>2277</v>
      </c>
      <c r="K233" s="5">
        <f t="shared" si="4"/>
        <v>73.4467</v>
      </c>
      <c r="L233" s="5" t="s">
        <v>2278</v>
      </c>
      <c r="M233" s="5">
        <f t="shared" si="5"/>
        <v>0.4171</v>
      </c>
      <c r="N233" s="6" t="s">
        <v>3836</v>
      </c>
      <c r="O233" s="5">
        <f t="shared" si="6"/>
        <v>107</v>
      </c>
    </row>
    <row r="234">
      <c r="A234" s="6" t="s">
        <v>2488</v>
      </c>
      <c r="B234" s="6" t="s">
        <v>3552</v>
      </c>
      <c r="C234" s="5">
        <f t="shared" si="1"/>
        <v>5</v>
      </c>
      <c r="D234" s="1" t="s">
        <v>12</v>
      </c>
      <c r="E234" s="1" t="s">
        <v>848</v>
      </c>
      <c r="F234" s="1" t="str">
        <f t="shared" si="2"/>
        <v>Lime</v>
      </c>
      <c r="G234" s="5" t="s">
        <v>21</v>
      </c>
      <c r="H234" s="5" t="s">
        <v>2279</v>
      </c>
      <c r="I234" s="5">
        <f t="shared" si="3"/>
        <v>0.2538</v>
      </c>
      <c r="J234" s="5" t="s">
        <v>2280</v>
      </c>
      <c r="K234" s="5">
        <f t="shared" si="4"/>
        <v>44.394432</v>
      </c>
      <c r="L234" s="5" t="s">
        <v>2281</v>
      </c>
      <c r="M234" s="5">
        <f t="shared" si="5"/>
        <v>0.1015</v>
      </c>
      <c r="N234" s="6" t="s">
        <v>291</v>
      </c>
      <c r="O234" s="5">
        <f t="shared" si="6"/>
        <v>0</v>
      </c>
    </row>
    <row r="235">
      <c r="A235" s="6" t="s">
        <v>2488</v>
      </c>
      <c r="B235" s="6" t="s">
        <v>3552</v>
      </c>
      <c r="C235" s="5">
        <f t="shared" si="1"/>
        <v>5</v>
      </c>
      <c r="D235" s="1" t="s">
        <v>68</v>
      </c>
      <c r="E235" s="1" t="s">
        <v>2497</v>
      </c>
      <c r="F235" s="1" t="str">
        <f t="shared" si="2"/>
        <v>Green</v>
      </c>
      <c r="G235" s="5" t="s">
        <v>14</v>
      </c>
      <c r="H235" s="5" t="s">
        <v>2282</v>
      </c>
      <c r="I235" s="5">
        <f t="shared" si="3"/>
        <v>50.3357</v>
      </c>
      <c r="J235" s="5" t="s">
        <v>2283</v>
      </c>
      <c r="K235" s="5">
        <f t="shared" si="4"/>
        <v>3091.481526</v>
      </c>
      <c r="L235" s="9" t="s">
        <v>4221</v>
      </c>
      <c r="M235" s="5">
        <f t="shared" si="5"/>
        <v>10.5705</v>
      </c>
      <c r="N235" s="6" t="s">
        <v>4222</v>
      </c>
      <c r="O235" s="5">
        <f t="shared" si="6"/>
        <v>7285</v>
      </c>
    </row>
    <row r="236">
      <c r="A236" s="6" t="s">
        <v>2488</v>
      </c>
      <c r="B236" s="6" t="s">
        <v>3552</v>
      </c>
      <c r="C236" s="5">
        <f t="shared" si="1"/>
        <v>5</v>
      </c>
      <c r="D236" s="1" t="s">
        <v>68</v>
      </c>
      <c r="E236" s="1" t="s">
        <v>2497</v>
      </c>
      <c r="F236" s="1" t="str">
        <f t="shared" si="2"/>
        <v>Green</v>
      </c>
      <c r="G236" s="5" t="s">
        <v>17</v>
      </c>
      <c r="H236" s="5" t="s">
        <v>2284</v>
      </c>
      <c r="I236" s="5">
        <f t="shared" si="3"/>
        <v>47.7021</v>
      </c>
      <c r="J236" s="5" t="s">
        <v>2285</v>
      </c>
      <c r="K236" s="5">
        <f t="shared" si="4"/>
        <v>4930.199559</v>
      </c>
      <c r="L236" s="5" t="s">
        <v>2286</v>
      </c>
      <c r="M236" s="5">
        <f t="shared" si="5"/>
        <v>16.6957</v>
      </c>
      <c r="N236" s="6" t="s">
        <v>4223</v>
      </c>
      <c r="O236" s="5">
        <f t="shared" si="6"/>
        <v>8658</v>
      </c>
    </row>
    <row r="237">
      <c r="A237" s="6" t="s">
        <v>2488</v>
      </c>
      <c r="B237" s="6" t="s">
        <v>3552</v>
      </c>
      <c r="C237" s="5">
        <f t="shared" si="1"/>
        <v>5</v>
      </c>
      <c r="D237" s="1" t="s">
        <v>68</v>
      </c>
      <c r="E237" s="1" t="s">
        <v>2497</v>
      </c>
      <c r="F237" s="1" t="str">
        <f t="shared" si="2"/>
        <v>Green</v>
      </c>
      <c r="G237" s="5" t="s">
        <v>21</v>
      </c>
      <c r="H237" s="9" t="s">
        <v>4224</v>
      </c>
      <c r="I237" s="5">
        <f t="shared" si="3"/>
        <v>4.3447</v>
      </c>
      <c r="J237" s="5" t="s">
        <v>2287</v>
      </c>
      <c r="K237" s="5">
        <f t="shared" si="4"/>
        <v>627.314739</v>
      </c>
      <c r="L237" s="9" t="s">
        <v>2288</v>
      </c>
      <c r="M237" s="5">
        <f t="shared" si="5"/>
        <v>2.1724</v>
      </c>
      <c r="N237" s="6" t="s">
        <v>4225</v>
      </c>
      <c r="O237" s="5">
        <f t="shared" si="6"/>
        <v>566</v>
      </c>
    </row>
    <row r="238">
      <c r="A238" s="6" t="s">
        <v>2488</v>
      </c>
      <c r="B238" s="6" t="s">
        <v>3552</v>
      </c>
      <c r="C238" s="5">
        <f t="shared" si="1"/>
        <v>5</v>
      </c>
      <c r="D238" s="1" t="s">
        <v>68</v>
      </c>
      <c r="E238" s="1" t="s">
        <v>2497</v>
      </c>
      <c r="F238" s="1" t="str">
        <f t="shared" si="2"/>
        <v>Green</v>
      </c>
      <c r="G238" s="5" t="s">
        <v>25</v>
      </c>
      <c r="H238" s="5" t="s">
        <v>2289</v>
      </c>
      <c r="I238" s="5">
        <f t="shared" si="3"/>
        <v>0.3834</v>
      </c>
      <c r="J238" s="5" t="s">
        <v>2290</v>
      </c>
      <c r="K238" s="5">
        <f t="shared" si="4"/>
        <v>61.92317</v>
      </c>
      <c r="L238" s="5" t="s">
        <v>2291</v>
      </c>
      <c r="M238" s="5">
        <f t="shared" si="5"/>
        <v>0.2876</v>
      </c>
      <c r="N238" s="6" t="s">
        <v>4226</v>
      </c>
      <c r="O238" s="5">
        <f t="shared" si="6"/>
        <v>173</v>
      </c>
    </row>
    <row r="239">
      <c r="A239" s="6" t="s">
        <v>2488</v>
      </c>
      <c r="B239" s="6" t="s">
        <v>3552</v>
      </c>
      <c r="C239" s="5">
        <f t="shared" si="1"/>
        <v>5</v>
      </c>
      <c r="D239" s="1" t="s">
        <v>68</v>
      </c>
      <c r="E239" s="1" t="s">
        <v>29</v>
      </c>
      <c r="F239" s="1" t="str">
        <f t="shared" si="2"/>
        <v>Blue</v>
      </c>
      <c r="G239" s="5" t="s">
        <v>14</v>
      </c>
      <c r="H239" s="5" t="s">
        <v>639</v>
      </c>
      <c r="I239" s="5">
        <f t="shared" si="3"/>
        <v>0.0121</v>
      </c>
      <c r="J239" s="5" t="s">
        <v>2292</v>
      </c>
      <c r="K239" s="5">
        <f t="shared" si="4"/>
        <v>1.590881</v>
      </c>
      <c r="L239" s="5" t="s">
        <v>1758</v>
      </c>
      <c r="M239" s="5">
        <f t="shared" si="5"/>
        <v>0.0024</v>
      </c>
      <c r="N239" s="6" t="s">
        <v>2672</v>
      </c>
      <c r="O239" s="5">
        <f t="shared" si="6"/>
        <v>8</v>
      </c>
    </row>
    <row r="240">
      <c r="A240" s="6" t="s">
        <v>2488</v>
      </c>
      <c r="B240" s="6" t="s">
        <v>3552</v>
      </c>
      <c r="C240" s="5">
        <f t="shared" si="1"/>
        <v>5</v>
      </c>
      <c r="D240" s="1" t="s">
        <v>68</v>
      </c>
      <c r="E240" s="1" t="s">
        <v>29</v>
      </c>
      <c r="F240" s="1" t="str">
        <f t="shared" si="2"/>
        <v>Blue</v>
      </c>
      <c r="G240" s="5" t="s">
        <v>21</v>
      </c>
      <c r="H240" s="9" t="s">
        <v>4227</v>
      </c>
      <c r="I240" s="5">
        <f t="shared" si="3"/>
        <v>5.9219</v>
      </c>
      <c r="J240" s="5" t="s">
        <v>2293</v>
      </c>
      <c r="K240" s="5">
        <f t="shared" si="4"/>
        <v>1154.483978</v>
      </c>
      <c r="L240" s="9" t="s">
        <v>4228</v>
      </c>
      <c r="M240" s="5">
        <f t="shared" si="5"/>
        <v>2.3687</v>
      </c>
      <c r="N240" s="6" t="s">
        <v>4229</v>
      </c>
      <c r="O240" s="5">
        <f t="shared" si="6"/>
        <v>904</v>
      </c>
    </row>
    <row r="241">
      <c r="A241" s="6" t="s">
        <v>2488</v>
      </c>
      <c r="B241" s="6" t="s">
        <v>3552</v>
      </c>
      <c r="C241" s="5">
        <f t="shared" si="1"/>
        <v>5</v>
      </c>
      <c r="D241" s="1" t="s">
        <v>68</v>
      </c>
      <c r="E241" s="1" t="s">
        <v>45</v>
      </c>
      <c r="F241" s="1" t="str">
        <f t="shared" si="2"/>
        <v>Yellow</v>
      </c>
      <c r="G241" s="5" t="s">
        <v>17</v>
      </c>
      <c r="H241" s="9" t="s">
        <v>4230</v>
      </c>
      <c r="I241" s="5">
        <f t="shared" si="3"/>
        <v>11.3992</v>
      </c>
      <c r="J241" s="5" t="s">
        <v>2294</v>
      </c>
      <c r="K241" s="5">
        <f t="shared" si="4"/>
        <v>729.85568</v>
      </c>
      <c r="L241" s="9" t="s">
        <v>2295</v>
      </c>
      <c r="M241" s="5">
        <f t="shared" si="5"/>
        <v>4.1037</v>
      </c>
      <c r="N241" s="6" t="s">
        <v>4231</v>
      </c>
      <c r="O241" s="5">
        <f t="shared" si="6"/>
        <v>1552</v>
      </c>
    </row>
    <row r="242">
      <c r="A242" s="6" t="s">
        <v>2488</v>
      </c>
      <c r="B242" s="6" t="s">
        <v>3552</v>
      </c>
      <c r="C242" s="5">
        <f t="shared" si="1"/>
        <v>5</v>
      </c>
      <c r="D242" s="1" t="s">
        <v>68</v>
      </c>
      <c r="E242" s="1" t="s">
        <v>1851</v>
      </c>
      <c r="F242" s="1" t="str">
        <f t="shared" si="2"/>
        <v>Rosy</v>
      </c>
      <c r="G242" s="5" t="s">
        <v>17</v>
      </c>
      <c r="H242" s="9" t="s">
        <v>4232</v>
      </c>
      <c r="I242" s="5">
        <f t="shared" si="3"/>
        <v>9.2888</v>
      </c>
      <c r="J242" s="5" t="s">
        <v>2296</v>
      </c>
      <c r="K242" s="5">
        <f t="shared" si="4"/>
        <v>616.157152</v>
      </c>
      <c r="L242" s="9" t="s">
        <v>4233</v>
      </c>
      <c r="M242" s="5">
        <f t="shared" si="5"/>
        <v>3.5762</v>
      </c>
      <c r="N242" s="6" t="s">
        <v>4234</v>
      </c>
      <c r="O242" s="5">
        <f t="shared" si="6"/>
        <v>2250</v>
      </c>
    </row>
    <row r="243">
      <c r="A243" s="6" t="s">
        <v>2488</v>
      </c>
      <c r="B243" s="6" t="s">
        <v>3552</v>
      </c>
      <c r="C243" s="5">
        <f t="shared" si="1"/>
        <v>5</v>
      </c>
      <c r="D243" s="1" t="s">
        <v>68</v>
      </c>
      <c r="E243" s="1" t="s">
        <v>1851</v>
      </c>
      <c r="F243" s="1" t="str">
        <f t="shared" si="2"/>
        <v>Rosy</v>
      </c>
      <c r="G243" s="5" t="s">
        <v>21</v>
      </c>
      <c r="H243" s="5" t="s">
        <v>2297</v>
      </c>
      <c r="I243" s="5">
        <f t="shared" si="3"/>
        <v>0.0893</v>
      </c>
      <c r="J243" s="5" t="s">
        <v>2298</v>
      </c>
      <c r="K243" s="5">
        <f t="shared" si="4"/>
        <v>8.514561</v>
      </c>
      <c r="L243" s="5" t="s">
        <v>2299</v>
      </c>
      <c r="M243" s="5">
        <f t="shared" si="5"/>
        <v>0.0438</v>
      </c>
      <c r="N243" s="6" t="s">
        <v>3563</v>
      </c>
      <c r="O243" s="5">
        <f t="shared" si="6"/>
        <v>138</v>
      </c>
    </row>
    <row r="244">
      <c r="A244" s="6" t="s">
        <v>2488</v>
      </c>
      <c r="B244" s="6" t="s">
        <v>3552</v>
      </c>
      <c r="C244" s="5">
        <f t="shared" si="1"/>
        <v>5</v>
      </c>
      <c r="D244" s="1" t="s">
        <v>68</v>
      </c>
      <c r="E244" s="1" t="s">
        <v>544</v>
      </c>
      <c r="F244" s="1" t="str">
        <f t="shared" si="2"/>
        <v>Golden</v>
      </c>
      <c r="G244" s="5" t="s">
        <v>17</v>
      </c>
      <c r="H244" s="5" t="s">
        <v>2300</v>
      </c>
      <c r="I244" s="5">
        <f t="shared" si="3"/>
        <v>8.739</v>
      </c>
      <c r="J244" s="5" t="s">
        <v>2301</v>
      </c>
      <c r="K244" s="5">
        <f t="shared" si="4"/>
        <v>530.799296</v>
      </c>
      <c r="L244" s="9" t="s">
        <v>2302</v>
      </c>
      <c r="M244" s="5">
        <f t="shared" si="5"/>
        <v>3.0586</v>
      </c>
      <c r="N244" s="6" t="s">
        <v>4236</v>
      </c>
      <c r="O244" s="5">
        <f t="shared" si="6"/>
        <v>2725</v>
      </c>
    </row>
    <row r="245">
      <c r="A245" s="6" t="s">
        <v>2488</v>
      </c>
      <c r="B245" s="6" t="s">
        <v>3552</v>
      </c>
      <c r="C245" s="5">
        <f t="shared" si="1"/>
        <v>5</v>
      </c>
      <c r="D245" s="1" t="s">
        <v>68</v>
      </c>
      <c r="E245" s="1" t="s">
        <v>32</v>
      </c>
      <c r="F245" s="1" t="str">
        <f t="shared" si="2"/>
        <v>Black</v>
      </c>
      <c r="G245" s="5" t="s">
        <v>14</v>
      </c>
      <c r="H245" s="9" t="s">
        <v>2303</v>
      </c>
      <c r="I245" s="5">
        <f t="shared" si="3"/>
        <v>4.1646</v>
      </c>
      <c r="J245" s="5" t="s">
        <v>2304</v>
      </c>
      <c r="K245" s="5">
        <f t="shared" si="4"/>
        <v>281.7246</v>
      </c>
      <c r="L245" s="5" t="s">
        <v>2305</v>
      </c>
      <c r="M245" s="5">
        <f t="shared" si="5"/>
        <v>0.9579</v>
      </c>
      <c r="N245" s="6" t="s">
        <v>4238</v>
      </c>
      <c r="O245" s="5">
        <f t="shared" si="6"/>
        <v>1325</v>
      </c>
    </row>
    <row r="246">
      <c r="A246" s="6" t="s">
        <v>2488</v>
      </c>
      <c r="B246" s="6" t="s">
        <v>3552</v>
      </c>
      <c r="C246" s="5">
        <f t="shared" si="1"/>
        <v>5</v>
      </c>
      <c r="D246" s="1" t="s">
        <v>68</v>
      </c>
      <c r="E246" s="1" t="s">
        <v>32</v>
      </c>
      <c r="F246" s="1" t="str">
        <f t="shared" si="2"/>
        <v>Black</v>
      </c>
      <c r="G246" s="5" t="s">
        <v>21</v>
      </c>
      <c r="H246" s="9" t="s">
        <v>2306</v>
      </c>
      <c r="I246" s="5">
        <f t="shared" si="3"/>
        <v>1.0117</v>
      </c>
      <c r="J246" s="5" t="s">
        <v>2307</v>
      </c>
      <c r="K246" s="5">
        <f t="shared" si="4"/>
        <v>87.100711</v>
      </c>
      <c r="L246" s="5" t="s">
        <v>2308</v>
      </c>
      <c r="M246" s="5">
        <f t="shared" si="5"/>
        <v>0.4553</v>
      </c>
      <c r="N246" s="6" t="s">
        <v>4239</v>
      </c>
      <c r="O246" s="5">
        <f t="shared" si="6"/>
        <v>386</v>
      </c>
    </row>
    <row r="247">
      <c r="A247" s="6" t="s">
        <v>2488</v>
      </c>
      <c r="B247" s="6" t="s">
        <v>3552</v>
      </c>
      <c r="C247" s="5">
        <f t="shared" si="1"/>
        <v>5</v>
      </c>
      <c r="D247" s="1" t="s">
        <v>68</v>
      </c>
      <c r="E247" s="1" t="s">
        <v>1830</v>
      </c>
      <c r="F247" s="1" t="str">
        <f t="shared" si="2"/>
        <v>Magenta</v>
      </c>
      <c r="G247" s="5" t="s">
        <v>72</v>
      </c>
      <c r="H247" s="9" t="s">
        <v>4240</v>
      </c>
      <c r="I247" s="5">
        <f t="shared" si="3"/>
        <v>3.8908</v>
      </c>
      <c r="J247" s="5" t="s">
        <v>2309</v>
      </c>
      <c r="K247" s="5">
        <f t="shared" si="4"/>
        <v>334.68803</v>
      </c>
      <c r="L247" s="9" t="s">
        <v>4242</v>
      </c>
      <c r="M247" s="5">
        <f t="shared" si="5"/>
        <v>1.2451</v>
      </c>
      <c r="N247" s="6" t="s">
        <v>4243</v>
      </c>
      <c r="O247" s="5">
        <f t="shared" si="6"/>
        <v>3510</v>
      </c>
    </row>
    <row r="248">
      <c r="A248" s="6" t="s">
        <v>2488</v>
      </c>
      <c r="B248" s="6" t="s">
        <v>3552</v>
      </c>
      <c r="C248" s="5">
        <f t="shared" si="1"/>
        <v>5</v>
      </c>
      <c r="D248" s="1" t="s">
        <v>68</v>
      </c>
      <c r="E248" s="1" t="s">
        <v>38</v>
      </c>
      <c r="F248" s="1" t="str">
        <f t="shared" si="2"/>
        <v>White</v>
      </c>
      <c r="G248" s="5" t="s">
        <v>39</v>
      </c>
      <c r="H248" s="9" t="s">
        <v>4244</v>
      </c>
      <c r="I248" s="5">
        <f t="shared" si="3"/>
        <v>1.5262</v>
      </c>
      <c r="J248" s="5" t="s">
        <v>2310</v>
      </c>
      <c r="K248" s="5">
        <f t="shared" si="4"/>
        <v>136.563048</v>
      </c>
      <c r="L248" s="5" t="s">
        <v>2311</v>
      </c>
      <c r="M248" s="5">
        <f t="shared" si="5"/>
        <v>0.2747</v>
      </c>
      <c r="N248" s="6" t="s">
        <v>4245</v>
      </c>
      <c r="O248" s="5">
        <f t="shared" si="6"/>
        <v>212</v>
      </c>
    </row>
    <row r="249">
      <c r="A249" s="6" t="s">
        <v>2488</v>
      </c>
      <c r="B249" s="6" t="s">
        <v>3552</v>
      </c>
      <c r="C249" s="5">
        <f t="shared" si="1"/>
        <v>5</v>
      </c>
      <c r="D249" s="1" t="s">
        <v>68</v>
      </c>
      <c r="E249" s="1" t="s">
        <v>42</v>
      </c>
      <c r="F249" s="1" t="str">
        <f t="shared" si="2"/>
        <v>Red</v>
      </c>
      <c r="G249" s="5" t="s">
        <v>17</v>
      </c>
      <c r="H249" s="5" t="s">
        <v>2312</v>
      </c>
      <c r="I249" s="5">
        <f t="shared" si="3"/>
        <v>0.6706</v>
      </c>
      <c r="J249" s="5" t="s">
        <v>2313</v>
      </c>
      <c r="K249" s="5">
        <f t="shared" si="4"/>
        <v>111.212183</v>
      </c>
      <c r="L249" s="5" t="s">
        <v>965</v>
      </c>
      <c r="M249" s="5">
        <f t="shared" si="5"/>
        <v>0.2481</v>
      </c>
      <c r="N249" s="6" t="s">
        <v>4246</v>
      </c>
      <c r="O249" s="5">
        <f t="shared" si="6"/>
        <v>270</v>
      </c>
    </row>
    <row r="250">
      <c r="A250" s="6" t="s">
        <v>2488</v>
      </c>
      <c r="B250" s="6" t="s">
        <v>3552</v>
      </c>
      <c r="C250" s="5">
        <f t="shared" si="1"/>
        <v>5</v>
      </c>
      <c r="D250" s="1" t="s">
        <v>68</v>
      </c>
      <c r="E250" s="1" t="s">
        <v>2088</v>
      </c>
      <c r="F250" s="1" t="str">
        <f t="shared" si="2"/>
        <v>Lilac</v>
      </c>
      <c r="G250" s="5" t="s">
        <v>21</v>
      </c>
      <c r="H250" s="9" t="s">
        <v>2314</v>
      </c>
      <c r="I250" s="5">
        <f t="shared" si="3"/>
        <v>1.0727</v>
      </c>
      <c r="J250" s="5" t="s">
        <v>2315</v>
      </c>
      <c r="K250" s="5">
        <f t="shared" si="4"/>
        <v>91.027754</v>
      </c>
      <c r="L250" s="5" t="s">
        <v>2316</v>
      </c>
      <c r="M250" s="5">
        <f t="shared" si="5"/>
        <v>0.4291</v>
      </c>
      <c r="N250" s="6" t="s">
        <v>291</v>
      </c>
      <c r="O250" s="5">
        <f t="shared" si="6"/>
        <v>0</v>
      </c>
    </row>
    <row r="251">
      <c r="A251" s="6" t="s">
        <v>2488</v>
      </c>
      <c r="B251" s="6" t="s">
        <v>3552</v>
      </c>
      <c r="C251" s="5">
        <f t="shared" si="1"/>
        <v>5</v>
      </c>
      <c r="D251" s="1" t="s">
        <v>116</v>
      </c>
      <c r="E251" s="1" t="s">
        <v>2497</v>
      </c>
      <c r="F251" s="1" t="str">
        <f t="shared" si="2"/>
        <v>Green</v>
      </c>
      <c r="G251" s="5" t="s">
        <v>14</v>
      </c>
      <c r="H251" s="5" t="s">
        <v>2317</v>
      </c>
      <c r="I251" s="5">
        <f t="shared" si="3"/>
        <v>135.3355</v>
      </c>
      <c r="J251" s="5" t="s">
        <v>2318</v>
      </c>
      <c r="K251" s="5">
        <f t="shared" si="4"/>
        <v>7220.074815</v>
      </c>
      <c r="L251" s="5" t="s">
        <v>2319</v>
      </c>
      <c r="M251" s="5">
        <f t="shared" si="5"/>
        <v>28.4204</v>
      </c>
      <c r="N251" s="6" t="s">
        <v>4249</v>
      </c>
      <c r="O251" s="5">
        <f t="shared" si="6"/>
        <v>11852</v>
      </c>
    </row>
    <row r="252">
      <c r="A252" s="6" t="s">
        <v>2488</v>
      </c>
      <c r="B252" s="6" t="s">
        <v>3552</v>
      </c>
      <c r="C252" s="5">
        <f t="shared" si="1"/>
        <v>5</v>
      </c>
      <c r="D252" s="1" t="s">
        <v>116</v>
      </c>
      <c r="E252" s="1" t="s">
        <v>2497</v>
      </c>
      <c r="F252" s="1" t="str">
        <f t="shared" si="2"/>
        <v>Green</v>
      </c>
      <c r="G252" s="5" t="s">
        <v>17</v>
      </c>
      <c r="H252" s="5" t="s">
        <v>2320</v>
      </c>
      <c r="I252" s="5">
        <f t="shared" si="3"/>
        <v>94.3423</v>
      </c>
      <c r="J252" s="5" t="s">
        <v>2321</v>
      </c>
      <c r="K252" s="5">
        <f t="shared" si="4"/>
        <v>9661.265621</v>
      </c>
      <c r="L252" s="5" t="s">
        <v>2322</v>
      </c>
      <c r="M252" s="5">
        <f t="shared" si="5"/>
        <v>33.0196</v>
      </c>
      <c r="N252" s="6" t="s">
        <v>4250</v>
      </c>
      <c r="O252" s="5">
        <f t="shared" si="6"/>
        <v>15176</v>
      </c>
    </row>
    <row r="253">
      <c r="A253" s="6" t="s">
        <v>2488</v>
      </c>
      <c r="B253" s="6" t="s">
        <v>3552</v>
      </c>
      <c r="C253" s="5">
        <f t="shared" si="1"/>
        <v>5</v>
      </c>
      <c r="D253" s="1" t="s">
        <v>116</v>
      </c>
      <c r="E253" s="1" t="s">
        <v>2497</v>
      </c>
      <c r="F253" s="1" t="str">
        <f t="shared" si="2"/>
        <v>Green</v>
      </c>
      <c r="G253" s="5" t="s">
        <v>21</v>
      </c>
      <c r="H253" s="9" t="s">
        <v>4253</v>
      </c>
      <c r="I253" s="5">
        <f t="shared" si="3"/>
        <v>7.8155</v>
      </c>
      <c r="J253" s="5" t="s">
        <v>2323</v>
      </c>
      <c r="K253" s="5">
        <f t="shared" si="4"/>
        <v>1041.996994</v>
      </c>
      <c r="L253" s="9" t="s">
        <v>4254</v>
      </c>
      <c r="M253" s="5">
        <f t="shared" si="5"/>
        <v>3.9077</v>
      </c>
      <c r="N253" s="6" t="s">
        <v>4255</v>
      </c>
      <c r="O253" s="5">
        <f t="shared" si="6"/>
        <v>585</v>
      </c>
    </row>
    <row r="254">
      <c r="A254" s="6" t="s">
        <v>2488</v>
      </c>
      <c r="B254" s="6" t="s">
        <v>3552</v>
      </c>
      <c r="C254" s="5">
        <f t="shared" si="1"/>
        <v>5</v>
      </c>
      <c r="D254" s="1" t="s">
        <v>116</v>
      </c>
      <c r="E254" s="1" t="s">
        <v>2497</v>
      </c>
      <c r="F254" s="1" t="str">
        <f t="shared" si="2"/>
        <v>Green</v>
      </c>
      <c r="G254" s="5" t="s">
        <v>25</v>
      </c>
      <c r="H254" s="5" t="s">
        <v>847</v>
      </c>
      <c r="I254" s="5">
        <f t="shared" si="3"/>
        <v>0.0042</v>
      </c>
      <c r="J254" s="5" t="s">
        <v>2324</v>
      </c>
      <c r="K254" s="5">
        <f t="shared" si="4"/>
        <v>0.866289</v>
      </c>
      <c r="L254" s="5" t="s">
        <v>666</v>
      </c>
      <c r="M254" s="5">
        <f t="shared" si="5"/>
        <v>0.0031</v>
      </c>
      <c r="N254" s="6" t="s">
        <v>397</v>
      </c>
      <c r="O254" s="5">
        <f t="shared" si="6"/>
        <v>2</v>
      </c>
    </row>
    <row r="255">
      <c r="A255" s="6" t="s">
        <v>2488</v>
      </c>
      <c r="B255" s="6" t="s">
        <v>3552</v>
      </c>
      <c r="C255" s="5">
        <f t="shared" si="1"/>
        <v>5</v>
      </c>
      <c r="D255" s="1" t="s">
        <v>116</v>
      </c>
      <c r="E255" s="1" t="s">
        <v>29</v>
      </c>
      <c r="F255" s="1" t="str">
        <f t="shared" si="2"/>
        <v>Blue</v>
      </c>
      <c r="G255" s="5" t="s">
        <v>14</v>
      </c>
      <c r="H255" s="9" t="s">
        <v>4267</v>
      </c>
      <c r="I255" s="5">
        <f t="shared" si="3"/>
        <v>1.0079</v>
      </c>
      <c r="J255" s="5" t="s">
        <v>2325</v>
      </c>
      <c r="K255" s="5">
        <f t="shared" si="4"/>
        <v>111.543779</v>
      </c>
      <c r="L255" s="5" t="s">
        <v>2326</v>
      </c>
      <c r="M255" s="5">
        <f t="shared" si="5"/>
        <v>0.2016</v>
      </c>
      <c r="N255" s="6" t="s">
        <v>4270</v>
      </c>
      <c r="O255" s="5">
        <f t="shared" si="6"/>
        <v>249</v>
      </c>
    </row>
    <row r="256">
      <c r="A256" s="6" t="s">
        <v>2488</v>
      </c>
      <c r="B256" s="6" t="s">
        <v>3552</v>
      </c>
      <c r="C256" s="5">
        <f t="shared" si="1"/>
        <v>5</v>
      </c>
      <c r="D256" s="1" t="s">
        <v>116</v>
      </c>
      <c r="E256" s="1" t="s">
        <v>29</v>
      </c>
      <c r="F256" s="1" t="str">
        <f t="shared" si="2"/>
        <v>Blue</v>
      </c>
      <c r="G256" s="5" t="s">
        <v>21</v>
      </c>
      <c r="H256" s="5" t="s">
        <v>2327</v>
      </c>
      <c r="I256" s="5">
        <f t="shared" si="3"/>
        <v>39.3356</v>
      </c>
      <c r="J256" s="5" t="s">
        <v>2328</v>
      </c>
      <c r="K256" s="5">
        <f t="shared" si="4"/>
        <v>7424.948826</v>
      </c>
      <c r="L256" s="5" t="s">
        <v>2329</v>
      </c>
      <c r="M256" s="5">
        <f t="shared" si="5"/>
        <v>15.7343</v>
      </c>
      <c r="N256" s="6" t="s">
        <v>4277</v>
      </c>
      <c r="O256" s="5">
        <f t="shared" si="6"/>
        <v>1844</v>
      </c>
    </row>
    <row r="257">
      <c r="A257" s="6" t="s">
        <v>2488</v>
      </c>
      <c r="B257" s="6" t="s">
        <v>3552</v>
      </c>
      <c r="C257" s="5">
        <f t="shared" si="1"/>
        <v>5</v>
      </c>
      <c r="D257" s="1" t="s">
        <v>116</v>
      </c>
      <c r="E257" s="1" t="s">
        <v>1851</v>
      </c>
      <c r="F257" s="1" t="str">
        <f t="shared" si="2"/>
        <v>Rosy</v>
      </c>
      <c r="G257" s="5" t="s">
        <v>17</v>
      </c>
      <c r="H257" s="5" t="s">
        <v>2330</v>
      </c>
      <c r="I257" s="5">
        <f t="shared" si="3"/>
        <v>34.9286</v>
      </c>
      <c r="J257" s="5" t="s">
        <v>2331</v>
      </c>
      <c r="K257" s="5">
        <f t="shared" si="4"/>
        <v>2329.209672</v>
      </c>
      <c r="L257" s="5" t="s">
        <v>2332</v>
      </c>
      <c r="M257" s="5">
        <f t="shared" si="5"/>
        <v>13.4475</v>
      </c>
      <c r="N257" s="6" t="s">
        <v>4286</v>
      </c>
      <c r="O257" s="5">
        <f t="shared" si="6"/>
        <v>7585</v>
      </c>
    </row>
    <row r="258">
      <c r="A258" s="6" t="s">
        <v>2488</v>
      </c>
      <c r="B258" s="6" t="s">
        <v>3552</v>
      </c>
      <c r="C258" s="5">
        <f t="shared" si="1"/>
        <v>5</v>
      </c>
      <c r="D258" s="1" t="s">
        <v>116</v>
      </c>
      <c r="E258" s="1" t="s">
        <v>1851</v>
      </c>
      <c r="F258" s="1" t="str">
        <f t="shared" si="2"/>
        <v>Rosy</v>
      </c>
      <c r="G258" s="5" t="s">
        <v>21</v>
      </c>
      <c r="H258" s="5" t="s">
        <v>2333</v>
      </c>
      <c r="I258" s="5">
        <f t="shared" si="3"/>
        <v>0.044</v>
      </c>
      <c r="J258" s="5" t="s">
        <v>2334</v>
      </c>
      <c r="K258" s="5">
        <f t="shared" si="4"/>
        <v>4.999411</v>
      </c>
      <c r="L258" s="5" t="s">
        <v>2202</v>
      </c>
      <c r="M258" s="5">
        <f t="shared" si="5"/>
        <v>0.0215</v>
      </c>
      <c r="N258" s="6" t="s">
        <v>2981</v>
      </c>
      <c r="O258" s="5">
        <f t="shared" si="6"/>
        <v>72</v>
      </c>
    </row>
    <row r="259">
      <c r="A259" s="6" t="s">
        <v>2488</v>
      </c>
      <c r="B259" s="6" t="s">
        <v>3552</v>
      </c>
      <c r="C259" s="5">
        <f t="shared" si="1"/>
        <v>5</v>
      </c>
      <c r="D259" s="1" t="s">
        <v>116</v>
      </c>
      <c r="E259" s="1" t="s">
        <v>45</v>
      </c>
      <c r="F259" s="1" t="str">
        <f t="shared" si="2"/>
        <v>Yellow</v>
      </c>
      <c r="G259" s="5" t="s">
        <v>17</v>
      </c>
      <c r="H259" s="5" t="s">
        <v>2335</v>
      </c>
      <c r="I259" s="5">
        <f t="shared" si="3"/>
        <v>21.7396</v>
      </c>
      <c r="J259" s="5" t="s">
        <v>2336</v>
      </c>
      <c r="K259" s="5">
        <f t="shared" si="4"/>
        <v>1515.283204</v>
      </c>
      <c r="L259" s="9" t="s">
        <v>4295</v>
      </c>
      <c r="M259" s="5">
        <f t="shared" si="5"/>
        <v>7.8262</v>
      </c>
      <c r="N259" s="6" t="s">
        <v>4297</v>
      </c>
      <c r="O259" s="5">
        <f t="shared" si="6"/>
        <v>1670</v>
      </c>
    </row>
    <row r="260">
      <c r="A260" s="6" t="s">
        <v>2488</v>
      </c>
      <c r="B260" s="6" t="s">
        <v>3552</v>
      </c>
      <c r="C260" s="5">
        <f t="shared" si="1"/>
        <v>5</v>
      </c>
      <c r="D260" s="1" t="s">
        <v>116</v>
      </c>
      <c r="E260" s="1" t="s">
        <v>544</v>
      </c>
      <c r="F260" s="1" t="str">
        <f t="shared" si="2"/>
        <v>Golden</v>
      </c>
      <c r="G260" s="5" t="s">
        <v>17</v>
      </c>
      <c r="H260" s="5" t="s">
        <v>2337</v>
      </c>
      <c r="I260" s="5">
        <f t="shared" si="3"/>
        <v>13.6827</v>
      </c>
      <c r="J260" s="5" t="s">
        <v>2338</v>
      </c>
      <c r="K260" s="5">
        <f t="shared" si="4"/>
        <v>829.925924</v>
      </c>
      <c r="L260" s="5" t="s">
        <v>2339</v>
      </c>
      <c r="M260" s="5">
        <f t="shared" si="5"/>
        <v>4.789</v>
      </c>
      <c r="N260" s="6" t="s">
        <v>4302</v>
      </c>
      <c r="O260" s="5">
        <f t="shared" si="6"/>
        <v>4261</v>
      </c>
    </row>
    <row r="261">
      <c r="A261" s="6" t="s">
        <v>2488</v>
      </c>
      <c r="B261" s="6" t="s">
        <v>3552</v>
      </c>
      <c r="C261" s="5">
        <f t="shared" si="1"/>
        <v>5</v>
      </c>
      <c r="D261" s="1" t="s">
        <v>116</v>
      </c>
      <c r="E261" s="1" t="s">
        <v>32</v>
      </c>
      <c r="F261" s="1" t="str">
        <f t="shared" si="2"/>
        <v>Black</v>
      </c>
      <c r="G261" s="5" t="s">
        <v>14</v>
      </c>
      <c r="H261" s="9" t="s">
        <v>4304</v>
      </c>
      <c r="I261" s="5">
        <f t="shared" si="3"/>
        <v>1.9199</v>
      </c>
      <c r="J261" s="5" t="s">
        <v>2340</v>
      </c>
      <c r="K261" s="5">
        <f t="shared" si="4"/>
        <v>60.751409</v>
      </c>
      <c r="L261" s="5" t="s">
        <v>2341</v>
      </c>
      <c r="M261" s="5">
        <f t="shared" si="5"/>
        <v>0.4416</v>
      </c>
      <c r="N261" s="6" t="s">
        <v>4307</v>
      </c>
      <c r="O261" s="5">
        <f t="shared" si="6"/>
        <v>247</v>
      </c>
    </row>
    <row r="262">
      <c r="A262" s="6" t="s">
        <v>2488</v>
      </c>
      <c r="B262" s="6" t="s">
        <v>3552</v>
      </c>
      <c r="C262" s="5">
        <f t="shared" si="1"/>
        <v>5</v>
      </c>
      <c r="D262" s="1" t="s">
        <v>116</v>
      </c>
      <c r="E262" s="1" t="s">
        <v>32</v>
      </c>
      <c r="F262" s="1" t="str">
        <f t="shared" si="2"/>
        <v>Black</v>
      </c>
      <c r="G262" s="5" t="s">
        <v>21</v>
      </c>
      <c r="H262" s="5" t="s">
        <v>2342</v>
      </c>
      <c r="I262" s="5">
        <f t="shared" si="3"/>
        <v>4.582</v>
      </c>
      <c r="J262" s="5" t="s">
        <v>2343</v>
      </c>
      <c r="K262" s="5">
        <f t="shared" si="4"/>
        <v>432.96244</v>
      </c>
      <c r="L262" s="9" t="s">
        <v>2344</v>
      </c>
      <c r="M262" s="5">
        <f t="shared" si="5"/>
        <v>2.0619</v>
      </c>
      <c r="N262" s="6" t="s">
        <v>4312</v>
      </c>
      <c r="O262" s="5">
        <f t="shared" si="6"/>
        <v>1403</v>
      </c>
    </row>
    <row r="263">
      <c r="A263" s="6" t="s">
        <v>2488</v>
      </c>
      <c r="B263" s="6" t="s">
        <v>3552</v>
      </c>
      <c r="C263" s="5">
        <f t="shared" si="1"/>
        <v>5</v>
      </c>
      <c r="D263" s="1" t="s">
        <v>116</v>
      </c>
      <c r="E263" s="1" t="s">
        <v>1830</v>
      </c>
      <c r="F263" s="1" t="str">
        <f t="shared" si="2"/>
        <v>Magenta</v>
      </c>
      <c r="G263" s="5" t="s">
        <v>72</v>
      </c>
      <c r="H263" s="9" t="s">
        <v>4314</v>
      </c>
      <c r="I263" s="5">
        <f t="shared" si="3"/>
        <v>4.7963</v>
      </c>
      <c r="J263" s="5" t="s">
        <v>2345</v>
      </c>
      <c r="K263" s="5">
        <f t="shared" si="4"/>
        <v>411.48491</v>
      </c>
      <c r="L263" s="9" t="s">
        <v>4317</v>
      </c>
      <c r="M263" s="5">
        <f t="shared" si="5"/>
        <v>1.5348</v>
      </c>
      <c r="N263" s="6" t="s">
        <v>4319</v>
      </c>
      <c r="O263" s="5">
        <f t="shared" si="6"/>
        <v>3969</v>
      </c>
    </row>
    <row r="264">
      <c r="A264" s="6" t="s">
        <v>2488</v>
      </c>
      <c r="B264" s="6" t="s">
        <v>3552</v>
      </c>
      <c r="C264" s="5">
        <f t="shared" si="1"/>
        <v>5</v>
      </c>
      <c r="D264" s="1" t="s">
        <v>116</v>
      </c>
      <c r="E264" s="1" t="s">
        <v>147</v>
      </c>
      <c r="F264" s="1" t="str">
        <f t="shared" si="2"/>
        <v>Deep</v>
      </c>
      <c r="G264" s="5" t="s">
        <v>39</v>
      </c>
      <c r="H264" s="9" t="s">
        <v>4324</v>
      </c>
      <c r="I264" s="5">
        <f t="shared" si="3"/>
        <v>1.2937</v>
      </c>
      <c r="J264" s="5" t="s">
        <v>2346</v>
      </c>
      <c r="K264" s="5">
        <f t="shared" si="4"/>
        <v>382.5996</v>
      </c>
      <c r="L264" s="5" t="s">
        <v>953</v>
      </c>
      <c r="M264" s="5">
        <f t="shared" si="5"/>
        <v>0.2457</v>
      </c>
      <c r="N264" s="6" t="s">
        <v>3504</v>
      </c>
      <c r="O264" s="5">
        <f t="shared" si="6"/>
        <v>113</v>
      </c>
    </row>
    <row r="265">
      <c r="A265" s="6" t="s">
        <v>2488</v>
      </c>
      <c r="B265" s="6" t="s">
        <v>3552</v>
      </c>
      <c r="C265" s="5">
        <f t="shared" si="1"/>
        <v>5</v>
      </c>
      <c r="D265" s="1" t="s">
        <v>116</v>
      </c>
      <c r="E265" s="1" t="s">
        <v>147</v>
      </c>
      <c r="F265" s="1" t="str">
        <f t="shared" si="2"/>
        <v>Deep</v>
      </c>
      <c r="G265" s="5" t="s">
        <v>17</v>
      </c>
      <c r="H265" s="5" t="s">
        <v>2347</v>
      </c>
      <c r="I265" s="5">
        <f t="shared" si="3"/>
        <v>0.0113</v>
      </c>
      <c r="J265" s="5" t="s">
        <v>2348</v>
      </c>
      <c r="K265" s="5">
        <f t="shared" si="4"/>
        <v>4.805201</v>
      </c>
      <c r="L265" s="5" t="s">
        <v>1331</v>
      </c>
      <c r="M265" s="5">
        <f t="shared" si="5"/>
        <v>0.004</v>
      </c>
      <c r="N265" s="6" t="s">
        <v>273</v>
      </c>
      <c r="O265" s="5">
        <f t="shared" si="6"/>
        <v>4</v>
      </c>
    </row>
    <row r="266">
      <c r="A266" s="6" t="s">
        <v>2488</v>
      </c>
      <c r="B266" s="6" t="s">
        <v>3552</v>
      </c>
      <c r="C266" s="5">
        <f t="shared" si="1"/>
        <v>5</v>
      </c>
      <c r="D266" s="1" t="s">
        <v>116</v>
      </c>
      <c r="E266" s="1" t="s">
        <v>147</v>
      </c>
      <c r="F266" s="1" t="str">
        <f t="shared" si="2"/>
        <v>Deep</v>
      </c>
      <c r="G266" s="5" t="s">
        <v>21</v>
      </c>
      <c r="H266" s="5" t="s">
        <v>1292</v>
      </c>
      <c r="I266" s="5">
        <f t="shared" si="3"/>
        <v>0.0493</v>
      </c>
      <c r="J266" s="5" t="s">
        <v>2349</v>
      </c>
      <c r="K266" s="5">
        <f t="shared" si="4"/>
        <v>24.562618</v>
      </c>
      <c r="L266" s="5" t="s">
        <v>2350</v>
      </c>
      <c r="M266" s="5">
        <f t="shared" si="5"/>
        <v>0.0246</v>
      </c>
      <c r="N266" s="6" t="s">
        <v>4334</v>
      </c>
      <c r="O266" s="5">
        <f t="shared" si="6"/>
        <v>44</v>
      </c>
    </row>
    <row r="267">
      <c r="A267" s="6" t="s">
        <v>2488</v>
      </c>
      <c r="B267" s="6" t="s">
        <v>3552</v>
      </c>
      <c r="C267" s="5">
        <f t="shared" si="1"/>
        <v>5</v>
      </c>
      <c r="D267" s="1" t="s">
        <v>116</v>
      </c>
      <c r="E267" s="1" t="s">
        <v>42</v>
      </c>
      <c r="F267" s="1" t="str">
        <f t="shared" si="2"/>
        <v>Red</v>
      </c>
      <c r="G267" s="5" t="s">
        <v>17</v>
      </c>
      <c r="H267" s="9" t="s">
        <v>4337</v>
      </c>
      <c r="I267" s="5">
        <f t="shared" si="3"/>
        <v>1.6667</v>
      </c>
      <c r="J267" s="5" t="s">
        <v>2351</v>
      </c>
      <c r="K267" s="5">
        <f t="shared" si="4"/>
        <v>316.395114</v>
      </c>
      <c r="L267" s="5" t="s">
        <v>2352</v>
      </c>
      <c r="M267" s="5">
        <f t="shared" si="5"/>
        <v>0.6166</v>
      </c>
      <c r="N267" s="6" t="s">
        <v>4340</v>
      </c>
      <c r="O267" s="5">
        <f t="shared" si="6"/>
        <v>287</v>
      </c>
    </row>
    <row r="268">
      <c r="A268" s="6" t="s">
        <v>2488</v>
      </c>
      <c r="B268" s="6" t="s">
        <v>3552</v>
      </c>
      <c r="C268" s="5">
        <f t="shared" si="1"/>
        <v>5</v>
      </c>
      <c r="D268" s="1" t="s">
        <v>116</v>
      </c>
      <c r="E268" s="1" t="s">
        <v>158</v>
      </c>
      <c r="F268" s="1" t="str">
        <f t="shared" si="2"/>
        <v>Dim</v>
      </c>
      <c r="G268" s="5" t="s">
        <v>17</v>
      </c>
      <c r="H268" s="5" t="s">
        <v>2353</v>
      </c>
      <c r="I268" s="5">
        <f t="shared" si="3"/>
        <v>0.0853</v>
      </c>
      <c r="J268" s="5" t="s">
        <v>2354</v>
      </c>
      <c r="K268" s="5">
        <f t="shared" si="4"/>
        <v>39.231244</v>
      </c>
      <c r="L268" s="5" t="s">
        <v>2355</v>
      </c>
      <c r="M268" s="5">
        <f t="shared" si="5"/>
        <v>0.0298</v>
      </c>
      <c r="N268" s="6" t="s">
        <v>291</v>
      </c>
      <c r="O268" s="5">
        <f t="shared" si="6"/>
        <v>0</v>
      </c>
    </row>
    <row r="269">
      <c r="A269" s="6" t="s">
        <v>2488</v>
      </c>
      <c r="B269" s="6" t="s">
        <v>3552</v>
      </c>
      <c r="C269" s="5">
        <f t="shared" si="1"/>
        <v>5</v>
      </c>
      <c r="D269" s="1" t="s">
        <v>116</v>
      </c>
      <c r="E269" s="1" t="s">
        <v>158</v>
      </c>
      <c r="F269" s="1" t="str">
        <f t="shared" si="2"/>
        <v>Dim</v>
      </c>
      <c r="G269" s="5" t="s">
        <v>21</v>
      </c>
      <c r="H269" s="5" t="s">
        <v>2356</v>
      </c>
      <c r="I269" s="5">
        <f t="shared" si="3"/>
        <v>0.398</v>
      </c>
      <c r="J269" s="5" t="s">
        <v>2357</v>
      </c>
      <c r="K269" s="5">
        <f t="shared" si="4"/>
        <v>222.563144</v>
      </c>
      <c r="L269" s="5" t="s">
        <v>2358</v>
      </c>
      <c r="M269" s="5">
        <f t="shared" si="5"/>
        <v>0.1672</v>
      </c>
      <c r="N269" s="6" t="s">
        <v>291</v>
      </c>
      <c r="O269" s="5">
        <f t="shared" si="6"/>
        <v>0</v>
      </c>
    </row>
    <row r="270">
      <c r="A270" s="6" t="s">
        <v>2488</v>
      </c>
      <c r="B270" s="6" t="s">
        <v>2521</v>
      </c>
      <c r="C270" s="5">
        <f t="shared" si="1"/>
        <v>6</v>
      </c>
      <c r="D270" s="1" t="s">
        <v>12</v>
      </c>
      <c r="E270" s="1" t="s">
        <v>2497</v>
      </c>
      <c r="F270" s="1" t="str">
        <f t="shared" si="2"/>
        <v>Green</v>
      </c>
      <c r="G270" s="5" t="s">
        <v>14</v>
      </c>
      <c r="H270" s="5" t="s">
        <v>2359</v>
      </c>
      <c r="I270" s="5">
        <f t="shared" si="3"/>
        <v>14.4889</v>
      </c>
      <c r="J270" s="5" t="s">
        <v>2360</v>
      </c>
      <c r="K270" s="5">
        <f t="shared" si="4"/>
        <v>916.589147</v>
      </c>
      <c r="L270" s="9" t="s">
        <v>2361</v>
      </c>
      <c r="M270" s="5">
        <f t="shared" si="5"/>
        <v>3.0427</v>
      </c>
      <c r="N270" s="6" t="s">
        <v>4450</v>
      </c>
      <c r="O270" s="5">
        <f t="shared" si="6"/>
        <v>553</v>
      </c>
    </row>
    <row r="271">
      <c r="A271" s="6" t="s">
        <v>2488</v>
      </c>
      <c r="B271" s="6" t="s">
        <v>2521</v>
      </c>
      <c r="C271" s="5">
        <f t="shared" si="1"/>
        <v>6</v>
      </c>
      <c r="D271" s="1" t="s">
        <v>12</v>
      </c>
      <c r="E271" s="1" t="s">
        <v>2497</v>
      </c>
      <c r="F271" s="1" t="str">
        <f t="shared" si="2"/>
        <v>Green</v>
      </c>
      <c r="G271" s="5" t="s">
        <v>17</v>
      </c>
      <c r="H271" s="5" t="s">
        <v>2362</v>
      </c>
      <c r="I271" s="5">
        <f t="shared" si="3"/>
        <v>48.4585</v>
      </c>
      <c r="J271" s="5" t="s">
        <v>2363</v>
      </c>
      <c r="K271" s="5">
        <f t="shared" si="4"/>
        <v>4782.541053</v>
      </c>
      <c r="L271" s="5" t="s">
        <v>2364</v>
      </c>
      <c r="M271" s="5">
        <f t="shared" si="5"/>
        <v>16.9604</v>
      </c>
      <c r="N271" s="6" t="s">
        <v>4457</v>
      </c>
      <c r="O271" s="5">
        <f t="shared" si="6"/>
        <v>787</v>
      </c>
    </row>
    <row r="272">
      <c r="A272" s="6" t="s">
        <v>2488</v>
      </c>
      <c r="B272" s="6" t="s">
        <v>2521</v>
      </c>
      <c r="C272" s="5">
        <f t="shared" si="1"/>
        <v>6</v>
      </c>
      <c r="D272" s="1" t="s">
        <v>12</v>
      </c>
      <c r="E272" s="1" t="s">
        <v>2497</v>
      </c>
      <c r="F272" s="1" t="str">
        <f t="shared" si="2"/>
        <v>Green</v>
      </c>
      <c r="G272" s="5" t="s">
        <v>21</v>
      </c>
      <c r="H272" s="5" t="s">
        <v>2365</v>
      </c>
      <c r="I272" s="5">
        <f t="shared" si="3"/>
        <v>22.4112</v>
      </c>
      <c r="J272" s="5" t="s">
        <v>2366</v>
      </c>
      <c r="K272" s="5">
        <f t="shared" si="4"/>
        <v>2572.258208</v>
      </c>
      <c r="L272" s="9" t="s">
        <v>4462</v>
      </c>
      <c r="M272" s="5">
        <f t="shared" si="5"/>
        <v>11.2055</v>
      </c>
      <c r="N272" s="6" t="s">
        <v>4464</v>
      </c>
      <c r="O272" s="5">
        <f t="shared" si="6"/>
        <v>591</v>
      </c>
    </row>
    <row r="273">
      <c r="A273" s="6" t="s">
        <v>2488</v>
      </c>
      <c r="B273" s="6" t="s">
        <v>2521</v>
      </c>
      <c r="C273" s="5">
        <f t="shared" si="1"/>
        <v>6</v>
      </c>
      <c r="D273" s="1" t="s">
        <v>12</v>
      </c>
      <c r="E273" s="1" t="s">
        <v>29</v>
      </c>
      <c r="F273" s="1" t="str">
        <f t="shared" si="2"/>
        <v>Blue</v>
      </c>
      <c r="G273" s="5" t="s">
        <v>14</v>
      </c>
      <c r="H273" s="5" t="s">
        <v>1788</v>
      </c>
      <c r="I273" s="5">
        <f t="shared" si="3"/>
        <v>0.085</v>
      </c>
      <c r="J273" s="5" t="s">
        <v>2367</v>
      </c>
      <c r="K273" s="5">
        <f t="shared" si="4"/>
        <v>10.52085</v>
      </c>
      <c r="L273" s="5" t="s">
        <v>2368</v>
      </c>
      <c r="M273" s="5">
        <f t="shared" si="5"/>
        <v>0.017</v>
      </c>
      <c r="N273" s="6" t="s">
        <v>2591</v>
      </c>
      <c r="O273" s="5">
        <f t="shared" si="6"/>
        <v>11</v>
      </c>
    </row>
    <row r="274">
      <c r="A274" s="6" t="s">
        <v>2488</v>
      </c>
      <c r="B274" s="6" t="s">
        <v>2521</v>
      </c>
      <c r="C274" s="5">
        <f t="shared" si="1"/>
        <v>6</v>
      </c>
      <c r="D274" s="1" t="s">
        <v>12</v>
      </c>
      <c r="E274" s="1" t="s">
        <v>29</v>
      </c>
      <c r="F274" s="1" t="str">
        <f t="shared" si="2"/>
        <v>Blue</v>
      </c>
      <c r="G274" s="5" t="s">
        <v>21</v>
      </c>
      <c r="H274" s="5" t="s">
        <v>2369</v>
      </c>
      <c r="I274" s="5">
        <f t="shared" si="3"/>
        <v>27.6087</v>
      </c>
      <c r="J274" s="5" t="s">
        <v>2370</v>
      </c>
      <c r="K274" s="5">
        <f t="shared" si="4"/>
        <v>4729.630735</v>
      </c>
      <c r="L274" s="9" t="s">
        <v>2371</v>
      </c>
      <c r="M274" s="5">
        <f t="shared" si="5"/>
        <v>11.0434</v>
      </c>
      <c r="N274" s="6" t="s">
        <v>4475</v>
      </c>
      <c r="O274" s="5">
        <f t="shared" si="6"/>
        <v>654</v>
      </c>
    </row>
    <row r="275">
      <c r="A275" s="6" t="s">
        <v>2488</v>
      </c>
      <c r="B275" s="6" t="s">
        <v>2521</v>
      </c>
      <c r="C275" s="5">
        <f t="shared" si="1"/>
        <v>6</v>
      </c>
      <c r="D275" s="1" t="s">
        <v>12</v>
      </c>
      <c r="E275" s="1" t="s">
        <v>38</v>
      </c>
      <c r="F275" s="1" t="str">
        <f t="shared" si="2"/>
        <v>White</v>
      </c>
      <c r="G275" s="5" t="s">
        <v>39</v>
      </c>
      <c r="H275" s="9" t="s">
        <v>4481</v>
      </c>
      <c r="I275" s="5">
        <f t="shared" si="3"/>
        <v>2.4222</v>
      </c>
      <c r="J275" s="5" t="s">
        <v>2372</v>
      </c>
      <c r="K275" s="5">
        <f t="shared" si="4"/>
        <v>271.40479</v>
      </c>
      <c r="L275" s="5" t="s">
        <v>2373</v>
      </c>
      <c r="M275" s="5">
        <f t="shared" si="5"/>
        <v>0.436</v>
      </c>
      <c r="N275" s="6" t="s">
        <v>4485</v>
      </c>
      <c r="O275" s="5">
        <f t="shared" si="6"/>
        <v>99</v>
      </c>
    </row>
    <row r="276">
      <c r="A276" s="6" t="s">
        <v>2488</v>
      </c>
      <c r="B276" s="6" t="s">
        <v>2521</v>
      </c>
      <c r="C276" s="5">
        <f t="shared" si="1"/>
        <v>6</v>
      </c>
      <c r="D276" s="1" t="s">
        <v>12</v>
      </c>
      <c r="E276" s="1" t="s">
        <v>45</v>
      </c>
      <c r="F276" s="1" t="str">
        <f t="shared" si="2"/>
        <v>Yellow</v>
      </c>
      <c r="G276" s="5" t="s">
        <v>17</v>
      </c>
      <c r="H276" s="9" t="s">
        <v>4488</v>
      </c>
      <c r="I276" s="5">
        <f t="shared" si="3"/>
        <v>2.8009</v>
      </c>
      <c r="J276" s="5" t="s">
        <v>2374</v>
      </c>
      <c r="K276" s="5">
        <f t="shared" si="4"/>
        <v>230.718658</v>
      </c>
      <c r="L276" s="9" t="s">
        <v>4491</v>
      </c>
      <c r="M276" s="5">
        <f t="shared" si="5"/>
        <v>1.0083</v>
      </c>
      <c r="N276" s="6" t="s">
        <v>3022</v>
      </c>
      <c r="O276" s="5">
        <f t="shared" si="6"/>
        <v>236</v>
      </c>
    </row>
    <row r="277">
      <c r="A277" s="6" t="s">
        <v>2488</v>
      </c>
      <c r="B277" s="6" t="s">
        <v>2521</v>
      </c>
      <c r="C277" s="5">
        <f t="shared" si="1"/>
        <v>6</v>
      </c>
      <c r="D277" s="1" t="s">
        <v>12</v>
      </c>
      <c r="E277" s="1" t="s">
        <v>48</v>
      </c>
      <c r="F277" s="1" t="str">
        <f t="shared" si="2"/>
        <v>Orange</v>
      </c>
      <c r="G277" s="5" t="s">
        <v>49</v>
      </c>
      <c r="H277" s="5" t="s">
        <v>2375</v>
      </c>
      <c r="I277" s="5">
        <f t="shared" si="3"/>
        <v>0.0324</v>
      </c>
      <c r="J277" s="5" t="s">
        <v>2376</v>
      </c>
      <c r="K277" s="5">
        <f t="shared" si="4"/>
        <v>10.521911</v>
      </c>
      <c r="L277" s="5" t="s">
        <v>1514</v>
      </c>
      <c r="M277" s="5">
        <f t="shared" si="5"/>
        <v>0.0091</v>
      </c>
      <c r="N277" s="6" t="s">
        <v>4500</v>
      </c>
      <c r="O277" s="5">
        <f t="shared" si="6"/>
        <v>15</v>
      </c>
    </row>
    <row r="278">
      <c r="A278" s="6" t="s">
        <v>2488</v>
      </c>
      <c r="B278" s="6" t="s">
        <v>2521</v>
      </c>
      <c r="C278" s="5">
        <f t="shared" si="1"/>
        <v>6</v>
      </c>
      <c r="D278" s="1" t="s">
        <v>12</v>
      </c>
      <c r="E278" s="1" t="s">
        <v>48</v>
      </c>
      <c r="F278" s="1" t="str">
        <f t="shared" si="2"/>
        <v>Orange</v>
      </c>
      <c r="G278" s="5" t="s">
        <v>21</v>
      </c>
      <c r="H278" s="5" t="s">
        <v>2377</v>
      </c>
      <c r="I278" s="5">
        <f t="shared" si="3"/>
        <v>1.024</v>
      </c>
      <c r="J278" s="5" t="s">
        <v>2378</v>
      </c>
      <c r="K278" s="5">
        <f t="shared" si="4"/>
        <v>132.086592</v>
      </c>
      <c r="L278" s="5" t="s">
        <v>2379</v>
      </c>
      <c r="M278" s="5">
        <f t="shared" si="5"/>
        <v>0.4096</v>
      </c>
      <c r="N278" s="6" t="s">
        <v>4508</v>
      </c>
      <c r="O278" s="5">
        <f t="shared" si="6"/>
        <v>170</v>
      </c>
    </row>
    <row r="279">
      <c r="A279" s="6" t="s">
        <v>2488</v>
      </c>
      <c r="B279" s="6" t="s">
        <v>2521</v>
      </c>
      <c r="C279" s="5">
        <f t="shared" si="1"/>
        <v>6</v>
      </c>
      <c r="D279" s="1" t="s">
        <v>12</v>
      </c>
      <c r="E279" s="1" t="s">
        <v>32</v>
      </c>
      <c r="F279" s="1" t="str">
        <f t="shared" si="2"/>
        <v>Black</v>
      </c>
      <c r="G279" s="5" t="s">
        <v>14</v>
      </c>
      <c r="H279" s="5" t="s">
        <v>2380</v>
      </c>
      <c r="I279" s="5">
        <f t="shared" si="3"/>
        <v>0.9643</v>
      </c>
      <c r="J279" s="5" t="s">
        <v>2381</v>
      </c>
      <c r="K279" s="5">
        <f t="shared" si="4"/>
        <v>67.866183</v>
      </c>
      <c r="L279" s="5" t="s">
        <v>2382</v>
      </c>
      <c r="M279" s="5">
        <f t="shared" si="5"/>
        <v>0.2218</v>
      </c>
      <c r="N279" s="6" t="s">
        <v>4512</v>
      </c>
      <c r="O279" s="5">
        <f t="shared" si="6"/>
        <v>149</v>
      </c>
    </row>
    <row r="280">
      <c r="A280" s="6" t="s">
        <v>2488</v>
      </c>
      <c r="B280" s="6" t="s">
        <v>2521</v>
      </c>
      <c r="C280" s="5">
        <f t="shared" si="1"/>
        <v>6</v>
      </c>
      <c r="D280" s="1" t="s">
        <v>12</v>
      </c>
      <c r="E280" s="1" t="s">
        <v>32</v>
      </c>
      <c r="F280" s="1" t="str">
        <f t="shared" si="2"/>
        <v>Black</v>
      </c>
      <c r="G280" s="5" t="s">
        <v>21</v>
      </c>
      <c r="H280" s="5" t="s">
        <v>2383</v>
      </c>
      <c r="I280" s="5">
        <f t="shared" si="3"/>
        <v>0.7189</v>
      </c>
      <c r="J280" s="5" t="s">
        <v>2384</v>
      </c>
      <c r="K280" s="5">
        <f t="shared" si="4"/>
        <v>59.064649</v>
      </c>
      <c r="L280" s="5" t="s">
        <v>2385</v>
      </c>
      <c r="M280" s="5">
        <f t="shared" si="5"/>
        <v>0.3235</v>
      </c>
      <c r="N280" s="6" t="s">
        <v>4518</v>
      </c>
      <c r="O280" s="5">
        <f t="shared" si="6"/>
        <v>68</v>
      </c>
    </row>
    <row r="281">
      <c r="A281" s="6" t="s">
        <v>2488</v>
      </c>
      <c r="B281" s="6" t="s">
        <v>2521</v>
      </c>
      <c r="C281" s="5">
        <f t="shared" si="1"/>
        <v>6</v>
      </c>
      <c r="D281" s="1" t="s">
        <v>12</v>
      </c>
      <c r="E281" s="1" t="s">
        <v>42</v>
      </c>
      <c r="F281" s="1" t="str">
        <f t="shared" si="2"/>
        <v>Red</v>
      </c>
      <c r="G281" s="5" t="s">
        <v>17</v>
      </c>
      <c r="H281" s="5" t="s">
        <v>2386</v>
      </c>
      <c r="I281" s="5">
        <f t="shared" si="3"/>
        <v>0.5625</v>
      </c>
      <c r="J281" s="5" t="s">
        <v>2387</v>
      </c>
      <c r="K281" s="5">
        <f t="shared" si="4"/>
        <v>97.748139</v>
      </c>
      <c r="L281" s="5" t="s">
        <v>2388</v>
      </c>
      <c r="M281" s="5">
        <f t="shared" si="5"/>
        <v>0.2081</v>
      </c>
      <c r="N281" s="6" t="s">
        <v>291</v>
      </c>
      <c r="O281" s="5">
        <f t="shared" si="6"/>
        <v>0</v>
      </c>
    </row>
    <row r="282">
      <c r="A282" s="6" t="s">
        <v>2488</v>
      </c>
      <c r="B282" s="6" t="s">
        <v>2521</v>
      </c>
      <c r="C282" s="5">
        <f t="shared" si="1"/>
        <v>6</v>
      </c>
      <c r="D282" s="1" t="s">
        <v>12</v>
      </c>
      <c r="E282" s="1" t="s">
        <v>56</v>
      </c>
      <c r="F282" s="1" t="str">
        <f t="shared" si="2"/>
        <v>Purple</v>
      </c>
      <c r="G282" s="5" t="s">
        <v>21</v>
      </c>
      <c r="H282" s="5" t="s">
        <v>2389</v>
      </c>
      <c r="I282" s="5">
        <f t="shared" si="3"/>
        <v>0.6822</v>
      </c>
      <c r="J282" s="5" t="s">
        <v>2390</v>
      </c>
      <c r="K282" s="5">
        <f t="shared" si="4"/>
        <v>88.235473</v>
      </c>
      <c r="L282" s="5" t="s">
        <v>2391</v>
      </c>
      <c r="M282" s="5">
        <f t="shared" si="5"/>
        <v>0.2729</v>
      </c>
      <c r="N282" s="6" t="s">
        <v>4574</v>
      </c>
      <c r="O282" s="5">
        <f t="shared" si="6"/>
        <v>175</v>
      </c>
    </row>
    <row r="283">
      <c r="A283" s="6" t="s">
        <v>2488</v>
      </c>
      <c r="B283" s="6" t="s">
        <v>2521</v>
      </c>
      <c r="C283" s="5">
        <f t="shared" si="1"/>
        <v>6</v>
      </c>
      <c r="D283" s="1" t="s">
        <v>12</v>
      </c>
      <c r="E283" s="1" t="s">
        <v>544</v>
      </c>
      <c r="F283" s="1" t="str">
        <f t="shared" si="2"/>
        <v>Golden</v>
      </c>
      <c r="G283" s="5" t="s">
        <v>17</v>
      </c>
      <c r="H283" s="9" t="s">
        <v>4575</v>
      </c>
      <c r="I283" s="5">
        <f t="shared" si="3"/>
        <v>1.3839</v>
      </c>
      <c r="J283" s="5" t="s">
        <v>2392</v>
      </c>
      <c r="K283" s="5">
        <f t="shared" si="4"/>
        <v>79.551433</v>
      </c>
      <c r="L283" s="5" t="s">
        <v>601</v>
      </c>
      <c r="M283" s="5">
        <f t="shared" si="5"/>
        <v>0.4844</v>
      </c>
      <c r="N283" s="6" t="s">
        <v>3623</v>
      </c>
      <c r="O283" s="5">
        <f t="shared" si="6"/>
        <v>118</v>
      </c>
    </row>
    <row r="284">
      <c r="A284" s="6" t="s">
        <v>2488</v>
      </c>
      <c r="B284" s="6" t="s">
        <v>2521</v>
      </c>
      <c r="C284" s="5">
        <f t="shared" si="1"/>
        <v>6</v>
      </c>
      <c r="D284" s="1" t="s">
        <v>12</v>
      </c>
      <c r="E284" s="1" t="s">
        <v>1851</v>
      </c>
      <c r="F284" s="1" t="str">
        <f t="shared" si="2"/>
        <v>Rosy</v>
      </c>
      <c r="G284" s="5" t="s">
        <v>17</v>
      </c>
      <c r="H284" s="5" t="s">
        <v>2393</v>
      </c>
      <c r="I284" s="5">
        <f t="shared" si="3"/>
        <v>0.1271</v>
      </c>
      <c r="J284" s="5" t="s">
        <v>2394</v>
      </c>
      <c r="K284" s="5">
        <f t="shared" si="4"/>
        <v>9.602312</v>
      </c>
      <c r="L284" s="5" t="s">
        <v>2395</v>
      </c>
      <c r="M284" s="5">
        <f t="shared" si="5"/>
        <v>0.0489</v>
      </c>
      <c r="N284" s="6" t="s">
        <v>4578</v>
      </c>
      <c r="O284" s="5">
        <f t="shared" si="6"/>
        <v>18</v>
      </c>
    </row>
    <row r="285">
      <c r="A285" s="6" t="s">
        <v>2488</v>
      </c>
      <c r="B285" s="6" t="s">
        <v>2521</v>
      </c>
      <c r="C285" s="5">
        <f t="shared" si="1"/>
        <v>6</v>
      </c>
      <c r="D285" s="1" t="s">
        <v>12</v>
      </c>
      <c r="E285" s="1" t="s">
        <v>1851</v>
      </c>
      <c r="F285" s="1" t="str">
        <f t="shared" si="2"/>
        <v>Rosy</v>
      </c>
      <c r="G285" s="5" t="s">
        <v>21</v>
      </c>
      <c r="H285" s="5" t="s">
        <v>2396</v>
      </c>
      <c r="I285" s="5">
        <f t="shared" si="3"/>
        <v>0.6678</v>
      </c>
      <c r="J285" s="5" t="s">
        <v>2397</v>
      </c>
      <c r="K285" s="5">
        <f t="shared" si="4"/>
        <v>49.925816</v>
      </c>
      <c r="L285" s="5" t="s">
        <v>2398</v>
      </c>
      <c r="M285" s="5">
        <f t="shared" si="5"/>
        <v>0.3272</v>
      </c>
      <c r="N285" s="6" t="s">
        <v>1510</v>
      </c>
      <c r="O285" s="5">
        <f t="shared" si="6"/>
        <v>108</v>
      </c>
    </row>
    <row r="286">
      <c r="A286" s="6" t="s">
        <v>2488</v>
      </c>
      <c r="B286" s="6" t="s">
        <v>2521</v>
      </c>
      <c r="C286" s="5">
        <f t="shared" si="1"/>
        <v>6</v>
      </c>
      <c r="D286" s="1" t="s">
        <v>68</v>
      </c>
      <c r="E286" s="1" t="s">
        <v>2497</v>
      </c>
      <c r="F286" s="1" t="str">
        <f t="shared" si="2"/>
        <v>Green</v>
      </c>
      <c r="G286" s="5" t="s">
        <v>14</v>
      </c>
      <c r="H286" s="5" t="s">
        <v>2399</v>
      </c>
      <c r="I286" s="5">
        <f t="shared" si="3"/>
        <v>48.83</v>
      </c>
      <c r="J286" s="5" t="s">
        <v>2400</v>
      </c>
      <c r="K286" s="5">
        <f t="shared" si="4"/>
        <v>3039.185931</v>
      </c>
      <c r="L286" s="9" t="s">
        <v>4579</v>
      </c>
      <c r="M286" s="5">
        <f t="shared" si="5"/>
        <v>10.2543</v>
      </c>
      <c r="N286" s="6" t="s">
        <v>4580</v>
      </c>
      <c r="O286" s="5">
        <f t="shared" si="6"/>
        <v>6761</v>
      </c>
    </row>
    <row r="287">
      <c r="A287" s="6" t="s">
        <v>2488</v>
      </c>
      <c r="B287" s="6" t="s">
        <v>2521</v>
      </c>
      <c r="C287" s="5">
        <f t="shared" si="1"/>
        <v>6</v>
      </c>
      <c r="D287" s="1" t="s">
        <v>68</v>
      </c>
      <c r="E287" s="1" t="s">
        <v>2497</v>
      </c>
      <c r="F287" s="1" t="str">
        <f t="shared" si="2"/>
        <v>Green</v>
      </c>
      <c r="G287" s="5" t="s">
        <v>17</v>
      </c>
      <c r="H287" s="5" t="s">
        <v>2401</v>
      </c>
      <c r="I287" s="5">
        <f t="shared" si="3"/>
        <v>41.0978</v>
      </c>
      <c r="J287" s="5" t="s">
        <v>2402</v>
      </c>
      <c r="K287" s="5">
        <f t="shared" si="4"/>
        <v>4352.489251</v>
      </c>
      <c r="L287" s="5" t="s">
        <v>2403</v>
      </c>
      <c r="M287" s="5">
        <f t="shared" si="5"/>
        <v>14.3842</v>
      </c>
      <c r="N287" s="6" t="s">
        <v>4582</v>
      </c>
      <c r="O287" s="5">
        <f t="shared" si="6"/>
        <v>7647</v>
      </c>
    </row>
    <row r="288">
      <c r="A288" s="6" t="s">
        <v>2488</v>
      </c>
      <c r="B288" s="6" t="s">
        <v>2521</v>
      </c>
      <c r="C288" s="5">
        <f t="shared" si="1"/>
        <v>6</v>
      </c>
      <c r="D288" s="1" t="s">
        <v>68</v>
      </c>
      <c r="E288" s="1" t="s">
        <v>2497</v>
      </c>
      <c r="F288" s="1" t="str">
        <f t="shared" si="2"/>
        <v>Green</v>
      </c>
      <c r="G288" s="5" t="s">
        <v>21</v>
      </c>
      <c r="H288" s="5" t="s">
        <v>2404</v>
      </c>
      <c r="I288" s="5">
        <f t="shared" si="3"/>
        <v>2.357</v>
      </c>
      <c r="J288" s="5" t="s">
        <v>2405</v>
      </c>
      <c r="K288" s="5">
        <f t="shared" si="4"/>
        <v>331.185942</v>
      </c>
      <c r="L288" s="9" t="s">
        <v>2406</v>
      </c>
      <c r="M288" s="5">
        <f t="shared" si="5"/>
        <v>1.1785</v>
      </c>
      <c r="N288" s="6" t="s">
        <v>4583</v>
      </c>
      <c r="O288" s="5">
        <f t="shared" si="6"/>
        <v>504</v>
      </c>
    </row>
    <row r="289">
      <c r="A289" s="6" t="s">
        <v>2488</v>
      </c>
      <c r="B289" s="6" t="s">
        <v>2521</v>
      </c>
      <c r="C289" s="5">
        <f t="shared" si="1"/>
        <v>6</v>
      </c>
      <c r="D289" s="1" t="s">
        <v>68</v>
      </c>
      <c r="E289" s="1" t="s">
        <v>2497</v>
      </c>
      <c r="F289" s="1" t="str">
        <f t="shared" si="2"/>
        <v>Green</v>
      </c>
      <c r="G289" s="5" t="s">
        <v>25</v>
      </c>
      <c r="H289" s="5" t="s">
        <v>2407</v>
      </c>
      <c r="I289" s="5">
        <f t="shared" si="3"/>
        <v>0.3502</v>
      </c>
      <c r="J289" s="5" t="s">
        <v>2408</v>
      </c>
      <c r="K289" s="5">
        <f t="shared" si="4"/>
        <v>56.559075</v>
      </c>
      <c r="L289" s="5" t="s">
        <v>2409</v>
      </c>
      <c r="M289" s="5">
        <f t="shared" si="5"/>
        <v>0.2626</v>
      </c>
      <c r="N289" s="6" t="s">
        <v>4584</v>
      </c>
      <c r="O289" s="5">
        <f t="shared" si="6"/>
        <v>163</v>
      </c>
    </row>
    <row r="290">
      <c r="A290" s="6" t="s">
        <v>2488</v>
      </c>
      <c r="B290" s="6" t="s">
        <v>2521</v>
      </c>
      <c r="C290" s="5">
        <f t="shared" si="1"/>
        <v>6</v>
      </c>
      <c r="D290" s="1" t="s">
        <v>68</v>
      </c>
      <c r="E290" s="1" t="s">
        <v>29</v>
      </c>
      <c r="F290" s="1" t="str">
        <f t="shared" si="2"/>
        <v>Blue</v>
      </c>
      <c r="G290" s="5" t="s">
        <v>14</v>
      </c>
      <c r="H290" s="5" t="s">
        <v>1558</v>
      </c>
      <c r="I290" s="5">
        <f t="shared" si="3"/>
        <v>0.0172</v>
      </c>
      <c r="J290" s="5" t="s">
        <v>2410</v>
      </c>
      <c r="K290" s="5">
        <f t="shared" si="4"/>
        <v>1.925396</v>
      </c>
      <c r="L290" s="5" t="s">
        <v>2411</v>
      </c>
      <c r="M290" s="5">
        <f t="shared" si="5"/>
        <v>0.0034</v>
      </c>
      <c r="N290" s="6" t="s">
        <v>3927</v>
      </c>
      <c r="O290" s="5">
        <f t="shared" si="6"/>
        <v>9</v>
      </c>
    </row>
    <row r="291">
      <c r="A291" s="6" t="s">
        <v>2488</v>
      </c>
      <c r="B291" s="6" t="s">
        <v>2521</v>
      </c>
      <c r="C291" s="5">
        <f t="shared" si="1"/>
        <v>6</v>
      </c>
      <c r="D291" s="1" t="s">
        <v>68</v>
      </c>
      <c r="E291" s="1" t="s">
        <v>29</v>
      </c>
      <c r="F291" s="1" t="str">
        <f t="shared" si="2"/>
        <v>Blue</v>
      </c>
      <c r="G291" s="5" t="s">
        <v>21</v>
      </c>
      <c r="H291" s="9" t="s">
        <v>2412</v>
      </c>
      <c r="I291" s="5">
        <f t="shared" si="3"/>
        <v>5.1814</v>
      </c>
      <c r="J291" s="5" t="s">
        <v>2413</v>
      </c>
      <c r="K291" s="5">
        <f t="shared" si="4"/>
        <v>1062.609031</v>
      </c>
      <c r="L291" s="9" t="s">
        <v>2414</v>
      </c>
      <c r="M291" s="5">
        <f t="shared" si="5"/>
        <v>2.0726</v>
      </c>
      <c r="N291" s="6" t="s">
        <v>4589</v>
      </c>
      <c r="O291" s="5">
        <f t="shared" si="6"/>
        <v>803</v>
      </c>
    </row>
    <row r="292">
      <c r="A292" s="6" t="s">
        <v>2488</v>
      </c>
      <c r="B292" s="6" t="s">
        <v>2521</v>
      </c>
      <c r="C292" s="5">
        <f t="shared" si="1"/>
        <v>6</v>
      </c>
      <c r="D292" s="1" t="s">
        <v>68</v>
      </c>
      <c r="E292" s="1" t="s">
        <v>1851</v>
      </c>
      <c r="F292" s="1" t="str">
        <f t="shared" si="2"/>
        <v>Rosy</v>
      </c>
      <c r="G292" s="5" t="s">
        <v>17</v>
      </c>
      <c r="H292" s="9" t="s">
        <v>4590</v>
      </c>
      <c r="I292" s="5">
        <f t="shared" si="3"/>
        <v>5.6432</v>
      </c>
      <c r="J292" s="5" t="s">
        <v>2415</v>
      </c>
      <c r="K292" s="5">
        <f t="shared" si="4"/>
        <v>371.37458</v>
      </c>
      <c r="L292" s="9" t="s">
        <v>2416</v>
      </c>
      <c r="M292" s="5">
        <f t="shared" si="5"/>
        <v>2.1727</v>
      </c>
      <c r="N292" s="6" t="s">
        <v>4592</v>
      </c>
      <c r="O292" s="5">
        <f t="shared" si="6"/>
        <v>2335</v>
      </c>
    </row>
    <row r="293">
      <c r="A293" s="6" t="s">
        <v>2488</v>
      </c>
      <c r="B293" s="6" t="s">
        <v>2521</v>
      </c>
      <c r="C293" s="5">
        <f t="shared" si="1"/>
        <v>6</v>
      </c>
      <c r="D293" s="1" t="s">
        <v>68</v>
      </c>
      <c r="E293" s="1" t="s">
        <v>1851</v>
      </c>
      <c r="F293" s="1" t="str">
        <f t="shared" si="2"/>
        <v>Rosy</v>
      </c>
      <c r="G293" s="5" t="s">
        <v>21</v>
      </c>
      <c r="H293" s="9" t="s">
        <v>4595</v>
      </c>
      <c r="I293" s="5">
        <f t="shared" si="3"/>
        <v>5.2978</v>
      </c>
      <c r="J293" s="5" t="s">
        <v>2417</v>
      </c>
      <c r="K293" s="5">
        <f t="shared" si="4"/>
        <v>395.901459</v>
      </c>
      <c r="L293" s="9" t="s">
        <v>4597</v>
      </c>
      <c r="M293" s="5">
        <f t="shared" si="5"/>
        <v>2.5959</v>
      </c>
      <c r="N293" s="6" t="s">
        <v>4598</v>
      </c>
      <c r="O293" s="5">
        <f t="shared" si="6"/>
        <v>2479</v>
      </c>
    </row>
    <row r="294">
      <c r="A294" s="6" t="s">
        <v>2488</v>
      </c>
      <c r="B294" s="6" t="s">
        <v>2521</v>
      </c>
      <c r="C294" s="5">
        <f t="shared" si="1"/>
        <v>6</v>
      </c>
      <c r="D294" s="1" t="s">
        <v>68</v>
      </c>
      <c r="E294" s="1" t="s">
        <v>45</v>
      </c>
      <c r="F294" s="1" t="str">
        <f t="shared" si="2"/>
        <v>Yellow</v>
      </c>
      <c r="G294" s="5" t="s">
        <v>17</v>
      </c>
      <c r="H294" s="9" t="s">
        <v>2418</v>
      </c>
      <c r="I294" s="5">
        <f t="shared" si="3"/>
        <v>12.1151</v>
      </c>
      <c r="J294" s="5" t="s">
        <v>2419</v>
      </c>
      <c r="K294" s="5">
        <f t="shared" si="4"/>
        <v>684.569631</v>
      </c>
      <c r="L294" s="9" t="s">
        <v>4601</v>
      </c>
      <c r="M294" s="5">
        <f t="shared" si="5"/>
        <v>4.3615</v>
      </c>
      <c r="N294" s="6" t="s">
        <v>4602</v>
      </c>
      <c r="O294" s="5">
        <f t="shared" si="6"/>
        <v>1387</v>
      </c>
    </row>
    <row r="295">
      <c r="A295" s="6" t="s">
        <v>2488</v>
      </c>
      <c r="B295" s="6" t="s">
        <v>2521</v>
      </c>
      <c r="C295" s="5">
        <f t="shared" si="1"/>
        <v>6</v>
      </c>
      <c r="D295" s="1" t="s">
        <v>68</v>
      </c>
      <c r="E295" s="1" t="s">
        <v>544</v>
      </c>
      <c r="F295" s="1" t="str">
        <f t="shared" si="2"/>
        <v>Golden</v>
      </c>
      <c r="G295" s="5" t="s">
        <v>17</v>
      </c>
      <c r="H295" s="5" t="s">
        <v>2420</v>
      </c>
      <c r="I295" s="5">
        <f t="shared" si="3"/>
        <v>9.0987</v>
      </c>
      <c r="J295" s="5" t="s">
        <v>2421</v>
      </c>
      <c r="K295" s="5">
        <f t="shared" si="4"/>
        <v>522.367552</v>
      </c>
      <c r="L295" s="9" t="s">
        <v>2422</v>
      </c>
      <c r="M295" s="5">
        <f t="shared" si="5"/>
        <v>3.1845</v>
      </c>
      <c r="N295" s="6" t="s">
        <v>4603</v>
      </c>
      <c r="O295" s="5">
        <f t="shared" si="6"/>
        <v>3345</v>
      </c>
    </row>
    <row r="296">
      <c r="A296" s="6" t="s">
        <v>2488</v>
      </c>
      <c r="B296" s="6" t="s">
        <v>2521</v>
      </c>
      <c r="C296" s="5">
        <f t="shared" si="1"/>
        <v>6</v>
      </c>
      <c r="D296" s="1" t="s">
        <v>68</v>
      </c>
      <c r="E296" s="1" t="s">
        <v>32</v>
      </c>
      <c r="F296" s="1" t="str">
        <f t="shared" si="2"/>
        <v>Black</v>
      </c>
      <c r="G296" s="5" t="s">
        <v>14</v>
      </c>
      <c r="H296" s="9" t="s">
        <v>4604</v>
      </c>
      <c r="I296" s="5">
        <f t="shared" si="3"/>
        <v>4.6757</v>
      </c>
      <c r="J296" s="5" t="s">
        <v>2423</v>
      </c>
      <c r="K296" s="5">
        <f t="shared" si="4"/>
        <v>315.497197</v>
      </c>
      <c r="L296" s="9" t="s">
        <v>2424</v>
      </c>
      <c r="M296" s="5">
        <f t="shared" si="5"/>
        <v>1.0754</v>
      </c>
      <c r="N296" s="6" t="s">
        <v>4605</v>
      </c>
      <c r="O296" s="5">
        <f t="shared" si="6"/>
        <v>1483</v>
      </c>
    </row>
    <row r="297">
      <c r="A297" s="6" t="s">
        <v>2488</v>
      </c>
      <c r="B297" s="6" t="s">
        <v>2521</v>
      </c>
      <c r="C297" s="5">
        <f t="shared" si="1"/>
        <v>6</v>
      </c>
      <c r="D297" s="1" t="s">
        <v>68</v>
      </c>
      <c r="E297" s="1" t="s">
        <v>32</v>
      </c>
      <c r="F297" s="1" t="str">
        <f t="shared" si="2"/>
        <v>Black</v>
      </c>
      <c r="G297" s="5" t="s">
        <v>21</v>
      </c>
      <c r="H297" s="5" t="s">
        <v>2425</v>
      </c>
      <c r="I297" s="5">
        <f t="shared" si="3"/>
        <v>0.6269</v>
      </c>
      <c r="J297" s="5" t="s">
        <v>2426</v>
      </c>
      <c r="K297" s="5">
        <f t="shared" si="4"/>
        <v>75.852483</v>
      </c>
      <c r="L297" s="5" t="s">
        <v>2427</v>
      </c>
      <c r="M297" s="5">
        <f t="shared" si="5"/>
        <v>0.282</v>
      </c>
      <c r="N297" s="6" t="s">
        <v>1665</v>
      </c>
      <c r="O297" s="5">
        <f t="shared" si="6"/>
        <v>279</v>
      </c>
    </row>
    <row r="298">
      <c r="A298" s="6" t="s">
        <v>2488</v>
      </c>
      <c r="B298" s="6" t="s">
        <v>2521</v>
      </c>
      <c r="C298" s="5">
        <f t="shared" si="1"/>
        <v>6</v>
      </c>
      <c r="D298" s="1" t="s">
        <v>68</v>
      </c>
      <c r="E298" s="1" t="s">
        <v>1830</v>
      </c>
      <c r="F298" s="1" t="str">
        <f t="shared" si="2"/>
        <v>Magenta</v>
      </c>
      <c r="G298" s="5" t="s">
        <v>72</v>
      </c>
      <c r="H298" s="9" t="s">
        <v>4606</v>
      </c>
      <c r="I298" s="5">
        <f t="shared" si="3"/>
        <v>3.7283</v>
      </c>
      <c r="J298" s="5" t="s">
        <v>2428</v>
      </c>
      <c r="K298" s="5">
        <f t="shared" si="4"/>
        <v>271.43171</v>
      </c>
      <c r="L298" s="5" t="s">
        <v>2429</v>
      </c>
      <c r="M298" s="5">
        <f t="shared" si="5"/>
        <v>1.193</v>
      </c>
      <c r="N298" s="6" t="s">
        <v>4607</v>
      </c>
      <c r="O298" s="5">
        <f t="shared" si="6"/>
        <v>3378</v>
      </c>
    </row>
    <row r="299">
      <c r="A299" s="6" t="s">
        <v>2488</v>
      </c>
      <c r="B299" s="6" t="s">
        <v>2521</v>
      </c>
      <c r="C299" s="5">
        <f t="shared" si="1"/>
        <v>6</v>
      </c>
      <c r="D299" s="1" t="s">
        <v>68</v>
      </c>
      <c r="E299" s="1" t="s">
        <v>2088</v>
      </c>
      <c r="F299" s="1" t="str">
        <f t="shared" si="2"/>
        <v>Lilac</v>
      </c>
      <c r="G299" s="5" t="s">
        <v>21</v>
      </c>
      <c r="H299" s="9" t="s">
        <v>4608</v>
      </c>
      <c r="I299" s="5">
        <f t="shared" si="3"/>
        <v>1.6225</v>
      </c>
      <c r="J299" s="5" t="s">
        <v>2430</v>
      </c>
      <c r="K299" s="5">
        <f t="shared" si="4"/>
        <v>152.9368</v>
      </c>
      <c r="L299" s="5" t="s">
        <v>2431</v>
      </c>
      <c r="M299" s="5">
        <f t="shared" si="5"/>
        <v>0.649</v>
      </c>
      <c r="N299" s="6" t="s">
        <v>291</v>
      </c>
      <c r="O299" s="5">
        <f t="shared" si="6"/>
        <v>0</v>
      </c>
    </row>
    <row r="300">
      <c r="A300" s="6" t="s">
        <v>2488</v>
      </c>
      <c r="B300" s="6" t="s">
        <v>2521</v>
      </c>
      <c r="C300" s="5">
        <f t="shared" si="1"/>
        <v>6</v>
      </c>
      <c r="D300" s="1" t="s">
        <v>68</v>
      </c>
      <c r="E300" s="1" t="s">
        <v>38</v>
      </c>
      <c r="F300" s="1" t="str">
        <f t="shared" si="2"/>
        <v>White</v>
      </c>
      <c r="G300" s="5" t="s">
        <v>39</v>
      </c>
      <c r="H300" s="9" t="s">
        <v>4609</v>
      </c>
      <c r="I300" s="5">
        <f t="shared" si="3"/>
        <v>1.4657</v>
      </c>
      <c r="J300" s="5" t="s">
        <v>2432</v>
      </c>
      <c r="K300" s="5">
        <f t="shared" si="4"/>
        <v>133.872281</v>
      </c>
      <c r="L300" s="5" t="s">
        <v>2433</v>
      </c>
      <c r="M300" s="5">
        <f t="shared" si="5"/>
        <v>0.2638</v>
      </c>
      <c r="N300" s="6" t="s">
        <v>3525</v>
      </c>
      <c r="O300" s="5">
        <f t="shared" si="6"/>
        <v>243</v>
      </c>
    </row>
    <row r="301">
      <c r="A301" s="6" t="s">
        <v>2488</v>
      </c>
      <c r="B301" s="6" t="s">
        <v>2521</v>
      </c>
      <c r="C301" s="5">
        <f t="shared" si="1"/>
        <v>6</v>
      </c>
      <c r="D301" s="1" t="s">
        <v>68</v>
      </c>
      <c r="E301" s="1" t="s">
        <v>42</v>
      </c>
      <c r="F301" s="1" t="str">
        <f t="shared" si="2"/>
        <v>Red</v>
      </c>
      <c r="G301" s="5" t="s">
        <v>17</v>
      </c>
      <c r="H301" s="5" t="s">
        <v>2434</v>
      </c>
      <c r="I301" s="5">
        <f t="shared" si="3"/>
        <v>0.5764</v>
      </c>
      <c r="J301" s="5" t="s">
        <v>2435</v>
      </c>
      <c r="K301" s="5">
        <f t="shared" si="4"/>
        <v>94.428791</v>
      </c>
      <c r="L301" s="5" t="s">
        <v>2436</v>
      </c>
      <c r="M301" s="5">
        <f t="shared" si="5"/>
        <v>0.2133</v>
      </c>
      <c r="N301" s="6" t="s">
        <v>4610</v>
      </c>
      <c r="O301" s="5">
        <f t="shared" si="6"/>
        <v>265</v>
      </c>
    </row>
    <row r="302">
      <c r="A302" s="6" t="s">
        <v>2488</v>
      </c>
      <c r="B302" s="6" t="s">
        <v>2521</v>
      </c>
      <c r="C302" s="5">
        <f t="shared" si="1"/>
        <v>6</v>
      </c>
      <c r="D302" s="1" t="s">
        <v>116</v>
      </c>
      <c r="E302" s="1" t="s">
        <v>2497</v>
      </c>
      <c r="F302" s="1" t="str">
        <f t="shared" si="2"/>
        <v>Green</v>
      </c>
      <c r="G302" s="5" t="s">
        <v>14</v>
      </c>
      <c r="H302" s="5" t="s">
        <v>2437</v>
      </c>
      <c r="I302" s="5">
        <f t="shared" si="3"/>
        <v>122.9401</v>
      </c>
      <c r="J302" s="5" t="s">
        <v>2438</v>
      </c>
      <c r="K302" s="5">
        <f t="shared" si="4"/>
        <v>7248.969408</v>
      </c>
      <c r="L302" s="5" t="s">
        <v>2439</v>
      </c>
      <c r="M302" s="5">
        <f t="shared" si="5"/>
        <v>25.8174</v>
      </c>
      <c r="N302" s="6" t="s">
        <v>4611</v>
      </c>
      <c r="O302" s="5">
        <f t="shared" si="6"/>
        <v>12120</v>
      </c>
    </row>
    <row r="303">
      <c r="A303" s="6" t="s">
        <v>2488</v>
      </c>
      <c r="B303" s="6" t="s">
        <v>2521</v>
      </c>
      <c r="C303" s="5">
        <f t="shared" si="1"/>
        <v>6</v>
      </c>
      <c r="D303" s="1" t="s">
        <v>116</v>
      </c>
      <c r="E303" s="1" t="s">
        <v>2497</v>
      </c>
      <c r="F303" s="1" t="str">
        <f t="shared" si="2"/>
        <v>Green</v>
      </c>
      <c r="G303" s="5" t="s">
        <v>17</v>
      </c>
      <c r="H303" s="5" t="s">
        <v>2440</v>
      </c>
      <c r="I303" s="5">
        <f t="shared" si="3"/>
        <v>99.0564</v>
      </c>
      <c r="J303" s="5" t="s">
        <v>2441</v>
      </c>
      <c r="K303" s="5">
        <f t="shared" si="4"/>
        <v>9724.902538</v>
      </c>
      <c r="L303" s="5" t="s">
        <v>2442</v>
      </c>
      <c r="M303" s="5">
        <f t="shared" si="5"/>
        <v>34.6697</v>
      </c>
      <c r="N303" s="6" t="s">
        <v>4612</v>
      </c>
      <c r="O303" s="5">
        <f t="shared" si="6"/>
        <v>13797</v>
      </c>
    </row>
    <row r="304">
      <c r="A304" s="6" t="s">
        <v>2488</v>
      </c>
      <c r="B304" s="6" t="s">
        <v>2521</v>
      </c>
      <c r="C304" s="5">
        <f t="shared" si="1"/>
        <v>6</v>
      </c>
      <c r="D304" s="1" t="s">
        <v>116</v>
      </c>
      <c r="E304" s="1" t="s">
        <v>2497</v>
      </c>
      <c r="F304" s="1" t="str">
        <f t="shared" si="2"/>
        <v>Green</v>
      </c>
      <c r="G304" s="5" t="s">
        <v>21</v>
      </c>
      <c r="H304" s="9" t="s">
        <v>4613</v>
      </c>
      <c r="I304" s="5">
        <f t="shared" si="3"/>
        <v>5.2129</v>
      </c>
      <c r="J304" s="5" t="s">
        <v>2443</v>
      </c>
      <c r="K304" s="5">
        <f t="shared" si="4"/>
        <v>784.023162</v>
      </c>
      <c r="L304" s="9" t="s">
        <v>4614</v>
      </c>
      <c r="M304" s="5">
        <f t="shared" si="5"/>
        <v>2.6066</v>
      </c>
      <c r="N304" s="6" t="s">
        <v>4615</v>
      </c>
      <c r="O304" s="5">
        <f t="shared" si="6"/>
        <v>641</v>
      </c>
    </row>
    <row r="305">
      <c r="A305" s="6" t="s">
        <v>2488</v>
      </c>
      <c r="B305" s="6" t="s">
        <v>2521</v>
      </c>
      <c r="C305" s="5">
        <f t="shared" si="1"/>
        <v>6</v>
      </c>
      <c r="D305" s="1" t="s">
        <v>116</v>
      </c>
      <c r="E305" s="1" t="s">
        <v>2497</v>
      </c>
      <c r="F305" s="1" t="str">
        <f t="shared" si="2"/>
        <v>Green</v>
      </c>
      <c r="G305" s="5" t="s">
        <v>25</v>
      </c>
      <c r="H305" s="5" t="s">
        <v>2444</v>
      </c>
      <c r="I305" s="5">
        <f t="shared" si="3"/>
        <v>0.0115</v>
      </c>
      <c r="J305" s="5" t="s">
        <v>2445</v>
      </c>
      <c r="K305" s="5">
        <f t="shared" si="4"/>
        <v>2.374221</v>
      </c>
      <c r="L305" s="5" t="s">
        <v>1605</v>
      </c>
      <c r="M305" s="5">
        <f t="shared" si="5"/>
        <v>0.0086</v>
      </c>
      <c r="N305" s="6" t="s">
        <v>273</v>
      </c>
      <c r="O305" s="5">
        <f t="shared" si="6"/>
        <v>4</v>
      </c>
    </row>
    <row r="306">
      <c r="A306" s="6" t="s">
        <v>2488</v>
      </c>
      <c r="B306" s="6" t="s">
        <v>2521</v>
      </c>
      <c r="C306" s="5">
        <f t="shared" si="1"/>
        <v>6</v>
      </c>
      <c r="D306" s="1" t="s">
        <v>116</v>
      </c>
      <c r="E306" s="1" t="s">
        <v>29</v>
      </c>
      <c r="F306" s="1" t="str">
        <f t="shared" si="2"/>
        <v>Blue</v>
      </c>
      <c r="G306" s="5" t="s">
        <v>14</v>
      </c>
      <c r="H306" s="9" t="s">
        <v>1172</v>
      </c>
      <c r="I306" s="5">
        <f t="shared" si="3"/>
        <v>1.0267</v>
      </c>
      <c r="J306" s="5" t="s">
        <v>2446</v>
      </c>
      <c r="K306" s="5">
        <f t="shared" si="4"/>
        <v>114.790323</v>
      </c>
      <c r="L306" s="5" t="s">
        <v>2447</v>
      </c>
      <c r="M306" s="5">
        <f t="shared" si="5"/>
        <v>0.2053</v>
      </c>
      <c r="N306" s="6" t="s">
        <v>2676</v>
      </c>
      <c r="O306" s="5">
        <f t="shared" si="6"/>
        <v>280</v>
      </c>
    </row>
    <row r="307">
      <c r="A307" s="6" t="s">
        <v>2488</v>
      </c>
      <c r="B307" s="6" t="s">
        <v>2521</v>
      </c>
      <c r="C307" s="5">
        <f t="shared" si="1"/>
        <v>6</v>
      </c>
      <c r="D307" s="1" t="s">
        <v>116</v>
      </c>
      <c r="E307" s="1" t="s">
        <v>29</v>
      </c>
      <c r="F307" s="1" t="str">
        <f t="shared" si="2"/>
        <v>Blue</v>
      </c>
      <c r="G307" s="5" t="s">
        <v>21</v>
      </c>
      <c r="H307" s="5" t="s">
        <v>2448</v>
      </c>
      <c r="I307" s="5">
        <f t="shared" si="3"/>
        <v>20.5077</v>
      </c>
      <c r="J307" s="5" t="s">
        <v>2449</v>
      </c>
      <c r="K307" s="5">
        <f t="shared" si="4"/>
        <v>4603.976229</v>
      </c>
      <c r="L307" s="5" t="s">
        <v>2450</v>
      </c>
      <c r="M307" s="5">
        <f t="shared" si="5"/>
        <v>8.203</v>
      </c>
      <c r="N307" s="6" t="s">
        <v>4616</v>
      </c>
      <c r="O307" s="5">
        <f t="shared" si="6"/>
        <v>1767</v>
      </c>
    </row>
    <row r="308">
      <c r="A308" s="6" t="s">
        <v>2488</v>
      </c>
      <c r="B308" s="6" t="s">
        <v>2521</v>
      </c>
      <c r="C308" s="5">
        <f t="shared" si="1"/>
        <v>6</v>
      </c>
      <c r="D308" s="1" t="s">
        <v>116</v>
      </c>
      <c r="E308" s="1" t="s">
        <v>1851</v>
      </c>
      <c r="F308" s="1" t="str">
        <f t="shared" si="2"/>
        <v>Rosy</v>
      </c>
      <c r="G308" s="5" t="s">
        <v>17</v>
      </c>
      <c r="H308" s="5" t="s">
        <v>2451</v>
      </c>
      <c r="I308" s="5">
        <f t="shared" si="3"/>
        <v>20.6032</v>
      </c>
      <c r="J308" s="5" t="s">
        <v>2452</v>
      </c>
      <c r="K308" s="5">
        <f t="shared" si="4"/>
        <v>1369.13641</v>
      </c>
      <c r="L308" s="9" t="s">
        <v>4617</v>
      </c>
      <c r="M308" s="5">
        <f t="shared" si="5"/>
        <v>7.9322</v>
      </c>
      <c r="N308" s="6" t="s">
        <v>4618</v>
      </c>
      <c r="O308" s="5">
        <f t="shared" si="6"/>
        <v>7311</v>
      </c>
    </row>
    <row r="309">
      <c r="A309" s="6" t="s">
        <v>2488</v>
      </c>
      <c r="B309" s="6" t="s">
        <v>2521</v>
      </c>
      <c r="C309" s="5">
        <f t="shared" si="1"/>
        <v>6</v>
      </c>
      <c r="D309" s="1" t="s">
        <v>116</v>
      </c>
      <c r="E309" s="1" t="s">
        <v>1851</v>
      </c>
      <c r="F309" s="1" t="str">
        <f t="shared" si="2"/>
        <v>Rosy</v>
      </c>
      <c r="G309" s="5" t="s">
        <v>21</v>
      </c>
      <c r="H309" s="5" t="s">
        <v>2453</v>
      </c>
      <c r="I309" s="5">
        <f t="shared" si="3"/>
        <v>11.262</v>
      </c>
      <c r="J309" s="5" t="s">
        <v>2454</v>
      </c>
      <c r="K309" s="5">
        <f t="shared" si="4"/>
        <v>844.10972</v>
      </c>
      <c r="L309" s="9" t="s">
        <v>4619</v>
      </c>
      <c r="M309" s="5">
        <f t="shared" si="5"/>
        <v>5.5184</v>
      </c>
      <c r="N309" s="6" t="s">
        <v>4620</v>
      </c>
      <c r="O309" s="5">
        <f t="shared" si="6"/>
        <v>4054</v>
      </c>
    </row>
    <row r="310">
      <c r="A310" s="6" t="s">
        <v>2488</v>
      </c>
      <c r="B310" s="6" t="s">
        <v>2521</v>
      </c>
      <c r="C310" s="5">
        <f t="shared" si="1"/>
        <v>6</v>
      </c>
      <c r="D310" s="1" t="s">
        <v>116</v>
      </c>
      <c r="E310" s="1" t="s">
        <v>45</v>
      </c>
      <c r="F310" s="1" t="str">
        <f t="shared" si="2"/>
        <v>Yellow</v>
      </c>
      <c r="G310" s="5" t="s">
        <v>17</v>
      </c>
      <c r="H310" s="5" t="s">
        <v>2455</v>
      </c>
      <c r="I310" s="5">
        <f t="shared" si="3"/>
        <v>17.8589</v>
      </c>
      <c r="J310" s="5" t="s">
        <v>2456</v>
      </c>
      <c r="K310" s="5">
        <f t="shared" si="4"/>
        <v>1193.713564</v>
      </c>
      <c r="L310" s="9" t="s">
        <v>4621</v>
      </c>
      <c r="M310" s="5">
        <f t="shared" si="5"/>
        <v>6.4292</v>
      </c>
      <c r="N310" s="6" t="s">
        <v>4622</v>
      </c>
      <c r="O310" s="5">
        <f t="shared" si="6"/>
        <v>1676</v>
      </c>
    </row>
    <row r="311">
      <c r="A311" s="6" t="s">
        <v>2488</v>
      </c>
      <c r="B311" s="6" t="s">
        <v>2521</v>
      </c>
      <c r="C311" s="5">
        <f t="shared" si="1"/>
        <v>6</v>
      </c>
      <c r="D311" s="1" t="s">
        <v>116</v>
      </c>
      <c r="E311" s="1" t="s">
        <v>544</v>
      </c>
      <c r="F311" s="1" t="str">
        <f t="shared" si="2"/>
        <v>Golden</v>
      </c>
      <c r="G311" s="5" t="s">
        <v>17</v>
      </c>
      <c r="H311" s="5" t="s">
        <v>2457</v>
      </c>
      <c r="I311" s="5">
        <f t="shared" si="3"/>
        <v>17.6534</v>
      </c>
      <c r="J311" s="5" t="s">
        <v>2458</v>
      </c>
      <c r="K311" s="5">
        <f t="shared" si="4"/>
        <v>960.914753</v>
      </c>
      <c r="L311" s="9" t="s">
        <v>2459</v>
      </c>
      <c r="M311" s="5">
        <f t="shared" si="5"/>
        <v>6.1787</v>
      </c>
      <c r="N311" s="6" t="s">
        <v>4623</v>
      </c>
      <c r="O311" s="5">
        <f t="shared" si="6"/>
        <v>5559</v>
      </c>
    </row>
    <row r="312">
      <c r="A312" s="6" t="s">
        <v>2488</v>
      </c>
      <c r="B312" s="6" t="s">
        <v>2521</v>
      </c>
      <c r="C312" s="5">
        <f t="shared" si="1"/>
        <v>6</v>
      </c>
      <c r="D312" s="1" t="s">
        <v>116</v>
      </c>
      <c r="E312" s="1" t="s">
        <v>147</v>
      </c>
      <c r="F312" s="1" t="str">
        <f t="shared" si="2"/>
        <v>Deep</v>
      </c>
      <c r="G312" s="5" t="s">
        <v>39</v>
      </c>
      <c r="H312" s="9" t="s">
        <v>4624</v>
      </c>
      <c r="I312" s="5">
        <f t="shared" si="3"/>
        <v>1.4055</v>
      </c>
      <c r="J312" s="5" t="s">
        <v>2460</v>
      </c>
      <c r="K312" s="5">
        <f t="shared" si="4"/>
        <v>441.059538</v>
      </c>
      <c r="L312" s="5" t="s">
        <v>2461</v>
      </c>
      <c r="M312" s="5">
        <f t="shared" si="5"/>
        <v>0.2671</v>
      </c>
      <c r="N312" s="6" t="s">
        <v>3836</v>
      </c>
      <c r="O312" s="5">
        <f t="shared" si="6"/>
        <v>107</v>
      </c>
    </row>
    <row r="313">
      <c r="A313" s="6" t="s">
        <v>2488</v>
      </c>
      <c r="B313" s="6" t="s">
        <v>2521</v>
      </c>
      <c r="C313" s="5">
        <f t="shared" si="1"/>
        <v>6</v>
      </c>
      <c r="D313" s="1" t="s">
        <v>116</v>
      </c>
      <c r="E313" s="1" t="s">
        <v>147</v>
      </c>
      <c r="F313" s="1" t="str">
        <f t="shared" si="2"/>
        <v>Deep</v>
      </c>
      <c r="G313" s="5" t="s">
        <v>17</v>
      </c>
      <c r="H313" s="5" t="s">
        <v>2030</v>
      </c>
      <c r="I313" s="5">
        <f t="shared" si="3"/>
        <v>0.0176</v>
      </c>
      <c r="J313" s="5" t="s">
        <v>2462</v>
      </c>
      <c r="K313" s="5">
        <f t="shared" si="4"/>
        <v>7.454791</v>
      </c>
      <c r="L313" s="5" t="s">
        <v>207</v>
      </c>
      <c r="M313" s="5">
        <f t="shared" si="5"/>
        <v>0.0062</v>
      </c>
      <c r="N313" s="6" t="s">
        <v>3552</v>
      </c>
      <c r="O313" s="5">
        <f t="shared" si="6"/>
        <v>5</v>
      </c>
    </row>
    <row r="314">
      <c r="A314" s="6" t="s">
        <v>2488</v>
      </c>
      <c r="B314" s="6" t="s">
        <v>2521</v>
      </c>
      <c r="C314" s="5">
        <f t="shared" si="1"/>
        <v>6</v>
      </c>
      <c r="D314" s="1" t="s">
        <v>116</v>
      </c>
      <c r="E314" s="1" t="s">
        <v>147</v>
      </c>
      <c r="F314" s="1" t="str">
        <f t="shared" si="2"/>
        <v>Deep</v>
      </c>
      <c r="G314" s="5" t="s">
        <v>21</v>
      </c>
      <c r="H314" s="5" t="s">
        <v>2463</v>
      </c>
      <c r="I314" s="5">
        <f t="shared" si="3"/>
        <v>0.0502</v>
      </c>
      <c r="J314" s="5" t="s">
        <v>2464</v>
      </c>
      <c r="K314" s="5">
        <f t="shared" si="4"/>
        <v>25.818787</v>
      </c>
      <c r="L314" s="5" t="s">
        <v>2465</v>
      </c>
      <c r="M314" s="5">
        <f t="shared" si="5"/>
        <v>0.0251</v>
      </c>
      <c r="N314" s="6" t="s">
        <v>4334</v>
      </c>
      <c r="O314" s="5">
        <f t="shared" si="6"/>
        <v>44</v>
      </c>
    </row>
    <row r="315">
      <c r="A315" s="6" t="s">
        <v>2488</v>
      </c>
      <c r="B315" s="6" t="s">
        <v>2521</v>
      </c>
      <c r="C315" s="5">
        <f t="shared" si="1"/>
        <v>6</v>
      </c>
      <c r="D315" s="1" t="s">
        <v>116</v>
      </c>
      <c r="E315" s="1" t="s">
        <v>32</v>
      </c>
      <c r="F315" s="1" t="str">
        <f t="shared" si="2"/>
        <v>Black</v>
      </c>
      <c r="G315" s="5" t="s">
        <v>14</v>
      </c>
      <c r="H315" s="9" t="s">
        <v>4625</v>
      </c>
      <c r="I315" s="5">
        <f t="shared" si="3"/>
        <v>1.2586</v>
      </c>
      <c r="J315" s="5" t="s">
        <v>2466</v>
      </c>
      <c r="K315" s="5">
        <f t="shared" si="4"/>
        <v>54.751506</v>
      </c>
      <c r="L315" s="5" t="s">
        <v>2467</v>
      </c>
      <c r="M315" s="5">
        <f t="shared" si="5"/>
        <v>0.2895</v>
      </c>
      <c r="N315" s="6" t="s">
        <v>4626</v>
      </c>
      <c r="O315" s="5">
        <f t="shared" si="6"/>
        <v>356</v>
      </c>
    </row>
    <row r="316">
      <c r="A316" s="6" t="s">
        <v>2488</v>
      </c>
      <c r="B316" s="6" t="s">
        <v>2521</v>
      </c>
      <c r="C316" s="5">
        <f t="shared" si="1"/>
        <v>6</v>
      </c>
      <c r="D316" s="1" t="s">
        <v>116</v>
      </c>
      <c r="E316" s="1" t="s">
        <v>32</v>
      </c>
      <c r="F316" s="1" t="str">
        <f t="shared" si="2"/>
        <v>Black</v>
      </c>
      <c r="G316" s="5" t="s">
        <v>21</v>
      </c>
      <c r="H316" s="9" t="s">
        <v>4627</v>
      </c>
      <c r="I316" s="5">
        <f t="shared" si="3"/>
        <v>2.8264</v>
      </c>
      <c r="J316" s="5" t="s">
        <v>2468</v>
      </c>
      <c r="K316" s="5">
        <f t="shared" si="4"/>
        <v>304.731678</v>
      </c>
      <c r="L316" s="9" t="s">
        <v>4628</v>
      </c>
      <c r="M316" s="5">
        <f t="shared" si="5"/>
        <v>1.2719</v>
      </c>
      <c r="N316" s="6" t="s">
        <v>4629</v>
      </c>
      <c r="O316" s="5">
        <f t="shared" si="6"/>
        <v>1133</v>
      </c>
    </row>
    <row r="317">
      <c r="A317" s="6" t="s">
        <v>2488</v>
      </c>
      <c r="B317" s="6" t="s">
        <v>2521</v>
      </c>
      <c r="C317" s="5">
        <f t="shared" si="1"/>
        <v>6</v>
      </c>
      <c r="D317" s="1" t="s">
        <v>116</v>
      </c>
      <c r="E317" s="1" t="s">
        <v>1830</v>
      </c>
      <c r="F317" s="1" t="str">
        <f t="shared" si="2"/>
        <v>Magenta</v>
      </c>
      <c r="G317" s="5" t="s">
        <v>72</v>
      </c>
      <c r="H317" s="5" t="s">
        <v>2469</v>
      </c>
      <c r="I317" s="5">
        <f t="shared" si="3"/>
        <v>4.563</v>
      </c>
      <c r="J317" s="5" t="s">
        <v>2470</v>
      </c>
      <c r="K317" s="5">
        <f t="shared" si="4"/>
        <v>345.881953</v>
      </c>
      <c r="L317" s="9" t="s">
        <v>4630</v>
      </c>
      <c r="M317" s="5">
        <f t="shared" si="5"/>
        <v>1.4601</v>
      </c>
      <c r="N317" s="6" t="s">
        <v>4631</v>
      </c>
      <c r="O317" s="5">
        <f t="shared" si="6"/>
        <v>4110</v>
      </c>
    </row>
    <row r="318">
      <c r="A318" s="6" t="s">
        <v>2488</v>
      </c>
      <c r="B318" s="6" t="s">
        <v>2521</v>
      </c>
      <c r="C318" s="5">
        <f t="shared" si="1"/>
        <v>6</v>
      </c>
      <c r="D318" s="1" t="s">
        <v>116</v>
      </c>
      <c r="E318" s="1" t="s">
        <v>42</v>
      </c>
      <c r="F318" s="1" t="str">
        <f t="shared" si="2"/>
        <v>Red</v>
      </c>
      <c r="G318" s="5" t="s">
        <v>17</v>
      </c>
      <c r="H318" s="9" t="s">
        <v>4632</v>
      </c>
      <c r="I318" s="5">
        <f t="shared" si="3"/>
        <v>1.6138</v>
      </c>
      <c r="J318" s="5" t="s">
        <v>2471</v>
      </c>
      <c r="K318" s="5">
        <f t="shared" si="4"/>
        <v>318.983902</v>
      </c>
      <c r="L318" s="5" t="s">
        <v>2473</v>
      </c>
      <c r="M318" s="5">
        <f t="shared" si="5"/>
        <v>0.5971</v>
      </c>
      <c r="N318" s="6" t="s">
        <v>4635</v>
      </c>
      <c r="O318" s="5">
        <f t="shared" si="6"/>
        <v>176</v>
      </c>
    </row>
    <row r="319">
      <c r="A319" s="6" t="s">
        <v>2488</v>
      </c>
      <c r="B319" s="6" t="s">
        <v>2521</v>
      </c>
      <c r="C319" s="5">
        <f t="shared" si="1"/>
        <v>6</v>
      </c>
      <c r="D319" s="1" t="s">
        <v>116</v>
      </c>
      <c r="E319" s="1" t="s">
        <v>2083</v>
      </c>
      <c r="F319" s="1" t="str">
        <f t="shared" si="2"/>
        <v>Cream</v>
      </c>
      <c r="G319" s="5" t="s">
        <v>49</v>
      </c>
      <c r="H319" s="5" t="s">
        <v>2474</v>
      </c>
      <c r="I319" s="5">
        <f t="shared" si="3"/>
        <v>0.4992</v>
      </c>
      <c r="J319" s="5" t="s">
        <v>2475</v>
      </c>
      <c r="K319" s="5">
        <f t="shared" si="4"/>
        <v>183.33369</v>
      </c>
      <c r="L319" s="5" t="s">
        <v>2476</v>
      </c>
      <c r="M319" s="5">
        <f t="shared" si="5"/>
        <v>0.1249</v>
      </c>
      <c r="N319" s="6" t="s">
        <v>291</v>
      </c>
      <c r="O319" s="5">
        <f t="shared" si="6"/>
        <v>0</v>
      </c>
    </row>
    <row r="320">
      <c r="A320" s="6" t="s">
        <v>2488</v>
      </c>
      <c r="B320" s="6" t="s">
        <v>2521</v>
      </c>
      <c r="C320" s="5">
        <f t="shared" si="1"/>
        <v>6</v>
      </c>
      <c r="D320" s="1" t="s">
        <v>116</v>
      </c>
      <c r="E320" s="1" t="s">
        <v>2083</v>
      </c>
      <c r="F320" s="1" t="str">
        <f t="shared" si="2"/>
        <v>Cream</v>
      </c>
      <c r="G320" s="5" t="s">
        <v>21</v>
      </c>
      <c r="H320" s="5" t="s">
        <v>2478</v>
      </c>
      <c r="I320" s="5">
        <f t="shared" si="3"/>
        <v>0.1664</v>
      </c>
      <c r="J320" s="5" t="s">
        <v>2479</v>
      </c>
      <c r="K320" s="5">
        <f t="shared" si="4"/>
        <v>87.983642</v>
      </c>
      <c r="L320" s="5" t="s">
        <v>2480</v>
      </c>
      <c r="M320" s="5">
        <f t="shared" si="5"/>
        <v>0.0832</v>
      </c>
      <c r="N320" s="6" t="s">
        <v>291</v>
      </c>
      <c r="O320" s="5">
        <f t="shared" si="6"/>
        <v>0</v>
      </c>
    </row>
    <row r="321">
      <c r="A321" s="6" t="s">
        <v>2488</v>
      </c>
      <c r="B321" s="6" t="s">
        <v>600</v>
      </c>
      <c r="C321" s="5">
        <f t="shared" si="1"/>
        <v>7</v>
      </c>
      <c r="D321" s="1" t="s">
        <v>12</v>
      </c>
      <c r="E321" s="1" t="s">
        <v>2497</v>
      </c>
      <c r="F321" s="1" t="str">
        <f t="shared" si="2"/>
        <v>Green</v>
      </c>
      <c r="G321" s="5" t="s">
        <v>14</v>
      </c>
      <c r="H321" s="5" t="s">
        <v>2481</v>
      </c>
      <c r="I321" s="5">
        <f t="shared" si="3"/>
        <v>14.4344</v>
      </c>
      <c r="J321" s="5" t="s">
        <v>2482</v>
      </c>
      <c r="K321" s="5">
        <f t="shared" si="4"/>
        <v>898.672386</v>
      </c>
      <c r="L321" s="9" t="s">
        <v>2483</v>
      </c>
      <c r="M321" s="5">
        <f t="shared" si="5"/>
        <v>3.0312</v>
      </c>
      <c r="N321" s="6" t="s">
        <v>4450</v>
      </c>
      <c r="O321" s="5">
        <f t="shared" si="6"/>
        <v>553</v>
      </c>
    </row>
    <row r="322">
      <c r="A322" s="6" t="s">
        <v>2488</v>
      </c>
      <c r="B322" s="6" t="s">
        <v>600</v>
      </c>
      <c r="C322" s="5">
        <f t="shared" si="1"/>
        <v>7</v>
      </c>
      <c r="D322" s="1" t="s">
        <v>12</v>
      </c>
      <c r="E322" s="1" t="s">
        <v>2497</v>
      </c>
      <c r="F322" s="1" t="str">
        <f t="shared" si="2"/>
        <v>Green</v>
      </c>
      <c r="G322" s="5" t="s">
        <v>17</v>
      </c>
      <c r="H322" s="5" t="s">
        <v>2484</v>
      </c>
      <c r="I322" s="5">
        <f t="shared" si="3"/>
        <v>50.3687</v>
      </c>
      <c r="J322" s="5" t="s">
        <v>2485</v>
      </c>
      <c r="K322" s="5">
        <f t="shared" si="4"/>
        <v>4814.733113</v>
      </c>
      <c r="L322" s="5" t="s">
        <v>2486</v>
      </c>
      <c r="M322" s="5">
        <f t="shared" si="5"/>
        <v>17.6291</v>
      </c>
      <c r="N322" s="6" t="s">
        <v>4655</v>
      </c>
      <c r="O322" s="5">
        <f t="shared" si="6"/>
        <v>782</v>
      </c>
    </row>
    <row r="323">
      <c r="A323" s="6" t="s">
        <v>2488</v>
      </c>
      <c r="B323" s="6" t="s">
        <v>600</v>
      </c>
      <c r="C323" s="5">
        <f t="shared" si="1"/>
        <v>7</v>
      </c>
      <c r="D323" s="1" t="s">
        <v>12</v>
      </c>
      <c r="E323" s="1" t="s">
        <v>2497</v>
      </c>
      <c r="F323" s="1" t="str">
        <f t="shared" si="2"/>
        <v>Green</v>
      </c>
      <c r="G323" s="5" t="s">
        <v>21</v>
      </c>
      <c r="H323" s="5" t="s">
        <v>2492</v>
      </c>
      <c r="I323" s="5">
        <f t="shared" si="3"/>
        <v>28.8776</v>
      </c>
      <c r="J323" s="5" t="s">
        <v>2493</v>
      </c>
      <c r="K323" s="5">
        <f t="shared" si="4"/>
        <v>3543.020208</v>
      </c>
      <c r="L323" s="5" t="s">
        <v>2494</v>
      </c>
      <c r="M323" s="5">
        <f t="shared" si="5"/>
        <v>14.4389</v>
      </c>
      <c r="N323" s="6" t="s">
        <v>4661</v>
      </c>
      <c r="O323" s="5">
        <f t="shared" si="6"/>
        <v>676</v>
      </c>
    </row>
    <row r="324">
      <c r="A324" s="6" t="s">
        <v>2488</v>
      </c>
      <c r="B324" s="6" t="s">
        <v>600</v>
      </c>
      <c r="C324" s="5">
        <f t="shared" si="1"/>
        <v>7</v>
      </c>
      <c r="D324" s="1" t="s">
        <v>12</v>
      </c>
      <c r="E324" s="1" t="s">
        <v>29</v>
      </c>
      <c r="F324" s="1" t="str">
        <f t="shared" si="2"/>
        <v>Blue</v>
      </c>
      <c r="G324" s="5" t="s">
        <v>14</v>
      </c>
      <c r="H324" s="5" t="s">
        <v>2495</v>
      </c>
      <c r="I324" s="5">
        <f t="shared" si="3"/>
        <v>0.0822</v>
      </c>
      <c r="J324" s="5" t="s">
        <v>2496</v>
      </c>
      <c r="K324" s="5">
        <f t="shared" si="4"/>
        <v>10.547372</v>
      </c>
      <c r="L324" s="5" t="s">
        <v>1551</v>
      </c>
      <c r="M324" s="5">
        <f t="shared" si="5"/>
        <v>0.0164</v>
      </c>
      <c r="N324" s="6" t="s">
        <v>2591</v>
      </c>
      <c r="O324" s="5">
        <f t="shared" si="6"/>
        <v>11</v>
      </c>
    </row>
    <row r="325">
      <c r="A325" s="6" t="s">
        <v>2488</v>
      </c>
      <c r="B325" s="6" t="s">
        <v>600</v>
      </c>
      <c r="C325" s="5">
        <f t="shared" si="1"/>
        <v>7</v>
      </c>
      <c r="D325" s="1" t="s">
        <v>12</v>
      </c>
      <c r="E325" s="1" t="s">
        <v>29</v>
      </c>
      <c r="F325" s="1" t="str">
        <f t="shared" si="2"/>
        <v>Blue</v>
      </c>
      <c r="G325" s="5" t="s">
        <v>21</v>
      </c>
      <c r="H325" s="5" t="s">
        <v>2498</v>
      </c>
      <c r="I325" s="5">
        <f t="shared" si="3"/>
        <v>31.1485</v>
      </c>
      <c r="J325" s="5" t="s">
        <v>2499</v>
      </c>
      <c r="K325" s="5">
        <f t="shared" si="4"/>
        <v>5644.685427</v>
      </c>
      <c r="L325" s="9" t="s">
        <v>4671</v>
      </c>
      <c r="M325" s="5">
        <f t="shared" si="5"/>
        <v>12.4594</v>
      </c>
      <c r="N325" s="6" t="s">
        <v>202</v>
      </c>
      <c r="O325" s="5">
        <f t="shared" si="6"/>
        <v>754</v>
      </c>
    </row>
    <row r="326">
      <c r="A326" s="6" t="s">
        <v>2488</v>
      </c>
      <c r="B326" s="6" t="s">
        <v>600</v>
      </c>
      <c r="C326" s="5">
        <f t="shared" si="1"/>
        <v>7</v>
      </c>
      <c r="D326" s="1" t="s">
        <v>12</v>
      </c>
      <c r="E326" s="1" t="s">
        <v>38</v>
      </c>
      <c r="F326" s="1" t="str">
        <f t="shared" si="2"/>
        <v>White</v>
      </c>
      <c r="G326" s="5" t="s">
        <v>39</v>
      </c>
      <c r="H326" s="9" t="s">
        <v>4675</v>
      </c>
      <c r="I326" s="5">
        <f t="shared" si="3"/>
        <v>2.4838</v>
      </c>
      <c r="J326" s="5" t="s">
        <v>2500</v>
      </c>
      <c r="K326" s="5">
        <f t="shared" si="4"/>
        <v>276.893473</v>
      </c>
      <c r="L326" s="5" t="s">
        <v>2501</v>
      </c>
      <c r="M326" s="5">
        <f t="shared" si="5"/>
        <v>0.4471</v>
      </c>
      <c r="N326" s="6" t="s">
        <v>2886</v>
      </c>
      <c r="O326" s="5">
        <f t="shared" si="6"/>
        <v>101</v>
      </c>
    </row>
    <row r="327">
      <c r="A327" s="6" t="s">
        <v>2488</v>
      </c>
      <c r="B327" s="6" t="s">
        <v>600</v>
      </c>
      <c r="C327" s="5">
        <f t="shared" si="1"/>
        <v>7</v>
      </c>
      <c r="D327" s="1" t="s">
        <v>12</v>
      </c>
      <c r="E327" s="1" t="s">
        <v>45</v>
      </c>
      <c r="F327" s="1" t="str">
        <f t="shared" si="2"/>
        <v>Yellow</v>
      </c>
      <c r="G327" s="5" t="s">
        <v>17</v>
      </c>
      <c r="H327" s="9" t="s">
        <v>4683</v>
      </c>
      <c r="I327" s="5">
        <f t="shared" si="3"/>
        <v>2.8607</v>
      </c>
      <c r="J327" s="5" t="s">
        <v>2503</v>
      </c>
      <c r="K327" s="5">
        <f t="shared" si="4"/>
        <v>238.596017</v>
      </c>
      <c r="L327" s="9" t="s">
        <v>2504</v>
      </c>
      <c r="M327" s="5">
        <f t="shared" si="5"/>
        <v>1.0298</v>
      </c>
      <c r="N327" s="6" t="s">
        <v>2551</v>
      </c>
      <c r="O327" s="5">
        <f t="shared" si="6"/>
        <v>234</v>
      </c>
    </row>
    <row r="328">
      <c r="A328" s="6" t="s">
        <v>2488</v>
      </c>
      <c r="B328" s="6" t="s">
        <v>600</v>
      </c>
      <c r="C328" s="5">
        <f t="shared" si="1"/>
        <v>7</v>
      </c>
      <c r="D328" s="1" t="s">
        <v>12</v>
      </c>
      <c r="E328" s="1" t="s">
        <v>48</v>
      </c>
      <c r="F328" s="1" t="str">
        <f t="shared" si="2"/>
        <v>Orange</v>
      </c>
      <c r="G328" s="5" t="s">
        <v>49</v>
      </c>
      <c r="H328" s="5" t="s">
        <v>2505</v>
      </c>
      <c r="I328" s="5">
        <f t="shared" si="3"/>
        <v>0.0681</v>
      </c>
      <c r="J328" s="5" t="s">
        <v>2506</v>
      </c>
      <c r="K328" s="5">
        <f t="shared" si="4"/>
        <v>17.309398</v>
      </c>
      <c r="L328" s="5" t="s">
        <v>2507</v>
      </c>
      <c r="M328" s="5">
        <f t="shared" si="5"/>
        <v>0.0191</v>
      </c>
      <c r="N328" s="6" t="s">
        <v>4694</v>
      </c>
      <c r="O328" s="5">
        <f t="shared" si="6"/>
        <v>19</v>
      </c>
    </row>
    <row r="329">
      <c r="A329" s="6" t="s">
        <v>2488</v>
      </c>
      <c r="B329" s="6" t="s">
        <v>600</v>
      </c>
      <c r="C329" s="5">
        <f t="shared" si="1"/>
        <v>7</v>
      </c>
      <c r="D329" s="1" t="s">
        <v>12</v>
      </c>
      <c r="E329" s="1" t="s">
        <v>48</v>
      </c>
      <c r="F329" s="1" t="str">
        <f t="shared" si="2"/>
        <v>Orange</v>
      </c>
      <c r="G329" s="5" t="s">
        <v>21</v>
      </c>
      <c r="H329" s="9" t="s">
        <v>2508</v>
      </c>
      <c r="I329" s="5">
        <f t="shared" si="3"/>
        <v>1.0635</v>
      </c>
      <c r="J329" s="5" t="s">
        <v>2510</v>
      </c>
      <c r="K329" s="5">
        <f t="shared" si="4"/>
        <v>137.117698</v>
      </c>
      <c r="L329" s="5" t="s">
        <v>2511</v>
      </c>
      <c r="M329" s="5">
        <f t="shared" si="5"/>
        <v>0.4254</v>
      </c>
      <c r="N329" s="6" t="s">
        <v>4594</v>
      </c>
      <c r="O329" s="5">
        <f t="shared" si="6"/>
        <v>171</v>
      </c>
    </row>
    <row r="330">
      <c r="A330" s="6" t="s">
        <v>2488</v>
      </c>
      <c r="B330" s="6" t="s">
        <v>600</v>
      </c>
      <c r="C330" s="5">
        <f t="shared" si="1"/>
        <v>7</v>
      </c>
      <c r="D330" s="1" t="s">
        <v>12</v>
      </c>
      <c r="E330" s="1" t="s">
        <v>1830</v>
      </c>
      <c r="F330" s="1" t="str">
        <f t="shared" si="2"/>
        <v>Magenta</v>
      </c>
      <c r="G330" s="5" t="s">
        <v>72</v>
      </c>
      <c r="H330" s="9" t="s">
        <v>4704</v>
      </c>
      <c r="I330" s="5">
        <f t="shared" si="3"/>
        <v>1.7728</v>
      </c>
      <c r="J330" s="5" t="s">
        <v>2512</v>
      </c>
      <c r="K330" s="5">
        <f t="shared" si="4"/>
        <v>141.873434</v>
      </c>
      <c r="L330" s="5" t="s">
        <v>2513</v>
      </c>
      <c r="M330" s="5">
        <f t="shared" si="5"/>
        <v>0.5673</v>
      </c>
      <c r="N330" s="6" t="s">
        <v>4708</v>
      </c>
      <c r="O330" s="5">
        <f t="shared" si="6"/>
        <v>369</v>
      </c>
    </row>
    <row r="331">
      <c r="A331" s="6" t="s">
        <v>2488</v>
      </c>
      <c r="B331" s="6" t="s">
        <v>600</v>
      </c>
      <c r="C331" s="5">
        <f t="shared" si="1"/>
        <v>7</v>
      </c>
      <c r="D331" s="1" t="s">
        <v>12</v>
      </c>
      <c r="E331" s="1" t="s">
        <v>42</v>
      </c>
      <c r="F331" s="1" t="str">
        <f t="shared" si="2"/>
        <v>Red</v>
      </c>
      <c r="G331" s="5" t="s">
        <v>17</v>
      </c>
      <c r="H331" s="5" t="s">
        <v>2514</v>
      </c>
      <c r="I331" s="5">
        <f t="shared" si="3"/>
        <v>0.724</v>
      </c>
      <c r="J331" s="5" t="s">
        <v>2515</v>
      </c>
      <c r="K331" s="5">
        <f t="shared" si="4"/>
        <v>94.276287</v>
      </c>
      <c r="L331" s="5" t="s">
        <v>2516</v>
      </c>
      <c r="M331" s="5">
        <f t="shared" si="5"/>
        <v>0.2679</v>
      </c>
      <c r="N331" s="6" t="s">
        <v>291</v>
      </c>
      <c r="O331" s="5">
        <f t="shared" si="6"/>
        <v>0</v>
      </c>
    </row>
    <row r="332">
      <c r="A332" s="6" t="s">
        <v>2488</v>
      </c>
      <c r="B332" s="6" t="s">
        <v>600</v>
      </c>
      <c r="C332" s="5">
        <f t="shared" si="1"/>
        <v>7</v>
      </c>
      <c r="D332" s="1" t="s">
        <v>12</v>
      </c>
      <c r="E332" s="1" t="s">
        <v>32</v>
      </c>
      <c r="F332" s="1" t="str">
        <f t="shared" si="2"/>
        <v>Black</v>
      </c>
      <c r="G332" s="5" t="s">
        <v>14</v>
      </c>
      <c r="H332" s="5" t="s">
        <v>2517</v>
      </c>
      <c r="I332" s="5">
        <f t="shared" si="3"/>
        <v>0.5674</v>
      </c>
      <c r="J332" s="5" t="s">
        <v>2518</v>
      </c>
      <c r="K332" s="5">
        <f t="shared" si="4"/>
        <v>36.606651</v>
      </c>
      <c r="L332" s="5" t="s">
        <v>2519</v>
      </c>
      <c r="M332" s="5">
        <f t="shared" si="5"/>
        <v>0.1305</v>
      </c>
      <c r="N332" s="6" t="s">
        <v>4716</v>
      </c>
      <c r="O332" s="5">
        <f t="shared" si="6"/>
        <v>83</v>
      </c>
    </row>
    <row r="333">
      <c r="A333" s="6" t="s">
        <v>2488</v>
      </c>
      <c r="B333" s="6" t="s">
        <v>600</v>
      </c>
      <c r="C333" s="5">
        <f t="shared" si="1"/>
        <v>7</v>
      </c>
      <c r="D333" s="1" t="s">
        <v>12</v>
      </c>
      <c r="E333" s="1" t="s">
        <v>32</v>
      </c>
      <c r="F333" s="1" t="str">
        <f t="shared" si="2"/>
        <v>Black</v>
      </c>
      <c r="G333" s="5" t="s">
        <v>21</v>
      </c>
      <c r="H333" s="5" t="s">
        <v>254</v>
      </c>
      <c r="I333" s="5">
        <f t="shared" si="3"/>
        <v>0.5201</v>
      </c>
      <c r="J333" s="5" t="s">
        <v>2520</v>
      </c>
      <c r="K333" s="5">
        <f t="shared" si="4"/>
        <v>51.047383</v>
      </c>
      <c r="L333" s="5" t="s">
        <v>565</v>
      </c>
      <c r="M333" s="5">
        <f t="shared" si="5"/>
        <v>0.2341</v>
      </c>
      <c r="N333" s="6" t="s">
        <v>4717</v>
      </c>
      <c r="O333" s="5">
        <f t="shared" si="6"/>
        <v>66</v>
      </c>
    </row>
    <row r="334">
      <c r="A334" s="6" t="s">
        <v>2488</v>
      </c>
      <c r="B334" s="6" t="s">
        <v>600</v>
      </c>
      <c r="C334" s="5">
        <f t="shared" si="1"/>
        <v>7</v>
      </c>
      <c r="D334" s="1" t="s">
        <v>12</v>
      </c>
      <c r="E334" s="1" t="s">
        <v>1851</v>
      </c>
      <c r="F334" s="1" t="str">
        <f t="shared" si="2"/>
        <v>Rosy</v>
      </c>
      <c r="G334" s="5" t="s">
        <v>17</v>
      </c>
      <c r="H334" s="5" t="s">
        <v>1744</v>
      </c>
      <c r="I334" s="5">
        <f t="shared" si="3"/>
        <v>0.2493</v>
      </c>
      <c r="J334" s="5" t="s">
        <v>2522</v>
      </c>
      <c r="K334" s="5">
        <f t="shared" si="4"/>
        <v>18.507283</v>
      </c>
      <c r="L334" s="5" t="s">
        <v>2523</v>
      </c>
      <c r="M334" s="5">
        <f t="shared" si="5"/>
        <v>0.096</v>
      </c>
      <c r="N334" s="6" t="s">
        <v>4718</v>
      </c>
      <c r="O334" s="5">
        <f t="shared" si="6"/>
        <v>37</v>
      </c>
    </row>
    <row r="335">
      <c r="A335" s="6" t="s">
        <v>2488</v>
      </c>
      <c r="B335" s="6" t="s">
        <v>600</v>
      </c>
      <c r="C335" s="5">
        <f t="shared" si="1"/>
        <v>7</v>
      </c>
      <c r="D335" s="1" t="s">
        <v>12</v>
      </c>
      <c r="E335" s="1" t="s">
        <v>1851</v>
      </c>
      <c r="F335" s="1" t="str">
        <f t="shared" si="2"/>
        <v>Rosy</v>
      </c>
      <c r="G335" s="5" t="s">
        <v>21</v>
      </c>
      <c r="H335" s="9" t="s">
        <v>2524</v>
      </c>
      <c r="I335" s="5">
        <f t="shared" si="3"/>
        <v>1.0944</v>
      </c>
      <c r="J335" s="5" t="s">
        <v>2525</v>
      </c>
      <c r="K335" s="5">
        <f t="shared" si="4"/>
        <v>66.562141</v>
      </c>
      <c r="L335" s="5" t="s">
        <v>2526</v>
      </c>
      <c r="M335" s="5">
        <f t="shared" si="5"/>
        <v>0.5362</v>
      </c>
      <c r="N335" s="6" t="s">
        <v>4719</v>
      </c>
      <c r="O335" s="5">
        <f t="shared" si="6"/>
        <v>109</v>
      </c>
    </row>
    <row r="336">
      <c r="A336" s="6" t="s">
        <v>2488</v>
      </c>
      <c r="B336" s="6" t="s">
        <v>600</v>
      </c>
      <c r="C336" s="5">
        <f t="shared" si="1"/>
        <v>7</v>
      </c>
      <c r="D336" s="1" t="s">
        <v>12</v>
      </c>
      <c r="E336" s="1" t="s">
        <v>544</v>
      </c>
      <c r="F336" s="1" t="str">
        <f t="shared" si="2"/>
        <v>Golden</v>
      </c>
      <c r="G336" s="5" t="s">
        <v>17</v>
      </c>
      <c r="H336" s="9" t="s">
        <v>2527</v>
      </c>
      <c r="I336" s="5">
        <f t="shared" si="3"/>
        <v>1.1017</v>
      </c>
      <c r="J336" s="5" t="s">
        <v>2528</v>
      </c>
      <c r="K336" s="5">
        <f t="shared" si="4"/>
        <v>60.192714</v>
      </c>
      <c r="L336" s="5" t="s">
        <v>2529</v>
      </c>
      <c r="M336" s="5">
        <f t="shared" si="5"/>
        <v>0.3856</v>
      </c>
      <c r="N336" s="6" t="s">
        <v>4720</v>
      </c>
      <c r="O336" s="5">
        <f t="shared" si="6"/>
        <v>103</v>
      </c>
    </row>
    <row r="337">
      <c r="A337" s="6" t="s">
        <v>2488</v>
      </c>
      <c r="B337" s="6" t="s">
        <v>600</v>
      </c>
      <c r="C337" s="5">
        <f t="shared" si="1"/>
        <v>7</v>
      </c>
      <c r="D337" s="1" t="s">
        <v>68</v>
      </c>
      <c r="E337" s="1" t="s">
        <v>2497</v>
      </c>
      <c r="F337" s="1" t="str">
        <f t="shared" si="2"/>
        <v>Green</v>
      </c>
      <c r="G337" s="5" t="s">
        <v>14</v>
      </c>
      <c r="H337" s="5" t="s">
        <v>2530</v>
      </c>
      <c r="I337" s="5">
        <f t="shared" si="3"/>
        <v>54.0753</v>
      </c>
      <c r="J337" s="5" t="s">
        <v>2531</v>
      </c>
      <c r="K337" s="5">
        <f t="shared" si="4"/>
        <v>3221.262657</v>
      </c>
      <c r="L337" s="9" t="s">
        <v>4721</v>
      </c>
      <c r="M337" s="5">
        <f t="shared" si="5"/>
        <v>11.3558</v>
      </c>
      <c r="N337" s="6" t="s">
        <v>4722</v>
      </c>
      <c r="O337" s="5">
        <f t="shared" si="6"/>
        <v>7112</v>
      </c>
    </row>
    <row r="338">
      <c r="A338" s="6" t="s">
        <v>2488</v>
      </c>
      <c r="B338" s="6" t="s">
        <v>600</v>
      </c>
      <c r="C338" s="5">
        <f t="shared" si="1"/>
        <v>7</v>
      </c>
      <c r="D338" s="1" t="s">
        <v>68</v>
      </c>
      <c r="E338" s="1" t="s">
        <v>2497</v>
      </c>
      <c r="F338" s="1" t="str">
        <f t="shared" si="2"/>
        <v>Green</v>
      </c>
      <c r="G338" s="5" t="s">
        <v>17</v>
      </c>
      <c r="H338" s="5" t="s">
        <v>2533</v>
      </c>
      <c r="I338" s="5">
        <f t="shared" si="3"/>
        <v>48.9732</v>
      </c>
      <c r="J338" s="5" t="s">
        <v>2534</v>
      </c>
      <c r="K338" s="5">
        <f t="shared" si="4"/>
        <v>4884.351699</v>
      </c>
      <c r="L338" s="5" t="s">
        <v>2535</v>
      </c>
      <c r="M338" s="5">
        <f t="shared" si="5"/>
        <v>17.1406</v>
      </c>
      <c r="N338" s="6" t="s">
        <v>4723</v>
      </c>
      <c r="O338" s="5">
        <f t="shared" si="6"/>
        <v>9029</v>
      </c>
    </row>
    <row r="339">
      <c r="A339" s="6" t="s">
        <v>2488</v>
      </c>
      <c r="B339" s="6" t="s">
        <v>600</v>
      </c>
      <c r="C339" s="5">
        <f t="shared" si="1"/>
        <v>7</v>
      </c>
      <c r="D339" s="1" t="s">
        <v>68</v>
      </c>
      <c r="E339" s="1" t="s">
        <v>2497</v>
      </c>
      <c r="F339" s="1" t="str">
        <f t="shared" si="2"/>
        <v>Green</v>
      </c>
      <c r="G339" s="5" t="s">
        <v>21</v>
      </c>
      <c r="H339" s="9" t="s">
        <v>4724</v>
      </c>
      <c r="I339" s="5">
        <f t="shared" si="3"/>
        <v>2.3963</v>
      </c>
      <c r="J339" s="5" t="s">
        <v>2536</v>
      </c>
      <c r="K339" s="5">
        <f t="shared" si="4"/>
        <v>361.062196</v>
      </c>
      <c r="L339" s="9" t="s">
        <v>4725</v>
      </c>
      <c r="M339" s="5">
        <f t="shared" si="5"/>
        <v>1.1982</v>
      </c>
      <c r="N339" s="6" t="s">
        <v>4241</v>
      </c>
      <c r="O339" s="5">
        <f t="shared" si="6"/>
        <v>506</v>
      </c>
    </row>
    <row r="340">
      <c r="A340" s="6" t="s">
        <v>2488</v>
      </c>
      <c r="B340" s="6" t="s">
        <v>600</v>
      </c>
      <c r="C340" s="5">
        <f t="shared" si="1"/>
        <v>7</v>
      </c>
      <c r="D340" s="1" t="s">
        <v>68</v>
      </c>
      <c r="E340" s="1" t="s">
        <v>2497</v>
      </c>
      <c r="F340" s="1" t="str">
        <f t="shared" si="2"/>
        <v>Green</v>
      </c>
      <c r="G340" s="5" t="s">
        <v>25</v>
      </c>
      <c r="H340" s="5" t="s">
        <v>2538</v>
      </c>
      <c r="I340" s="5">
        <f t="shared" si="3"/>
        <v>0.4027</v>
      </c>
      <c r="J340" s="5" t="s">
        <v>2539</v>
      </c>
      <c r="K340" s="5">
        <f t="shared" si="4"/>
        <v>65.041677</v>
      </c>
      <c r="L340" s="5" t="s">
        <v>111</v>
      </c>
      <c r="M340" s="5">
        <f t="shared" si="5"/>
        <v>0.302</v>
      </c>
      <c r="N340" s="6" t="s">
        <v>3582</v>
      </c>
      <c r="O340" s="5">
        <f t="shared" si="6"/>
        <v>245</v>
      </c>
    </row>
    <row r="341">
      <c r="A341" s="6" t="s">
        <v>2488</v>
      </c>
      <c r="B341" s="6" t="s">
        <v>600</v>
      </c>
      <c r="C341" s="5">
        <f t="shared" si="1"/>
        <v>7</v>
      </c>
      <c r="D341" s="1" t="s">
        <v>68</v>
      </c>
      <c r="E341" s="1" t="s">
        <v>29</v>
      </c>
      <c r="F341" s="1" t="str">
        <f t="shared" si="2"/>
        <v>Blue</v>
      </c>
      <c r="G341" s="5" t="s">
        <v>14</v>
      </c>
      <c r="H341" s="5" t="s">
        <v>1523</v>
      </c>
      <c r="I341" s="5">
        <f t="shared" si="3"/>
        <v>0.0126</v>
      </c>
      <c r="J341" s="5" t="s">
        <v>2541</v>
      </c>
      <c r="K341" s="5">
        <f t="shared" si="4"/>
        <v>1.649032</v>
      </c>
      <c r="L341" s="5" t="s">
        <v>426</v>
      </c>
      <c r="M341" s="5">
        <f t="shared" si="5"/>
        <v>0.0025</v>
      </c>
      <c r="N341" s="6" t="s">
        <v>600</v>
      </c>
      <c r="O341" s="5">
        <f t="shared" si="6"/>
        <v>7</v>
      </c>
    </row>
    <row r="342">
      <c r="A342" s="6" t="s">
        <v>2488</v>
      </c>
      <c r="B342" s="6" t="s">
        <v>600</v>
      </c>
      <c r="C342" s="5">
        <f t="shared" si="1"/>
        <v>7</v>
      </c>
      <c r="D342" s="1" t="s">
        <v>68</v>
      </c>
      <c r="E342" s="1" t="s">
        <v>29</v>
      </c>
      <c r="F342" s="1" t="str">
        <f t="shared" si="2"/>
        <v>Blue</v>
      </c>
      <c r="G342" s="5" t="s">
        <v>21</v>
      </c>
      <c r="H342" s="9" t="s">
        <v>4726</v>
      </c>
      <c r="I342" s="5">
        <f t="shared" si="3"/>
        <v>6.2703</v>
      </c>
      <c r="J342" s="5" t="s">
        <v>2543</v>
      </c>
      <c r="K342" s="5">
        <f t="shared" si="4"/>
        <v>1229.614719</v>
      </c>
      <c r="L342" s="5" t="s">
        <v>2545</v>
      </c>
      <c r="M342" s="5">
        <f t="shared" si="5"/>
        <v>2.508</v>
      </c>
      <c r="N342" s="6" t="s">
        <v>4727</v>
      </c>
      <c r="O342" s="5">
        <f t="shared" si="6"/>
        <v>914</v>
      </c>
    </row>
    <row r="343">
      <c r="A343" s="6" t="s">
        <v>2488</v>
      </c>
      <c r="B343" s="6" t="s">
        <v>600</v>
      </c>
      <c r="C343" s="5">
        <f t="shared" si="1"/>
        <v>7</v>
      </c>
      <c r="D343" s="1" t="s">
        <v>68</v>
      </c>
      <c r="E343" s="1" t="s">
        <v>1851</v>
      </c>
      <c r="F343" s="1" t="str">
        <f t="shared" si="2"/>
        <v>Rosy</v>
      </c>
      <c r="G343" s="5" t="s">
        <v>17</v>
      </c>
      <c r="H343" s="9" t="s">
        <v>4729</v>
      </c>
      <c r="I343" s="5">
        <f t="shared" si="3"/>
        <v>3.1949</v>
      </c>
      <c r="J343" s="5" t="s">
        <v>2547</v>
      </c>
      <c r="K343" s="5">
        <f t="shared" si="4"/>
        <v>253.928765</v>
      </c>
      <c r="L343" s="5" t="s">
        <v>2548</v>
      </c>
      <c r="M343" s="5">
        <f t="shared" si="5"/>
        <v>1.23</v>
      </c>
      <c r="N343" s="6" t="s">
        <v>4730</v>
      </c>
      <c r="O343" s="5">
        <f t="shared" si="6"/>
        <v>1785</v>
      </c>
    </row>
    <row r="344">
      <c r="A344" s="6" t="s">
        <v>2488</v>
      </c>
      <c r="B344" s="6" t="s">
        <v>600</v>
      </c>
      <c r="C344" s="5">
        <f t="shared" si="1"/>
        <v>7</v>
      </c>
      <c r="D344" s="1" t="s">
        <v>68</v>
      </c>
      <c r="E344" s="1" t="s">
        <v>1851</v>
      </c>
      <c r="F344" s="1" t="str">
        <f t="shared" si="2"/>
        <v>Rosy</v>
      </c>
      <c r="G344" s="5" t="s">
        <v>21</v>
      </c>
      <c r="H344" s="9" t="s">
        <v>4731</v>
      </c>
      <c r="I344" s="5">
        <f t="shared" si="3"/>
        <v>11.3647</v>
      </c>
      <c r="J344" s="5" t="s">
        <v>2550</v>
      </c>
      <c r="K344" s="5">
        <f t="shared" si="4"/>
        <v>777.136945</v>
      </c>
      <c r="L344" s="9" t="s">
        <v>4732</v>
      </c>
      <c r="M344" s="5">
        <f t="shared" si="5"/>
        <v>5.5686</v>
      </c>
      <c r="N344" s="6" t="s">
        <v>4733</v>
      </c>
      <c r="O344" s="5">
        <f t="shared" si="6"/>
        <v>3381</v>
      </c>
    </row>
    <row r="345">
      <c r="A345" s="6" t="s">
        <v>2488</v>
      </c>
      <c r="B345" s="6" t="s">
        <v>600</v>
      </c>
      <c r="C345" s="5">
        <f t="shared" si="1"/>
        <v>7</v>
      </c>
      <c r="D345" s="1" t="s">
        <v>68</v>
      </c>
      <c r="E345" s="1" t="s">
        <v>45</v>
      </c>
      <c r="F345" s="1" t="str">
        <f t="shared" si="2"/>
        <v>Yellow</v>
      </c>
      <c r="G345" s="5" t="s">
        <v>17</v>
      </c>
      <c r="H345" s="9" t="s">
        <v>2552</v>
      </c>
      <c r="I345" s="5">
        <f t="shared" si="3"/>
        <v>11.1022</v>
      </c>
      <c r="J345" s="5" t="s">
        <v>2553</v>
      </c>
      <c r="K345" s="5">
        <f t="shared" si="4"/>
        <v>627.35439</v>
      </c>
      <c r="L345" s="9" t="s">
        <v>4734</v>
      </c>
      <c r="M345" s="5">
        <f t="shared" si="5"/>
        <v>3.9968</v>
      </c>
      <c r="N345" s="6" t="s">
        <v>4735</v>
      </c>
      <c r="O345" s="5">
        <f t="shared" si="6"/>
        <v>1374</v>
      </c>
    </row>
    <row r="346">
      <c r="A346" s="6" t="s">
        <v>2488</v>
      </c>
      <c r="B346" s="6" t="s">
        <v>600</v>
      </c>
      <c r="C346" s="5">
        <f t="shared" si="1"/>
        <v>7</v>
      </c>
      <c r="D346" s="1" t="s">
        <v>68</v>
      </c>
      <c r="E346" s="1" t="s">
        <v>544</v>
      </c>
      <c r="F346" s="1" t="str">
        <f t="shared" si="2"/>
        <v>Golden</v>
      </c>
      <c r="G346" s="5" t="s">
        <v>17</v>
      </c>
      <c r="H346" s="5" t="s">
        <v>2554</v>
      </c>
      <c r="I346" s="5">
        <f t="shared" si="3"/>
        <v>10.392</v>
      </c>
      <c r="J346" s="9" t="s">
        <v>4736</v>
      </c>
      <c r="K346" s="5">
        <f t="shared" si="4"/>
        <v>539.018</v>
      </c>
      <c r="L346" s="9" t="s">
        <v>4737</v>
      </c>
      <c r="M346" s="5">
        <f t="shared" si="5"/>
        <v>3.6372</v>
      </c>
      <c r="N346" s="6" t="s">
        <v>4738</v>
      </c>
      <c r="O346" s="5">
        <f t="shared" si="6"/>
        <v>3268</v>
      </c>
    </row>
    <row r="347">
      <c r="A347" s="6" t="s">
        <v>2488</v>
      </c>
      <c r="B347" s="6" t="s">
        <v>600</v>
      </c>
      <c r="C347" s="5">
        <f t="shared" si="1"/>
        <v>7</v>
      </c>
      <c r="D347" s="1" t="s">
        <v>68</v>
      </c>
      <c r="E347" s="1" t="s">
        <v>1830</v>
      </c>
      <c r="F347" s="1" t="str">
        <f t="shared" si="2"/>
        <v>Magenta</v>
      </c>
      <c r="G347" s="5" t="s">
        <v>72</v>
      </c>
      <c r="H347" s="5" t="s">
        <v>2556</v>
      </c>
      <c r="I347" s="5">
        <f t="shared" si="3"/>
        <v>8.4135</v>
      </c>
      <c r="J347" s="5" t="s">
        <v>2557</v>
      </c>
      <c r="K347" s="5">
        <f t="shared" si="4"/>
        <v>442.433333</v>
      </c>
      <c r="L347" s="9" t="s">
        <v>4739</v>
      </c>
      <c r="M347" s="5">
        <f t="shared" si="5"/>
        <v>2.6923</v>
      </c>
      <c r="N347" s="6" t="s">
        <v>4740</v>
      </c>
      <c r="O347" s="5">
        <f t="shared" si="6"/>
        <v>4822</v>
      </c>
    </row>
    <row r="348">
      <c r="A348" s="6" t="s">
        <v>2488</v>
      </c>
      <c r="B348" s="6" t="s">
        <v>600</v>
      </c>
      <c r="C348" s="5">
        <f t="shared" si="1"/>
        <v>7</v>
      </c>
      <c r="D348" s="1" t="s">
        <v>68</v>
      </c>
      <c r="E348" s="1" t="s">
        <v>32</v>
      </c>
      <c r="F348" s="1" t="str">
        <f t="shared" si="2"/>
        <v>Black</v>
      </c>
      <c r="G348" s="5" t="s">
        <v>14</v>
      </c>
      <c r="H348" s="9" t="s">
        <v>4741</v>
      </c>
      <c r="I348" s="5">
        <f t="shared" si="3"/>
        <v>4.3244</v>
      </c>
      <c r="J348" s="5" t="s">
        <v>2558</v>
      </c>
      <c r="K348" s="5">
        <f t="shared" si="4"/>
        <v>287.874421</v>
      </c>
      <c r="L348" s="5" t="s">
        <v>2559</v>
      </c>
      <c r="M348" s="5">
        <f t="shared" si="5"/>
        <v>0.9946</v>
      </c>
      <c r="N348" s="6" t="s">
        <v>4742</v>
      </c>
      <c r="O348" s="5">
        <f t="shared" si="6"/>
        <v>1115</v>
      </c>
    </row>
    <row r="349">
      <c r="A349" s="6" t="s">
        <v>2488</v>
      </c>
      <c r="B349" s="6" t="s">
        <v>600</v>
      </c>
      <c r="C349" s="5">
        <f t="shared" si="1"/>
        <v>7</v>
      </c>
      <c r="D349" s="1" t="s">
        <v>68</v>
      </c>
      <c r="E349" s="1" t="s">
        <v>32</v>
      </c>
      <c r="F349" s="1" t="str">
        <f t="shared" si="2"/>
        <v>Black</v>
      </c>
      <c r="G349" s="5" t="s">
        <v>21</v>
      </c>
      <c r="H349" s="5" t="s">
        <v>2560</v>
      </c>
      <c r="I349" s="5">
        <f t="shared" si="3"/>
        <v>0.5631</v>
      </c>
      <c r="J349" s="5" t="s">
        <v>2561</v>
      </c>
      <c r="K349" s="5">
        <f t="shared" si="4"/>
        <v>42.496089</v>
      </c>
      <c r="L349" s="5" t="s">
        <v>2562</v>
      </c>
      <c r="M349" s="5">
        <f t="shared" si="5"/>
        <v>0.2534</v>
      </c>
      <c r="N349" s="6" t="s">
        <v>4744</v>
      </c>
      <c r="O349" s="5">
        <f t="shared" si="6"/>
        <v>352</v>
      </c>
    </row>
    <row r="350">
      <c r="A350" s="6" t="s">
        <v>2488</v>
      </c>
      <c r="B350" s="6" t="s">
        <v>600</v>
      </c>
      <c r="C350" s="5">
        <f t="shared" si="1"/>
        <v>7</v>
      </c>
      <c r="D350" s="1" t="s">
        <v>68</v>
      </c>
      <c r="E350" s="1" t="s">
        <v>2088</v>
      </c>
      <c r="F350" s="1" t="str">
        <f t="shared" si="2"/>
        <v>Lilac</v>
      </c>
      <c r="G350" s="5" t="s">
        <v>21</v>
      </c>
      <c r="H350" s="9" t="s">
        <v>4746</v>
      </c>
      <c r="I350" s="5">
        <f t="shared" si="3"/>
        <v>1.7793</v>
      </c>
      <c r="J350" s="5" t="s">
        <v>2563</v>
      </c>
      <c r="K350" s="5">
        <f t="shared" si="4"/>
        <v>180.530733</v>
      </c>
      <c r="L350" s="5" t="s">
        <v>2564</v>
      </c>
      <c r="M350" s="5">
        <f t="shared" si="5"/>
        <v>0.7117</v>
      </c>
      <c r="N350" s="6" t="s">
        <v>4748</v>
      </c>
      <c r="O350" s="5">
        <f t="shared" si="6"/>
        <v>549</v>
      </c>
    </row>
    <row r="351">
      <c r="A351" s="6" t="s">
        <v>2488</v>
      </c>
      <c r="B351" s="6" t="s">
        <v>600</v>
      </c>
      <c r="C351" s="5">
        <f t="shared" si="1"/>
        <v>7</v>
      </c>
      <c r="D351" s="1" t="s">
        <v>68</v>
      </c>
      <c r="E351" s="1" t="s">
        <v>38</v>
      </c>
      <c r="F351" s="1" t="str">
        <f t="shared" si="2"/>
        <v>White</v>
      </c>
      <c r="G351" s="5" t="s">
        <v>39</v>
      </c>
      <c r="H351" s="9" t="s">
        <v>4751</v>
      </c>
      <c r="I351" s="5">
        <f t="shared" si="3"/>
        <v>1.5719</v>
      </c>
      <c r="J351" s="5" t="s">
        <v>2565</v>
      </c>
      <c r="K351" s="5">
        <f t="shared" si="4"/>
        <v>139.357318</v>
      </c>
      <c r="L351" s="5" t="s">
        <v>2566</v>
      </c>
      <c r="M351" s="5">
        <f t="shared" si="5"/>
        <v>0.2829</v>
      </c>
      <c r="N351" s="6" t="s">
        <v>1694</v>
      </c>
      <c r="O351" s="5">
        <f t="shared" si="6"/>
        <v>253</v>
      </c>
    </row>
    <row r="352">
      <c r="A352" s="6" t="s">
        <v>2488</v>
      </c>
      <c r="B352" s="6" t="s">
        <v>600</v>
      </c>
      <c r="C352" s="5">
        <f t="shared" si="1"/>
        <v>7</v>
      </c>
      <c r="D352" s="1" t="s">
        <v>68</v>
      </c>
      <c r="E352" s="1" t="s">
        <v>42</v>
      </c>
      <c r="F352" s="1" t="str">
        <f t="shared" si="2"/>
        <v>Red</v>
      </c>
      <c r="G352" s="5" t="s">
        <v>17</v>
      </c>
      <c r="H352" s="5" t="s">
        <v>2567</v>
      </c>
      <c r="I352" s="5">
        <f t="shared" si="3"/>
        <v>0.7097</v>
      </c>
      <c r="J352" s="5" t="s">
        <v>2569</v>
      </c>
      <c r="K352" s="5">
        <f t="shared" si="4"/>
        <v>124.258366</v>
      </c>
      <c r="L352" s="5" t="s">
        <v>2409</v>
      </c>
      <c r="M352" s="5">
        <f t="shared" si="5"/>
        <v>0.2626</v>
      </c>
      <c r="N352" s="6" t="s">
        <v>4753</v>
      </c>
      <c r="O352" s="5">
        <f t="shared" si="6"/>
        <v>210</v>
      </c>
    </row>
    <row r="353">
      <c r="A353" s="6" t="s">
        <v>2488</v>
      </c>
      <c r="B353" s="6" t="s">
        <v>600</v>
      </c>
      <c r="C353" s="5">
        <f t="shared" si="1"/>
        <v>7</v>
      </c>
      <c r="D353" s="1" t="s">
        <v>116</v>
      </c>
      <c r="E353" s="1" t="s">
        <v>2497</v>
      </c>
      <c r="F353" s="1" t="str">
        <f t="shared" si="2"/>
        <v>Green</v>
      </c>
      <c r="G353" s="5" t="s">
        <v>14</v>
      </c>
      <c r="H353" s="5" t="s">
        <v>2570</v>
      </c>
      <c r="I353" s="5">
        <f t="shared" si="3"/>
        <v>126.3103</v>
      </c>
      <c r="J353" s="5" t="s">
        <v>2572</v>
      </c>
      <c r="K353" s="5">
        <f t="shared" si="4"/>
        <v>7576.229368</v>
      </c>
      <c r="L353" s="5" t="s">
        <v>2573</v>
      </c>
      <c r="M353" s="5">
        <f t="shared" si="5"/>
        <v>26.5251</v>
      </c>
      <c r="N353" s="6" t="s">
        <v>4756</v>
      </c>
      <c r="O353" s="5">
        <f t="shared" si="6"/>
        <v>12289</v>
      </c>
    </row>
    <row r="354">
      <c r="A354" s="6" t="s">
        <v>2488</v>
      </c>
      <c r="B354" s="6" t="s">
        <v>600</v>
      </c>
      <c r="C354" s="5">
        <f t="shared" si="1"/>
        <v>7</v>
      </c>
      <c r="D354" s="1" t="s">
        <v>116</v>
      </c>
      <c r="E354" s="1" t="s">
        <v>2497</v>
      </c>
      <c r="F354" s="1" t="str">
        <f t="shared" si="2"/>
        <v>Green</v>
      </c>
      <c r="G354" s="5" t="s">
        <v>17</v>
      </c>
      <c r="H354" s="5" t="s">
        <v>2574</v>
      </c>
      <c r="I354" s="5">
        <f t="shared" si="3"/>
        <v>108.4761</v>
      </c>
      <c r="J354" s="5" t="s">
        <v>2575</v>
      </c>
      <c r="K354" s="5">
        <f t="shared" si="4"/>
        <v>10606.00846</v>
      </c>
      <c r="L354" s="5" t="s">
        <v>2576</v>
      </c>
      <c r="M354" s="5">
        <f t="shared" si="5"/>
        <v>37.9666</v>
      </c>
      <c r="N354" s="6" t="s">
        <v>4760</v>
      </c>
      <c r="O354" s="5">
        <f t="shared" si="6"/>
        <v>15057</v>
      </c>
    </row>
    <row r="355">
      <c r="A355" s="6" t="s">
        <v>2488</v>
      </c>
      <c r="B355" s="6" t="s">
        <v>600</v>
      </c>
      <c r="C355" s="5">
        <f t="shared" si="1"/>
        <v>7</v>
      </c>
      <c r="D355" s="1" t="s">
        <v>116</v>
      </c>
      <c r="E355" s="1" t="s">
        <v>2497</v>
      </c>
      <c r="F355" s="1" t="str">
        <f t="shared" si="2"/>
        <v>Green</v>
      </c>
      <c r="G355" s="5" t="s">
        <v>21</v>
      </c>
      <c r="H355" s="9" t="s">
        <v>4761</v>
      </c>
      <c r="I355" s="5">
        <f t="shared" si="3"/>
        <v>6.9093</v>
      </c>
      <c r="J355" s="5" t="s">
        <v>2577</v>
      </c>
      <c r="K355" s="5">
        <f t="shared" si="4"/>
        <v>968.999916</v>
      </c>
      <c r="L355" s="9" t="s">
        <v>4763</v>
      </c>
      <c r="M355" s="5">
        <f t="shared" si="5"/>
        <v>3.4546</v>
      </c>
      <c r="N355" s="6" t="s">
        <v>4764</v>
      </c>
      <c r="O355" s="5">
        <f t="shared" si="6"/>
        <v>693</v>
      </c>
    </row>
    <row r="356">
      <c r="A356" s="6" t="s">
        <v>2488</v>
      </c>
      <c r="B356" s="6" t="s">
        <v>600</v>
      </c>
      <c r="C356" s="5">
        <f t="shared" si="1"/>
        <v>7</v>
      </c>
      <c r="D356" s="1" t="s">
        <v>116</v>
      </c>
      <c r="E356" s="1" t="s">
        <v>2497</v>
      </c>
      <c r="F356" s="1" t="str">
        <f t="shared" si="2"/>
        <v>Green</v>
      </c>
      <c r="G356" s="5" t="s">
        <v>25</v>
      </c>
      <c r="H356" s="5" t="s">
        <v>2069</v>
      </c>
      <c r="I356" s="5">
        <f t="shared" si="3"/>
        <v>0.0119</v>
      </c>
      <c r="J356" s="5" t="s">
        <v>2579</v>
      </c>
      <c r="K356" s="5">
        <f t="shared" si="4"/>
        <v>2.466652</v>
      </c>
      <c r="L356" s="5" t="s">
        <v>2580</v>
      </c>
      <c r="M356" s="5">
        <f t="shared" si="5"/>
        <v>0.009</v>
      </c>
      <c r="N356" s="6" t="s">
        <v>273</v>
      </c>
      <c r="O356" s="5">
        <f t="shared" si="6"/>
        <v>4</v>
      </c>
    </row>
    <row r="357">
      <c r="A357" s="6" t="s">
        <v>2488</v>
      </c>
      <c r="B357" s="6" t="s">
        <v>600</v>
      </c>
      <c r="C357" s="5">
        <f t="shared" si="1"/>
        <v>7</v>
      </c>
      <c r="D357" s="1" t="s">
        <v>116</v>
      </c>
      <c r="E357" s="1" t="s">
        <v>29</v>
      </c>
      <c r="F357" s="1" t="str">
        <f t="shared" si="2"/>
        <v>Blue</v>
      </c>
      <c r="G357" s="5" t="s">
        <v>14</v>
      </c>
      <c r="H357" s="5" t="s">
        <v>2581</v>
      </c>
      <c r="I357" s="5">
        <f t="shared" si="3"/>
        <v>1.023</v>
      </c>
      <c r="J357" s="5" t="s">
        <v>2582</v>
      </c>
      <c r="K357" s="5">
        <f t="shared" si="4"/>
        <v>116.463955</v>
      </c>
      <c r="L357" s="5" t="s">
        <v>2583</v>
      </c>
      <c r="M357" s="5">
        <f t="shared" si="5"/>
        <v>0.2046</v>
      </c>
      <c r="N357" s="6" t="s">
        <v>4752</v>
      </c>
      <c r="O357" s="5">
        <f t="shared" si="6"/>
        <v>252</v>
      </c>
    </row>
    <row r="358">
      <c r="A358" s="6" t="s">
        <v>2488</v>
      </c>
      <c r="B358" s="6" t="s">
        <v>600</v>
      </c>
      <c r="C358" s="5">
        <f t="shared" si="1"/>
        <v>7</v>
      </c>
      <c r="D358" s="1" t="s">
        <v>116</v>
      </c>
      <c r="E358" s="1" t="s">
        <v>29</v>
      </c>
      <c r="F358" s="1" t="str">
        <f t="shared" si="2"/>
        <v>Blue</v>
      </c>
      <c r="G358" s="5" t="s">
        <v>21</v>
      </c>
      <c r="H358" s="5" t="s">
        <v>2585</v>
      </c>
      <c r="I358" s="5">
        <f t="shared" si="3"/>
        <v>38.8084</v>
      </c>
      <c r="J358" s="5" t="s">
        <v>2586</v>
      </c>
      <c r="K358" s="5">
        <f t="shared" si="4"/>
        <v>6837.95726</v>
      </c>
      <c r="L358" s="5" t="s">
        <v>2587</v>
      </c>
      <c r="M358" s="5">
        <f t="shared" si="5"/>
        <v>15.5233</v>
      </c>
      <c r="N358" s="6" t="s">
        <v>4767</v>
      </c>
      <c r="O358" s="5">
        <f t="shared" si="6"/>
        <v>2278</v>
      </c>
    </row>
    <row r="359">
      <c r="A359" s="6" t="s">
        <v>2488</v>
      </c>
      <c r="B359" s="6" t="s">
        <v>600</v>
      </c>
      <c r="C359" s="5">
        <f t="shared" si="1"/>
        <v>7</v>
      </c>
      <c r="D359" s="1" t="s">
        <v>116</v>
      </c>
      <c r="E359" s="1" t="s">
        <v>1851</v>
      </c>
      <c r="F359" s="1" t="str">
        <f t="shared" si="2"/>
        <v>Rosy</v>
      </c>
      <c r="G359" s="5" t="s">
        <v>17</v>
      </c>
      <c r="H359" s="9" t="s">
        <v>2588</v>
      </c>
      <c r="I359" s="5">
        <f t="shared" si="3"/>
        <v>10.1316</v>
      </c>
      <c r="J359" s="5" t="s">
        <v>2589</v>
      </c>
      <c r="K359" s="5">
        <f t="shared" si="4"/>
        <v>816.48217</v>
      </c>
      <c r="L359" s="9" t="s">
        <v>4768</v>
      </c>
      <c r="M359" s="5">
        <f t="shared" si="5"/>
        <v>3.9007</v>
      </c>
      <c r="N359" s="6" t="s">
        <v>4769</v>
      </c>
      <c r="O359" s="5">
        <f t="shared" si="6"/>
        <v>5403</v>
      </c>
    </row>
    <row r="360">
      <c r="A360" s="6" t="s">
        <v>2488</v>
      </c>
      <c r="B360" s="6" t="s">
        <v>600</v>
      </c>
      <c r="C360" s="5">
        <f t="shared" si="1"/>
        <v>7</v>
      </c>
      <c r="D360" s="1" t="s">
        <v>116</v>
      </c>
      <c r="E360" s="1" t="s">
        <v>1851</v>
      </c>
      <c r="F360" s="1" t="str">
        <f t="shared" si="2"/>
        <v>Rosy</v>
      </c>
      <c r="G360" s="5" t="s">
        <v>21</v>
      </c>
      <c r="H360" s="5" t="s">
        <v>2590</v>
      </c>
      <c r="I360" s="5">
        <f t="shared" si="3"/>
        <v>19.1341</v>
      </c>
      <c r="J360" s="5" t="s">
        <v>2592</v>
      </c>
      <c r="K360" s="5">
        <f t="shared" si="4"/>
        <v>1313.90949</v>
      </c>
      <c r="L360" s="9" t="s">
        <v>4771</v>
      </c>
      <c r="M360" s="5">
        <f t="shared" si="5"/>
        <v>9.3757</v>
      </c>
      <c r="N360" s="6" t="s">
        <v>4772</v>
      </c>
      <c r="O360" s="5">
        <f t="shared" si="6"/>
        <v>5075</v>
      </c>
    </row>
    <row r="361">
      <c r="A361" s="6" t="s">
        <v>2488</v>
      </c>
      <c r="B361" s="6" t="s">
        <v>600</v>
      </c>
      <c r="C361" s="5">
        <f t="shared" si="1"/>
        <v>7</v>
      </c>
      <c r="D361" s="1" t="s">
        <v>116</v>
      </c>
      <c r="E361" s="1" t="s">
        <v>45</v>
      </c>
      <c r="F361" s="1" t="str">
        <f t="shared" si="2"/>
        <v>Yellow</v>
      </c>
      <c r="G361" s="5" t="s">
        <v>17</v>
      </c>
      <c r="H361" s="5" t="s">
        <v>2593</v>
      </c>
      <c r="I361" s="5">
        <f t="shared" si="3"/>
        <v>27.9902</v>
      </c>
      <c r="J361" s="5" t="s">
        <v>2594</v>
      </c>
      <c r="K361" s="5">
        <f t="shared" si="4"/>
        <v>1759.860028</v>
      </c>
      <c r="L361" s="9" t="s">
        <v>2595</v>
      </c>
      <c r="M361" s="5">
        <f t="shared" si="5"/>
        <v>10.0765</v>
      </c>
      <c r="N361" s="6" t="s">
        <v>4773</v>
      </c>
      <c r="O361" s="5">
        <f t="shared" si="6"/>
        <v>1629</v>
      </c>
    </row>
    <row r="362">
      <c r="A362" s="6" t="s">
        <v>2488</v>
      </c>
      <c r="B362" s="6" t="s">
        <v>600</v>
      </c>
      <c r="C362" s="5">
        <f t="shared" si="1"/>
        <v>7</v>
      </c>
      <c r="D362" s="1" t="s">
        <v>116</v>
      </c>
      <c r="E362" s="1" t="s">
        <v>544</v>
      </c>
      <c r="F362" s="1" t="str">
        <f t="shared" si="2"/>
        <v>Golden</v>
      </c>
      <c r="G362" s="5" t="s">
        <v>17</v>
      </c>
      <c r="H362" s="5" t="s">
        <v>2596</v>
      </c>
      <c r="I362" s="5">
        <f t="shared" si="3"/>
        <v>19.0495</v>
      </c>
      <c r="J362" s="5" t="s">
        <v>2597</v>
      </c>
      <c r="K362" s="5">
        <f t="shared" si="4"/>
        <v>959.116532</v>
      </c>
      <c r="L362" s="9" t="s">
        <v>4774</v>
      </c>
      <c r="M362" s="5">
        <f t="shared" si="5"/>
        <v>6.6673</v>
      </c>
      <c r="N362" s="6" t="s">
        <v>4775</v>
      </c>
      <c r="O362" s="5">
        <f t="shared" si="6"/>
        <v>5302</v>
      </c>
    </row>
    <row r="363">
      <c r="A363" s="6" t="s">
        <v>2488</v>
      </c>
      <c r="B363" s="6" t="s">
        <v>600</v>
      </c>
      <c r="C363" s="5">
        <f t="shared" si="1"/>
        <v>7</v>
      </c>
      <c r="D363" s="1" t="s">
        <v>116</v>
      </c>
      <c r="E363" s="1" t="s">
        <v>1830</v>
      </c>
      <c r="F363" s="1" t="str">
        <f t="shared" si="2"/>
        <v>Magenta</v>
      </c>
      <c r="G363" s="5" t="s">
        <v>72</v>
      </c>
      <c r="H363" s="9" t="s">
        <v>4776</v>
      </c>
      <c r="I363" s="5">
        <f t="shared" si="3"/>
        <v>7.5702</v>
      </c>
      <c r="J363" s="5" t="s">
        <v>2598</v>
      </c>
      <c r="K363" s="5">
        <f t="shared" si="4"/>
        <v>412.478904</v>
      </c>
      <c r="L363" s="9" t="s">
        <v>4777</v>
      </c>
      <c r="M363" s="5">
        <f t="shared" si="5"/>
        <v>2.4225</v>
      </c>
      <c r="N363" s="6" t="s">
        <v>4778</v>
      </c>
      <c r="O363" s="5">
        <f t="shared" si="6"/>
        <v>4586</v>
      </c>
    </row>
    <row r="364">
      <c r="A364" s="6" t="s">
        <v>2488</v>
      </c>
      <c r="B364" s="6" t="s">
        <v>600</v>
      </c>
      <c r="C364" s="5">
        <f t="shared" si="1"/>
        <v>7</v>
      </c>
      <c r="D364" s="1" t="s">
        <v>116</v>
      </c>
      <c r="E364" s="1" t="s">
        <v>32</v>
      </c>
      <c r="F364" s="1" t="str">
        <f t="shared" si="2"/>
        <v>Black</v>
      </c>
      <c r="G364" s="5" t="s">
        <v>14</v>
      </c>
      <c r="H364" s="5" t="s">
        <v>2599</v>
      </c>
      <c r="I364" s="5">
        <f t="shared" si="3"/>
        <v>0.9289</v>
      </c>
      <c r="J364" s="5" t="s">
        <v>2600</v>
      </c>
      <c r="K364" s="5">
        <f t="shared" si="4"/>
        <v>27.907627</v>
      </c>
      <c r="L364" s="5" t="s">
        <v>2601</v>
      </c>
      <c r="M364" s="5">
        <f t="shared" si="5"/>
        <v>0.2136</v>
      </c>
      <c r="N364" s="6" t="s">
        <v>3637</v>
      </c>
      <c r="O364" s="5">
        <f t="shared" si="6"/>
        <v>131</v>
      </c>
    </row>
    <row r="365">
      <c r="A365" s="6" t="s">
        <v>2488</v>
      </c>
      <c r="B365" s="6" t="s">
        <v>600</v>
      </c>
      <c r="C365" s="5">
        <f t="shared" si="1"/>
        <v>7</v>
      </c>
      <c r="D365" s="1" t="s">
        <v>116</v>
      </c>
      <c r="E365" s="1" t="s">
        <v>32</v>
      </c>
      <c r="F365" s="1" t="str">
        <f t="shared" si="2"/>
        <v>Black</v>
      </c>
      <c r="G365" s="5" t="s">
        <v>21</v>
      </c>
      <c r="H365" s="9" t="s">
        <v>4779</v>
      </c>
      <c r="I365" s="5">
        <f t="shared" si="3"/>
        <v>4.2949</v>
      </c>
      <c r="J365" s="5" t="s">
        <v>2602</v>
      </c>
      <c r="K365" s="5">
        <f t="shared" si="4"/>
        <v>346.083656</v>
      </c>
      <c r="L365" s="9" t="s">
        <v>4780</v>
      </c>
      <c r="M365" s="5">
        <f t="shared" si="5"/>
        <v>1.9328</v>
      </c>
      <c r="N365" s="6" t="s">
        <v>4781</v>
      </c>
      <c r="O365" s="5">
        <f t="shared" si="6"/>
        <v>1404</v>
      </c>
    </row>
    <row r="366">
      <c r="A366" s="6" t="s">
        <v>2488</v>
      </c>
      <c r="B366" s="6" t="s">
        <v>600</v>
      </c>
      <c r="C366" s="5">
        <f t="shared" si="1"/>
        <v>7</v>
      </c>
      <c r="D366" s="1" t="s">
        <v>116</v>
      </c>
      <c r="E366" s="1" t="s">
        <v>147</v>
      </c>
      <c r="F366" s="1" t="str">
        <f t="shared" si="2"/>
        <v>Deep</v>
      </c>
      <c r="G366" s="5" t="s">
        <v>39</v>
      </c>
      <c r="H366" s="5" t="s">
        <v>2603</v>
      </c>
      <c r="I366" s="5">
        <f t="shared" si="3"/>
        <v>0.9299</v>
      </c>
      <c r="J366" s="5" t="s">
        <v>2604</v>
      </c>
      <c r="K366" s="5">
        <f t="shared" si="4"/>
        <v>287.866199</v>
      </c>
      <c r="L366" s="5" t="s">
        <v>2605</v>
      </c>
      <c r="M366" s="5">
        <f t="shared" si="5"/>
        <v>0.1766</v>
      </c>
      <c r="N366" s="6" t="s">
        <v>2744</v>
      </c>
      <c r="O366" s="5">
        <f t="shared" si="6"/>
        <v>105</v>
      </c>
    </row>
    <row r="367">
      <c r="A367" s="6" t="s">
        <v>2488</v>
      </c>
      <c r="B367" s="6" t="s">
        <v>600</v>
      </c>
      <c r="C367" s="5">
        <f t="shared" si="1"/>
        <v>7</v>
      </c>
      <c r="D367" s="1" t="s">
        <v>116</v>
      </c>
      <c r="E367" s="1" t="s">
        <v>147</v>
      </c>
      <c r="F367" s="1" t="str">
        <f t="shared" si="2"/>
        <v>Deep</v>
      </c>
      <c r="G367" s="5" t="s">
        <v>17</v>
      </c>
      <c r="H367" s="5" t="s">
        <v>796</v>
      </c>
      <c r="I367" s="5">
        <f t="shared" si="3"/>
        <v>0.0166</v>
      </c>
      <c r="J367" s="5" t="s">
        <v>2608</v>
      </c>
      <c r="K367" s="5">
        <f t="shared" si="4"/>
        <v>6.943837</v>
      </c>
      <c r="L367" s="5" t="s">
        <v>1809</v>
      </c>
      <c r="M367" s="5">
        <f t="shared" si="5"/>
        <v>0.0059</v>
      </c>
      <c r="N367" s="6" t="s">
        <v>3552</v>
      </c>
      <c r="O367" s="5">
        <f t="shared" si="6"/>
        <v>5</v>
      </c>
    </row>
    <row r="368">
      <c r="A368" s="6" t="s">
        <v>2488</v>
      </c>
      <c r="B368" s="6" t="s">
        <v>600</v>
      </c>
      <c r="C368" s="5">
        <f t="shared" si="1"/>
        <v>7</v>
      </c>
      <c r="D368" s="1" t="s">
        <v>116</v>
      </c>
      <c r="E368" s="1" t="s">
        <v>147</v>
      </c>
      <c r="F368" s="1" t="str">
        <f t="shared" si="2"/>
        <v>Deep</v>
      </c>
      <c r="G368" s="5" t="s">
        <v>21</v>
      </c>
      <c r="H368" s="5" t="s">
        <v>1292</v>
      </c>
      <c r="I368" s="5">
        <f t="shared" si="3"/>
        <v>0.0493</v>
      </c>
      <c r="J368" s="5" t="s">
        <v>2609</v>
      </c>
      <c r="K368" s="5">
        <f t="shared" si="4"/>
        <v>25.549584</v>
      </c>
      <c r="L368" s="5" t="s">
        <v>2350</v>
      </c>
      <c r="M368" s="5">
        <f t="shared" si="5"/>
        <v>0.0246</v>
      </c>
      <c r="N368" s="6" t="s">
        <v>2686</v>
      </c>
      <c r="O368" s="5">
        <f t="shared" si="6"/>
        <v>34</v>
      </c>
    </row>
    <row r="369">
      <c r="A369" s="6" t="s">
        <v>2488</v>
      </c>
      <c r="B369" s="6" t="s">
        <v>600</v>
      </c>
      <c r="C369" s="5">
        <f t="shared" si="1"/>
        <v>7</v>
      </c>
      <c r="D369" s="1" t="s">
        <v>116</v>
      </c>
      <c r="E369" s="1" t="s">
        <v>42</v>
      </c>
      <c r="F369" s="1" t="str">
        <f t="shared" si="2"/>
        <v>Red</v>
      </c>
      <c r="G369" s="5" t="s">
        <v>17</v>
      </c>
      <c r="H369" s="9" t="s">
        <v>2611</v>
      </c>
      <c r="I369" s="5">
        <f t="shared" si="3"/>
        <v>1.1897</v>
      </c>
      <c r="J369" s="5" t="s">
        <v>2612</v>
      </c>
      <c r="K369" s="5">
        <f t="shared" si="4"/>
        <v>225.064341</v>
      </c>
      <c r="L369" s="5" t="s">
        <v>2613</v>
      </c>
      <c r="M369" s="5">
        <f t="shared" si="5"/>
        <v>0.4402</v>
      </c>
      <c r="N369" s="6" t="s">
        <v>291</v>
      </c>
      <c r="O369" s="5">
        <f t="shared" si="6"/>
        <v>0</v>
      </c>
    </row>
    <row r="370">
      <c r="A370" s="6" t="s">
        <v>2488</v>
      </c>
      <c r="B370" s="6" t="s">
        <v>600</v>
      </c>
      <c r="C370" s="5">
        <f t="shared" si="1"/>
        <v>7</v>
      </c>
      <c r="D370" s="1" t="s">
        <v>116</v>
      </c>
      <c r="E370" s="1" t="s">
        <v>158</v>
      </c>
      <c r="F370" s="1" t="str">
        <f t="shared" si="2"/>
        <v>Dim</v>
      </c>
      <c r="G370" s="5" t="s">
        <v>17</v>
      </c>
      <c r="H370" s="5" t="s">
        <v>2614</v>
      </c>
      <c r="I370" s="5">
        <f t="shared" si="3"/>
        <v>0.0741</v>
      </c>
      <c r="J370" s="5" t="s">
        <v>2616</v>
      </c>
      <c r="K370" s="5">
        <f t="shared" si="4"/>
        <v>34.415037</v>
      </c>
      <c r="L370" s="5" t="s">
        <v>2617</v>
      </c>
      <c r="M370" s="5">
        <f t="shared" si="5"/>
        <v>0.0259</v>
      </c>
      <c r="N370" s="6" t="s">
        <v>291</v>
      </c>
      <c r="O370" s="5">
        <f t="shared" si="6"/>
        <v>0</v>
      </c>
    </row>
    <row r="371">
      <c r="A371" s="6" t="s">
        <v>2488</v>
      </c>
      <c r="B371" s="6" t="s">
        <v>600</v>
      </c>
      <c r="C371" s="5">
        <f t="shared" si="1"/>
        <v>7</v>
      </c>
      <c r="D371" s="1" t="s">
        <v>116</v>
      </c>
      <c r="E371" s="1" t="s">
        <v>158</v>
      </c>
      <c r="F371" s="1" t="str">
        <f t="shared" si="2"/>
        <v>Dim</v>
      </c>
      <c r="G371" s="5" t="s">
        <v>21</v>
      </c>
      <c r="H371" s="5" t="s">
        <v>2619</v>
      </c>
      <c r="I371" s="5">
        <f t="shared" si="3"/>
        <v>0.2776</v>
      </c>
      <c r="J371" s="5" t="s">
        <v>2620</v>
      </c>
      <c r="K371" s="5">
        <f t="shared" si="4"/>
        <v>161.844556</v>
      </c>
      <c r="L371" s="5" t="s">
        <v>2622</v>
      </c>
      <c r="M371" s="5">
        <f t="shared" si="5"/>
        <v>0.1166</v>
      </c>
      <c r="N371" s="6" t="s">
        <v>291</v>
      </c>
      <c r="O371" s="5">
        <f t="shared" si="6"/>
        <v>0</v>
      </c>
    </row>
    <row r="372">
      <c r="A372" s="6" t="s">
        <v>2488</v>
      </c>
      <c r="B372" s="6" t="s">
        <v>2672</v>
      </c>
      <c r="C372" s="5">
        <f t="shared" si="1"/>
        <v>8</v>
      </c>
      <c r="D372" s="1" t="s">
        <v>12</v>
      </c>
      <c r="E372" s="1" t="s">
        <v>2497</v>
      </c>
      <c r="F372" s="1" t="str">
        <f t="shared" si="2"/>
        <v>Green</v>
      </c>
      <c r="G372" s="5" t="s">
        <v>14</v>
      </c>
      <c r="H372" s="9" t="s">
        <v>4789</v>
      </c>
      <c r="I372" s="5">
        <f t="shared" si="3"/>
        <v>10.2483</v>
      </c>
      <c r="J372" s="5" t="s">
        <v>2623</v>
      </c>
      <c r="K372" s="5">
        <f t="shared" si="4"/>
        <v>694.009957</v>
      </c>
      <c r="L372" s="9" t="s">
        <v>2624</v>
      </c>
      <c r="M372" s="5">
        <f t="shared" si="5"/>
        <v>2.1522</v>
      </c>
      <c r="N372" s="6" t="s">
        <v>4790</v>
      </c>
      <c r="O372" s="5">
        <f t="shared" si="6"/>
        <v>524</v>
      </c>
    </row>
    <row r="373">
      <c r="A373" s="6" t="s">
        <v>2488</v>
      </c>
      <c r="B373" s="6" t="s">
        <v>2672</v>
      </c>
      <c r="C373" s="5">
        <f t="shared" si="1"/>
        <v>8</v>
      </c>
      <c r="D373" s="1" t="s">
        <v>12</v>
      </c>
      <c r="E373" s="1" t="s">
        <v>2497</v>
      </c>
      <c r="F373" s="1" t="str">
        <f t="shared" si="2"/>
        <v>Green</v>
      </c>
      <c r="G373" s="5" t="s">
        <v>17</v>
      </c>
      <c r="H373" s="5" t="s">
        <v>2625</v>
      </c>
      <c r="I373" s="5">
        <f t="shared" si="3"/>
        <v>57.8795</v>
      </c>
      <c r="J373" s="5" t="s">
        <v>2626</v>
      </c>
      <c r="K373" s="5">
        <f t="shared" si="4"/>
        <v>5266.284194</v>
      </c>
      <c r="L373" s="5" t="s">
        <v>2628</v>
      </c>
      <c r="M373" s="5">
        <f t="shared" si="5"/>
        <v>20.2578</v>
      </c>
      <c r="N373" s="6" t="s">
        <v>4457</v>
      </c>
      <c r="O373" s="5">
        <f t="shared" si="6"/>
        <v>787</v>
      </c>
    </row>
    <row r="374">
      <c r="A374" s="6" t="s">
        <v>2488</v>
      </c>
      <c r="B374" s="6" t="s">
        <v>2672</v>
      </c>
      <c r="C374" s="5">
        <f t="shared" si="1"/>
        <v>8</v>
      </c>
      <c r="D374" s="1" t="s">
        <v>12</v>
      </c>
      <c r="E374" s="1" t="s">
        <v>2497</v>
      </c>
      <c r="F374" s="1" t="str">
        <f t="shared" si="2"/>
        <v>Green</v>
      </c>
      <c r="G374" s="5" t="s">
        <v>21</v>
      </c>
      <c r="H374" s="5" t="s">
        <v>2629</v>
      </c>
      <c r="I374" s="5">
        <f t="shared" si="3"/>
        <v>36.1477</v>
      </c>
      <c r="J374" s="5" t="s">
        <v>2630</v>
      </c>
      <c r="K374" s="5">
        <f t="shared" si="4"/>
        <v>4297.374918</v>
      </c>
      <c r="L374" s="5" t="s">
        <v>2631</v>
      </c>
      <c r="M374" s="5">
        <f t="shared" si="5"/>
        <v>18.0739</v>
      </c>
      <c r="N374" s="6" t="s">
        <v>4795</v>
      </c>
      <c r="O374" s="5">
        <f t="shared" si="6"/>
        <v>679</v>
      </c>
    </row>
    <row r="375">
      <c r="A375" s="6" t="s">
        <v>2488</v>
      </c>
      <c r="B375" s="6" t="s">
        <v>2672</v>
      </c>
      <c r="C375" s="5">
        <f t="shared" si="1"/>
        <v>8</v>
      </c>
      <c r="D375" s="1" t="s">
        <v>12</v>
      </c>
      <c r="E375" s="1" t="s">
        <v>29</v>
      </c>
      <c r="F375" s="1" t="str">
        <f t="shared" si="2"/>
        <v>Blue</v>
      </c>
      <c r="G375" s="5" t="s">
        <v>14</v>
      </c>
      <c r="H375" s="5" t="s">
        <v>2632</v>
      </c>
      <c r="I375" s="5">
        <f t="shared" si="3"/>
        <v>0.0756</v>
      </c>
      <c r="J375" s="5" t="s">
        <v>2633</v>
      </c>
      <c r="K375" s="5">
        <f t="shared" si="4"/>
        <v>10.129644</v>
      </c>
      <c r="L375" s="5" t="s">
        <v>784</v>
      </c>
      <c r="M375" s="5">
        <f t="shared" si="5"/>
        <v>0.0151</v>
      </c>
      <c r="N375" s="6" t="s">
        <v>2591</v>
      </c>
      <c r="O375" s="5">
        <f t="shared" si="6"/>
        <v>11</v>
      </c>
    </row>
    <row r="376">
      <c r="A376" s="6" t="s">
        <v>2488</v>
      </c>
      <c r="B376" s="6" t="s">
        <v>2672</v>
      </c>
      <c r="C376" s="5">
        <f t="shared" si="1"/>
        <v>8</v>
      </c>
      <c r="D376" s="1" t="s">
        <v>12</v>
      </c>
      <c r="E376" s="1" t="s">
        <v>29</v>
      </c>
      <c r="F376" s="1" t="str">
        <f t="shared" si="2"/>
        <v>Blue</v>
      </c>
      <c r="G376" s="5" t="s">
        <v>21</v>
      </c>
      <c r="H376" s="5" t="s">
        <v>2634</v>
      </c>
      <c r="I376" s="5">
        <f t="shared" si="3"/>
        <v>19.8438</v>
      </c>
      <c r="J376" s="5" t="s">
        <v>2635</v>
      </c>
      <c r="K376" s="5">
        <f t="shared" si="4"/>
        <v>4048.5126</v>
      </c>
      <c r="L376" s="9" t="s">
        <v>4797</v>
      </c>
      <c r="M376" s="5">
        <f t="shared" si="5"/>
        <v>7.9376</v>
      </c>
      <c r="N376" s="6" t="s">
        <v>4798</v>
      </c>
      <c r="O376" s="5">
        <f t="shared" si="6"/>
        <v>737</v>
      </c>
    </row>
    <row r="377">
      <c r="A377" s="6" t="s">
        <v>2488</v>
      </c>
      <c r="B377" s="6" t="s">
        <v>2672</v>
      </c>
      <c r="C377" s="5">
        <f t="shared" si="1"/>
        <v>8</v>
      </c>
      <c r="D377" s="1" t="s">
        <v>12</v>
      </c>
      <c r="E377" s="1" t="s">
        <v>38</v>
      </c>
      <c r="F377" s="1" t="str">
        <f t="shared" si="2"/>
        <v>White</v>
      </c>
      <c r="G377" s="5" t="s">
        <v>39</v>
      </c>
      <c r="H377" s="9" t="s">
        <v>2636</v>
      </c>
      <c r="I377" s="5">
        <f t="shared" si="3"/>
        <v>3.1254</v>
      </c>
      <c r="J377" s="5" t="s">
        <v>2638</v>
      </c>
      <c r="K377" s="5">
        <f t="shared" si="4"/>
        <v>349.836778</v>
      </c>
      <c r="L377" s="5" t="s">
        <v>2640</v>
      </c>
      <c r="M377" s="5">
        <f t="shared" si="5"/>
        <v>0.5626</v>
      </c>
      <c r="N377" s="6" t="s">
        <v>4799</v>
      </c>
      <c r="O377" s="5">
        <f t="shared" si="6"/>
        <v>127</v>
      </c>
    </row>
    <row r="378">
      <c r="A378" s="6" t="s">
        <v>2488</v>
      </c>
      <c r="B378" s="6" t="s">
        <v>2672</v>
      </c>
      <c r="C378" s="5">
        <f t="shared" si="1"/>
        <v>8</v>
      </c>
      <c r="D378" s="1" t="s">
        <v>12</v>
      </c>
      <c r="E378" s="1" t="s">
        <v>45</v>
      </c>
      <c r="F378" s="1" t="str">
        <f t="shared" si="2"/>
        <v>Yellow</v>
      </c>
      <c r="G378" s="5" t="s">
        <v>17</v>
      </c>
      <c r="H378" s="9" t="s">
        <v>4800</v>
      </c>
      <c r="I378" s="5">
        <f t="shared" si="3"/>
        <v>2.6054</v>
      </c>
      <c r="J378" s="5" t="s">
        <v>2641</v>
      </c>
      <c r="K378" s="5">
        <f t="shared" si="4"/>
        <v>220.183552</v>
      </c>
      <c r="L378" s="5" t="s">
        <v>437</v>
      </c>
      <c r="M378" s="5">
        <f t="shared" si="5"/>
        <v>0.938</v>
      </c>
      <c r="N378" s="6" t="s">
        <v>4270</v>
      </c>
      <c r="O378" s="5">
        <f t="shared" si="6"/>
        <v>249</v>
      </c>
    </row>
    <row r="379">
      <c r="A379" s="6" t="s">
        <v>2488</v>
      </c>
      <c r="B379" s="6" t="s">
        <v>2672</v>
      </c>
      <c r="C379" s="5">
        <f t="shared" si="1"/>
        <v>8</v>
      </c>
      <c r="D379" s="1" t="s">
        <v>12</v>
      </c>
      <c r="E379" s="1" t="s">
        <v>48</v>
      </c>
      <c r="F379" s="1" t="str">
        <f t="shared" si="2"/>
        <v>Orange</v>
      </c>
      <c r="G379" s="5" t="s">
        <v>49</v>
      </c>
      <c r="H379" s="5" t="s">
        <v>2642</v>
      </c>
      <c r="I379" s="5">
        <f t="shared" si="3"/>
        <v>0.0507</v>
      </c>
      <c r="J379" s="5" t="s">
        <v>2643</v>
      </c>
      <c r="K379" s="5">
        <f t="shared" si="4"/>
        <v>14.072999</v>
      </c>
      <c r="L379" s="5" t="s">
        <v>2645</v>
      </c>
      <c r="M379" s="5">
        <f t="shared" si="5"/>
        <v>0.0142</v>
      </c>
      <c r="N379" s="6" t="s">
        <v>4694</v>
      </c>
      <c r="O379" s="5">
        <f t="shared" si="6"/>
        <v>19</v>
      </c>
    </row>
    <row r="380">
      <c r="A380" s="6" t="s">
        <v>2488</v>
      </c>
      <c r="B380" s="6" t="s">
        <v>2672</v>
      </c>
      <c r="C380" s="5">
        <f t="shared" si="1"/>
        <v>8</v>
      </c>
      <c r="D380" s="1" t="s">
        <v>12</v>
      </c>
      <c r="E380" s="1" t="s">
        <v>48</v>
      </c>
      <c r="F380" s="1" t="str">
        <f t="shared" si="2"/>
        <v>Orange</v>
      </c>
      <c r="G380" s="5" t="s">
        <v>21</v>
      </c>
      <c r="H380" s="5" t="s">
        <v>2647</v>
      </c>
      <c r="I380" s="5">
        <f t="shared" si="3"/>
        <v>0.9781</v>
      </c>
      <c r="J380" s="5" t="s">
        <v>2648</v>
      </c>
      <c r="K380" s="5">
        <f t="shared" si="4"/>
        <v>127.683803</v>
      </c>
      <c r="L380" s="5" t="s">
        <v>2649</v>
      </c>
      <c r="M380" s="5">
        <f t="shared" si="5"/>
        <v>0.3913</v>
      </c>
      <c r="N380" s="6" t="s">
        <v>4508</v>
      </c>
      <c r="O380" s="5">
        <f t="shared" si="6"/>
        <v>170</v>
      </c>
    </row>
    <row r="381">
      <c r="A381" s="6" t="s">
        <v>2488</v>
      </c>
      <c r="B381" s="6" t="s">
        <v>2672</v>
      </c>
      <c r="C381" s="5">
        <f t="shared" si="1"/>
        <v>8</v>
      </c>
      <c r="D381" s="1" t="s">
        <v>12</v>
      </c>
      <c r="E381" s="1" t="s">
        <v>1830</v>
      </c>
      <c r="F381" s="1" t="str">
        <f t="shared" si="2"/>
        <v>Magenta</v>
      </c>
      <c r="G381" s="5" t="s">
        <v>72</v>
      </c>
      <c r="H381" s="9" t="s">
        <v>4803</v>
      </c>
      <c r="I381" s="5">
        <f t="shared" si="3"/>
        <v>1.9602</v>
      </c>
      <c r="J381" s="5" t="s">
        <v>2650</v>
      </c>
      <c r="K381" s="5">
        <f t="shared" si="4"/>
        <v>137.103641</v>
      </c>
      <c r="L381" s="5" t="s">
        <v>2651</v>
      </c>
      <c r="M381" s="5">
        <f t="shared" si="5"/>
        <v>0.6273</v>
      </c>
      <c r="N381" s="6" t="s">
        <v>3653</v>
      </c>
      <c r="O381" s="5">
        <f t="shared" si="6"/>
        <v>338</v>
      </c>
    </row>
    <row r="382">
      <c r="A382" s="6" t="s">
        <v>2488</v>
      </c>
      <c r="B382" s="6" t="s">
        <v>2672</v>
      </c>
      <c r="C382" s="5">
        <f t="shared" si="1"/>
        <v>8</v>
      </c>
      <c r="D382" s="1" t="s">
        <v>12</v>
      </c>
      <c r="E382" s="1" t="s">
        <v>42</v>
      </c>
      <c r="F382" s="1" t="str">
        <f t="shared" si="2"/>
        <v>Red</v>
      </c>
      <c r="G382" s="5" t="s">
        <v>17</v>
      </c>
      <c r="H382" s="5" t="s">
        <v>350</v>
      </c>
      <c r="I382" s="5">
        <f t="shared" si="3"/>
        <v>0.3193</v>
      </c>
      <c r="J382" s="5" t="s">
        <v>2653</v>
      </c>
      <c r="K382" s="5">
        <f t="shared" si="4"/>
        <v>48.341632</v>
      </c>
      <c r="L382" s="5" t="s">
        <v>2654</v>
      </c>
      <c r="M382" s="5">
        <f t="shared" si="5"/>
        <v>0.1182</v>
      </c>
      <c r="N382" s="6" t="s">
        <v>4805</v>
      </c>
      <c r="O382" s="5">
        <f t="shared" si="6"/>
        <v>33</v>
      </c>
    </row>
    <row r="383">
      <c r="A383" s="6" t="s">
        <v>2488</v>
      </c>
      <c r="B383" s="6" t="s">
        <v>2672</v>
      </c>
      <c r="C383" s="5">
        <f t="shared" si="1"/>
        <v>8</v>
      </c>
      <c r="D383" s="1" t="s">
        <v>12</v>
      </c>
      <c r="E383" s="1" t="s">
        <v>32</v>
      </c>
      <c r="F383" s="1" t="str">
        <f t="shared" si="2"/>
        <v>Black</v>
      </c>
      <c r="G383" s="5" t="s">
        <v>14</v>
      </c>
      <c r="H383" s="5" t="s">
        <v>2655</v>
      </c>
      <c r="I383" s="5">
        <f t="shared" si="3"/>
        <v>0.1727</v>
      </c>
      <c r="J383" s="5" t="s">
        <v>2656</v>
      </c>
      <c r="K383" s="5">
        <f t="shared" si="4"/>
        <v>10.632907</v>
      </c>
      <c r="L383" s="5" t="s">
        <v>323</v>
      </c>
      <c r="M383" s="5">
        <f t="shared" si="5"/>
        <v>0.0397</v>
      </c>
      <c r="N383" s="6" t="s">
        <v>3440</v>
      </c>
      <c r="O383" s="5">
        <f t="shared" si="6"/>
        <v>47</v>
      </c>
    </row>
    <row r="384">
      <c r="A384" s="6" t="s">
        <v>2488</v>
      </c>
      <c r="B384" s="6" t="s">
        <v>2672</v>
      </c>
      <c r="C384" s="5">
        <f t="shared" si="1"/>
        <v>8</v>
      </c>
      <c r="D384" s="1" t="s">
        <v>12</v>
      </c>
      <c r="E384" s="1" t="s">
        <v>32</v>
      </c>
      <c r="F384" s="1" t="str">
        <f t="shared" si="2"/>
        <v>Black</v>
      </c>
      <c r="G384" s="5" t="s">
        <v>21</v>
      </c>
      <c r="H384" s="5" t="s">
        <v>2658</v>
      </c>
      <c r="I384" s="5">
        <f t="shared" si="3"/>
        <v>0.2233</v>
      </c>
      <c r="J384" s="5" t="s">
        <v>2659</v>
      </c>
      <c r="K384" s="5">
        <f t="shared" si="4"/>
        <v>29.563621</v>
      </c>
      <c r="L384" s="5" t="s">
        <v>1636</v>
      </c>
      <c r="M384" s="5">
        <f t="shared" si="5"/>
        <v>0.1005</v>
      </c>
      <c r="N384" s="6" t="s">
        <v>2898</v>
      </c>
      <c r="O384" s="5">
        <f t="shared" si="6"/>
        <v>54</v>
      </c>
    </row>
    <row r="385">
      <c r="A385" s="6" t="s">
        <v>2488</v>
      </c>
      <c r="B385" s="6" t="s">
        <v>2672</v>
      </c>
      <c r="C385" s="5">
        <f t="shared" si="1"/>
        <v>8</v>
      </c>
      <c r="D385" s="1" t="s">
        <v>12</v>
      </c>
      <c r="E385" s="1" t="s">
        <v>64</v>
      </c>
      <c r="F385" s="1" t="str">
        <f t="shared" si="2"/>
        <v>Brown</v>
      </c>
      <c r="G385" s="5" t="s">
        <v>39</v>
      </c>
      <c r="H385" s="5" t="s">
        <v>2715</v>
      </c>
      <c r="I385" s="5">
        <f t="shared" si="3"/>
        <v>0.5568</v>
      </c>
      <c r="J385" s="5" t="s">
        <v>2716</v>
      </c>
      <c r="K385" s="5">
        <f t="shared" si="4"/>
        <v>37.274619</v>
      </c>
      <c r="L385" s="5" t="s">
        <v>2719</v>
      </c>
      <c r="M385" s="5">
        <f t="shared" si="5"/>
        <v>0.1002</v>
      </c>
      <c r="N385" s="6" t="s">
        <v>2584</v>
      </c>
      <c r="O385" s="5">
        <f t="shared" si="6"/>
        <v>88</v>
      </c>
    </row>
    <row r="386">
      <c r="A386" s="6" t="s">
        <v>2488</v>
      </c>
      <c r="B386" s="6" t="s">
        <v>2672</v>
      </c>
      <c r="C386" s="5">
        <f t="shared" si="1"/>
        <v>8</v>
      </c>
      <c r="D386" s="1" t="s">
        <v>12</v>
      </c>
      <c r="E386" s="1" t="s">
        <v>64</v>
      </c>
      <c r="F386" s="1" t="str">
        <f t="shared" si="2"/>
        <v>Brown</v>
      </c>
      <c r="G386" s="5" t="s">
        <v>21</v>
      </c>
      <c r="H386" s="5" t="s">
        <v>73</v>
      </c>
      <c r="I386" s="5">
        <f t="shared" si="3"/>
        <v>0.0013</v>
      </c>
      <c r="J386" s="5" t="s">
        <v>2721</v>
      </c>
      <c r="K386" s="5">
        <f t="shared" si="4"/>
        <v>0.144415</v>
      </c>
      <c r="L386" s="5" t="s">
        <v>674</v>
      </c>
      <c r="M386" s="5">
        <f t="shared" si="5"/>
        <v>0.0005</v>
      </c>
      <c r="N386" s="6" t="s">
        <v>186</v>
      </c>
      <c r="O386" s="5">
        <f t="shared" si="6"/>
        <v>1</v>
      </c>
    </row>
    <row r="387">
      <c r="A387" s="6" t="s">
        <v>2488</v>
      </c>
      <c r="B387" s="6" t="s">
        <v>2672</v>
      </c>
      <c r="C387" s="5">
        <f t="shared" si="1"/>
        <v>8</v>
      </c>
      <c r="D387" s="1" t="s">
        <v>12</v>
      </c>
      <c r="E387" s="1" t="s">
        <v>1851</v>
      </c>
      <c r="F387" s="1" t="str">
        <f t="shared" si="2"/>
        <v>Rosy</v>
      </c>
      <c r="G387" s="5" t="s">
        <v>17</v>
      </c>
      <c r="H387" s="5" t="s">
        <v>2722</v>
      </c>
      <c r="I387" s="5">
        <f t="shared" si="3"/>
        <v>0.2014</v>
      </c>
      <c r="J387" s="5" t="s">
        <v>2723</v>
      </c>
      <c r="K387" s="5">
        <f t="shared" si="4"/>
        <v>14.455452</v>
      </c>
      <c r="L387" s="5" t="s">
        <v>2724</v>
      </c>
      <c r="M387" s="5">
        <f t="shared" si="5"/>
        <v>0.0775</v>
      </c>
      <c r="N387" s="6" t="s">
        <v>4806</v>
      </c>
      <c r="O387" s="5">
        <f t="shared" si="6"/>
        <v>32</v>
      </c>
    </row>
    <row r="388">
      <c r="A388" s="6" t="s">
        <v>2488</v>
      </c>
      <c r="B388" s="6" t="s">
        <v>2672</v>
      </c>
      <c r="C388" s="5">
        <f t="shared" si="1"/>
        <v>8</v>
      </c>
      <c r="D388" s="1" t="s">
        <v>12</v>
      </c>
      <c r="E388" s="1" t="s">
        <v>1851</v>
      </c>
      <c r="F388" s="1" t="str">
        <f t="shared" si="2"/>
        <v>Rosy</v>
      </c>
      <c r="G388" s="5" t="s">
        <v>21</v>
      </c>
      <c r="H388" s="5" t="s">
        <v>400</v>
      </c>
      <c r="I388" s="5">
        <f t="shared" si="3"/>
        <v>0.4029</v>
      </c>
      <c r="J388" s="5" t="s">
        <v>2726</v>
      </c>
      <c r="K388" s="5">
        <f t="shared" si="4"/>
        <v>20.78609</v>
      </c>
      <c r="L388" s="5" t="s">
        <v>2727</v>
      </c>
      <c r="M388" s="5">
        <f t="shared" si="5"/>
        <v>0.1975</v>
      </c>
      <c r="N388" s="6" t="s">
        <v>2704</v>
      </c>
      <c r="O388" s="5">
        <f t="shared" si="6"/>
        <v>48</v>
      </c>
    </row>
    <row r="389">
      <c r="A389" s="6" t="s">
        <v>2488</v>
      </c>
      <c r="B389" s="6" t="s">
        <v>2672</v>
      </c>
      <c r="C389" s="5">
        <f t="shared" si="1"/>
        <v>8</v>
      </c>
      <c r="D389" s="1" t="s">
        <v>68</v>
      </c>
      <c r="E389" s="1" t="s">
        <v>2497</v>
      </c>
      <c r="F389" s="1" t="str">
        <f t="shared" si="2"/>
        <v>Green</v>
      </c>
      <c r="G389" s="5" t="s">
        <v>14</v>
      </c>
      <c r="H389" s="5" t="s">
        <v>2728</v>
      </c>
      <c r="I389" s="5">
        <f t="shared" si="3"/>
        <v>29.2669</v>
      </c>
      <c r="J389" s="5" t="s">
        <v>2729</v>
      </c>
      <c r="K389" s="5">
        <f t="shared" si="4"/>
        <v>2051.053798</v>
      </c>
      <c r="L389" s="5" t="s">
        <v>2731</v>
      </c>
      <c r="M389" s="5">
        <f t="shared" si="5"/>
        <v>6.146</v>
      </c>
      <c r="N389" s="6" t="s">
        <v>4809</v>
      </c>
      <c r="O389" s="5">
        <f t="shared" si="6"/>
        <v>6264</v>
      </c>
    </row>
    <row r="390">
      <c r="A390" s="6" t="s">
        <v>2488</v>
      </c>
      <c r="B390" s="6" t="s">
        <v>2672</v>
      </c>
      <c r="C390" s="5">
        <f t="shared" si="1"/>
        <v>8</v>
      </c>
      <c r="D390" s="1" t="s">
        <v>68</v>
      </c>
      <c r="E390" s="1" t="s">
        <v>2497</v>
      </c>
      <c r="F390" s="1" t="str">
        <f t="shared" si="2"/>
        <v>Green</v>
      </c>
      <c r="G390" s="5" t="s">
        <v>17</v>
      </c>
      <c r="H390" s="5" t="s">
        <v>2732</v>
      </c>
      <c r="I390" s="5">
        <f t="shared" si="3"/>
        <v>61.1062</v>
      </c>
      <c r="J390" s="5" t="s">
        <v>2733</v>
      </c>
      <c r="K390" s="5">
        <f t="shared" si="4"/>
        <v>5927.694242</v>
      </c>
      <c r="L390" s="5" t="s">
        <v>2734</v>
      </c>
      <c r="M390" s="5">
        <f t="shared" si="5"/>
        <v>21.3872</v>
      </c>
      <c r="N390" s="6" t="s">
        <v>4811</v>
      </c>
      <c r="O390" s="5">
        <f t="shared" si="6"/>
        <v>9804</v>
      </c>
    </row>
    <row r="391">
      <c r="A391" s="6" t="s">
        <v>2488</v>
      </c>
      <c r="B391" s="6" t="s">
        <v>2672</v>
      </c>
      <c r="C391" s="5">
        <f t="shared" si="1"/>
        <v>8</v>
      </c>
      <c r="D391" s="1" t="s">
        <v>68</v>
      </c>
      <c r="E391" s="1" t="s">
        <v>2497</v>
      </c>
      <c r="F391" s="1" t="str">
        <f t="shared" si="2"/>
        <v>Green</v>
      </c>
      <c r="G391" s="5" t="s">
        <v>21</v>
      </c>
      <c r="H391" s="9" t="s">
        <v>4812</v>
      </c>
      <c r="I391" s="5">
        <f t="shared" si="3"/>
        <v>2.3611</v>
      </c>
      <c r="J391" s="5" t="s">
        <v>2735</v>
      </c>
      <c r="K391" s="5">
        <f t="shared" si="4"/>
        <v>354.733746</v>
      </c>
      <c r="L391" s="9" t="s">
        <v>2736</v>
      </c>
      <c r="M391" s="5">
        <f t="shared" si="5"/>
        <v>1.1806</v>
      </c>
      <c r="N391" s="6" t="s">
        <v>4813</v>
      </c>
      <c r="O391" s="5">
        <f t="shared" si="6"/>
        <v>494</v>
      </c>
    </row>
    <row r="392">
      <c r="A392" s="6" t="s">
        <v>2488</v>
      </c>
      <c r="B392" s="6" t="s">
        <v>2672</v>
      </c>
      <c r="C392" s="5">
        <f t="shared" si="1"/>
        <v>8</v>
      </c>
      <c r="D392" s="1" t="s">
        <v>68</v>
      </c>
      <c r="E392" s="1" t="s">
        <v>2497</v>
      </c>
      <c r="F392" s="1" t="str">
        <f t="shared" si="2"/>
        <v>Green</v>
      </c>
      <c r="G392" s="5" t="s">
        <v>25</v>
      </c>
      <c r="H392" s="5" t="s">
        <v>2538</v>
      </c>
      <c r="I392" s="5">
        <f t="shared" si="3"/>
        <v>0.4027</v>
      </c>
      <c r="J392" s="5" t="s">
        <v>2539</v>
      </c>
      <c r="K392" s="5">
        <f t="shared" si="4"/>
        <v>65.041677</v>
      </c>
      <c r="L392" s="5" t="s">
        <v>111</v>
      </c>
      <c r="M392" s="5">
        <f t="shared" si="5"/>
        <v>0.302</v>
      </c>
      <c r="N392" s="6" t="s">
        <v>3582</v>
      </c>
      <c r="O392" s="5">
        <f t="shared" si="6"/>
        <v>245</v>
      </c>
    </row>
    <row r="393">
      <c r="A393" s="6" t="s">
        <v>2488</v>
      </c>
      <c r="B393" s="6" t="s">
        <v>2672</v>
      </c>
      <c r="C393" s="5">
        <f t="shared" si="1"/>
        <v>8</v>
      </c>
      <c r="D393" s="1" t="s">
        <v>68</v>
      </c>
      <c r="E393" s="1" t="s">
        <v>1851</v>
      </c>
      <c r="F393" s="1" t="str">
        <f t="shared" si="2"/>
        <v>Rosy</v>
      </c>
      <c r="G393" s="5" t="s">
        <v>17</v>
      </c>
      <c r="H393" s="9" t="s">
        <v>4814</v>
      </c>
      <c r="I393" s="5">
        <f t="shared" si="3"/>
        <v>4.3242</v>
      </c>
      <c r="J393" s="5" t="s">
        <v>2737</v>
      </c>
      <c r="K393" s="5">
        <f t="shared" si="4"/>
        <v>270.114209</v>
      </c>
      <c r="L393" s="9" t="s">
        <v>4816</v>
      </c>
      <c r="M393" s="5">
        <f t="shared" si="5"/>
        <v>1.6648</v>
      </c>
      <c r="N393" s="6" t="s">
        <v>4817</v>
      </c>
      <c r="O393" s="5">
        <f t="shared" si="6"/>
        <v>1760</v>
      </c>
    </row>
    <row r="394">
      <c r="A394" s="6" t="s">
        <v>2488</v>
      </c>
      <c r="B394" s="6" t="s">
        <v>2672</v>
      </c>
      <c r="C394" s="5">
        <f t="shared" si="1"/>
        <v>8</v>
      </c>
      <c r="D394" s="1" t="s">
        <v>68</v>
      </c>
      <c r="E394" s="1" t="s">
        <v>1851</v>
      </c>
      <c r="F394" s="1" t="str">
        <f t="shared" si="2"/>
        <v>Rosy</v>
      </c>
      <c r="G394" s="5" t="s">
        <v>21</v>
      </c>
      <c r="H394" s="9" t="s">
        <v>4819</v>
      </c>
      <c r="I394" s="5">
        <f t="shared" si="3"/>
        <v>9.6874</v>
      </c>
      <c r="J394" s="5" t="s">
        <v>2738</v>
      </c>
      <c r="K394" s="5">
        <f t="shared" si="4"/>
        <v>621.280092</v>
      </c>
      <c r="L394" s="9" t="s">
        <v>4820</v>
      </c>
      <c r="M394" s="5">
        <f t="shared" si="5"/>
        <v>4.7468</v>
      </c>
      <c r="N394" s="6" t="s">
        <v>4821</v>
      </c>
      <c r="O394" s="5">
        <f t="shared" si="6"/>
        <v>3253</v>
      </c>
    </row>
    <row r="395">
      <c r="A395" s="6" t="s">
        <v>2488</v>
      </c>
      <c r="B395" s="6" t="s">
        <v>2672</v>
      </c>
      <c r="C395" s="5">
        <f t="shared" si="1"/>
        <v>8</v>
      </c>
      <c r="D395" s="1" t="s">
        <v>68</v>
      </c>
      <c r="E395" s="1" t="s">
        <v>29</v>
      </c>
      <c r="F395" s="1" t="str">
        <f t="shared" si="2"/>
        <v>Blue</v>
      </c>
      <c r="G395" s="5" t="s">
        <v>14</v>
      </c>
      <c r="H395" s="5" t="s">
        <v>507</v>
      </c>
      <c r="I395" s="5">
        <f t="shared" si="3"/>
        <v>0.0109</v>
      </c>
      <c r="J395" s="5" t="s">
        <v>2741</v>
      </c>
      <c r="K395" s="5">
        <f t="shared" si="4"/>
        <v>1.380758</v>
      </c>
      <c r="L395" s="5" t="s">
        <v>103</v>
      </c>
      <c r="M395" s="5">
        <f t="shared" si="5"/>
        <v>0.0022</v>
      </c>
      <c r="N395" s="6" t="s">
        <v>2521</v>
      </c>
      <c r="O395" s="5">
        <f t="shared" si="6"/>
        <v>6</v>
      </c>
    </row>
    <row r="396">
      <c r="A396" s="6" t="s">
        <v>2488</v>
      </c>
      <c r="B396" s="6" t="s">
        <v>2672</v>
      </c>
      <c r="C396" s="5">
        <f t="shared" si="1"/>
        <v>8</v>
      </c>
      <c r="D396" s="1" t="s">
        <v>68</v>
      </c>
      <c r="E396" s="1" t="s">
        <v>29</v>
      </c>
      <c r="F396" s="1" t="str">
        <f t="shared" si="2"/>
        <v>Blue</v>
      </c>
      <c r="G396" s="5" t="s">
        <v>21</v>
      </c>
      <c r="H396" s="9" t="s">
        <v>5300</v>
      </c>
      <c r="I396" s="5">
        <f t="shared" si="3"/>
        <v>4.3941</v>
      </c>
      <c r="J396" s="5" t="s">
        <v>2743</v>
      </c>
      <c r="K396" s="5">
        <f t="shared" si="4"/>
        <v>891.778743</v>
      </c>
      <c r="L396" s="9" t="s">
        <v>5301</v>
      </c>
      <c r="M396" s="5">
        <f t="shared" si="5"/>
        <v>1.7577</v>
      </c>
      <c r="N396" s="6" t="s">
        <v>4527</v>
      </c>
      <c r="O396" s="5">
        <f t="shared" si="6"/>
        <v>710</v>
      </c>
    </row>
    <row r="397">
      <c r="A397" s="6" t="s">
        <v>2488</v>
      </c>
      <c r="B397" s="6" t="s">
        <v>2672</v>
      </c>
      <c r="C397" s="5">
        <f t="shared" si="1"/>
        <v>8</v>
      </c>
      <c r="D397" s="1" t="s">
        <v>68</v>
      </c>
      <c r="E397" s="1" t="s">
        <v>45</v>
      </c>
      <c r="F397" s="1" t="str">
        <f t="shared" si="2"/>
        <v>Yellow</v>
      </c>
      <c r="G397" s="5" t="s">
        <v>17</v>
      </c>
      <c r="H397" s="9" t="s">
        <v>5302</v>
      </c>
      <c r="I397" s="5">
        <f t="shared" si="3"/>
        <v>8.2989</v>
      </c>
      <c r="J397" s="5" t="s">
        <v>2745</v>
      </c>
      <c r="K397" s="5">
        <f t="shared" si="4"/>
        <v>520.899138</v>
      </c>
      <c r="L397" s="9" t="s">
        <v>5303</v>
      </c>
      <c r="M397" s="5">
        <f t="shared" si="5"/>
        <v>2.9877</v>
      </c>
      <c r="N397" s="6" t="s">
        <v>5170</v>
      </c>
      <c r="O397" s="5">
        <f t="shared" si="6"/>
        <v>1386</v>
      </c>
    </row>
    <row r="398">
      <c r="A398" s="6" t="s">
        <v>2488</v>
      </c>
      <c r="B398" s="6" t="s">
        <v>2672</v>
      </c>
      <c r="C398" s="5">
        <f t="shared" si="1"/>
        <v>8</v>
      </c>
      <c r="D398" s="1" t="s">
        <v>68</v>
      </c>
      <c r="E398" s="1" t="s">
        <v>544</v>
      </c>
      <c r="F398" s="1" t="str">
        <f t="shared" si="2"/>
        <v>Golden</v>
      </c>
      <c r="G398" s="5" t="s">
        <v>17</v>
      </c>
      <c r="H398" s="9" t="s">
        <v>5304</v>
      </c>
      <c r="I398" s="5">
        <f t="shared" si="3"/>
        <v>7.9817</v>
      </c>
      <c r="J398" s="5" t="s">
        <v>2746</v>
      </c>
      <c r="K398" s="5">
        <f t="shared" si="4"/>
        <v>399.155297</v>
      </c>
      <c r="L398" s="9" t="s">
        <v>5305</v>
      </c>
      <c r="M398" s="5">
        <f t="shared" si="5"/>
        <v>2.7936</v>
      </c>
      <c r="N398" s="6" t="s">
        <v>5306</v>
      </c>
      <c r="O398" s="5">
        <f t="shared" si="6"/>
        <v>2704</v>
      </c>
    </row>
    <row r="399">
      <c r="A399" s="6" t="s">
        <v>2488</v>
      </c>
      <c r="B399" s="6" t="s">
        <v>2672</v>
      </c>
      <c r="C399" s="5">
        <f t="shared" si="1"/>
        <v>8</v>
      </c>
      <c r="D399" s="1" t="s">
        <v>68</v>
      </c>
      <c r="E399" s="1" t="s">
        <v>1830</v>
      </c>
      <c r="F399" s="1" t="str">
        <f t="shared" si="2"/>
        <v>Magenta</v>
      </c>
      <c r="G399" s="5" t="s">
        <v>72</v>
      </c>
      <c r="H399" s="9" t="s">
        <v>5307</v>
      </c>
      <c r="I399" s="5">
        <f t="shared" si="3"/>
        <v>5.6129</v>
      </c>
      <c r="J399" s="5" t="s">
        <v>2748</v>
      </c>
      <c r="K399" s="5">
        <f t="shared" si="4"/>
        <v>317.758765</v>
      </c>
      <c r="L399" s="9" t="s">
        <v>5308</v>
      </c>
      <c r="M399" s="5">
        <f t="shared" si="5"/>
        <v>1.7962</v>
      </c>
      <c r="N399" s="6" t="s">
        <v>5309</v>
      </c>
      <c r="O399" s="5">
        <f t="shared" si="6"/>
        <v>3735</v>
      </c>
    </row>
    <row r="400">
      <c r="A400" s="6" t="s">
        <v>2488</v>
      </c>
      <c r="B400" s="6" t="s">
        <v>2672</v>
      </c>
      <c r="C400" s="5">
        <f t="shared" si="1"/>
        <v>8</v>
      </c>
      <c r="D400" s="1" t="s">
        <v>68</v>
      </c>
      <c r="E400" s="1" t="s">
        <v>32</v>
      </c>
      <c r="F400" s="1" t="str">
        <f t="shared" si="2"/>
        <v>Black</v>
      </c>
      <c r="G400" s="5" t="s">
        <v>14</v>
      </c>
      <c r="H400" s="9" t="s">
        <v>5310</v>
      </c>
      <c r="I400" s="5">
        <f t="shared" si="3"/>
        <v>2.9913</v>
      </c>
      <c r="J400" s="5" t="s">
        <v>2750</v>
      </c>
      <c r="K400" s="5">
        <f t="shared" si="4"/>
        <v>208.893286</v>
      </c>
      <c r="L400" s="5" t="s">
        <v>2751</v>
      </c>
      <c r="M400" s="5">
        <f t="shared" si="5"/>
        <v>0.688</v>
      </c>
      <c r="N400" s="6" t="s">
        <v>5311</v>
      </c>
      <c r="O400" s="5">
        <f t="shared" si="6"/>
        <v>1140</v>
      </c>
    </row>
    <row r="401">
      <c r="A401" s="6" t="s">
        <v>2488</v>
      </c>
      <c r="B401" s="6" t="s">
        <v>2672</v>
      </c>
      <c r="C401" s="5">
        <f t="shared" si="1"/>
        <v>8</v>
      </c>
      <c r="D401" s="1" t="s">
        <v>68</v>
      </c>
      <c r="E401" s="1" t="s">
        <v>32</v>
      </c>
      <c r="F401" s="1" t="str">
        <f t="shared" si="2"/>
        <v>Black</v>
      </c>
      <c r="G401" s="5" t="s">
        <v>21</v>
      </c>
      <c r="H401" s="5" t="s">
        <v>2752</v>
      </c>
      <c r="I401" s="5">
        <f t="shared" si="3"/>
        <v>0.788</v>
      </c>
      <c r="J401" s="5" t="s">
        <v>2753</v>
      </c>
      <c r="K401" s="5">
        <f t="shared" si="4"/>
        <v>59.614591</v>
      </c>
      <c r="L401" s="5" t="s">
        <v>2755</v>
      </c>
      <c r="M401" s="5">
        <f t="shared" si="5"/>
        <v>0.3546</v>
      </c>
      <c r="N401" s="6" t="s">
        <v>4363</v>
      </c>
      <c r="O401" s="5">
        <f t="shared" si="6"/>
        <v>397</v>
      </c>
    </row>
    <row r="402">
      <c r="A402" s="6" t="s">
        <v>2488</v>
      </c>
      <c r="B402" s="6" t="s">
        <v>2672</v>
      </c>
      <c r="C402" s="5">
        <f t="shared" si="1"/>
        <v>8</v>
      </c>
      <c r="D402" s="1" t="s">
        <v>68</v>
      </c>
      <c r="E402" s="1" t="s">
        <v>2088</v>
      </c>
      <c r="F402" s="1" t="str">
        <f t="shared" si="2"/>
        <v>Lilac</v>
      </c>
      <c r="G402" s="5" t="s">
        <v>21</v>
      </c>
      <c r="H402" s="9" t="s">
        <v>5312</v>
      </c>
      <c r="I402" s="5">
        <f t="shared" si="3"/>
        <v>1.4001</v>
      </c>
      <c r="J402" s="5" t="s">
        <v>2756</v>
      </c>
      <c r="K402" s="5">
        <f t="shared" si="4"/>
        <v>153.400214</v>
      </c>
      <c r="L402" s="5" t="s">
        <v>2757</v>
      </c>
      <c r="M402" s="5">
        <f t="shared" si="5"/>
        <v>0.56</v>
      </c>
      <c r="N402" s="6" t="s">
        <v>5313</v>
      </c>
      <c r="O402" s="5">
        <f t="shared" si="6"/>
        <v>410</v>
      </c>
    </row>
    <row r="403">
      <c r="A403" s="6" t="s">
        <v>2488</v>
      </c>
      <c r="B403" s="6" t="s">
        <v>2672</v>
      </c>
      <c r="C403" s="5">
        <f t="shared" si="1"/>
        <v>8</v>
      </c>
      <c r="D403" s="1" t="s">
        <v>68</v>
      </c>
      <c r="E403" s="1" t="s">
        <v>38</v>
      </c>
      <c r="F403" s="1" t="str">
        <f t="shared" si="2"/>
        <v>White</v>
      </c>
      <c r="G403" s="5" t="s">
        <v>39</v>
      </c>
      <c r="H403" s="9" t="s">
        <v>5314</v>
      </c>
      <c r="I403" s="5">
        <f t="shared" si="3"/>
        <v>1.5806</v>
      </c>
      <c r="J403" s="5" t="s">
        <v>2759</v>
      </c>
      <c r="K403" s="5">
        <f t="shared" si="4"/>
        <v>140.020312</v>
      </c>
      <c r="L403" s="5" t="s">
        <v>2760</v>
      </c>
      <c r="M403" s="5">
        <f t="shared" si="5"/>
        <v>0.2845</v>
      </c>
      <c r="N403" s="6" t="s">
        <v>5315</v>
      </c>
      <c r="O403" s="5">
        <f t="shared" si="6"/>
        <v>255</v>
      </c>
    </row>
    <row r="404">
      <c r="A404" s="6" t="s">
        <v>2488</v>
      </c>
      <c r="B404" s="6" t="s">
        <v>2672</v>
      </c>
      <c r="C404" s="5">
        <f t="shared" si="1"/>
        <v>8</v>
      </c>
      <c r="D404" s="1" t="s">
        <v>68</v>
      </c>
      <c r="E404" s="1" t="s">
        <v>48</v>
      </c>
      <c r="F404" s="1" t="str">
        <f t="shared" si="2"/>
        <v>Orange</v>
      </c>
      <c r="G404" s="5" t="s">
        <v>49</v>
      </c>
      <c r="H404" s="5" t="s">
        <v>144</v>
      </c>
      <c r="I404" s="5">
        <f t="shared" si="3"/>
        <v>0.0017</v>
      </c>
      <c r="J404" s="5" t="s">
        <v>2762</v>
      </c>
      <c r="K404" s="5">
        <f t="shared" si="4"/>
        <v>0.692633</v>
      </c>
      <c r="L404" s="5" t="s">
        <v>674</v>
      </c>
      <c r="M404" s="5">
        <f t="shared" si="5"/>
        <v>0.0005</v>
      </c>
      <c r="N404" s="6" t="s">
        <v>291</v>
      </c>
      <c r="O404" s="5">
        <f t="shared" si="6"/>
        <v>0</v>
      </c>
    </row>
    <row r="405">
      <c r="A405" s="6" t="s">
        <v>2488</v>
      </c>
      <c r="B405" s="6" t="s">
        <v>2672</v>
      </c>
      <c r="C405" s="5">
        <f t="shared" si="1"/>
        <v>8</v>
      </c>
      <c r="D405" s="1" t="s">
        <v>68</v>
      </c>
      <c r="E405" s="1" t="s">
        <v>48</v>
      </c>
      <c r="F405" s="1" t="str">
        <f t="shared" si="2"/>
        <v>Orange</v>
      </c>
      <c r="G405" s="5" t="s">
        <v>21</v>
      </c>
      <c r="H405" s="5" t="s">
        <v>2763</v>
      </c>
      <c r="I405" s="5">
        <f t="shared" si="3"/>
        <v>0.5136</v>
      </c>
      <c r="J405" s="5" t="s">
        <v>2764</v>
      </c>
      <c r="K405" s="5">
        <f t="shared" si="4"/>
        <v>55.7148</v>
      </c>
      <c r="L405" s="5" t="s">
        <v>2766</v>
      </c>
      <c r="M405" s="5">
        <f t="shared" si="5"/>
        <v>0.2055</v>
      </c>
      <c r="N405" s="6" t="s">
        <v>291</v>
      </c>
      <c r="O405" s="5">
        <f t="shared" si="6"/>
        <v>0</v>
      </c>
    </row>
    <row r="406">
      <c r="A406" s="6" t="s">
        <v>2488</v>
      </c>
      <c r="B406" s="6" t="s">
        <v>2672</v>
      </c>
      <c r="C406" s="5">
        <f t="shared" si="1"/>
        <v>8</v>
      </c>
      <c r="D406" s="1" t="s">
        <v>116</v>
      </c>
      <c r="E406" s="1" t="s">
        <v>2497</v>
      </c>
      <c r="F406" s="1" t="str">
        <f t="shared" si="2"/>
        <v>Green</v>
      </c>
      <c r="G406" s="5" t="s">
        <v>14</v>
      </c>
      <c r="H406" s="5" t="s">
        <v>2795</v>
      </c>
      <c r="I406" s="5">
        <f t="shared" si="3"/>
        <v>61.6987</v>
      </c>
      <c r="J406" s="5" t="s">
        <v>2796</v>
      </c>
      <c r="K406" s="5">
        <f t="shared" si="4"/>
        <v>4338.377596</v>
      </c>
      <c r="L406" s="9" t="s">
        <v>5316</v>
      </c>
      <c r="M406" s="5">
        <f t="shared" si="5"/>
        <v>12.9567</v>
      </c>
      <c r="N406" s="6" t="s">
        <v>5317</v>
      </c>
      <c r="O406" s="5">
        <f t="shared" si="6"/>
        <v>10517</v>
      </c>
    </row>
    <row r="407">
      <c r="A407" s="6" t="s">
        <v>2488</v>
      </c>
      <c r="B407" s="6" t="s">
        <v>2672</v>
      </c>
      <c r="C407" s="5">
        <f t="shared" si="1"/>
        <v>8</v>
      </c>
      <c r="D407" s="1" t="s">
        <v>116</v>
      </c>
      <c r="E407" s="1" t="s">
        <v>2497</v>
      </c>
      <c r="F407" s="1" t="str">
        <f t="shared" si="2"/>
        <v>Green</v>
      </c>
      <c r="G407" s="5" t="s">
        <v>17</v>
      </c>
      <c r="H407" s="5" t="s">
        <v>2797</v>
      </c>
      <c r="I407" s="5">
        <f t="shared" si="3"/>
        <v>142.7044</v>
      </c>
      <c r="J407" s="5" t="s">
        <v>2798</v>
      </c>
      <c r="K407" s="5">
        <f t="shared" si="4"/>
        <v>13377.29586</v>
      </c>
      <c r="L407" s="5" t="s">
        <v>2799</v>
      </c>
      <c r="M407" s="5">
        <f t="shared" si="5"/>
        <v>49.9466</v>
      </c>
      <c r="N407" s="6" t="s">
        <v>5318</v>
      </c>
      <c r="O407" s="5">
        <f t="shared" si="6"/>
        <v>17047</v>
      </c>
    </row>
    <row r="408">
      <c r="A408" s="6" t="s">
        <v>2488</v>
      </c>
      <c r="B408" s="6" t="s">
        <v>2672</v>
      </c>
      <c r="C408" s="5">
        <f t="shared" si="1"/>
        <v>8</v>
      </c>
      <c r="D408" s="1" t="s">
        <v>116</v>
      </c>
      <c r="E408" s="1" t="s">
        <v>2497</v>
      </c>
      <c r="F408" s="1" t="str">
        <f t="shared" si="2"/>
        <v>Green</v>
      </c>
      <c r="G408" s="5" t="s">
        <v>21</v>
      </c>
      <c r="H408" s="9" t="s">
        <v>4747</v>
      </c>
      <c r="I408" s="5">
        <f t="shared" si="3"/>
        <v>7.1943</v>
      </c>
      <c r="J408" s="5" t="s">
        <v>2800</v>
      </c>
      <c r="K408" s="5">
        <f t="shared" si="4"/>
        <v>1017.649208</v>
      </c>
      <c r="L408" s="9" t="s">
        <v>4749</v>
      </c>
      <c r="M408" s="5">
        <f t="shared" si="5"/>
        <v>3.5971</v>
      </c>
      <c r="N408" s="6" t="s">
        <v>5319</v>
      </c>
      <c r="O408" s="5">
        <f t="shared" si="6"/>
        <v>688</v>
      </c>
    </row>
    <row r="409">
      <c r="A409" s="6" t="s">
        <v>2488</v>
      </c>
      <c r="B409" s="6" t="s">
        <v>2672</v>
      </c>
      <c r="C409" s="5">
        <f t="shared" si="1"/>
        <v>8</v>
      </c>
      <c r="D409" s="1" t="s">
        <v>116</v>
      </c>
      <c r="E409" s="1" t="s">
        <v>2497</v>
      </c>
      <c r="F409" s="1" t="str">
        <f t="shared" si="2"/>
        <v>Green</v>
      </c>
      <c r="G409" s="5" t="s">
        <v>25</v>
      </c>
      <c r="H409" s="5" t="s">
        <v>2801</v>
      </c>
      <c r="I409" s="5">
        <f t="shared" si="3"/>
        <v>0.013</v>
      </c>
      <c r="J409" s="5" t="s">
        <v>2802</v>
      </c>
      <c r="K409" s="5">
        <f t="shared" si="4"/>
        <v>2.686656</v>
      </c>
      <c r="L409" s="5" t="s">
        <v>2803</v>
      </c>
      <c r="M409" s="5">
        <f t="shared" si="5"/>
        <v>0.0097</v>
      </c>
      <c r="N409" s="6" t="s">
        <v>273</v>
      </c>
      <c r="O409" s="5">
        <f t="shared" si="6"/>
        <v>4</v>
      </c>
    </row>
    <row r="410">
      <c r="A410" s="6" t="s">
        <v>2488</v>
      </c>
      <c r="B410" s="6" t="s">
        <v>2672</v>
      </c>
      <c r="C410" s="5">
        <f t="shared" si="1"/>
        <v>8</v>
      </c>
      <c r="D410" s="1" t="s">
        <v>116</v>
      </c>
      <c r="E410" s="1" t="s">
        <v>29</v>
      </c>
      <c r="F410" s="1" t="str">
        <f t="shared" si="2"/>
        <v>Blue</v>
      </c>
      <c r="G410" s="5" t="s">
        <v>14</v>
      </c>
      <c r="H410" s="9" t="s">
        <v>2804</v>
      </c>
      <c r="I410" s="5">
        <f t="shared" si="3"/>
        <v>1.1187</v>
      </c>
      <c r="J410" s="5" t="s">
        <v>2805</v>
      </c>
      <c r="K410" s="5">
        <f t="shared" si="4"/>
        <v>129.450263</v>
      </c>
      <c r="L410" s="5" t="s">
        <v>2806</v>
      </c>
      <c r="M410" s="5">
        <f t="shared" si="5"/>
        <v>0.2238</v>
      </c>
      <c r="N410" s="6" t="s">
        <v>5320</v>
      </c>
      <c r="O410" s="5">
        <f t="shared" si="6"/>
        <v>226</v>
      </c>
    </row>
    <row r="411">
      <c r="A411" s="6" t="s">
        <v>2488</v>
      </c>
      <c r="B411" s="6" t="s">
        <v>2672</v>
      </c>
      <c r="C411" s="5">
        <f t="shared" si="1"/>
        <v>8</v>
      </c>
      <c r="D411" s="1" t="s">
        <v>116</v>
      </c>
      <c r="E411" s="1" t="s">
        <v>29</v>
      </c>
      <c r="F411" s="1" t="str">
        <f t="shared" si="2"/>
        <v>Blue</v>
      </c>
      <c r="G411" s="5" t="s">
        <v>21</v>
      </c>
      <c r="H411" s="5" t="s">
        <v>2807</v>
      </c>
      <c r="I411" s="5">
        <f t="shared" si="3"/>
        <v>30.8815</v>
      </c>
      <c r="J411" s="5" t="s">
        <v>2808</v>
      </c>
      <c r="K411" s="5">
        <f t="shared" si="4"/>
        <v>6111.299986</v>
      </c>
      <c r="L411" s="9" t="s">
        <v>5321</v>
      </c>
      <c r="M411" s="5">
        <f t="shared" si="5"/>
        <v>12.3527</v>
      </c>
      <c r="N411" s="6" t="s">
        <v>5322</v>
      </c>
      <c r="O411" s="5">
        <f t="shared" si="6"/>
        <v>3561</v>
      </c>
    </row>
    <row r="412">
      <c r="A412" s="6" t="s">
        <v>2488</v>
      </c>
      <c r="B412" s="6" t="s">
        <v>2672</v>
      </c>
      <c r="C412" s="5">
        <f t="shared" si="1"/>
        <v>8</v>
      </c>
      <c r="D412" s="1" t="s">
        <v>116</v>
      </c>
      <c r="E412" s="1" t="s">
        <v>1851</v>
      </c>
      <c r="F412" s="1" t="str">
        <f t="shared" si="2"/>
        <v>Rosy</v>
      </c>
      <c r="G412" s="5" t="s">
        <v>17</v>
      </c>
      <c r="H412" s="9" t="s">
        <v>5323</v>
      </c>
      <c r="I412" s="5">
        <f t="shared" si="3"/>
        <v>12.6958</v>
      </c>
      <c r="J412" s="5" t="s">
        <v>2809</v>
      </c>
      <c r="K412" s="5">
        <f t="shared" si="4"/>
        <v>809.177296</v>
      </c>
      <c r="L412" s="9" t="s">
        <v>5324</v>
      </c>
      <c r="M412" s="5">
        <f t="shared" si="5"/>
        <v>4.8879</v>
      </c>
      <c r="N412" s="6" t="s">
        <v>5325</v>
      </c>
      <c r="O412" s="5">
        <f t="shared" si="6"/>
        <v>5067</v>
      </c>
    </row>
    <row r="413">
      <c r="A413" s="6" t="s">
        <v>2488</v>
      </c>
      <c r="B413" s="6" t="s">
        <v>2672</v>
      </c>
      <c r="C413" s="5">
        <f t="shared" si="1"/>
        <v>8</v>
      </c>
      <c r="D413" s="1" t="s">
        <v>116</v>
      </c>
      <c r="E413" s="1" t="s">
        <v>1851</v>
      </c>
      <c r="F413" s="1" t="str">
        <f t="shared" si="2"/>
        <v>Rosy</v>
      </c>
      <c r="G413" s="5" t="s">
        <v>21</v>
      </c>
      <c r="H413" s="5" t="s">
        <v>2810</v>
      </c>
      <c r="I413" s="5">
        <f t="shared" si="3"/>
        <v>14.9868</v>
      </c>
      <c r="J413" s="5" t="s">
        <v>2811</v>
      </c>
      <c r="K413" s="5">
        <f t="shared" si="4"/>
        <v>949.280491</v>
      </c>
      <c r="L413" s="9" t="s">
        <v>5326</v>
      </c>
      <c r="M413" s="5">
        <f t="shared" si="5"/>
        <v>7.3435</v>
      </c>
      <c r="N413" s="6" t="s">
        <v>5327</v>
      </c>
      <c r="O413" s="5">
        <f t="shared" si="6"/>
        <v>4648</v>
      </c>
    </row>
    <row r="414">
      <c r="A414" s="6" t="s">
        <v>2488</v>
      </c>
      <c r="B414" s="6" t="s">
        <v>2672</v>
      </c>
      <c r="C414" s="5">
        <f t="shared" si="1"/>
        <v>8</v>
      </c>
      <c r="D414" s="1" t="s">
        <v>116</v>
      </c>
      <c r="E414" s="1" t="s">
        <v>45</v>
      </c>
      <c r="F414" s="1" t="str">
        <f t="shared" si="2"/>
        <v>Yellow</v>
      </c>
      <c r="G414" s="5" t="s">
        <v>49</v>
      </c>
      <c r="H414" s="5" t="s">
        <v>2812</v>
      </c>
      <c r="I414" s="5">
        <f t="shared" si="3"/>
        <v>0.0006</v>
      </c>
      <c r="J414" s="5" t="s">
        <v>2813</v>
      </c>
      <c r="K414" s="5">
        <f t="shared" si="4"/>
        <v>0.035739</v>
      </c>
      <c r="L414" s="5" t="s">
        <v>596</v>
      </c>
      <c r="M414" s="5">
        <f t="shared" si="5"/>
        <v>0.0001</v>
      </c>
      <c r="N414" s="6" t="s">
        <v>186</v>
      </c>
      <c r="O414" s="5">
        <f t="shared" si="6"/>
        <v>1</v>
      </c>
    </row>
    <row r="415">
      <c r="A415" s="6" t="s">
        <v>2488</v>
      </c>
      <c r="B415" s="6" t="s">
        <v>2672</v>
      </c>
      <c r="C415" s="5">
        <f t="shared" si="1"/>
        <v>8</v>
      </c>
      <c r="D415" s="1" t="s">
        <v>116</v>
      </c>
      <c r="E415" s="1" t="s">
        <v>45</v>
      </c>
      <c r="F415" s="1" t="str">
        <f t="shared" si="2"/>
        <v>Yellow</v>
      </c>
      <c r="G415" s="5" t="s">
        <v>17</v>
      </c>
      <c r="H415" s="5" t="s">
        <v>2814</v>
      </c>
      <c r="I415" s="5">
        <f t="shared" si="3"/>
        <v>16.8968</v>
      </c>
      <c r="J415" s="5" t="s">
        <v>2815</v>
      </c>
      <c r="K415" s="5">
        <f t="shared" si="4"/>
        <v>1229.762913</v>
      </c>
      <c r="L415" s="9" t="s">
        <v>2816</v>
      </c>
      <c r="M415" s="5">
        <f t="shared" si="5"/>
        <v>6.0829</v>
      </c>
      <c r="N415" s="6" t="s">
        <v>5364</v>
      </c>
      <c r="O415" s="5">
        <f t="shared" si="6"/>
        <v>1873</v>
      </c>
    </row>
    <row r="416">
      <c r="A416" s="6" t="s">
        <v>2488</v>
      </c>
      <c r="B416" s="6" t="s">
        <v>2672</v>
      </c>
      <c r="C416" s="5">
        <f t="shared" si="1"/>
        <v>8</v>
      </c>
      <c r="D416" s="1" t="s">
        <v>116</v>
      </c>
      <c r="E416" s="1" t="s">
        <v>544</v>
      </c>
      <c r="F416" s="1" t="str">
        <f t="shared" si="2"/>
        <v>Golden</v>
      </c>
      <c r="G416" s="5" t="s">
        <v>17</v>
      </c>
      <c r="H416" s="9" t="s">
        <v>5370</v>
      </c>
      <c r="I416" s="5">
        <f t="shared" si="3"/>
        <v>11.2305</v>
      </c>
      <c r="J416" s="5" t="s">
        <v>2817</v>
      </c>
      <c r="K416" s="5">
        <f t="shared" si="4"/>
        <v>549.425267</v>
      </c>
      <c r="L416" s="9" t="s">
        <v>5373</v>
      </c>
      <c r="M416" s="5">
        <f t="shared" si="5"/>
        <v>3.9306</v>
      </c>
      <c r="N416" s="6" t="s">
        <v>5376</v>
      </c>
      <c r="O416" s="5">
        <f t="shared" si="6"/>
        <v>4277</v>
      </c>
    </row>
    <row r="417">
      <c r="A417" s="6" t="s">
        <v>2488</v>
      </c>
      <c r="B417" s="6" t="s">
        <v>2672</v>
      </c>
      <c r="C417" s="5">
        <f t="shared" si="1"/>
        <v>8</v>
      </c>
      <c r="D417" s="1" t="s">
        <v>116</v>
      </c>
      <c r="E417" s="1" t="s">
        <v>1830</v>
      </c>
      <c r="F417" s="1" t="str">
        <f t="shared" si="2"/>
        <v>Magenta</v>
      </c>
      <c r="G417" s="5" t="s">
        <v>72</v>
      </c>
      <c r="H417" s="9" t="s">
        <v>5381</v>
      </c>
      <c r="I417" s="5">
        <f t="shared" si="3"/>
        <v>5.7121</v>
      </c>
      <c r="J417" s="5" t="s">
        <v>2818</v>
      </c>
      <c r="K417" s="5">
        <f t="shared" si="4"/>
        <v>350.572709</v>
      </c>
      <c r="L417" s="9" t="s">
        <v>5384</v>
      </c>
      <c r="M417" s="5">
        <f t="shared" si="5"/>
        <v>1.8279</v>
      </c>
      <c r="N417" s="6" t="s">
        <v>5385</v>
      </c>
      <c r="O417" s="5">
        <f t="shared" si="6"/>
        <v>3911</v>
      </c>
    </row>
    <row r="418">
      <c r="A418" s="6" t="s">
        <v>2488</v>
      </c>
      <c r="B418" s="6" t="s">
        <v>2672</v>
      </c>
      <c r="C418" s="5">
        <f t="shared" si="1"/>
        <v>8</v>
      </c>
      <c r="D418" s="1" t="s">
        <v>116</v>
      </c>
      <c r="E418" s="1" t="s">
        <v>42</v>
      </c>
      <c r="F418" s="1" t="str">
        <f t="shared" si="2"/>
        <v>Red</v>
      </c>
      <c r="G418" s="5" t="s">
        <v>17</v>
      </c>
      <c r="H418" s="9" t="s">
        <v>5391</v>
      </c>
      <c r="I418" s="5">
        <f t="shared" si="3"/>
        <v>1.3412</v>
      </c>
      <c r="J418" s="5" t="s">
        <v>2819</v>
      </c>
      <c r="K418" s="5">
        <f t="shared" si="4"/>
        <v>264.766226</v>
      </c>
      <c r="L418" s="5" t="s">
        <v>2820</v>
      </c>
      <c r="M418" s="5">
        <f t="shared" si="5"/>
        <v>0.4962</v>
      </c>
      <c r="N418" s="6" t="s">
        <v>291</v>
      </c>
      <c r="O418" s="5">
        <f t="shared" si="6"/>
        <v>0</v>
      </c>
    </row>
    <row r="419">
      <c r="A419" s="6" t="s">
        <v>2488</v>
      </c>
      <c r="B419" s="6" t="s">
        <v>2672</v>
      </c>
      <c r="C419" s="5">
        <f t="shared" si="1"/>
        <v>8</v>
      </c>
      <c r="D419" s="1" t="s">
        <v>116</v>
      </c>
      <c r="E419" s="1" t="s">
        <v>147</v>
      </c>
      <c r="F419" s="1" t="str">
        <f t="shared" si="2"/>
        <v>Deep</v>
      </c>
      <c r="G419" s="5" t="s">
        <v>39</v>
      </c>
      <c r="H419" s="5" t="s">
        <v>2821</v>
      </c>
      <c r="I419" s="5">
        <f t="shared" si="3"/>
        <v>0.6592</v>
      </c>
      <c r="J419" s="5" t="s">
        <v>2822</v>
      </c>
      <c r="K419" s="5">
        <f t="shared" si="4"/>
        <v>215.468992</v>
      </c>
      <c r="L419" s="5" t="s">
        <v>2823</v>
      </c>
      <c r="M419" s="5">
        <f t="shared" si="5"/>
        <v>0.1253</v>
      </c>
      <c r="N419" s="6" t="s">
        <v>2744</v>
      </c>
      <c r="O419" s="5">
        <f t="shared" si="6"/>
        <v>105</v>
      </c>
    </row>
    <row r="420">
      <c r="A420" s="6" t="s">
        <v>2488</v>
      </c>
      <c r="B420" s="6" t="s">
        <v>2672</v>
      </c>
      <c r="C420" s="5">
        <f t="shared" si="1"/>
        <v>8</v>
      </c>
      <c r="D420" s="1" t="s">
        <v>116</v>
      </c>
      <c r="E420" s="1" t="s">
        <v>147</v>
      </c>
      <c r="F420" s="1" t="str">
        <f t="shared" si="2"/>
        <v>Deep</v>
      </c>
      <c r="G420" s="5" t="s">
        <v>17</v>
      </c>
      <c r="H420" s="5" t="s">
        <v>1523</v>
      </c>
      <c r="I420" s="5">
        <f t="shared" si="3"/>
        <v>0.0126</v>
      </c>
      <c r="J420" s="5" t="s">
        <v>2824</v>
      </c>
      <c r="K420" s="5">
        <f t="shared" si="4"/>
        <v>5.401491</v>
      </c>
      <c r="L420" s="5" t="s">
        <v>878</v>
      </c>
      <c r="M420" s="5">
        <f t="shared" si="5"/>
        <v>0.0044</v>
      </c>
      <c r="N420" s="6" t="s">
        <v>273</v>
      </c>
      <c r="O420" s="5">
        <f t="shared" si="6"/>
        <v>4</v>
      </c>
    </row>
    <row r="421">
      <c r="A421" s="6" t="s">
        <v>2488</v>
      </c>
      <c r="B421" s="6" t="s">
        <v>2672</v>
      </c>
      <c r="C421" s="5">
        <f t="shared" si="1"/>
        <v>8</v>
      </c>
      <c r="D421" s="1" t="s">
        <v>116</v>
      </c>
      <c r="E421" s="1" t="s">
        <v>147</v>
      </c>
      <c r="F421" s="1" t="str">
        <f t="shared" si="2"/>
        <v>Deep</v>
      </c>
      <c r="G421" s="5" t="s">
        <v>21</v>
      </c>
      <c r="H421" s="5" t="s">
        <v>2825</v>
      </c>
      <c r="I421" s="5">
        <f t="shared" si="3"/>
        <v>0.0652</v>
      </c>
      <c r="J421" s="5" t="s">
        <v>2826</v>
      </c>
      <c r="K421" s="5">
        <f t="shared" si="4"/>
        <v>33.784533</v>
      </c>
      <c r="L421" s="5" t="s">
        <v>227</v>
      </c>
      <c r="M421" s="5">
        <f t="shared" si="5"/>
        <v>0.0326</v>
      </c>
      <c r="N421" s="6" t="s">
        <v>3440</v>
      </c>
      <c r="O421" s="5">
        <f t="shared" si="6"/>
        <v>47</v>
      </c>
    </row>
    <row r="422">
      <c r="A422" s="6" t="s">
        <v>2488</v>
      </c>
      <c r="B422" s="6" t="s">
        <v>2672</v>
      </c>
      <c r="C422" s="5">
        <f t="shared" si="1"/>
        <v>8</v>
      </c>
      <c r="D422" s="1" t="s">
        <v>116</v>
      </c>
      <c r="E422" s="1" t="s">
        <v>158</v>
      </c>
      <c r="F422" s="1" t="str">
        <f t="shared" si="2"/>
        <v>Dim</v>
      </c>
      <c r="G422" s="5" t="s">
        <v>39</v>
      </c>
      <c r="H422" s="5" t="s">
        <v>73</v>
      </c>
      <c r="I422" s="5">
        <f t="shared" si="3"/>
        <v>0.0013</v>
      </c>
      <c r="J422" s="5" t="s">
        <v>1188</v>
      </c>
      <c r="K422" s="5">
        <f t="shared" si="4"/>
        <v>0.660408</v>
      </c>
      <c r="L422" s="5" t="s">
        <v>333</v>
      </c>
      <c r="M422" s="5">
        <f t="shared" si="5"/>
        <v>0.0003</v>
      </c>
      <c r="N422" s="6" t="s">
        <v>291</v>
      </c>
      <c r="O422" s="5">
        <f t="shared" si="6"/>
        <v>0</v>
      </c>
    </row>
    <row r="423">
      <c r="A423" s="6" t="s">
        <v>2488</v>
      </c>
      <c r="B423" s="6" t="s">
        <v>2672</v>
      </c>
      <c r="C423" s="5">
        <f t="shared" si="1"/>
        <v>8</v>
      </c>
      <c r="D423" s="1" t="s">
        <v>116</v>
      </c>
      <c r="E423" s="1" t="s">
        <v>158</v>
      </c>
      <c r="F423" s="1" t="str">
        <f t="shared" si="2"/>
        <v>Dim</v>
      </c>
      <c r="G423" s="5" t="s">
        <v>17</v>
      </c>
      <c r="H423" s="5" t="s">
        <v>1689</v>
      </c>
      <c r="I423" s="5">
        <f t="shared" si="3"/>
        <v>0.0615</v>
      </c>
      <c r="J423" s="5" t="s">
        <v>2827</v>
      </c>
      <c r="K423" s="5">
        <f t="shared" si="4"/>
        <v>28.180941</v>
      </c>
      <c r="L423" s="5" t="s">
        <v>2202</v>
      </c>
      <c r="M423" s="5">
        <f t="shared" si="5"/>
        <v>0.0215</v>
      </c>
      <c r="N423" s="6" t="s">
        <v>291</v>
      </c>
      <c r="O423" s="5">
        <f t="shared" si="6"/>
        <v>0</v>
      </c>
    </row>
    <row r="424">
      <c r="A424" s="6" t="s">
        <v>2488</v>
      </c>
      <c r="B424" s="6" t="s">
        <v>2672</v>
      </c>
      <c r="C424" s="5">
        <f t="shared" si="1"/>
        <v>8</v>
      </c>
      <c r="D424" s="1" t="s">
        <v>116</v>
      </c>
      <c r="E424" s="1" t="s">
        <v>158</v>
      </c>
      <c r="F424" s="1" t="str">
        <f t="shared" si="2"/>
        <v>Dim</v>
      </c>
      <c r="G424" s="5" t="s">
        <v>21</v>
      </c>
      <c r="H424" s="5" t="s">
        <v>2828</v>
      </c>
      <c r="I424" s="5">
        <f t="shared" si="3"/>
        <v>0.3045</v>
      </c>
      <c r="J424" s="5" t="s">
        <v>2829</v>
      </c>
      <c r="K424" s="5">
        <f t="shared" si="4"/>
        <v>177.715245</v>
      </c>
      <c r="L424" s="5" t="s">
        <v>2830</v>
      </c>
      <c r="M424" s="5">
        <f t="shared" si="5"/>
        <v>0.1279</v>
      </c>
      <c r="N424" s="6" t="s">
        <v>291</v>
      </c>
      <c r="O424" s="5">
        <f t="shared" si="6"/>
        <v>0</v>
      </c>
    </row>
    <row r="425">
      <c r="A425" s="6" t="s">
        <v>2488</v>
      </c>
      <c r="B425" s="6" t="s">
        <v>2672</v>
      </c>
      <c r="C425" s="5">
        <f t="shared" si="1"/>
        <v>8</v>
      </c>
      <c r="D425" s="1" t="s">
        <v>116</v>
      </c>
      <c r="E425" s="1" t="s">
        <v>32</v>
      </c>
      <c r="F425" s="1" t="str">
        <f t="shared" si="2"/>
        <v>Black</v>
      </c>
      <c r="G425" s="5" t="s">
        <v>14</v>
      </c>
      <c r="H425" s="5" t="s">
        <v>2831</v>
      </c>
      <c r="I425" s="5">
        <f t="shared" si="3"/>
        <v>0.8461</v>
      </c>
      <c r="J425" s="5" t="s">
        <v>2832</v>
      </c>
      <c r="K425" s="5">
        <f t="shared" si="4"/>
        <v>20.953447</v>
      </c>
      <c r="L425" s="5" t="s">
        <v>2833</v>
      </c>
      <c r="M425" s="5">
        <f t="shared" si="5"/>
        <v>0.1946</v>
      </c>
      <c r="N425" s="6" t="s">
        <v>2744</v>
      </c>
      <c r="O425" s="5">
        <f t="shared" si="6"/>
        <v>105</v>
      </c>
    </row>
    <row r="426">
      <c r="A426" s="6" t="s">
        <v>2488</v>
      </c>
      <c r="B426" s="6" t="s">
        <v>2672</v>
      </c>
      <c r="C426" s="5">
        <f t="shared" si="1"/>
        <v>8</v>
      </c>
      <c r="D426" s="1" t="s">
        <v>116</v>
      </c>
      <c r="E426" s="1" t="s">
        <v>32</v>
      </c>
      <c r="F426" s="1" t="str">
        <f t="shared" si="2"/>
        <v>Black</v>
      </c>
      <c r="G426" s="5" t="s">
        <v>21</v>
      </c>
      <c r="H426" s="9" t="s">
        <v>5441</v>
      </c>
      <c r="I426" s="5">
        <f t="shared" si="3"/>
        <v>2.2253</v>
      </c>
      <c r="J426" s="5" t="s">
        <v>2834</v>
      </c>
      <c r="K426" s="5">
        <f t="shared" si="4"/>
        <v>170.727381</v>
      </c>
      <c r="L426" s="9" t="s">
        <v>4599</v>
      </c>
      <c r="M426" s="5">
        <f t="shared" si="5"/>
        <v>1.0014</v>
      </c>
      <c r="N426" s="6" t="s">
        <v>5446</v>
      </c>
      <c r="O426" s="5">
        <f t="shared" si="6"/>
        <v>1025</v>
      </c>
    </row>
    <row r="427">
      <c r="A427" s="6" t="s">
        <v>2488</v>
      </c>
      <c r="B427" s="6" t="s">
        <v>3927</v>
      </c>
      <c r="C427" s="5">
        <f t="shared" si="1"/>
        <v>9</v>
      </c>
      <c r="D427" s="1" t="s">
        <v>12</v>
      </c>
      <c r="E427" s="1" t="s">
        <v>2497</v>
      </c>
      <c r="F427" s="1" t="str">
        <f t="shared" si="2"/>
        <v>Green</v>
      </c>
      <c r="G427" s="5" t="s">
        <v>14</v>
      </c>
      <c r="H427" s="9" t="s">
        <v>5449</v>
      </c>
      <c r="I427" s="5">
        <f t="shared" si="3"/>
        <v>12.6184</v>
      </c>
      <c r="J427" s="5" t="s">
        <v>2835</v>
      </c>
      <c r="K427" s="5">
        <f t="shared" si="4"/>
        <v>808.533398</v>
      </c>
      <c r="L427" s="9" t="s">
        <v>5456</v>
      </c>
      <c r="M427" s="5">
        <f t="shared" si="5"/>
        <v>2.6499</v>
      </c>
      <c r="N427" s="6" t="s">
        <v>2691</v>
      </c>
      <c r="O427" s="5">
        <f t="shared" si="6"/>
        <v>503</v>
      </c>
    </row>
    <row r="428">
      <c r="A428" s="6" t="s">
        <v>2488</v>
      </c>
      <c r="B428" s="6" t="s">
        <v>3927</v>
      </c>
      <c r="C428" s="5">
        <f t="shared" si="1"/>
        <v>9</v>
      </c>
      <c r="D428" s="1" t="s">
        <v>12</v>
      </c>
      <c r="E428" s="1" t="s">
        <v>2497</v>
      </c>
      <c r="F428" s="1" t="str">
        <f t="shared" si="2"/>
        <v>Green</v>
      </c>
      <c r="G428" s="5" t="s">
        <v>17</v>
      </c>
      <c r="H428" s="5" t="s">
        <v>2836</v>
      </c>
      <c r="I428" s="5">
        <f t="shared" si="3"/>
        <v>42.4045</v>
      </c>
      <c r="J428" s="5" t="s">
        <v>2837</v>
      </c>
      <c r="K428" s="5">
        <f t="shared" si="4"/>
        <v>4132.658514</v>
      </c>
      <c r="L428" s="5" t="s">
        <v>1109</v>
      </c>
      <c r="M428" s="5">
        <f t="shared" si="5"/>
        <v>14.8417</v>
      </c>
      <c r="N428" s="6" t="s">
        <v>5464</v>
      </c>
      <c r="O428" s="5">
        <f t="shared" si="6"/>
        <v>793</v>
      </c>
    </row>
    <row r="429">
      <c r="A429" s="6" t="s">
        <v>2488</v>
      </c>
      <c r="B429" s="6" t="s">
        <v>3927</v>
      </c>
      <c r="C429" s="5">
        <f t="shared" si="1"/>
        <v>9</v>
      </c>
      <c r="D429" s="1" t="s">
        <v>12</v>
      </c>
      <c r="E429" s="1" t="s">
        <v>2497</v>
      </c>
      <c r="F429" s="1" t="str">
        <f t="shared" si="2"/>
        <v>Green</v>
      </c>
      <c r="G429" s="5" t="s">
        <v>21</v>
      </c>
      <c r="H429" s="5" t="s">
        <v>2838</v>
      </c>
      <c r="I429" s="5">
        <f t="shared" si="3"/>
        <v>36.7903</v>
      </c>
      <c r="J429" s="5" t="s">
        <v>2839</v>
      </c>
      <c r="K429" s="5">
        <f t="shared" si="4"/>
        <v>4342.29708</v>
      </c>
      <c r="L429" s="5" t="s">
        <v>2840</v>
      </c>
      <c r="M429" s="5">
        <f t="shared" si="5"/>
        <v>18.3952</v>
      </c>
      <c r="N429" s="6" t="s">
        <v>5472</v>
      </c>
      <c r="O429" s="5">
        <f t="shared" si="6"/>
        <v>672</v>
      </c>
    </row>
    <row r="430">
      <c r="A430" s="6" t="s">
        <v>2488</v>
      </c>
      <c r="B430" s="6" t="s">
        <v>3927</v>
      </c>
      <c r="C430" s="5">
        <f t="shared" si="1"/>
        <v>9</v>
      </c>
      <c r="D430" s="1" t="s">
        <v>12</v>
      </c>
      <c r="E430" s="1" t="s">
        <v>29</v>
      </c>
      <c r="F430" s="1" t="str">
        <f t="shared" si="2"/>
        <v>Blue</v>
      </c>
      <c r="G430" s="5" t="s">
        <v>14</v>
      </c>
      <c r="H430" s="5" t="s">
        <v>2841</v>
      </c>
      <c r="I430" s="5">
        <f t="shared" si="3"/>
        <v>0.0863</v>
      </c>
      <c r="J430" s="5" t="s">
        <v>2842</v>
      </c>
      <c r="K430" s="5">
        <f t="shared" si="4"/>
        <v>11.195581</v>
      </c>
      <c r="L430" s="5" t="s">
        <v>1558</v>
      </c>
      <c r="M430" s="5">
        <f t="shared" si="5"/>
        <v>0.0172</v>
      </c>
      <c r="N430" s="6" t="s">
        <v>2591</v>
      </c>
      <c r="O430" s="5">
        <f t="shared" si="6"/>
        <v>11</v>
      </c>
    </row>
    <row r="431">
      <c r="A431" s="6" t="s">
        <v>2488</v>
      </c>
      <c r="B431" s="6" t="s">
        <v>3927</v>
      </c>
      <c r="C431" s="5">
        <f t="shared" si="1"/>
        <v>9</v>
      </c>
      <c r="D431" s="1" t="s">
        <v>12</v>
      </c>
      <c r="E431" s="1" t="s">
        <v>29</v>
      </c>
      <c r="F431" s="1" t="str">
        <f t="shared" si="2"/>
        <v>Blue</v>
      </c>
      <c r="G431" s="5" t="s">
        <v>21</v>
      </c>
      <c r="H431" s="5" t="s">
        <v>2843</v>
      </c>
      <c r="I431" s="5">
        <f t="shared" si="3"/>
        <v>24.176</v>
      </c>
      <c r="J431" s="5" t="s">
        <v>2844</v>
      </c>
      <c r="K431" s="5">
        <f t="shared" si="4"/>
        <v>4509.229168</v>
      </c>
      <c r="L431" s="5" t="s">
        <v>2845</v>
      </c>
      <c r="M431" s="5">
        <f t="shared" si="5"/>
        <v>9.6705</v>
      </c>
      <c r="N431" s="6" t="s">
        <v>5485</v>
      </c>
      <c r="O431" s="5">
        <f t="shared" si="6"/>
        <v>702</v>
      </c>
    </row>
    <row r="432">
      <c r="A432" s="6" t="s">
        <v>2488</v>
      </c>
      <c r="B432" s="6" t="s">
        <v>3927</v>
      </c>
      <c r="C432" s="5">
        <f t="shared" si="1"/>
        <v>9</v>
      </c>
      <c r="D432" s="1" t="s">
        <v>12</v>
      </c>
      <c r="E432" s="1" t="s">
        <v>38</v>
      </c>
      <c r="F432" s="1" t="str">
        <f t="shared" si="2"/>
        <v>White</v>
      </c>
      <c r="G432" s="5" t="s">
        <v>39</v>
      </c>
      <c r="H432" s="9" t="s">
        <v>5488</v>
      </c>
      <c r="I432" s="5">
        <f t="shared" si="3"/>
        <v>3.2674</v>
      </c>
      <c r="J432" s="5" t="s">
        <v>2846</v>
      </c>
      <c r="K432" s="5">
        <f t="shared" si="4"/>
        <v>356.615048</v>
      </c>
      <c r="L432" s="5" t="s">
        <v>2847</v>
      </c>
      <c r="M432" s="5">
        <f t="shared" si="5"/>
        <v>0.5882</v>
      </c>
      <c r="N432" s="6" t="s">
        <v>3881</v>
      </c>
      <c r="O432" s="5">
        <f t="shared" si="6"/>
        <v>201</v>
      </c>
    </row>
    <row r="433">
      <c r="A433" s="6" t="s">
        <v>2488</v>
      </c>
      <c r="B433" s="6" t="s">
        <v>3927</v>
      </c>
      <c r="C433" s="5">
        <f t="shared" si="1"/>
        <v>9</v>
      </c>
      <c r="D433" s="1" t="s">
        <v>12</v>
      </c>
      <c r="E433" s="1" t="s">
        <v>45</v>
      </c>
      <c r="F433" s="1" t="str">
        <f t="shared" si="2"/>
        <v>Yellow</v>
      </c>
      <c r="G433" s="5" t="s">
        <v>17</v>
      </c>
      <c r="H433" s="9" t="s">
        <v>5495</v>
      </c>
      <c r="I433" s="5">
        <f t="shared" si="3"/>
        <v>2.5159</v>
      </c>
      <c r="J433" s="5" t="s">
        <v>2848</v>
      </c>
      <c r="K433" s="5">
        <f t="shared" si="4"/>
        <v>210.144614</v>
      </c>
      <c r="L433" s="5" t="s">
        <v>2849</v>
      </c>
      <c r="M433" s="5">
        <f t="shared" si="5"/>
        <v>0.9057</v>
      </c>
      <c r="N433" s="6" t="s">
        <v>3582</v>
      </c>
      <c r="O433" s="5">
        <f t="shared" si="6"/>
        <v>245</v>
      </c>
    </row>
    <row r="434">
      <c r="A434" s="6" t="s">
        <v>2488</v>
      </c>
      <c r="B434" s="6" t="s">
        <v>3927</v>
      </c>
      <c r="C434" s="5">
        <f t="shared" si="1"/>
        <v>9</v>
      </c>
      <c r="D434" s="1" t="s">
        <v>12</v>
      </c>
      <c r="E434" s="1" t="s">
        <v>48</v>
      </c>
      <c r="F434" s="1" t="str">
        <f t="shared" si="2"/>
        <v>Orange</v>
      </c>
      <c r="G434" s="5" t="s">
        <v>49</v>
      </c>
      <c r="H434" s="5" t="s">
        <v>2850</v>
      </c>
      <c r="I434" s="5">
        <f t="shared" si="3"/>
        <v>0.0495</v>
      </c>
      <c r="J434" s="5" t="s">
        <v>2851</v>
      </c>
      <c r="K434" s="5">
        <f t="shared" si="4"/>
        <v>12.375298</v>
      </c>
      <c r="L434" s="5" t="s">
        <v>2852</v>
      </c>
      <c r="M434" s="5">
        <f t="shared" si="5"/>
        <v>0.0139</v>
      </c>
      <c r="N434" s="6" t="s">
        <v>5503</v>
      </c>
      <c r="O434" s="5">
        <f t="shared" si="6"/>
        <v>20</v>
      </c>
    </row>
    <row r="435">
      <c r="A435" s="6" t="s">
        <v>2488</v>
      </c>
      <c r="B435" s="6" t="s">
        <v>3927</v>
      </c>
      <c r="C435" s="5">
        <f t="shared" si="1"/>
        <v>9</v>
      </c>
      <c r="D435" s="1" t="s">
        <v>12</v>
      </c>
      <c r="E435" s="1" t="s">
        <v>48</v>
      </c>
      <c r="F435" s="1" t="str">
        <f t="shared" si="2"/>
        <v>Orange</v>
      </c>
      <c r="G435" s="5" t="s">
        <v>21</v>
      </c>
      <c r="H435" s="9" t="s">
        <v>2853</v>
      </c>
      <c r="I435" s="5">
        <f t="shared" si="3"/>
        <v>1.0822</v>
      </c>
      <c r="J435" s="5" t="s">
        <v>2854</v>
      </c>
      <c r="K435" s="5">
        <f t="shared" si="4"/>
        <v>139.409435</v>
      </c>
      <c r="L435" s="5" t="s">
        <v>2855</v>
      </c>
      <c r="M435" s="5">
        <f t="shared" si="5"/>
        <v>0.4329</v>
      </c>
      <c r="N435" s="6" t="s">
        <v>4043</v>
      </c>
      <c r="O435" s="5">
        <f t="shared" si="6"/>
        <v>172</v>
      </c>
    </row>
    <row r="436">
      <c r="A436" s="6" t="s">
        <v>2488</v>
      </c>
      <c r="B436" s="6" t="s">
        <v>3927</v>
      </c>
      <c r="C436" s="5">
        <f t="shared" si="1"/>
        <v>9</v>
      </c>
      <c r="D436" s="1" t="s">
        <v>12</v>
      </c>
      <c r="E436" s="1" t="s">
        <v>1830</v>
      </c>
      <c r="F436" s="1" t="str">
        <f t="shared" si="2"/>
        <v>Magenta</v>
      </c>
      <c r="G436" s="5" t="s">
        <v>72</v>
      </c>
      <c r="H436" s="9" t="s">
        <v>2856</v>
      </c>
      <c r="I436" s="5">
        <f t="shared" si="3"/>
        <v>1.0285</v>
      </c>
      <c r="J436" s="5" t="s">
        <v>2857</v>
      </c>
      <c r="K436" s="5">
        <f t="shared" si="4"/>
        <v>75.752228</v>
      </c>
      <c r="L436" s="5" t="s">
        <v>2858</v>
      </c>
      <c r="M436" s="5">
        <f t="shared" si="5"/>
        <v>0.3291</v>
      </c>
      <c r="N436" s="6" t="s">
        <v>2761</v>
      </c>
      <c r="O436" s="5">
        <f t="shared" si="6"/>
        <v>283</v>
      </c>
    </row>
    <row r="437">
      <c r="A437" s="6" t="s">
        <v>2488</v>
      </c>
      <c r="B437" s="6" t="s">
        <v>3927</v>
      </c>
      <c r="C437" s="5">
        <f t="shared" si="1"/>
        <v>9</v>
      </c>
      <c r="D437" s="1" t="s">
        <v>12</v>
      </c>
      <c r="E437" s="1" t="s">
        <v>42</v>
      </c>
      <c r="F437" s="1" t="str">
        <f t="shared" si="2"/>
        <v>Red</v>
      </c>
      <c r="G437" s="5" t="s">
        <v>17</v>
      </c>
      <c r="H437" s="5" t="s">
        <v>2859</v>
      </c>
      <c r="I437" s="5">
        <f t="shared" si="3"/>
        <v>0.2884</v>
      </c>
      <c r="J437" s="5" t="s">
        <v>2860</v>
      </c>
      <c r="K437" s="5">
        <f t="shared" si="4"/>
        <v>45.792495</v>
      </c>
      <c r="L437" s="5" t="s">
        <v>2862</v>
      </c>
      <c r="M437" s="5">
        <f t="shared" si="5"/>
        <v>0.1067</v>
      </c>
      <c r="N437" s="6" t="s">
        <v>5523</v>
      </c>
      <c r="O437" s="5">
        <f t="shared" si="6"/>
        <v>36</v>
      </c>
    </row>
    <row r="438">
      <c r="A438" s="6" t="s">
        <v>2488</v>
      </c>
      <c r="B438" s="6" t="s">
        <v>3927</v>
      </c>
      <c r="C438" s="5">
        <f t="shared" si="1"/>
        <v>9</v>
      </c>
      <c r="D438" s="1" t="s">
        <v>12</v>
      </c>
      <c r="E438" s="1" t="s">
        <v>2082</v>
      </c>
      <c r="F438" s="1" t="str">
        <f t="shared" si="2"/>
        <v>Cotton</v>
      </c>
      <c r="G438" s="5" t="s">
        <v>21</v>
      </c>
      <c r="H438" s="5" t="s">
        <v>2863</v>
      </c>
      <c r="I438" s="5">
        <f t="shared" si="3"/>
        <v>0.1827</v>
      </c>
      <c r="J438" s="5" t="s">
        <v>2864</v>
      </c>
      <c r="K438" s="5">
        <f t="shared" si="4"/>
        <v>41.747626</v>
      </c>
      <c r="L438" s="5" t="s">
        <v>2865</v>
      </c>
      <c r="M438" s="5">
        <f t="shared" si="5"/>
        <v>0.0831</v>
      </c>
      <c r="N438" s="6" t="s">
        <v>291</v>
      </c>
      <c r="O438" s="5">
        <f t="shared" si="6"/>
        <v>0</v>
      </c>
    </row>
    <row r="439">
      <c r="A439" s="6" t="s">
        <v>2488</v>
      </c>
      <c r="B439" s="6" t="s">
        <v>3927</v>
      </c>
      <c r="C439" s="5">
        <f t="shared" si="1"/>
        <v>9</v>
      </c>
      <c r="D439" s="1" t="s">
        <v>12</v>
      </c>
      <c r="E439" s="1" t="s">
        <v>729</v>
      </c>
      <c r="F439" s="1" t="str">
        <f t="shared" si="2"/>
        <v>Silver</v>
      </c>
      <c r="G439" s="5" t="s">
        <v>21</v>
      </c>
      <c r="H439" s="5" t="s">
        <v>2866</v>
      </c>
      <c r="I439" s="5">
        <f t="shared" si="3"/>
        <v>0.1928</v>
      </c>
      <c r="J439" s="5" t="s">
        <v>2867</v>
      </c>
      <c r="K439" s="5">
        <f t="shared" si="4"/>
        <v>34.859685</v>
      </c>
      <c r="L439" s="5" t="s">
        <v>2868</v>
      </c>
      <c r="M439" s="5">
        <f t="shared" si="5"/>
        <v>0.0964</v>
      </c>
      <c r="N439" s="6" t="s">
        <v>291</v>
      </c>
      <c r="O439" s="5">
        <f t="shared" si="6"/>
        <v>0</v>
      </c>
    </row>
    <row r="440">
      <c r="A440" s="6" t="s">
        <v>2488</v>
      </c>
      <c r="B440" s="6" t="s">
        <v>3927</v>
      </c>
      <c r="C440" s="5">
        <f t="shared" si="1"/>
        <v>9</v>
      </c>
      <c r="D440" s="1" t="s">
        <v>12</v>
      </c>
      <c r="E440" s="1" t="s">
        <v>64</v>
      </c>
      <c r="F440" s="1" t="str">
        <f t="shared" si="2"/>
        <v>Brown</v>
      </c>
      <c r="G440" s="5" t="s">
        <v>39</v>
      </c>
      <c r="H440" s="5" t="s">
        <v>2869</v>
      </c>
      <c r="I440" s="5">
        <f t="shared" si="3"/>
        <v>0.4988</v>
      </c>
      <c r="J440" s="5" t="s">
        <v>2870</v>
      </c>
      <c r="K440" s="5">
        <f t="shared" si="4"/>
        <v>33.539598</v>
      </c>
      <c r="L440" s="5" t="s">
        <v>2872</v>
      </c>
      <c r="M440" s="5">
        <f t="shared" si="5"/>
        <v>0.0898</v>
      </c>
      <c r="N440" s="6" t="s">
        <v>5539</v>
      </c>
      <c r="O440" s="5">
        <f t="shared" si="6"/>
        <v>81</v>
      </c>
    </row>
    <row r="441">
      <c r="A441" s="6" t="s">
        <v>2488</v>
      </c>
      <c r="B441" s="6" t="s">
        <v>3927</v>
      </c>
      <c r="C441" s="5">
        <f t="shared" si="1"/>
        <v>9</v>
      </c>
      <c r="D441" s="1" t="s">
        <v>12</v>
      </c>
      <c r="E441" s="1" t="s">
        <v>64</v>
      </c>
      <c r="F441" s="1" t="str">
        <f t="shared" si="2"/>
        <v>Brown</v>
      </c>
      <c r="G441" s="5" t="s">
        <v>21</v>
      </c>
      <c r="H441" s="5" t="s">
        <v>396</v>
      </c>
      <c r="I441" s="5">
        <f t="shared" si="3"/>
        <v>0.0027</v>
      </c>
      <c r="J441" s="5" t="s">
        <v>2873</v>
      </c>
      <c r="K441" s="5">
        <f t="shared" si="4"/>
        <v>0.44929</v>
      </c>
      <c r="L441" s="5" t="s">
        <v>479</v>
      </c>
      <c r="M441" s="5">
        <f t="shared" si="5"/>
        <v>0.0011</v>
      </c>
      <c r="N441" s="6" t="s">
        <v>397</v>
      </c>
      <c r="O441" s="5">
        <f t="shared" si="6"/>
        <v>2</v>
      </c>
    </row>
    <row r="442">
      <c r="A442" s="6" t="s">
        <v>2488</v>
      </c>
      <c r="B442" s="6" t="s">
        <v>3927</v>
      </c>
      <c r="C442" s="5">
        <f t="shared" si="1"/>
        <v>9</v>
      </c>
      <c r="D442" s="1" t="s">
        <v>68</v>
      </c>
      <c r="E442" s="1" t="s">
        <v>2497</v>
      </c>
      <c r="F442" s="1" t="str">
        <f t="shared" si="2"/>
        <v>Green</v>
      </c>
      <c r="G442" s="5" t="s">
        <v>14</v>
      </c>
      <c r="H442" s="5" t="s">
        <v>2875</v>
      </c>
      <c r="I442" s="5">
        <f t="shared" si="3"/>
        <v>25.5023</v>
      </c>
      <c r="J442" s="5" t="s">
        <v>2876</v>
      </c>
      <c r="K442" s="5">
        <f t="shared" si="4"/>
        <v>1767.308918</v>
      </c>
      <c r="L442" s="9" t="s">
        <v>5547</v>
      </c>
      <c r="M442" s="5">
        <f t="shared" si="5"/>
        <v>5.3554</v>
      </c>
      <c r="N442" s="6" t="s">
        <v>5550</v>
      </c>
      <c r="O442" s="5">
        <f t="shared" si="6"/>
        <v>5795</v>
      </c>
    </row>
    <row r="443">
      <c r="A443" s="6" t="s">
        <v>2488</v>
      </c>
      <c r="B443" s="6" t="s">
        <v>3927</v>
      </c>
      <c r="C443" s="5">
        <f t="shared" si="1"/>
        <v>9</v>
      </c>
      <c r="D443" s="1" t="s">
        <v>68</v>
      </c>
      <c r="E443" s="1" t="s">
        <v>2497</v>
      </c>
      <c r="F443" s="1" t="str">
        <f t="shared" si="2"/>
        <v>Green</v>
      </c>
      <c r="G443" s="5" t="s">
        <v>17</v>
      </c>
      <c r="H443" s="5" t="s">
        <v>2879</v>
      </c>
      <c r="I443" s="5">
        <f t="shared" si="3"/>
        <v>68.0994</v>
      </c>
      <c r="J443" s="5" t="s">
        <v>2880</v>
      </c>
      <c r="K443" s="5">
        <f t="shared" si="4"/>
        <v>6535.292475</v>
      </c>
      <c r="L443" s="5" t="s">
        <v>2881</v>
      </c>
      <c r="M443" s="5">
        <f t="shared" si="5"/>
        <v>23.8348</v>
      </c>
      <c r="N443" s="6" t="s">
        <v>5555</v>
      </c>
      <c r="O443" s="5">
        <f t="shared" si="6"/>
        <v>9782</v>
      </c>
    </row>
    <row r="444">
      <c r="A444" s="6" t="s">
        <v>2488</v>
      </c>
      <c r="B444" s="6" t="s">
        <v>3927</v>
      </c>
      <c r="C444" s="5">
        <f t="shared" si="1"/>
        <v>9</v>
      </c>
      <c r="D444" s="1" t="s">
        <v>68</v>
      </c>
      <c r="E444" s="1" t="s">
        <v>2497</v>
      </c>
      <c r="F444" s="1" t="str">
        <f t="shared" si="2"/>
        <v>Green</v>
      </c>
      <c r="G444" s="5" t="s">
        <v>21</v>
      </c>
      <c r="H444" s="9" t="s">
        <v>5557</v>
      </c>
      <c r="I444" s="5">
        <f t="shared" si="3"/>
        <v>2.7738</v>
      </c>
      <c r="J444" s="5" t="s">
        <v>2882</v>
      </c>
      <c r="K444" s="5">
        <f t="shared" si="4"/>
        <v>417.719272</v>
      </c>
      <c r="L444" s="5" t="s">
        <v>2883</v>
      </c>
      <c r="M444" s="5">
        <f t="shared" si="5"/>
        <v>1.387</v>
      </c>
      <c r="N444" s="6" t="s">
        <v>4475</v>
      </c>
      <c r="O444" s="5">
        <f t="shared" si="6"/>
        <v>654</v>
      </c>
    </row>
    <row r="445">
      <c r="A445" s="6" t="s">
        <v>2488</v>
      </c>
      <c r="B445" s="6" t="s">
        <v>3927</v>
      </c>
      <c r="C445" s="5">
        <f t="shared" si="1"/>
        <v>9</v>
      </c>
      <c r="D445" s="1" t="s">
        <v>68</v>
      </c>
      <c r="E445" s="1" t="s">
        <v>2497</v>
      </c>
      <c r="F445" s="1" t="str">
        <f t="shared" si="2"/>
        <v>Green</v>
      </c>
      <c r="G445" s="5" t="s">
        <v>25</v>
      </c>
      <c r="H445" s="5" t="s">
        <v>2884</v>
      </c>
      <c r="I445" s="5">
        <f t="shared" si="3"/>
        <v>0.3897</v>
      </c>
      <c r="J445" s="5" t="s">
        <v>2885</v>
      </c>
      <c r="K445" s="5">
        <f t="shared" si="4"/>
        <v>62.94362</v>
      </c>
      <c r="L445" s="5" t="s">
        <v>2887</v>
      </c>
      <c r="M445" s="5">
        <f t="shared" si="5"/>
        <v>0.2923</v>
      </c>
      <c r="N445" s="6" t="s">
        <v>3582</v>
      </c>
      <c r="O445" s="5">
        <f t="shared" si="6"/>
        <v>245</v>
      </c>
    </row>
    <row r="446">
      <c r="A446" s="6" t="s">
        <v>2488</v>
      </c>
      <c r="B446" s="6" t="s">
        <v>3927</v>
      </c>
      <c r="C446" s="5">
        <f t="shared" si="1"/>
        <v>9</v>
      </c>
      <c r="D446" s="1" t="s">
        <v>68</v>
      </c>
      <c r="E446" s="1" t="s">
        <v>29</v>
      </c>
      <c r="F446" s="1" t="str">
        <f t="shared" si="2"/>
        <v>Blue</v>
      </c>
      <c r="G446" s="5" t="s">
        <v>14</v>
      </c>
      <c r="H446" s="5" t="s">
        <v>2888</v>
      </c>
      <c r="I446" s="5">
        <f t="shared" si="3"/>
        <v>0.3083</v>
      </c>
      <c r="J446" s="5" t="s">
        <v>2889</v>
      </c>
      <c r="K446" s="5">
        <f t="shared" si="4"/>
        <v>41.966569</v>
      </c>
      <c r="L446" s="5" t="s">
        <v>2890</v>
      </c>
      <c r="M446" s="5">
        <f t="shared" si="5"/>
        <v>0.0617</v>
      </c>
      <c r="N446" s="6" t="s">
        <v>4805</v>
      </c>
      <c r="O446" s="5">
        <f t="shared" si="6"/>
        <v>33</v>
      </c>
    </row>
    <row r="447">
      <c r="A447" s="6" t="s">
        <v>2488</v>
      </c>
      <c r="B447" s="6" t="s">
        <v>3927</v>
      </c>
      <c r="C447" s="5">
        <f t="shared" si="1"/>
        <v>9</v>
      </c>
      <c r="D447" s="1" t="s">
        <v>68</v>
      </c>
      <c r="E447" s="1" t="s">
        <v>29</v>
      </c>
      <c r="F447" s="1" t="str">
        <f t="shared" si="2"/>
        <v>Blue</v>
      </c>
      <c r="G447" s="5" t="s">
        <v>21</v>
      </c>
      <c r="H447" s="9" t="s">
        <v>5576</v>
      </c>
      <c r="I447" s="5">
        <f t="shared" si="3"/>
        <v>5.4636</v>
      </c>
      <c r="J447" s="5" t="s">
        <v>2891</v>
      </c>
      <c r="K447" s="5">
        <f t="shared" si="4"/>
        <v>1037.09187</v>
      </c>
      <c r="L447" s="9" t="s">
        <v>2892</v>
      </c>
      <c r="M447" s="5">
        <f t="shared" si="5"/>
        <v>2.1854</v>
      </c>
      <c r="N447" s="6" t="s">
        <v>2725</v>
      </c>
      <c r="O447" s="5">
        <f t="shared" si="6"/>
        <v>810</v>
      </c>
    </row>
    <row r="448">
      <c r="A448" s="6" t="s">
        <v>2488</v>
      </c>
      <c r="B448" s="6" t="s">
        <v>3927</v>
      </c>
      <c r="C448" s="5">
        <f t="shared" si="1"/>
        <v>9</v>
      </c>
      <c r="D448" s="1" t="s">
        <v>68</v>
      </c>
      <c r="E448" s="1" t="s">
        <v>45</v>
      </c>
      <c r="F448" s="1" t="str">
        <f t="shared" si="2"/>
        <v>Yellow</v>
      </c>
      <c r="G448" s="5" t="s">
        <v>49</v>
      </c>
      <c r="H448" s="5" t="s">
        <v>2893</v>
      </c>
      <c r="I448" s="5">
        <f t="shared" si="3"/>
        <v>0.2701</v>
      </c>
      <c r="J448" s="5" t="s">
        <v>2894</v>
      </c>
      <c r="K448" s="5">
        <f t="shared" si="4"/>
        <v>17.012744</v>
      </c>
      <c r="L448" s="5" t="s">
        <v>2895</v>
      </c>
      <c r="M448" s="5">
        <f t="shared" si="5"/>
        <v>0.0702</v>
      </c>
      <c r="N448" s="6" t="s">
        <v>2767</v>
      </c>
      <c r="O448" s="5">
        <f t="shared" si="6"/>
        <v>124</v>
      </c>
    </row>
    <row r="449">
      <c r="A449" s="6" t="s">
        <v>2488</v>
      </c>
      <c r="B449" s="6" t="s">
        <v>3927</v>
      </c>
      <c r="C449" s="5">
        <f t="shared" si="1"/>
        <v>9</v>
      </c>
      <c r="D449" s="1" t="s">
        <v>68</v>
      </c>
      <c r="E449" s="1" t="s">
        <v>45</v>
      </c>
      <c r="F449" s="1" t="str">
        <f t="shared" si="2"/>
        <v>Yellow</v>
      </c>
      <c r="G449" s="5" t="s">
        <v>17</v>
      </c>
      <c r="H449" s="5" t="s">
        <v>2896</v>
      </c>
      <c r="I449" s="5">
        <f t="shared" si="3"/>
        <v>14.3274</v>
      </c>
      <c r="J449" s="5" t="s">
        <v>2897</v>
      </c>
      <c r="K449" s="5">
        <f t="shared" si="4"/>
        <v>736.024929</v>
      </c>
      <c r="L449" s="9" t="s">
        <v>2899</v>
      </c>
      <c r="M449" s="5">
        <f t="shared" si="5"/>
        <v>5.1579</v>
      </c>
      <c r="N449" s="6" t="s">
        <v>5595</v>
      </c>
      <c r="O449" s="5">
        <f t="shared" si="6"/>
        <v>1442</v>
      </c>
    </row>
    <row r="450">
      <c r="A450" s="6" t="s">
        <v>2488</v>
      </c>
      <c r="B450" s="6" t="s">
        <v>3927</v>
      </c>
      <c r="C450" s="5">
        <f t="shared" si="1"/>
        <v>9</v>
      </c>
      <c r="D450" s="1" t="s">
        <v>68</v>
      </c>
      <c r="E450" s="1" t="s">
        <v>1851</v>
      </c>
      <c r="F450" s="1" t="str">
        <f t="shared" si="2"/>
        <v>Rosy</v>
      </c>
      <c r="G450" s="5" t="s">
        <v>17</v>
      </c>
      <c r="H450" s="9" t="s">
        <v>5599</v>
      </c>
      <c r="I450" s="5">
        <f t="shared" si="3"/>
        <v>2.4123</v>
      </c>
      <c r="J450" s="5" t="s">
        <v>2900</v>
      </c>
      <c r="K450" s="5">
        <f t="shared" si="4"/>
        <v>171.655003</v>
      </c>
      <c r="L450" s="5" t="s">
        <v>2901</v>
      </c>
      <c r="M450" s="5">
        <f t="shared" si="5"/>
        <v>0.9287</v>
      </c>
      <c r="N450" s="6" t="s">
        <v>5604</v>
      </c>
      <c r="O450" s="5">
        <f t="shared" si="6"/>
        <v>1468</v>
      </c>
    </row>
    <row r="451">
      <c r="A451" s="6" t="s">
        <v>2488</v>
      </c>
      <c r="B451" s="6" t="s">
        <v>3927</v>
      </c>
      <c r="C451" s="5">
        <f t="shared" si="1"/>
        <v>9</v>
      </c>
      <c r="D451" s="1" t="s">
        <v>68</v>
      </c>
      <c r="E451" s="1" t="s">
        <v>1851</v>
      </c>
      <c r="F451" s="1" t="str">
        <f t="shared" si="2"/>
        <v>Rosy</v>
      </c>
      <c r="G451" s="5" t="s">
        <v>21</v>
      </c>
      <c r="H451" s="5" t="s">
        <v>2902</v>
      </c>
      <c r="I451" s="5">
        <f t="shared" si="3"/>
        <v>5.213</v>
      </c>
      <c r="J451" s="5" t="s">
        <v>2903</v>
      </c>
      <c r="K451" s="5">
        <f t="shared" si="4"/>
        <v>342.313426</v>
      </c>
      <c r="L451" s="9" t="s">
        <v>5611</v>
      </c>
      <c r="M451" s="5">
        <f t="shared" si="5"/>
        <v>2.5544</v>
      </c>
      <c r="N451" s="6" t="s">
        <v>5614</v>
      </c>
      <c r="O451" s="5">
        <f t="shared" si="6"/>
        <v>2666</v>
      </c>
    </row>
    <row r="452">
      <c r="A452" s="6" t="s">
        <v>2488</v>
      </c>
      <c r="B452" s="6" t="s">
        <v>3927</v>
      </c>
      <c r="C452" s="5">
        <f t="shared" si="1"/>
        <v>9</v>
      </c>
      <c r="D452" s="1" t="s">
        <v>68</v>
      </c>
      <c r="E452" s="1" t="s">
        <v>38</v>
      </c>
      <c r="F452" s="1" t="str">
        <f t="shared" si="2"/>
        <v>White</v>
      </c>
      <c r="G452" s="5" t="s">
        <v>39</v>
      </c>
      <c r="H452" s="9" t="s">
        <v>5618</v>
      </c>
      <c r="I452" s="5">
        <f t="shared" si="3"/>
        <v>4.5446</v>
      </c>
      <c r="J452" s="5" t="s">
        <v>2904</v>
      </c>
      <c r="K452" s="5">
        <f t="shared" si="4"/>
        <v>414.705064</v>
      </c>
      <c r="L452" s="5" t="s">
        <v>2905</v>
      </c>
      <c r="M452" s="5">
        <f t="shared" si="5"/>
        <v>0.818</v>
      </c>
      <c r="N452" s="6" t="s">
        <v>5620</v>
      </c>
      <c r="O452" s="5">
        <f t="shared" si="6"/>
        <v>2241</v>
      </c>
    </row>
    <row r="453">
      <c r="A453" s="6" t="s">
        <v>2488</v>
      </c>
      <c r="B453" s="6" t="s">
        <v>3927</v>
      </c>
      <c r="C453" s="5">
        <f t="shared" si="1"/>
        <v>9</v>
      </c>
      <c r="D453" s="1" t="s">
        <v>68</v>
      </c>
      <c r="E453" s="1" t="s">
        <v>1830</v>
      </c>
      <c r="F453" s="1" t="str">
        <f t="shared" si="2"/>
        <v>Magenta</v>
      </c>
      <c r="G453" s="5" t="s">
        <v>72</v>
      </c>
      <c r="H453" s="5" t="s">
        <v>2906</v>
      </c>
      <c r="I453" s="5">
        <f t="shared" si="3"/>
        <v>2.592</v>
      </c>
      <c r="J453" s="5" t="s">
        <v>2907</v>
      </c>
      <c r="K453" s="5">
        <f t="shared" si="4"/>
        <v>240.023454</v>
      </c>
      <c r="L453" s="5" t="s">
        <v>2908</v>
      </c>
      <c r="M453" s="5">
        <f t="shared" si="5"/>
        <v>0.8294</v>
      </c>
      <c r="N453" s="6" t="s">
        <v>5627</v>
      </c>
      <c r="O453" s="5">
        <f t="shared" si="6"/>
        <v>2551</v>
      </c>
    </row>
    <row r="454">
      <c r="A454" s="6" t="s">
        <v>2488</v>
      </c>
      <c r="B454" s="6" t="s">
        <v>3927</v>
      </c>
      <c r="C454" s="5">
        <f t="shared" si="1"/>
        <v>9</v>
      </c>
      <c r="D454" s="1" t="s">
        <v>68</v>
      </c>
      <c r="E454" s="1" t="s">
        <v>544</v>
      </c>
      <c r="F454" s="1" t="str">
        <f t="shared" si="2"/>
        <v>Golden</v>
      </c>
      <c r="G454" s="5" t="s">
        <v>17</v>
      </c>
      <c r="H454" s="9" t="s">
        <v>5631</v>
      </c>
      <c r="I454" s="5">
        <f t="shared" si="3"/>
        <v>3.1998</v>
      </c>
      <c r="J454" s="5" t="s">
        <v>2909</v>
      </c>
      <c r="K454" s="5">
        <f t="shared" si="4"/>
        <v>224.597878</v>
      </c>
      <c r="L454" s="9" t="s">
        <v>2910</v>
      </c>
      <c r="M454" s="5">
        <f t="shared" si="5"/>
        <v>1.1199</v>
      </c>
      <c r="N454" s="6" t="s">
        <v>5637</v>
      </c>
      <c r="O454" s="5">
        <f t="shared" si="6"/>
        <v>1723</v>
      </c>
    </row>
    <row r="455">
      <c r="A455" s="6" t="s">
        <v>2488</v>
      </c>
      <c r="B455" s="6" t="s">
        <v>3927</v>
      </c>
      <c r="C455" s="5">
        <f t="shared" si="1"/>
        <v>9</v>
      </c>
      <c r="D455" s="1" t="s">
        <v>68</v>
      </c>
      <c r="E455" s="1" t="s">
        <v>32</v>
      </c>
      <c r="F455" s="1" t="str">
        <f t="shared" si="2"/>
        <v>Black</v>
      </c>
      <c r="G455" s="5" t="s">
        <v>14</v>
      </c>
      <c r="H455" s="9" t="s">
        <v>2911</v>
      </c>
      <c r="I455" s="5">
        <f t="shared" si="3"/>
        <v>2.1857</v>
      </c>
      <c r="J455" s="5" t="s">
        <v>2912</v>
      </c>
      <c r="K455" s="5">
        <f t="shared" si="4"/>
        <v>149.312643</v>
      </c>
      <c r="L455" s="5" t="s">
        <v>2913</v>
      </c>
      <c r="M455" s="5">
        <f t="shared" si="5"/>
        <v>0.5027</v>
      </c>
      <c r="N455" s="6" t="s">
        <v>5646</v>
      </c>
      <c r="O455" s="5">
        <f t="shared" si="6"/>
        <v>899</v>
      </c>
    </row>
    <row r="456">
      <c r="A456" s="6" t="s">
        <v>2488</v>
      </c>
      <c r="B456" s="6" t="s">
        <v>3927</v>
      </c>
      <c r="C456" s="5">
        <f t="shared" si="1"/>
        <v>9</v>
      </c>
      <c r="D456" s="1" t="s">
        <v>68</v>
      </c>
      <c r="E456" s="1" t="s">
        <v>32</v>
      </c>
      <c r="F456" s="1" t="str">
        <f t="shared" si="2"/>
        <v>Black</v>
      </c>
      <c r="G456" s="5" t="s">
        <v>21</v>
      </c>
      <c r="H456" s="5" t="s">
        <v>2914</v>
      </c>
      <c r="I456" s="5">
        <f t="shared" si="3"/>
        <v>0.4275</v>
      </c>
      <c r="J456" s="5" t="s">
        <v>2915</v>
      </c>
      <c r="K456" s="5">
        <f t="shared" si="4"/>
        <v>35.983109</v>
      </c>
      <c r="L456" s="5" t="s">
        <v>2916</v>
      </c>
      <c r="M456" s="5">
        <f t="shared" si="5"/>
        <v>0.1924</v>
      </c>
      <c r="N456" s="6" t="s">
        <v>3650</v>
      </c>
      <c r="O456" s="5">
        <f t="shared" si="6"/>
        <v>320</v>
      </c>
    </row>
    <row r="457">
      <c r="A457" s="6" t="s">
        <v>2488</v>
      </c>
      <c r="B457" s="6" t="s">
        <v>3927</v>
      </c>
      <c r="C457" s="5">
        <f t="shared" si="1"/>
        <v>9</v>
      </c>
      <c r="D457" s="1" t="s">
        <v>68</v>
      </c>
      <c r="E457" s="1" t="s">
        <v>2088</v>
      </c>
      <c r="F457" s="1" t="str">
        <f t="shared" si="2"/>
        <v>Lilac</v>
      </c>
      <c r="G457" s="5" t="s">
        <v>21</v>
      </c>
      <c r="H457" s="9" t="s">
        <v>1586</v>
      </c>
      <c r="I457" s="5">
        <f t="shared" si="3"/>
        <v>2.0364</v>
      </c>
      <c r="J457" s="5" t="s">
        <v>2917</v>
      </c>
      <c r="K457" s="5">
        <f t="shared" si="4"/>
        <v>183.715546</v>
      </c>
      <c r="L457" s="5" t="s">
        <v>2918</v>
      </c>
      <c r="M457" s="5">
        <f t="shared" si="5"/>
        <v>0.8146</v>
      </c>
      <c r="N457" s="6" t="s">
        <v>3678</v>
      </c>
      <c r="O457" s="5">
        <f t="shared" si="6"/>
        <v>575</v>
      </c>
    </row>
    <row r="458">
      <c r="A458" s="6" t="s">
        <v>2488</v>
      </c>
      <c r="B458" s="6" t="s">
        <v>3927</v>
      </c>
      <c r="C458" s="5">
        <f t="shared" si="1"/>
        <v>9</v>
      </c>
      <c r="D458" s="1" t="s">
        <v>68</v>
      </c>
      <c r="E458" s="1" t="s">
        <v>2104</v>
      </c>
      <c r="F458" s="1" t="str">
        <f t="shared" si="2"/>
        <v>Snow</v>
      </c>
      <c r="G458" s="5" t="s">
        <v>17</v>
      </c>
      <c r="H458" s="9" t="s">
        <v>5661</v>
      </c>
      <c r="I458" s="5">
        <f t="shared" si="3"/>
        <v>1.7236</v>
      </c>
      <c r="J458" s="5" t="s">
        <v>2919</v>
      </c>
      <c r="K458" s="5">
        <f t="shared" si="4"/>
        <v>68.770531</v>
      </c>
      <c r="L458" s="5" t="s">
        <v>2920</v>
      </c>
      <c r="M458" s="5">
        <f t="shared" si="5"/>
        <v>0.6033</v>
      </c>
      <c r="N458" s="6" t="s">
        <v>3584</v>
      </c>
      <c r="O458" s="5">
        <f t="shared" si="6"/>
        <v>188</v>
      </c>
    </row>
    <row r="459">
      <c r="A459" s="6" t="s">
        <v>2488</v>
      </c>
      <c r="B459" s="6" t="s">
        <v>3927</v>
      </c>
      <c r="C459" s="5">
        <f t="shared" si="1"/>
        <v>9</v>
      </c>
      <c r="D459" s="1" t="s">
        <v>116</v>
      </c>
      <c r="E459" s="1" t="s">
        <v>2497</v>
      </c>
      <c r="F459" s="1" t="str">
        <f t="shared" si="2"/>
        <v>Green</v>
      </c>
      <c r="G459" s="5" t="s">
        <v>14</v>
      </c>
      <c r="H459" s="5" t="s">
        <v>2921</v>
      </c>
      <c r="I459" s="5">
        <f t="shared" si="3"/>
        <v>79.0532</v>
      </c>
      <c r="J459" s="5" t="s">
        <v>2922</v>
      </c>
      <c r="K459" s="5">
        <f t="shared" si="4"/>
        <v>5065.711125</v>
      </c>
      <c r="L459" s="5" t="s">
        <v>2923</v>
      </c>
      <c r="M459" s="5">
        <f t="shared" si="5"/>
        <v>16.6012</v>
      </c>
      <c r="N459" s="6" t="s">
        <v>5668</v>
      </c>
      <c r="O459" s="5">
        <f t="shared" si="6"/>
        <v>10947</v>
      </c>
    </row>
    <row r="460">
      <c r="A460" s="6" t="s">
        <v>2488</v>
      </c>
      <c r="B460" s="6" t="s">
        <v>3927</v>
      </c>
      <c r="C460" s="5">
        <f t="shared" si="1"/>
        <v>9</v>
      </c>
      <c r="D460" s="1" t="s">
        <v>116</v>
      </c>
      <c r="E460" s="1" t="s">
        <v>2497</v>
      </c>
      <c r="F460" s="1" t="str">
        <f t="shared" si="2"/>
        <v>Green</v>
      </c>
      <c r="G460" s="5" t="s">
        <v>17</v>
      </c>
      <c r="H460" s="5" t="s">
        <v>2924</v>
      </c>
      <c r="I460" s="5">
        <f t="shared" si="3"/>
        <v>167.6062</v>
      </c>
      <c r="J460" s="5" t="s">
        <v>2925</v>
      </c>
      <c r="K460" s="5">
        <f t="shared" si="4"/>
        <v>14523.49662</v>
      </c>
      <c r="L460" s="5" t="s">
        <v>2926</v>
      </c>
      <c r="M460" s="5">
        <f t="shared" si="5"/>
        <v>58.6622</v>
      </c>
      <c r="N460" s="6" t="s">
        <v>5674</v>
      </c>
      <c r="O460" s="5">
        <f t="shared" si="6"/>
        <v>17799</v>
      </c>
    </row>
    <row r="461">
      <c r="A461" s="6" t="s">
        <v>2488</v>
      </c>
      <c r="B461" s="6" t="s">
        <v>3927</v>
      </c>
      <c r="C461" s="5">
        <f t="shared" si="1"/>
        <v>9</v>
      </c>
      <c r="D461" s="1" t="s">
        <v>116</v>
      </c>
      <c r="E461" s="1" t="s">
        <v>2497</v>
      </c>
      <c r="F461" s="1" t="str">
        <f t="shared" si="2"/>
        <v>Green</v>
      </c>
      <c r="G461" s="5" t="s">
        <v>21</v>
      </c>
      <c r="H461" s="9" t="s">
        <v>2928</v>
      </c>
      <c r="I461" s="5">
        <f t="shared" si="3"/>
        <v>10.1737</v>
      </c>
      <c r="J461" s="5" t="s">
        <v>2929</v>
      </c>
      <c r="K461" s="5">
        <f t="shared" si="4"/>
        <v>1340.43437</v>
      </c>
      <c r="L461" s="9" t="s">
        <v>2930</v>
      </c>
      <c r="M461" s="5">
        <f t="shared" si="5"/>
        <v>5.0869</v>
      </c>
      <c r="N461" s="6" t="s">
        <v>3654</v>
      </c>
      <c r="O461" s="5">
        <f t="shared" si="6"/>
        <v>701</v>
      </c>
    </row>
    <row r="462">
      <c r="A462" s="6" t="s">
        <v>2488</v>
      </c>
      <c r="B462" s="6" t="s">
        <v>3927</v>
      </c>
      <c r="C462" s="5">
        <f t="shared" si="1"/>
        <v>9</v>
      </c>
      <c r="D462" s="1" t="s">
        <v>116</v>
      </c>
      <c r="E462" s="1" t="s">
        <v>2497</v>
      </c>
      <c r="F462" s="1" t="str">
        <f t="shared" si="2"/>
        <v>Green</v>
      </c>
      <c r="G462" s="5" t="s">
        <v>25</v>
      </c>
      <c r="H462" s="5" t="s">
        <v>1523</v>
      </c>
      <c r="I462" s="5">
        <f t="shared" si="3"/>
        <v>0.0126</v>
      </c>
      <c r="J462" s="5" t="s">
        <v>2931</v>
      </c>
      <c r="K462" s="5">
        <f t="shared" si="4"/>
        <v>2.599994</v>
      </c>
      <c r="L462" s="5" t="s">
        <v>2933</v>
      </c>
      <c r="M462" s="5">
        <f t="shared" si="5"/>
        <v>0.0094</v>
      </c>
      <c r="N462" s="6" t="s">
        <v>2677</v>
      </c>
      <c r="O462" s="5">
        <f t="shared" si="6"/>
        <v>3</v>
      </c>
    </row>
    <row r="463">
      <c r="A463" s="6" t="s">
        <v>2488</v>
      </c>
      <c r="B463" s="6" t="s">
        <v>3927</v>
      </c>
      <c r="C463" s="5">
        <f t="shared" si="1"/>
        <v>9</v>
      </c>
      <c r="D463" s="1" t="s">
        <v>116</v>
      </c>
      <c r="E463" s="1" t="s">
        <v>29</v>
      </c>
      <c r="F463" s="1" t="str">
        <f t="shared" si="2"/>
        <v>Blue</v>
      </c>
      <c r="G463" s="5" t="s">
        <v>14</v>
      </c>
      <c r="H463" s="5" t="s">
        <v>2934</v>
      </c>
      <c r="I463" s="5">
        <f t="shared" si="3"/>
        <v>0.9683</v>
      </c>
      <c r="J463" s="5" t="s">
        <v>2935</v>
      </c>
      <c r="K463" s="5">
        <f t="shared" si="4"/>
        <v>114.957614</v>
      </c>
      <c r="L463" s="5" t="s">
        <v>1473</v>
      </c>
      <c r="M463" s="5">
        <f t="shared" si="5"/>
        <v>0.1937</v>
      </c>
      <c r="N463" s="6" t="s">
        <v>1694</v>
      </c>
      <c r="O463" s="5">
        <f t="shared" si="6"/>
        <v>253</v>
      </c>
    </row>
    <row r="464">
      <c r="A464" s="6" t="s">
        <v>2488</v>
      </c>
      <c r="B464" s="6" t="s">
        <v>3927</v>
      </c>
      <c r="C464" s="5">
        <f t="shared" si="1"/>
        <v>9</v>
      </c>
      <c r="D464" s="1" t="s">
        <v>116</v>
      </c>
      <c r="E464" s="1" t="s">
        <v>29</v>
      </c>
      <c r="F464" s="1" t="str">
        <f t="shared" si="2"/>
        <v>Blue</v>
      </c>
      <c r="G464" s="5" t="s">
        <v>21</v>
      </c>
      <c r="H464" s="5" t="s">
        <v>2936</v>
      </c>
      <c r="I464" s="5">
        <f t="shared" si="3"/>
        <v>37.5212</v>
      </c>
      <c r="J464" s="5" t="s">
        <v>2937</v>
      </c>
      <c r="K464" s="5">
        <f t="shared" si="4"/>
        <v>7067.477966</v>
      </c>
      <c r="L464" s="5" t="s">
        <v>2938</v>
      </c>
      <c r="M464" s="5">
        <f t="shared" si="5"/>
        <v>15.0084</v>
      </c>
      <c r="N464" s="6" t="s">
        <v>5693</v>
      </c>
      <c r="O464" s="5">
        <f t="shared" si="6"/>
        <v>3877</v>
      </c>
    </row>
    <row r="465">
      <c r="A465" s="6" t="s">
        <v>2488</v>
      </c>
      <c r="B465" s="6" t="s">
        <v>3927</v>
      </c>
      <c r="C465" s="5">
        <f t="shared" si="1"/>
        <v>9</v>
      </c>
      <c r="D465" s="1" t="s">
        <v>116</v>
      </c>
      <c r="E465" s="1" t="s">
        <v>45</v>
      </c>
      <c r="F465" s="1" t="str">
        <f t="shared" si="2"/>
        <v>Yellow</v>
      </c>
      <c r="G465" s="5" t="s">
        <v>49</v>
      </c>
      <c r="H465" s="5" t="s">
        <v>2939</v>
      </c>
      <c r="I465" s="5">
        <f t="shared" si="3"/>
        <v>0.6296</v>
      </c>
      <c r="J465" s="5" t="s">
        <v>2940</v>
      </c>
      <c r="K465" s="5">
        <f t="shared" si="4"/>
        <v>39.270829</v>
      </c>
      <c r="L465" s="5" t="s">
        <v>2941</v>
      </c>
      <c r="M465" s="5">
        <f t="shared" si="5"/>
        <v>0.1637</v>
      </c>
      <c r="N465" s="6" t="s">
        <v>2927</v>
      </c>
      <c r="O465" s="5">
        <f t="shared" si="6"/>
        <v>266</v>
      </c>
    </row>
    <row r="466">
      <c r="A466" s="6" t="s">
        <v>2488</v>
      </c>
      <c r="B466" s="6" t="s">
        <v>3927</v>
      </c>
      <c r="C466" s="5">
        <f t="shared" si="1"/>
        <v>9</v>
      </c>
      <c r="D466" s="1" t="s">
        <v>116</v>
      </c>
      <c r="E466" s="1" t="s">
        <v>45</v>
      </c>
      <c r="F466" s="1" t="str">
        <f t="shared" si="2"/>
        <v>Yellow</v>
      </c>
      <c r="G466" s="5" t="s">
        <v>17</v>
      </c>
      <c r="H466" s="5" t="s">
        <v>2942</v>
      </c>
      <c r="I466" s="5">
        <f t="shared" si="3"/>
        <v>43.5059</v>
      </c>
      <c r="J466" s="5" t="s">
        <v>2943</v>
      </c>
      <c r="K466" s="5">
        <f t="shared" si="4"/>
        <v>2370.885489</v>
      </c>
      <c r="L466" s="5" t="s">
        <v>2944</v>
      </c>
      <c r="M466" s="5">
        <f t="shared" si="5"/>
        <v>15.6621</v>
      </c>
      <c r="N466" s="6" t="s">
        <v>5702</v>
      </c>
      <c r="O466" s="5">
        <f t="shared" si="6"/>
        <v>2108</v>
      </c>
    </row>
    <row r="467">
      <c r="A467" s="6" t="s">
        <v>2488</v>
      </c>
      <c r="B467" s="6" t="s">
        <v>3927</v>
      </c>
      <c r="C467" s="5">
        <f t="shared" si="1"/>
        <v>9</v>
      </c>
      <c r="D467" s="1" t="s">
        <v>116</v>
      </c>
      <c r="E467" s="1" t="s">
        <v>1851</v>
      </c>
      <c r="F467" s="1" t="str">
        <f t="shared" si="2"/>
        <v>Rosy</v>
      </c>
      <c r="G467" s="5" t="s">
        <v>17</v>
      </c>
      <c r="H467" s="9" t="s">
        <v>2946</v>
      </c>
      <c r="I467" s="5">
        <f t="shared" si="3"/>
        <v>6.0694</v>
      </c>
      <c r="J467" s="5" t="s">
        <v>2947</v>
      </c>
      <c r="K467" s="5">
        <f t="shared" si="4"/>
        <v>471.930847</v>
      </c>
      <c r="L467" s="9" t="s">
        <v>5703</v>
      </c>
      <c r="M467" s="5">
        <f t="shared" si="5"/>
        <v>2.3367</v>
      </c>
      <c r="N467" s="6" t="s">
        <v>5705</v>
      </c>
      <c r="O467" s="5">
        <f t="shared" si="6"/>
        <v>4266</v>
      </c>
    </row>
    <row r="468">
      <c r="A468" s="6" t="s">
        <v>2488</v>
      </c>
      <c r="B468" s="6" t="s">
        <v>3927</v>
      </c>
      <c r="C468" s="5">
        <f t="shared" si="1"/>
        <v>9</v>
      </c>
      <c r="D468" s="1" t="s">
        <v>116</v>
      </c>
      <c r="E468" s="1" t="s">
        <v>1851</v>
      </c>
      <c r="F468" s="1" t="str">
        <f t="shared" si="2"/>
        <v>Rosy</v>
      </c>
      <c r="G468" s="5" t="s">
        <v>21</v>
      </c>
      <c r="H468" s="9" t="s">
        <v>2949</v>
      </c>
      <c r="I468" s="5">
        <f t="shared" si="3"/>
        <v>7.0549</v>
      </c>
      <c r="J468" s="5" t="s">
        <v>2950</v>
      </c>
      <c r="K468" s="5">
        <f t="shared" si="4"/>
        <v>458.486496</v>
      </c>
      <c r="L468" s="9" t="s">
        <v>5711</v>
      </c>
      <c r="M468" s="5">
        <f t="shared" si="5"/>
        <v>3.4569</v>
      </c>
      <c r="N468" s="6" t="s">
        <v>5712</v>
      </c>
      <c r="O468" s="5">
        <f t="shared" si="6"/>
        <v>3606</v>
      </c>
    </row>
    <row r="469">
      <c r="A469" s="6" t="s">
        <v>2488</v>
      </c>
      <c r="B469" s="6" t="s">
        <v>3927</v>
      </c>
      <c r="C469" s="5">
        <f t="shared" si="1"/>
        <v>9</v>
      </c>
      <c r="D469" s="1" t="s">
        <v>116</v>
      </c>
      <c r="E469" s="1" t="s">
        <v>38</v>
      </c>
      <c r="F469" s="1" t="str">
        <f t="shared" si="2"/>
        <v>White</v>
      </c>
      <c r="G469" s="5" t="s">
        <v>39</v>
      </c>
      <c r="H469" s="9" t="s">
        <v>5714</v>
      </c>
      <c r="I469" s="5">
        <f t="shared" si="3"/>
        <v>7.3345</v>
      </c>
      <c r="J469" s="5" t="s">
        <v>2951</v>
      </c>
      <c r="K469" s="5">
        <f t="shared" si="4"/>
        <v>676.658057</v>
      </c>
      <c r="L469" s="9" t="s">
        <v>4556</v>
      </c>
      <c r="M469" s="5">
        <f t="shared" si="5"/>
        <v>1.3202</v>
      </c>
      <c r="N469" s="6" t="s">
        <v>5720</v>
      </c>
      <c r="O469" s="5">
        <f t="shared" si="6"/>
        <v>3594</v>
      </c>
    </row>
    <row r="470">
      <c r="A470" s="6" t="s">
        <v>2488</v>
      </c>
      <c r="B470" s="6" t="s">
        <v>3927</v>
      </c>
      <c r="C470" s="5">
        <f t="shared" si="1"/>
        <v>9</v>
      </c>
      <c r="D470" s="1" t="s">
        <v>116</v>
      </c>
      <c r="E470" s="1" t="s">
        <v>147</v>
      </c>
      <c r="F470" s="1" t="str">
        <f t="shared" si="2"/>
        <v>Deep</v>
      </c>
      <c r="G470" s="5" t="s">
        <v>39</v>
      </c>
      <c r="H470" s="9" t="s">
        <v>5724</v>
      </c>
      <c r="I470" s="5">
        <f t="shared" si="3"/>
        <v>1.3112</v>
      </c>
      <c r="J470" s="5" t="s">
        <v>2953</v>
      </c>
      <c r="K470" s="5">
        <f t="shared" si="4"/>
        <v>388.65414</v>
      </c>
      <c r="L470" s="5" t="s">
        <v>2954</v>
      </c>
      <c r="M470" s="5">
        <f t="shared" si="5"/>
        <v>0.249</v>
      </c>
      <c r="N470" s="6" t="s">
        <v>3501</v>
      </c>
      <c r="O470" s="5">
        <f t="shared" si="6"/>
        <v>115</v>
      </c>
    </row>
    <row r="471">
      <c r="A471" s="6" t="s">
        <v>2488</v>
      </c>
      <c r="B471" s="6" t="s">
        <v>3927</v>
      </c>
      <c r="C471" s="5">
        <f t="shared" si="1"/>
        <v>9</v>
      </c>
      <c r="D471" s="1" t="s">
        <v>116</v>
      </c>
      <c r="E471" s="1" t="s">
        <v>147</v>
      </c>
      <c r="F471" s="1" t="str">
        <f t="shared" si="2"/>
        <v>Deep</v>
      </c>
      <c r="G471" s="5" t="s">
        <v>17</v>
      </c>
      <c r="H471" s="5" t="s">
        <v>2444</v>
      </c>
      <c r="I471" s="5">
        <f t="shared" si="3"/>
        <v>0.0115</v>
      </c>
      <c r="J471" s="5" t="s">
        <v>2955</v>
      </c>
      <c r="K471" s="5">
        <f t="shared" si="4"/>
        <v>4.972093</v>
      </c>
      <c r="L471" s="5" t="s">
        <v>847</v>
      </c>
      <c r="M471" s="5">
        <f t="shared" si="5"/>
        <v>0.0042</v>
      </c>
      <c r="N471" s="6" t="s">
        <v>3552</v>
      </c>
      <c r="O471" s="5">
        <f t="shared" si="6"/>
        <v>5</v>
      </c>
    </row>
    <row r="472">
      <c r="A472" s="6" t="s">
        <v>2488</v>
      </c>
      <c r="B472" s="6" t="s">
        <v>3927</v>
      </c>
      <c r="C472" s="5">
        <f t="shared" si="1"/>
        <v>9</v>
      </c>
      <c r="D472" s="1" t="s">
        <v>116</v>
      </c>
      <c r="E472" s="1" t="s">
        <v>147</v>
      </c>
      <c r="F472" s="1" t="str">
        <f t="shared" si="2"/>
        <v>Deep</v>
      </c>
      <c r="G472" s="5" t="s">
        <v>21</v>
      </c>
      <c r="H472" s="5" t="s">
        <v>992</v>
      </c>
      <c r="I472" s="5">
        <f t="shared" si="3"/>
        <v>0.0566</v>
      </c>
      <c r="J472" s="5" t="s">
        <v>2957</v>
      </c>
      <c r="K472" s="5">
        <f t="shared" si="4"/>
        <v>29.526423</v>
      </c>
      <c r="L472" s="5" t="s">
        <v>2958</v>
      </c>
      <c r="M472" s="5">
        <f t="shared" si="5"/>
        <v>0.0283</v>
      </c>
      <c r="N472" s="6" t="s">
        <v>3440</v>
      </c>
      <c r="O472" s="5">
        <f t="shared" si="6"/>
        <v>47</v>
      </c>
    </row>
    <row r="473">
      <c r="A473" s="6" t="s">
        <v>2488</v>
      </c>
      <c r="B473" s="6" t="s">
        <v>3927</v>
      </c>
      <c r="C473" s="5">
        <f t="shared" si="1"/>
        <v>9</v>
      </c>
      <c r="D473" s="1" t="s">
        <v>116</v>
      </c>
      <c r="E473" s="1" t="s">
        <v>42</v>
      </c>
      <c r="F473" s="1" t="str">
        <f t="shared" si="2"/>
        <v>Red</v>
      </c>
      <c r="G473" s="5" t="s">
        <v>17</v>
      </c>
      <c r="H473" s="9" t="s">
        <v>5731</v>
      </c>
      <c r="I473" s="5">
        <f t="shared" si="3"/>
        <v>1.9244</v>
      </c>
      <c r="J473" s="5" t="s">
        <v>2959</v>
      </c>
      <c r="K473" s="5">
        <f t="shared" si="4"/>
        <v>381.290719</v>
      </c>
      <c r="L473" s="5" t="s">
        <v>2960</v>
      </c>
      <c r="M473" s="5">
        <f t="shared" si="5"/>
        <v>0.712</v>
      </c>
      <c r="N473" s="6" t="s">
        <v>291</v>
      </c>
      <c r="O473" s="5">
        <f t="shared" si="6"/>
        <v>0</v>
      </c>
    </row>
    <row r="474">
      <c r="A474" s="6" t="s">
        <v>2488</v>
      </c>
      <c r="B474" s="6" t="s">
        <v>3927</v>
      </c>
      <c r="C474" s="5">
        <f t="shared" si="1"/>
        <v>9</v>
      </c>
      <c r="D474" s="1" t="s">
        <v>116</v>
      </c>
      <c r="E474" s="1" t="s">
        <v>158</v>
      </c>
      <c r="F474" s="1" t="str">
        <f t="shared" si="2"/>
        <v>Dim</v>
      </c>
      <c r="G474" s="5" t="s">
        <v>39</v>
      </c>
      <c r="H474" s="5" t="s">
        <v>2961</v>
      </c>
      <c r="I474" s="5">
        <f t="shared" si="3"/>
        <v>0.0021</v>
      </c>
      <c r="J474" s="5" t="s">
        <v>2962</v>
      </c>
      <c r="K474" s="5">
        <f t="shared" si="4"/>
        <v>0.767228</v>
      </c>
      <c r="L474" s="5" t="s">
        <v>75</v>
      </c>
      <c r="M474" s="5">
        <f t="shared" si="5"/>
        <v>0.0004</v>
      </c>
      <c r="N474" s="6" t="s">
        <v>2677</v>
      </c>
      <c r="O474" s="5">
        <f t="shared" si="6"/>
        <v>3</v>
      </c>
    </row>
    <row r="475">
      <c r="A475" s="6" t="s">
        <v>2488</v>
      </c>
      <c r="B475" s="6" t="s">
        <v>3927</v>
      </c>
      <c r="C475" s="5">
        <f t="shared" si="1"/>
        <v>9</v>
      </c>
      <c r="D475" s="1" t="s">
        <v>116</v>
      </c>
      <c r="E475" s="1" t="s">
        <v>158</v>
      </c>
      <c r="F475" s="1" t="str">
        <f t="shared" si="2"/>
        <v>Dim</v>
      </c>
      <c r="G475" s="5" t="s">
        <v>17</v>
      </c>
      <c r="H475" s="5" t="s">
        <v>2964</v>
      </c>
      <c r="I475" s="5">
        <f t="shared" si="3"/>
        <v>0.1255</v>
      </c>
      <c r="J475" s="5" t="s">
        <v>2965</v>
      </c>
      <c r="K475" s="5">
        <f t="shared" si="4"/>
        <v>54.314748</v>
      </c>
      <c r="L475" s="5" t="s">
        <v>2966</v>
      </c>
      <c r="M475" s="5">
        <f t="shared" si="5"/>
        <v>0.0439</v>
      </c>
      <c r="N475" s="6" t="s">
        <v>4573</v>
      </c>
      <c r="O475" s="5">
        <f t="shared" si="6"/>
        <v>86</v>
      </c>
    </row>
    <row r="476">
      <c r="A476" s="6" t="s">
        <v>2488</v>
      </c>
      <c r="B476" s="6" t="s">
        <v>3927</v>
      </c>
      <c r="C476" s="5">
        <f t="shared" si="1"/>
        <v>9</v>
      </c>
      <c r="D476" s="1" t="s">
        <v>116</v>
      </c>
      <c r="E476" s="1" t="s">
        <v>158</v>
      </c>
      <c r="F476" s="1" t="str">
        <f t="shared" si="2"/>
        <v>Dim</v>
      </c>
      <c r="G476" s="5" t="s">
        <v>21</v>
      </c>
      <c r="H476" s="5" t="s">
        <v>2968</v>
      </c>
      <c r="I476" s="5">
        <f t="shared" si="3"/>
        <v>0.4036</v>
      </c>
      <c r="J476" s="5" t="s">
        <v>2969</v>
      </c>
      <c r="K476" s="5">
        <f t="shared" si="4"/>
        <v>228.474595</v>
      </c>
      <c r="L476" s="5" t="s">
        <v>2970</v>
      </c>
      <c r="M476" s="5">
        <f t="shared" si="5"/>
        <v>0.1695</v>
      </c>
      <c r="N476" s="6" t="s">
        <v>5732</v>
      </c>
      <c r="O476" s="5">
        <f t="shared" si="6"/>
        <v>130</v>
      </c>
    </row>
    <row r="477">
      <c r="A477" s="6" t="s">
        <v>2488</v>
      </c>
      <c r="B477" s="6" t="s">
        <v>3927</v>
      </c>
      <c r="C477" s="5">
        <f t="shared" si="1"/>
        <v>9</v>
      </c>
      <c r="D477" s="1" t="s">
        <v>116</v>
      </c>
      <c r="E477" s="1" t="s">
        <v>544</v>
      </c>
      <c r="F477" s="1" t="str">
        <f t="shared" si="2"/>
        <v>Golden</v>
      </c>
      <c r="G477" s="5" t="s">
        <v>17</v>
      </c>
      <c r="H477" s="9" t="s">
        <v>5733</v>
      </c>
      <c r="I477" s="5">
        <f t="shared" si="3"/>
        <v>4.3609</v>
      </c>
      <c r="J477" s="5" t="s">
        <v>3005</v>
      </c>
      <c r="K477" s="5">
        <f t="shared" si="4"/>
        <v>277.617801</v>
      </c>
      <c r="L477" s="9" t="s">
        <v>5734</v>
      </c>
      <c r="M477" s="5">
        <f t="shared" si="5"/>
        <v>1.5263</v>
      </c>
      <c r="N477" s="6" t="s">
        <v>5736</v>
      </c>
      <c r="O477" s="5">
        <f t="shared" si="6"/>
        <v>2679</v>
      </c>
    </row>
    <row r="478">
      <c r="A478" s="6" t="s">
        <v>2488</v>
      </c>
      <c r="B478" s="6" t="s">
        <v>3927</v>
      </c>
      <c r="C478" s="5">
        <f t="shared" si="1"/>
        <v>9</v>
      </c>
      <c r="D478" s="1" t="s">
        <v>116</v>
      </c>
      <c r="E478" s="1" t="s">
        <v>1830</v>
      </c>
      <c r="F478" s="1" t="str">
        <f t="shared" si="2"/>
        <v>Magenta</v>
      </c>
      <c r="G478" s="5" t="s">
        <v>72</v>
      </c>
      <c r="H478" s="9" t="s">
        <v>5738</v>
      </c>
      <c r="I478" s="5">
        <f t="shared" si="3"/>
        <v>2.6711</v>
      </c>
      <c r="J478" s="5" t="s">
        <v>3006</v>
      </c>
      <c r="K478" s="5">
        <f t="shared" si="4"/>
        <v>221.405838</v>
      </c>
      <c r="L478" s="5" t="s">
        <v>3007</v>
      </c>
      <c r="M478" s="5">
        <f t="shared" si="5"/>
        <v>0.8548</v>
      </c>
      <c r="N478" s="6" t="s">
        <v>5739</v>
      </c>
      <c r="O478" s="5">
        <f t="shared" si="6"/>
        <v>2847</v>
      </c>
    </row>
    <row r="479">
      <c r="A479" s="6" t="s">
        <v>2488</v>
      </c>
      <c r="B479" s="6" t="s">
        <v>557</v>
      </c>
      <c r="C479" s="5">
        <f t="shared" si="1"/>
        <v>10</v>
      </c>
      <c r="D479" s="1" t="s">
        <v>12</v>
      </c>
      <c r="E479" s="1" t="s">
        <v>2497</v>
      </c>
      <c r="F479" s="1" t="str">
        <f t="shared" si="2"/>
        <v>Green</v>
      </c>
      <c r="G479" s="5" t="s">
        <v>14</v>
      </c>
      <c r="H479" s="5" t="s">
        <v>3008</v>
      </c>
      <c r="I479" s="5">
        <f t="shared" si="3"/>
        <v>13.7742</v>
      </c>
      <c r="J479" s="5" t="s">
        <v>3009</v>
      </c>
      <c r="K479" s="5">
        <f t="shared" si="4"/>
        <v>838.316492</v>
      </c>
      <c r="L479" s="9" t="s">
        <v>5742</v>
      </c>
      <c r="M479" s="5">
        <f t="shared" si="5"/>
        <v>2.8925</v>
      </c>
      <c r="N479" s="6" t="s">
        <v>4818</v>
      </c>
      <c r="O479" s="5">
        <f t="shared" si="6"/>
        <v>476</v>
      </c>
    </row>
    <row r="480">
      <c r="A480" s="6" t="s">
        <v>2488</v>
      </c>
      <c r="B480" s="6" t="s">
        <v>557</v>
      </c>
      <c r="C480" s="5">
        <f t="shared" si="1"/>
        <v>10</v>
      </c>
      <c r="D480" s="1" t="s">
        <v>12</v>
      </c>
      <c r="E480" s="1" t="s">
        <v>2497</v>
      </c>
      <c r="F480" s="1" t="str">
        <f t="shared" si="2"/>
        <v>Green</v>
      </c>
      <c r="G480" s="5" t="s">
        <v>17</v>
      </c>
      <c r="H480" s="5" t="s">
        <v>3010</v>
      </c>
      <c r="I480" s="5">
        <f t="shared" si="3"/>
        <v>74.1972</v>
      </c>
      <c r="J480" s="5" t="s">
        <v>3011</v>
      </c>
      <c r="K480" s="5">
        <f t="shared" si="4"/>
        <v>6333.92685</v>
      </c>
      <c r="L480" s="5" t="s">
        <v>3012</v>
      </c>
      <c r="M480" s="5">
        <f t="shared" si="5"/>
        <v>25.9689</v>
      </c>
      <c r="N480" s="6" t="s">
        <v>5757</v>
      </c>
      <c r="O480" s="5">
        <f t="shared" si="6"/>
        <v>789</v>
      </c>
    </row>
    <row r="481">
      <c r="A481" s="6" t="s">
        <v>2488</v>
      </c>
      <c r="B481" s="6" t="s">
        <v>557</v>
      </c>
      <c r="C481" s="5">
        <f t="shared" si="1"/>
        <v>10</v>
      </c>
      <c r="D481" s="1" t="s">
        <v>12</v>
      </c>
      <c r="E481" s="1" t="s">
        <v>2497</v>
      </c>
      <c r="F481" s="1" t="str">
        <f t="shared" si="2"/>
        <v>Green</v>
      </c>
      <c r="G481" s="5" t="s">
        <v>21</v>
      </c>
      <c r="H481" s="5" t="s">
        <v>3013</v>
      </c>
      <c r="I481" s="5">
        <f t="shared" si="3"/>
        <v>23.3262</v>
      </c>
      <c r="J481" s="5" t="s">
        <v>3014</v>
      </c>
      <c r="K481" s="5">
        <f t="shared" si="4"/>
        <v>2967.550514</v>
      </c>
      <c r="L481" s="9" t="s">
        <v>5761</v>
      </c>
      <c r="M481" s="5">
        <f t="shared" si="5"/>
        <v>11.6632</v>
      </c>
      <c r="N481" s="6" t="s">
        <v>5762</v>
      </c>
      <c r="O481" s="5">
        <f t="shared" si="6"/>
        <v>652</v>
      </c>
    </row>
    <row r="482">
      <c r="A482" s="6" t="s">
        <v>2488</v>
      </c>
      <c r="B482" s="6" t="s">
        <v>557</v>
      </c>
      <c r="C482" s="5">
        <f t="shared" si="1"/>
        <v>10</v>
      </c>
      <c r="D482" s="1" t="s">
        <v>12</v>
      </c>
      <c r="E482" s="1" t="s">
        <v>29</v>
      </c>
      <c r="F482" s="1" t="str">
        <f t="shared" si="2"/>
        <v>Blue</v>
      </c>
      <c r="G482" s="5" t="s">
        <v>14</v>
      </c>
      <c r="H482" s="5" t="s">
        <v>3015</v>
      </c>
      <c r="I482" s="5">
        <f t="shared" si="3"/>
        <v>0.1159</v>
      </c>
      <c r="J482" s="5" t="s">
        <v>3016</v>
      </c>
      <c r="K482" s="5">
        <f t="shared" si="4"/>
        <v>13.984016</v>
      </c>
      <c r="L482" s="5" t="s">
        <v>782</v>
      </c>
      <c r="M482" s="5">
        <f t="shared" si="5"/>
        <v>0.0232</v>
      </c>
      <c r="N482" s="6" t="s">
        <v>2591</v>
      </c>
      <c r="O482" s="5">
        <f t="shared" si="6"/>
        <v>11</v>
      </c>
    </row>
    <row r="483">
      <c r="A483" s="6" t="s">
        <v>2488</v>
      </c>
      <c r="B483" s="6" t="s">
        <v>557</v>
      </c>
      <c r="C483" s="5">
        <f t="shared" si="1"/>
        <v>10</v>
      </c>
      <c r="D483" s="1" t="s">
        <v>12</v>
      </c>
      <c r="E483" s="1" t="s">
        <v>29</v>
      </c>
      <c r="F483" s="1" t="str">
        <f t="shared" si="2"/>
        <v>Blue</v>
      </c>
      <c r="G483" s="5" t="s">
        <v>21</v>
      </c>
      <c r="H483" s="5" t="s">
        <v>3018</v>
      </c>
      <c r="I483" s="5">
        <f t="shared" si="3"/>
        <v>40.4568</v>
      </c>
      <c r="J483" s="5" t="s">
        <v>3019</v>
      </c>
      <c r="K483" s="5">
        <f t="shared" si="4"/>
        <v>6789.887019</v>
      </c>
      <c r="L483" s="5" t="s">
        <v>3021</v>
      </c>
      <c r="M483" s="5">
        <f t="shared" si="5"/>
        <v>16.1827</v>
      </c>
      <c r="N483" s="6" t="s">
        <v>5131</v>
      </c>
      <c r="O483" s="5">
        <f t="shared" si="6"/>
        <v>721</v>
      </c>
    </row>
    <row r="484">
      <c r="A484" s="6" t="s">
        <v>2488</v>
      </c>
      <c r="B484" s="6" t="s">
        <v>557</v>
      </c>
      <c r="C484" s="5">
        <f t="shared" si="1"/>
        <v>10</v>
      </c>
      <c r="D484" s="1" t="s">
        <v>12</v>
      </c>
      <c r="E484" s="1" t="s">
        <v>38</v>
      </c>
      <c r="F484" s="1" t="str">
        <f t="shared" si="2"/>
        <v>White</v>
      </c>
      <c r="G484" s="5" t="s">
        <v>39</v>
      </c>
      <c r="H484" s="9" t="s">
        <v>3023</v>
      </c>
      <c r="I484" s="5">
        <f t="shared" si="3"/>
        <v>3.0682</v>
      </c>
      <c r="J484" s="5" t="s">
        <v>3024</v>
      </c>
      <c r="K484" s="5">
        <f t="shared" si="4"/>
        <v>342.041969</v>
      </c>
      <c r="L484" s="5" t="s">
        <v>3025</v>
      </c>
      <c r="M484" s="5">
        <f t="shared" si="5"/>
        <v>0.5522</v>
      </c>
      <c r="N484" s="6" t="s">
        <v>5775</v>
      </c>
      <c r="O484" s="5">
        <f t="shared" si="6"/>
        <v>196</v>
      </c>
    </row>
    <row r="485">
      <c r="A485" s="6" t="s">
        <v>2488</v>
      </c>
      <c r="B485" s="6" t="s">
        <v>557</v>
      </c>
      <c r="C485" s="5">
        <f t="shared" si="1"/>
        <v>10</v>
      </c>
      <c r="D485" s="1" t="s">
        <v>12</v>
      </c>
      <c r="E485" s="1" t="s">
        <v>48</v>
      </c>
      <c r="F485" s="1" t="str">
        <f t="shared" si="2"/>
        <v>Orange</v>
      </c>
      <c r="G485" s="5" t="s">
        <v>49</v>
      </c>
      <c r="H485" s="5" t="s">
        <v>2850</v>
      </c>
      <c r="I485" s="5">
        <f t="shared" si="3"/>
        <v>0.0495</v>
      </c>
      <c r="J485" s="5" t="s">
        <v>3027</v>
      </c>
      <c r="K485" s="5">
        <f t="shared" si="4"/>
        <v>12.090182</v>
      </c>
      <c r="L485" s="5" t="s">
        <v>2852</v>
      </c>
      <c r="M485" s="5">
        <f t="shared" si="5"/>
        <v>0.0139</v>
      </c>
      <c r="N485" s="6" t="s">
        <v>4500</v>
      </c>
      <c r="O485" s="5">
        <f t="shared" si="6"/>
        <v>15</v>
      </c>
    </row>
    <row r="486">
      <c r="A486" s="6" t="s">
        <v>2488</v>
      </c>
      <c r="B486" s="6" t="s">
        <v>557</v>
      </c>
      <c r="C486" s="5">
        <f t="shared" si="1"/>
        <v>10</v>
      </c>
      <c r="D486" s="1" t="s">
        <v>12</v>
      </c>
      <c r="E486" s="1" t="s">
        <v>48</v>
      </c>
      <c r="F486" s="1" t="str">
        <f t="shared" si="2"/>
        <v>Orange</v>
      </c>
      <c r="G486" s="5" t="s">
        <v>21</v>
      </c>
      <c r="H486" s="9" t="s">
        <v>5782</v>
      </c>
      <c r="I486" s="5">
        <f t="shared" si="3"/>
        <v>1.3659</v>
      </c>
      <c r="J486" s="5" t="s">
        <v>3029</v>
      </c>
      <c r="K486" s="5">
        <f t="shared" si="4"/>
        <v>170.329412</v>
      </c>
      <c r="L486" s="5" t="s">
        <v>3030</v>
      </c>
      <c r="M486" s="5">
        <f t="shared" si="5"/>
        <v>0.5464</v>
      </c>
      <c r="N486" s="6" t="s">
        <v>626</v>
      </c>
      <c r="O486" s="5">
        <f t="shared" si="6"/>
        <v>179</v>
      </c>
    </row>
    <row r="487">
      <c r="A487" s="6" t="s">
        <v>2488</v>
      </c>
      <c r="B487" s="6" t="s">
        <v>557</v>
      </c>
      <c r="C487" s="5">
        <f t="shared" si="1"/>
        <v>10</v>
      </c>
      <c r="D487" s="1" t="s">
        <v>12</v>
      </c>
      <c r="E487" s="1" t="s">
        <v>45</v>
      </c>
      <c r="F487" s="1" t="str">
        <f t="shared" si="2"/>
        <v>Yellow</v>
      </c>
      <c r="G487" s="5" t="s">
        <v>17</v>
      </c>
      <c r="H487" s="9" t="s">
        <v>3031</v>
      </c>
      <c r="I487" s="5">
        <f t="shared" si="3"/>
        <v>2.0815</v>
      </c>
      <c r="J487" s="5" t="s">
        <v>3032</v>
      </c>
      <c r="K487" s="5">
        <f t="shared" si="4"/>
        <v>170.158144</v>
      </c>
      <c r="L487" s="5" t="s">
        <v>3033</v>
      </c>
      <c r="M487" s="5">
        <f t="shared" si="5"/>
        <v>0.7494</v>
      </c>
      <c r="N487" s="6" t="s">
        <v>4728</v>
      </c>
      <c r="O487" s="5">
        <f t="shared" si="6"/>
        <v>209</v>
      </c>
    </row>
    <row r="488">
      <c r="A488" s="6" t="s">
        <v>2488</v>
      </c>
      <c r="B488" s="6" t="s">
        <v>557</v>
      </c>
      <c r="C488" s="5">
        <f t="shared" si="1"/>
        <v>10</v>
      </c>
      <c r="D488" s="1" t="s">
        <v>12</v>
      </c>
      <c r="E488" s="1" t="s">
        <v>1830</v>
      </c>
      <c r="F488" s="1" t="str">
        <f t="shared" si="2"/>
        <v>Magenta</v>
      </c>
      <c r="G488" s="5" t="s">
        <v>72</v>
      </c>
      <c r="H488" s="5" t="s">
        <v>3034</v>
      </c>
      <c r="I488" s="5">
        <f t="shared" si="3"/>
        <v>0.849</v>
      </c>
      <c r="J488" s="5" t="s">
        <v>3035</v>
      </c>
      <c r="K488" s="5">
        <f t="shared" si="4"/>
        <v>89.076101</v>
      </c>
      <c r="L488" s="5" t="s">
        <v>3036</v>
      </c>
      <c r="M488" s="5">
        <f t="shared" si="5"/>
        <v>0.2717</v>
      </c>
      <c r="N488" s="6" t="s">
        <v>1694</v>
      </c>
      <c r="O488" s="5">
        <f t="shared" si="6"/>
        <v>253</v>
      </c>
    </row>
    <row r="489">
      <c r="A489" s="6" t="s">
        <v>2488</v>
      </c>
      <c r="B489" s="6" t="s">
        <v>557</v>
      </c>
      <c r="C489" s="5">
        <f t="shared" si="1"/>
        <v>10</v>
      </c>
      <c r="D489" s="1" t="s">
        <v>12</v>
      </c>
      <c r="E489" s="1" t="s">
        <v>42</v>
      </c>
      <c r="F489" s="1" t="str">
        <f t="shared" si="2"/>
        <v>Red</v>
      </c>
      <c r="G489" s="5" t="s">
        <v>17</v>
      </c>
      <c r="H489" s="5" t="s">
        <v>3037</v>
      </c>
      <c r="I489" s="5">
        <f t="shared" si="3"/>
        <v>0.2565</v>
      </c>
      <c r="J489" s="5" t="s">
        <v>3038</v>
      </c>
      <c r="K489" s="5">
        <f t="shared" si="4"/>
        <v>46.124092</v>
      </c>
      <c r="L489" s="5" t="s">
        <v>3039</v>
      </c>
      <c r="M489" s="5">
        <f t="shared" si="5"/>
        <v>0.0949</v>
      </c>
      <c r="N489" s="6" t="s">
        <v>5523</v>
      </c>
      <c r="O489" s="5">
        <f t="shared" si="6"/>
        <v>36</v>
      </c>
    </row>
    <row r="490">
      <c r="A490" s="6" t="s">
        <v>2488</v>
      </c>
      <c r="B490" s="6" t="s">
        <v>557</v>
      </c>
      <c r="C490" s="5">
        <f t="shared" si="1"/>
        <v>10</v>
      </c>
      <c r="D490" s="1" t="s">
        <v>12</v>
      </c>
      <c r="E490" s="1" t="s">
        <v>848</v>
      </c>
      <c r="F490" s="1" t="str">
        <f t="shared" si="2"/>
        <v>Lime</v>
      </c>
      <c r="G490" s="5" t="s">
        <v>21</v>
      </c>
      <c r="H490" s="5" t="s">
        <v>3040</v>
      </c>
      <c r="I490" s="5">
        <f t="shared" si="3"/>
        <v>0.1803</v>
      </c>
      <c r="J490" s="5" t="s">
        <v>3041</v>
      </c>
      <c r="K490" s="5">
        <f t="shared" si="4"/>
        <v>33.354405</v>
      </c>
      <c r="L490" s="5" t="s">
        <v>3042</v>
      </c>
      <c r="M490" s="5">
        <f t="shared" si="5"/>
        <v>0.0721</v>
      </c>
      <c r="N490" s="6" t="s">
        <v>2898</v>
      </c>
      <c r="O490" s="5">
        <f t="shared" si="6"/>
        <v>54</v>
      </c>
    </row>
    <row r="491">
      <c r="A491" s="6" t="s">
        <v>2488</v>
      </c>
      <c r="B491" s="6" t="s">
        <v>557</v>
      </c>
      <c r="C491" s="5">
        <f t="shared" si="1"/>
        <v>10</v>
      </c>
      <c r="D491" s="1" t="s">
        <v>12</v>
      </c>
      <c r="E491" s="1" t="s">
        <v>729</v>
      </c>
      <c r="F491" s="1" t="str">
        <f t="shared" si="2"/>
        <v>Silver</v>
      </c>
      <c r="G491" s="5" t="s">
        <v>21</v>
      </c>
      <c r="H491" s="5" t="s">
        <v>3043</v>
      </c>
      <c r="I491" s="5">
        <f t="shared" si="3"/>
        <v>0.1788</v>
      </c>
      <c r="J491" s="5" t="s">
        <v>3044</v>
      </c>
      <c r="K491" s="5">
        <f t="shared" si="4"/>
        <v>30.823635</v>
      </c>
      <c r="L491" s="5" t="s">
        <v>3045</v>
      </c>
      <c r="M491" s="5">
        <f t="shared" si="5"/>
        <v>0.0894</v>
      </c>
      <c r="N491" s="6" t="s">
        <v>291</v>
      </c>
      <c r="O491" s="5">
        <f t="shared" si="6"/>
        <v>0</v>
      </c>
    </row>
    <row r="492">
      <c r="A492" s="6" t="s">
        <v>2488</v>
      </c>
      <c r="B492" s="6" t="s">
        <v>557</v>
      </c>
      <c r="C492" s="5">
        <f t="shared" si="1"/>
        <v>10</v>
      </c>
      <c r="D492" s="1" t="s">
        <v>12</v>
      </c>
      <c r="E492" s="1" t="s">
        <v>64</v>
      </c>
      <c r="F492" s="1" t="str">
        <f t="shared" si="2"/>
        <v>Brown</v>
      </c>
      <c r="G492" s="5" t="s">
        <v>39</v>
      </c>
      <c r="H492" s="5" t="s">
        <v>3046</v>
      </c>
      <c r="I492" s="5">
        <f t="shared" si="3"/>
        <v>0.4067</v>
      </c>
      <c r="J492" s="5" t="s">
        <v>3047</v>
      </c>
      <c r="K492" s="5">
        <f t="shared" si="4"/>
        <v>24.99752</v>
      </c>
      <c r="L492" s="5" t="s">
        <v>3048</v>
      </c>
      <c r="M492" s="5">
        <f t="shared" si="5"/>
        <v>0.0732</v>
      </c>
      <c r="N492" s="6" t="s">
        <v>291</v>
      </c>
      <c r="O492" s="5">
        <f t="shared" si="6"/>
        <v>0</v>
      </c>
    </row>
    <row r="493">
      <c r="A493" s="6" t="s">
        <v>2488</v>
      </c>
      <c r="B493" s="6" t="s">
        <v>557</v>
      </c>
      <c r="C493" s="5">
        <f t="shared" si="1"/>
        <v>10</v>
      </c>
      <c r="D493" s="1" t="s">
        <v>12</v>
      </c>
      <c r="E493" s="1" t="s">
        <v>64</v>
      </c>
      <c r="F493" s="1" t="str">
        <f t="shared" si="2"/>
        <v>Brown</v>
      </c>
      <c r="G493" s="5" t="s">
        <v>21</v>
      </c>
      <c r="H493" s="5" t="s">
        <v>75</v>
      </c>
      <c r="I493" s="5">
        <f t="shared" si="3"/>
        <v>0.0004</v>
      </c>
      <c r="J493" s="5" t="s">
        <v>3049</v>
      </c>
      <c r="K493" s="5">
        <f t="shared" si="4"/>
        <v>0.05762</v>
      </c>
      <c r="L493" s="5" t="s">
        <v>596</v>
      </c>
      <c r="M493" s="5">
        <f t="shared" si="5"/>
        <v>0.0001</v>
      </c>
      <c r="N493" s="6" t="s">
        <v>291</v>
      </c>
      <c r="O493" s="5">
        <f t="shared" si="6"/>
        <v>0</v>
      </c>
    </row>
    <row r="494">
      <c r="A494" s="6" t="s">
        <v>2488</v>
      </c>
      <c r="B494" s="6" t="s">
        <v>557</v>
      </c>
      <c r="C494" s="5">
        <f t="shared" si="1"/>
        <v>10</v>
      </c>
      <c r="D494" s="1" t="s">
        <v>68</v>
      </c>
      <c r="E494" s="1" t="s">
        <v>2497</v>
      </c>
      <c r="F494" s="1" t="str">
        <f t="shared" si="2"/>
        <v>Green</v>
      </c>
      <c r="G494" s="5" t="s">
        <v>14</v>
      </c>
      <c r="H494" s="5" t="s">
        <v>3050</v>
      </c>
      <c r="I494" s="5">
        <f t="shared" si="3"/>
        <v>38.1815</v>
      </c>
      <c r="J494" s="5" t="s">
        <v>3051</v>
      </c>
      <c r="K494" s="5">
        <f t="shared" si="4"/>
        <v>2459.423384</v>
      </c>
      <c r="L494" s="9" t="s">
        <v>3052</v>
      </c>
      <c r="M494" s="5">
        <f t="shared" si="5"/>
        <v>8.0181</v>
      </c>
      <c r="N494" s="6" t="s">
        <v>5797</v>
      </c>
      <c r="O494" s="5">
        <f t="shared" si="6"/>
        <v>6076</v>
      </c>
    </row>
    <row r="495">
      <c r="A495" s="6" t="s">
        <v>2488</v>
      </c>
      <c r="B495" s="6" t="s">
        <v>557</v>
      </c>
      <c r="C495" s="5">
        <f t="shared" si="1"/>
        <v>10</v>
      </c>
      <c r="D495" s="1" t="s">
        <v>68</v>
      </c>
      <c r="E495" s="1" t="s">
        <v>2497</v>
      </c>
      <c r="F495" s="1" t="str">
        <f t="shared" si="2"/>
        <v>Green</v>
      </c>
      <c r="G495" s="5" t="s">
        <v>17</v>
      </c>
      <c r="H495" s="5" t="s">
        <v>3053</v>
      </c>
      <c r="I495" s="5">
        <f t="shared" si="3"/>
        <v>85.807</v>
      </c>
      <c r="J495" s="5" t="s">
        <v>3054</v>
      </c>
      <c r="K495" s="5">
        <f t="shared" si="4"/>
        <v>7416.6546</v>
      </c>
      <c r="L495" s="5" t="s">
        <v>3055</v>
      </c>
      <c r="M495" s="5">
        <f t="shared" si="5"/>
        <v>30.0325</v>
      </c>
      <c r="N495" s="6" t="s">
        <v>5798</v>
      </c>
      <c r="O495" s="5">
        <f t="shared" si="6"/>
        <v>10542</v>
      </c>
    </row>
    <row r="496">
      <c r="A496" s="6" t="s">
        <v>2488</v>
      </c>
      <c r="B496" s="6" t="s">
        <v>557</v>
      </c>
      <c r="C496" s="5">
        <f t="shared" si="1"/>
        <v>10</v>
      </c>
      <c r="D496" s="1" t="s">
        <v>68</v>
      </c>
      <c r="E496" s="1" t="s">
        <v>2497</v>
      </c>
      <c r="F496" s="1" t="str">
        <f t="shared" si="2"/>
        <v>Green</v>
      </c>
      <c r="G496" s="5" t="s">
        <v>21</v>
      </c>
      <c r="H496" s="9" t="s">
        <v>5799</v>
      </c>
      <c r="I496" s="5">
        <f t="shared" si="3"/>
        <v>1.7193</v>
      </c>
      <c r="J496" s="5" t="s">
        <v>3056</v>
      </c>
      <c r="K496" s="5">
        <f t="shared" si="4"/>
        <v>266.12444</v>
      </c>
      <c r="L496" s="5" t="s">
        <v>3057</v>
      </c>
      <c r="M496" s="5">
        <f t="shared" si="5"/>
        <v>0.8596</v>
      </c>
      <c r="N496" s="6" t="s">
        <v>5800</v>
      </c>
      <c r="O496" s="5">
        <f t="shared" si="6"/>
        <v>540</v>
      </c>
    </row>
    <row r="497">
      <c r="A497" s="6" t="s">
        <v>2488</v>
      </c>
      <c r="B497" s="6" t="s">
        <v>557</v>
      </c>
      <c r="C497" s="5">
        <f t="shared" si="1"/>
        <v>10</v>
      </c>
      <c r="D497" s="1" t="s">
        <v>68</v>
      </c>
      <c r="E497" s="1" t="s">
        <v>2497</v>
      </c>
      <c r="F497" s="1" t="str">
        <f t="shared" si="2"/>
        <v>Green</v>
      </c>
      <c r="G497" s="5" t="s">
        <v>25</v>
      </c>
      <c r="H497" s="5" t="s">
        <v>2538</v>
      </c>
      <c r="I497" s="5">
        <f t="shared" si="3"/>
        <v>0.4027</v>
      </c>
      <c r="J497" s="5" t="s">
        <v>2539</v>
      </c>
      <c r="K497" s="5">
        <f t="shared" si="4"/>
        <v>65.041677</v>
      </c>
      <c r="L497" s="5" t="s">
        <v>111</v>
      </c>
      <c r="M497" s="5">
        <f t="shared" si="5"/>
        <v>0.302</v>
      </c>
      <c r="N497" s="6" t="s">
        <v>3582</v>
      </c>
      <c r="O497" s="5">
        <f t="shared" si="6"/>
        <v>245</v>
      </c>
    </row>
    <row r="498">
      <c r="A498" s="6" t="s">
        <v>2488</v>
      </c>
      <c r="B498" s="6" t="s">
        <v>557</v>
      </c>
      <c r="C498" s="5">
        <f t="shared" si="1"/>
        <v>10</v>
      </c>
      <c r="D498" s="1" t="s">
        <v>68</v>
      </c>
      <c r="E498" s="1" t="s">
        <v>29</v>
      </c>
      <c r="F498" s="1" t="str">
        <f t="shared" si="2"/>
        <v>Blue</v>
      </c>
      <c r="G498" s="5" t="s">
        <v>14</v>
      </c>
      <c r="H498" s="5" t="s">
        <v>3058</v>
      </c>
      <c r="I498" s="5">
        <f t="shared" si="3"/>
        <v>0.0827</v>
      </c>
      <c r="J498" s="5" t="s">
        <v>3059</v>
      </c>
      <c r="K498" s="5">
        <f t="shared" si="4"/>
        <v>10.970206</v>
      </c>
      <c r="L498" s="5" t="s">
        <v>974</v>
      </c>
      <c r="M498" s="5">
        <f t="shared" si="5"/>
        <v>0.0165</v>
      </c>
      <c r="N498" s="6" t="s">
        <v>5801</v>
      </c>
      <c r="O498" s="5">
        <f t="shared" si="6"/>
        <v>31</v>
      </c>
    </row>
    <row r="499">
      <c r="A499" s="6" t="s">
        <v>2488</v>
      </c>
      <c r="B499" s="6" t="s">
        <v>557</v>
      </c>
      <c r="C499" s="5">
        <f t="shared" si="1"/>
        <v>10</v>
      </c>
      <c r="D499" s="1" t="s">
        <v>68</v>
      </c>
      <c r="E499" s="1" t="s">
        <v>29</v>
      </c>
      <c r="F499" s="1" t="str">
        <f t="shared" si="2"/>
        <v>Blue</v>
      </c>
      <c r="G499" s="5" t="s">
        <v>21</v>
      </c>
      <c r="H499" s="5" t="s">
        <v>3060</v>
      </c>
      <c r="I499" s="5">
        <f t="shared" si="3"/>
        <v>7.987</v>
      </c>
      <c r="J499" s="5" t="s">
        <v>3061</v>
      </c>
      <c r="K499" s="5">
        <f t="shared" si="4"/>
        <v>1451.274377</v>
      </c>
      <c r="L499" s="9" t="s">
        <v>4729</v>
      </c>
      <c r="M499" s="5">
        <f t="shared" si="5"/>
        <v>3.1949</v>
      </c>
      <c r="N499" s="6" t="s">
        <v>5802</v>
      </c>
      <c r="O499" s="5">
        <f t="shared" si="6"/>
        <v>1257</v>
      </c>
    </row>
    <row r="500">
      <c r="A500" s="6" t="s">
        <v>2488</v>
      </c>
      <c r="B500" s="6" t="s">
        <v>557</v>
      </c>
      <c r="C500" s="5">
        <f t="shared" si="1"/>
        <v>10</v>
      </c>
      <c r="D500" s="1" t="s">
        <v>68</v>
      </c>
      <c r="E500" s="1" t="s">
        <v>38</v>
      </c>
      <c r="F500" s="1" t="str">
        <f t="shared" si="2"/>
        <v>White</v>
      </c>
      <c r="G500" s="5" t="s">
        <v>39</v>
      </c>
      <c r="H500" s="5" t="s">
        <v>3062</v>
      </c>
      <c r="I500" s="5">
        <f t="shared" si="3"/>
        <v>14.5779</v>
      </c>
      <c r="J500" s="5" t="s">
        <v>3063</v>
      </c>
      <c r="K500" s="5">
        <f t="shared" si="4"/>
        <v>1306.824554</v>
      </c>
      <c r="L500" s="5" t="s">
        <v>3064</v>
      </c>
      <c r="M500" s="5">
        <f t="shared" si="5"/>
        <v>2.624</v>
      </c>
      <c r="N500" s="6" t="s">
        <v>5803</v>
      </c>
      <c r="O500" s="5">
        <f t="shared" si="6"/>
        <v>3555</v>
      </c>
    </row>
    <row r="501">
      <c r="A501" s="6" t="s">
        <v>2488</v>
      </c>
      <c r="B501" s="6" t="s">
        <v>557</v>
      </c>
      <c r="C501" s="5">
        <f t="shared" si="1"/>
        <v>10</v>
      </c>
      <c r="D501" s="1" t="s">
        <v>68</v>
      </c>
      <c r="E501" s="1" t="s">
        <v>45</v>
      </c>
      <c r="F501" s="1" t="str">
        <f t="shared" si="2"/>
        <v>Yellow</v>
      </c>
      <c r="G501" s="5" t="s">
        <v>49</v>
      </c>
      <c r="H501" s="5" t="s">
        <v>417</v>
      </c>
      <c r="I501" s="5">
        <f t="shared" si="3"/>
        <v>0.2882</v>
      </c>
      <c r="J501" s="5" t="s">
        <v>3065</v>
      </c>
      <c r="K501" s="5">
        <f t="shared" si="4"/>
        <v>18.151684</v>
      </c>
      <c r="L501" s="5" t="s">
        <v>3066</v>
      </c>
      <c r="M501" s="5">
        <f t="shared" si="5"/>
        <v>0.0749</v>
      </c>
      <c r="N501" s="6" t="s">
        <v>3504</v>
      </c>
      <c r="O501" s="5">
        <f t="shared" si="6"/>
        <v>113</v>
      </c>
    </row>
    <row r="502">
      <c r="A502" s="6" t="s">
        <v>2488</v>
      </c>
      <c r="B502" s="6" t="s">
        <v>557</v>
      </c>
      <c r="C502" s="5">
        <f t="shared" si="1"/>
        <v>10</v>
      </c>
      <c r="D502" s="1" t="s">
        <v>68</v>
      </c>
      <c r="E502" s="1" t="s">
        <v>45</v>
      </c>
      <c r="F502" s="1" t="str">
        <f t="shared" si="2"/>
        <v>Yellow</v>
      </c>
      <c r="G502" s="5" t="s">
        <v>17</v>
      </c>
      <c r="H502" s="9" t="s">
        <v>5804</v>
      </c>
      <c r="I502" s="5">
        <f t="shared" si="3"/>
        <v>5.6143</v>
      </c>
      <c r="J502" s="5" t="s">
        <v>3067</v>
      </c>
      <c r="K502" s="5">
        <f t="shared" si="4"/>
        <v>434.429395</v>
      </c>
      <c r="L502" s="9" t="s">
        <v>3068</v>
      </c>
      <c r="M502" s="5">
        <f t="shared" si="5"/>
        <v>2.0211</v>
      </c>
      <c r="N502" s="6" t="s">
        <v>5805</v>
      </c>
      <c r="O502" s="5">
        <f t="shared" si="6"/>
        <v>1348</v>
      </c>
    </row>
    <row r="503">
      <c r="A503" s="6" t="s">
        <v>2488</v>
      </c>
      <c r="B503" s="6" t="s">
        <v>557</v>
      </c>
      <c r="C503" s="5">
        <f t="shared" si="1"/>
        <v>10</v>
      </c>
      <c r="D503" s="1" t="s">
        <v>68</v>
      </c>
      <c r="E503" s="1" t="s">
        <v>1851</v>
      </c>
      <c r="F503" s="1" t="str">
        <f t="shared" si="2"/>
        <v>Rosy</v>
      </c>
      <c r="G503" s="5" t="s">
        <v>17</v>
      </c>
      <c r="H503" s="5" t="s">
        <v>3069</v>
      </c>
      <c r="I503" s="5">
        <f t="shared" si="3"/>
        <v>2.415</v>
      </c>
      <c r="J503" s="5" t="s">
        <v>3070</v>
      </c>
      <c r="K503" s="5">
        <f t="shared" si="4"/>
        <v>163.867488</v>
      </c>
      <c r="L503" s="5" t="s">
        <v>3071</v>
      </c>
      <c r="M503" s="5">
        <f t="shared" si="5"/>
        <v>0.9297</v>
      </c>
      <c r="N503" s="6" t="s">
        <v>5806</v>
      </c>
      <c r="O503" s="5">
        <f t="shared" si="6"/>
        <v>1028</v>
      </c>
    </row>
    <row r="504">
      <c r="A504" s="6" t="s">
        <v>2488</v>
      </c>
      <c r="B504" s="6" t="s">
        <v>557</v>
      </c>
      <c r="C504" s="5">
        <f t="shared" si="1"/>
        <v>10</v>
      </c>
      <c r="D504" s="1" t="s">
        <v>68</v>
      </c>
      <c r="E504" s="1" t="s">
        <v>1851</v>
      </c>
      <c r="F504" s="1" t="str">
        <f t="shared" si="2"/>
        <v>Rosy</v>
      </c>
      <c r="G504" s="5" t="s">
        <v>21</v>
      </c>
      <c r="H504" s="9" t="s">
        <v>5807</v>
      </c>
      <c r="I504" s="5">
        <f t="shared" si="3"/>
        <v>2.2058</v>
      </c>
      <c r="J504" s="5" t="s">
        <v>3072</v>
      </c>
      <c r="K504" s="5">
        <f t="shared" si="4"/>
        <v>155.758256</v>
      </c>
      <c r="L504" s="9" t="s">
        <v>3073</v>
      </c>
      <c r="M504" s="5">
        <f t="shared" si="5"/>
        <v>1.0809</v>
      </c>
      <c r="N504" s="6" t="s">
        <v>5808</v>
      </c>
      <c r="O504" s="5">
        <f t="shared" si="6"/>
        <v>1367</v>
      </c>
    </row>
    <row r="505">
      <c r="A505" s="6" t="s">
        <v>2488</v>
      </c>
      <c r="B505" s="6" t="s">
        <v>557</v>
      </c>
      <c r="C505" s="5">
        <f t="shared" si="1"/>
        <v>10</v>
      </c>
      <c r="D505" s="1" t="s">
        <v>68</v>
      </c>
      <c r="E505" s="1" t="s">
        <v>2088</v>
      </c>
      <c r="F505" s="1" t="str">
        <f t="shared" si="2"/>
        <v>Lilac</v>
      </c>
      <c r="G505" s="5" t="s">
        <v>21</v>
      </c>
      <c r="H505" s="9" t="s">
        <v>5809</v>
      </c>
      <c r="I505" s="5">
        <f t="shared" si="3"/>
        <v>2.6855</v>
      </c>
      <c r="J505" s="5" t="s">
        <v>3074</v>
      </c>
      <c r="K505" s="5">
        <f t="shared" si="4"/>
        <v>198.280602</v>
      </c>
      <c r="L505" s="9" t="s">
        <v>3075</v>
      </c>
      <c r="M505" s="5">
        <f t="shared" si="5"/>
        <v>1.0742</v>
      </c>
      <c r="N505" s="6" t="s">
        <v>5810</v>
      </c>
      <c r="O505" s="5">
        <f t="shared" si="6"/>
        <v>686</v>
      </c>
    </row>
    <row r="506">
      <c r="A506" s="6" t="s">
        <v>2488</v>
      </c>
      <c r="B506" s="6" t="s">
        <v>557</v>
      </c>
      <c r="C506" s="5">
        <f t="shared" si="1"/>
        <v>10</v>
      </c>
      <c r="D506" s="1" t="s">
        <v>68</v>
      </c>
      <c r="E506" s="1" t="s">
        <v>32</v>
      </c>
      <c r="F506" s="1" t="str">
        <f t="shared" si="2"/>
        <v>Black</v>
      </c>
      <c r="G506" s="5" t="s">
        <v>14</v>
      </c>
      <c r="H506" s="9" t="s">
        <v>5811</v>
      </c>
      <c r="I506" s="5">
        <f t="shared" si="3"/>
        <v>2.1933</v>
      </c>
      <c r="J506" s="5" t="s">
        <v>3076</v>
      </c>
      <c r="K506" s="5">
        <f t="shared" si="4"/>
        <v>156.285721</v>
      </c>
      <c r="L506" s="5" t="s">
        <v>3077</v>
      </c>
      <c r="M506" s="5">
        <f t="shared" si="5"/>
        <v>0.5045</v>
      </c>
      <c r="N506" s="6" t="s">
        <v>5812</v>
      </c>
      <c r="O506" s="5">
        <f t="shared" si="6"/>
        <v>739</v>
      </c>
    </row>
    <row r="507">
      <c r="A507" s="6" t="s">
        <v>2488</v>
      </c>
      <c r="B507" s="6" t="s">
        <v>557</v>
      </c>
      <c r="C507" s="5">
        <f t="shared" si="1"/>
        <v>10</v>
      </c>
      <c r="D507" s="1" t="s">
        <v>68</v>
      </c>
      <c r="E507" s="1" t="s">
        <v>32</v>
      </c>
      <c r="F507" s="1" t="str">
        <f t="shared" si="2"/>
        <v>Black</v>
      </c>
      <c r="G507" s="5" t="s">
        <v>21</v>
      </c>
      <c r="H507" s="5" t="s">
        <v>3078</v>
      </c>
      <c r="I507" s="5">
        <f t="shared" si="3"/>
        <v>0.209</v>
      </c>
      <c r="J507" s="5" t="s">
        <v>3079</v>
      </c>
      <c r="K507" s="5">
        <f t="shared" si="4"/>
        <v>18.574319</v>
      </c>
      <c r="L507" s="5" t="s">
        <v>3080</v>
      </c>
      <c r="M507" s="5">
        <f t="shared" si="5"/>
        <v>0.094</v>
      </c>
      <c r="N507" s="6" t="s">
        <v>5813</v>
      </c>
      <c r="O507" s="5">
        <f t="shared" si="6"/>
        <v>193</v>
      </c>
    </row>
    <row r="508">
      <c r="A508" s="6" t="s">
        <v>2488</v>
      </c>
      <c r="B508" s="6" t="s">
        <v>557</v>
      </c>
      <c r="C508" s="5">
        <f t="shared" si="1"/>
        <v>10</v>
      </c>
      <c r="D508" s="1" t="s">
        <v>68</v>
      </c>
      <c r="E508" s="1" t="s">
        <v>1830</v>
      </c>
      <c r="F508" s="1" t="str">
        <f t="shared" si="2"/>
        <v>Magenta</v>
      </c>
      <c r="G508" s="5" t="s">
        <v>72</v>
      </c>
      <c r="H508" s="9" t="s">
        <v>5814</v>
      </c>
      <c r="I508" s="5">
        <f t="shared" si="3"/>
        <v>1.7481</v>
      </c>
      <c r="J508" s="5" t="s">
        <v>3081</v>
      </c>
      <c r="K508" s="5">
        <f t="shared" si="4"/>
        <v>162.592157</v>
      </c>
      <c r="L508" s="5" t="s">
        <v>3082</v>
      </c>
      <c r="M508" s="5">
        <f t="shared" si="5"/>
        <v>0.5594</v>
      </c>
      <c r="N508" s="6" t="s">
        <v>5815</v>
      </c>
      <c r="O508" s="5">
        <f t="shared" si="6"/>
        <v>1514</v>
      </c>
    </row>
    <row r="509">
      <c r="A509" s="6" t="s">
        <v>2488</v>
      </c>
      <c r="B509" s="6" t="s">
        <v>557</v>
      </c>
      <c r="C509" s="5">
        <f t="shared" si="1"/>
        <v>10</v>
      </c>
      <c r="D509" s="1" t="s">
        <v>68</v>
      </c>
      <c r="E509" s="1" t="s">
        <v>544</v>
      </c>
      <c r="F509" s="1" t="str">
        <f t="shared" si="2"/>
        <v>Golden</v>
      </c>
      <c r="G509" s="5" t="s">
        <v>17</v>
      </c>
      <c r="H509" s="9" t="s">
        <v>5816</v>
      </c>
      <c r="I509" s="5">
        <f t="shared" si="3"/>
        <v>1.8761</v>
      </c>
      <c r="J509" s="5" t="s">
        <v>3083</v>
      </c>
      <c r="K509" s="5">
        <f t="shared" si="4"/>
        <v>140.600756</v>
      </c>
      <c r="L509" s="5" t="s">
        <v>3084</v>
      </c>
      <c r="M509" s="5">
        <f t="shared" si="5"/>
        <v>0.6566</v>
      </c>
      <c r="N509" s="6" t="s">
        <v>5817</v>
      </c>
      <c r="O509" s="5">
        <f t="shared" si="6"/>
        <v>1215</v>
      </c>
    </row>
    <row r="510">
      <c r="A510" s="6" t="s">
        <v>2488</v>
      </c>
      <c r="B510" s="6" t="s">
        <v>557</v>
      </c>
      <c r="C510" s="5">
        <f t="shared" si="1"/>
        <v>10</v>
      </c>
      <c r="D510" s="1" t="s">
        <v>68</v>
      </c>
      <c r="E510" s="1" t="s">
        <v>48</v>
      </c>
      <c r="F510" s="1" t="str">
        <f t="shared" si="2"/>
        <v>Orange</v>
      </c>
      <c r="G510" s="5" t="s">
        <v>49</v>
      </c>
      <c r="H510" s="5" t="s">
        <v>1884</v>
      </c>
      <c r="I510" s="5">
        <f t="shared" si="3"/>
        <v>0.0037</v>
      </c>
      <c r="J510" s="5" t="s">
        <v>3085</v>
      </c>
      <c r="K510" s="5">
        <f t="shared" si="4"/>
        <v>1.48214</v>
      </c>
      <c r="L510" s="5" t="s">
        <v>479</v>
      </c>
      <c r="M510" s="5">
        <f t="shared" si="5"/>
        <v>0.0011</v>
      </c>
      <c r="N510" s="6" t="s">
        <v>291</v>
      </c>
      <c r="O510" s="5">
        <f t="shared" si="6"/>
        <v>0</v>
      </c>
    </row>
    <row r="511">
      <c r="A511" s="6" t="s">
        <v>2488</v>
      </c>
      <c r="B511" s="6" t="s">
        <v>557</v>
      </c>
      <c r="C511" s="5">
        <f t="shared" si="1"/>
        <v>10</v>
      </c>
      <c r="D511" s="1" t="s">
        <v>68</v>
      </c>
      <c r="E511" s="1" t="s">
        <v>48</v>
      </c>
      <c r="F511" s="1" t="str">
        <f t="shared" si="2"/>
        <v>Orange</v>
      </c>
      <c r="G511" s="5" t="s">
        <v>21</v>
      </c>
      <c r="H511" s="5" t="s">
        <v>3086</v>
      </c>
      <c r="I511" s="5">
        <f t="shared" si="3"/>
        <v>0.5566</v>
      </c>
      <c r="J511" s="5" t="s">
        <v>3087</v>
      </c>
      <c r="K511" s="5">
        <f t="shared" si="4"/>
        <v>67.058508</v>
      </c>
      <c r="L511" s="5" t="s">
        <v>3088</v>
      </c>
      <c r="M511" s="5">
        <f t="shared" si="5"/>
        <v>0.2226</v>
      </c>
      <c r="N511" s="6" t="s">
        <v>291</v>
      </c>
      <c r="O511" s="5">
        <f t="shared" si="6"/>
        <v>0</v>
      </c>
    </row>
    <row r="512">
      <c r="A512" s="6" t="s">
        <v>2488</v>
      </c>
      <c r="B512" s="6" t="s">
        <v>557</v>
      </c>
      <c r="C512" s="5">
        <f t="shared" si="1"/>
        <v>10</v>
      </c>
      <c r="D512" s="1" t="s">
        <v>116</v>
      </c>
      <c r="E512" s="1" t="s">
        <v>2497</v>
      </c>
      <c r="F512" s="1" t="str">
        <f t="shared" si="2"/>
        <v>Green</v>
      </c>
      <c r="G512" s="5" t="s">
        <v>14</v>
      </c>
      <c r="H512" s="5" t="s">
        <v>3089</v>
      </c>
      <c r="I512" s="5">
        <f t="shared" si="3"/>
        <v>126.6332</v>
      </c>
      <c r="J512" s="5" t="s">
        <v>3090</v>
      </c>
      <c r="K512" s="5">
        <f t="shared" si="4"/>
        <v>7484.281153</v>
      </c>
      <c r="L512" s="5" t="s">
        <v>3091</v>
      </c>
      <c r="M512" s="5">
        <f t="shared" si="5"/>
        <v>26.593</v>
      </c>
      <c r="N512" s="6" t="s">
        <v>5818</v>
      </c>
      <c r="O512" s="5">
        <f t="shared" si="6"/>
        <v>11784</v>
      </c>
    </row>
    <row r="513">
      <c r="A513" s="6" t="s">
        <v>2488</v>
      </c>
      <c r="B513" s="6" t="s">
        <v>557</v>
      </c>
      <c r="C513" s="5">
        <f t="shared" si="1"/>
        <v>10</v>
      </c>
      <c r="D513" s="1" t="s">
        <v>116</v>
      </c>
      <c r="E513" s="1" t="s">
        <v>2497</v>
      </c>
      <c r="F513" s="1" t="str">
        <f t="shared" si="2"/>
        <v>Green</v>
      </c>
      <c r="G513" s="5" t="s">
        <v>17</v>
      </c>
      <c r="H513" s="5" t="s">
        <v>3092</v>
      </c>
      <c r="I513" s="5">
        <f t="shared" si="3"/>
        <v>188.8145</v>
      </c>
      <c r="J513" s="5" t="s">
        <v>3093</v>
      </c>
      <c r="K513" s="5">
        <f t="shared" si="4"/>
        <v>15760.80576</v>
      </c>
      <c r="L513" s="5" t="s">
        <v>3094</v>
      </c>
      <c r="M513" s="5">
        <f t="shared" si="5"/>
        <v>66.0851</v>
      </c>
      <c r="N513" s="6" t="s">
        <v>5819</v>
      </c>
      <c r="O513" s="5">
        <f t="shared" si="6"/>
        <v>17949</v>
      </c>
    </row>
    <row r="514">
      <c r="A514" s="6" t="s">
        <v>2488</v>
      </c>
      <c r="B514" s="6" t="s">
        <v>557</v>
      </c>
      <c r="C514" s="5">
        <f t="shared" si="1"/>
        <v>10</v>
      </c>
      <c r="D514" s="1" t="s">
        <v>116</v>
      </c>
      <c r="E514" s="1" t="s">
        <v>2497</v>
      </c>
      <c r="F514" s="1" t="str">
        <f t="shared" si="2"/>
        <v>Green</v>
      </c>
      <c r="G514" s="5" t="s">
        <v>21</v>
      </c>
      <c r="H514" s="9" t="s">
        <v>3095</v>
      </c>
      <c r="I514" s="5">
        <f t="shared" si="3"/>
        <v>7.1569</v>
      </c>
      <c r="J514" s="5" t="s">
        <v>3096</v>
      </c>
      <c r="K514" s="5">
        <f t="shared" si="4"/>
        <v>1051.793848</v>
      </c>
      <c r="L514" s="9" t="s">
        <v>5821</v>
      </c>
      <c r="M514" s="5">
        <f t="shared" si="5"/>
        <v>3.5785</v>
      </c>
      <c r="N514" s="6" t="s">
        <v>5822</v>
      </c>
      <c r="O514" s="5">
        <f t="shared" si="6"/>
        <v>680</v>
      </c>
    </row>
    <row r="515">
      <c r="A515" s="6" t="s">
        <v>2488</v>
      </c>
      <c r="B515" s="6" t="s">
        <v>557</v>
      </c>
      <c r="C515" s="5">
        <f t="shared" si="1"/>
        <v>10</v>
      </c>
      <c r="D515" s="1" t="s">
        <v>116</v>
      </c>
      <c r="E515" s="1" t="s">
        <v>2497</v>
      </c>
      <c r="F515" s="1" t="str">
        <f t="shared" si="2"/>
        <v>Green</v>
      </c>
      <c r="G515" s="5" t="s">
        <v>25</v>
      </c>
      <c r="H515" s="5" t="s">
        <v>639</v>
      </c>
      <c r="I515" s="5">
        <f t="shared" si="3"/>
        <v>0.0121</v>
      </c>
      <c r="J515" s="5" t="s">
        <v>3097</v>
      </c>
      <c r="K515" s="5">
        <f t="shared" si="4"/>
        <v>1.881435</v>
      </c>
      <c r="L515" s="5" t="s">
        <v>2580</v>
      </c>
      <c r="M515" s="5">
        <f t="shared" si="5"/>
        <v>0.009</v>
      </c>
      <c r="N515" s="6" t="s">
        <v>2677</v>
      </c>
      <c r="O515" s="5">
        <f t="shared" si="6"/>
        <v>3</v>
      </c>
    </row>
    <row r="516">
      <c r="A516" s="6" t="s">
        <v>2488</v>
      </c>
      <c r="B516" s="6" t="s">
        <v>557</v>
      </c>
      <c r="C516" s="5">
        <f t="shared" si="1"/>
        <v>10</v>
      </c>
      <c r="D516" s="1" t="s">
        <v>116</v>
      </c>
      <c r="E516" s="1" t="s">
        <v>29</v>
      </c>
      <c r="F516" s="1" t="str">
        <f t="shared" si="2"/>
        <v>Blue</v>
      </c>
      <c r="G516" s="5" t="s">
        <v>14</v>
      </c>
      <c r="H516" s="9" t="s">
        <v>5823</v>
      </c>
      <c r="I516" s="5">
        <f t="shared" si="3"/>
        <v>1.0007</v>
      </c>
      <c r="J516" s="5" t="s">
        <v>3098</v>
      </c>
      <c r="K516" s="5">
        <f t="shared" si="4"/>
        <v>112.165929</v>
      </c>
      <c r="L516" s="5" t="s">
        <v>3099</v>
      </c>
      <c r="M516" s="5">
        <f t="shared" si="5"/>
        <v>0.2002</v>
      </c>
      <c r="N516" s="6" t="s">
        <v>5336</v>
      </c>
      <c r="O516" s="5">
        <f t="shared" si="6"/>
        <v>225</v>
      </c>
    </row>
    <row r="517">
      <c r="A517" s="6" t="s">
        <v>2488</v>
      </c>
      <c r="B517" s="6" t="s">
        <v>557</v>
      </c>
      <c r="C517" s="5">
        <f t="shared" si="1"/>
        <v>10</v>
      </c>
      <c r="D517" s="1" t="s">
        <v>116</v>
      </c>
      <c r="E517" s="1" t="s">
        <v>29</v>
      </c>
      <c r="F517" s="1" t="str">
        <f t="shared" si="2"/>
        <v>Blue</v>
      </c>
      <c r="G517" s="5" t="s">
        <v>21</v>
      </c>
      <c r="H517" s="5" t="s">
        <v>3100</v>
      </c>
      <c r="I517" s="5">
        <f t="shared" si="3"/>
        <v>55.9615</v>
      </c>
      <c r="J517" s="5" t="s">
        <v>3101</v>
      </c>
      <c r="K517" s="5">
        <f t="shared" si="4"/>
        <v>9577.518937</v>
      </c>
      <c r="L517" s="5" t="s">
        <v>3102</v>
      </c>
      <c r="M517" s="5">
        <f t="shared" si="5"/>
        <v>22.3846</v>
      </c>
      <c r="N517" s="6" t="s">
        <v>5824</v>
      </c>
      <c r="O517" s="5">
        <f t="shared" si="6"/>
        <v>4222</v>
      </c>
    </row>
    <row r="518">
      <c r="A518" s="6" t="s">
        <v>2488</v>
      </c>
      <c r="B518" s="6" t="s">
        <v>557</v>
      </c>
      <c r="C518" s="5">
        <f t="shared" si="1"/>
        <v>10</v>
      </c>
      <c r="D518" s="1" t="s">
        <v>116</v>
      </c>
      <c r="E518" s="1" t="s">
        <v>38</v>
      </c>
      <c r="F518" s="1" t="str">
        <f t="shared" si="2"/>
        <v>White</v>
      </c>
      <c r="G518" s="5" t="s">
        <v>39</v>
      </c>
      <c r="H518" s="5" t="s">
        <v>3103</v>
      </c>
      <c r="I518" s="5">
        <f t="shared" si="3"/>
        <v>23.2374</v>
      </c>
      <c r="J518" s="5" t="s">
        <v>3104</v>
      </c>
      <c r="K518" s="5">
        <f t="shared" si="4"/>
        <v>2101.853462</v>
      </c>
      <c r="L518" s="9" t="s">
        <v>3105</v>
      </c>
      <c r="M518" s="5">
        <f t="shared" si="5"/>
        <v>4.1827</v>
      </c>
      <c r="N518" s="6" t="s">
        <v>5825</v>
      </c>
      <c r="O518" s="5">
        <f t="shared" si="6"/>
        <v>5351</v>
      </c>
    </row>
    <row r="519">
      <c r="A519" s="6" t="s">
        <v>2488</v>
      </c>
      <c r="B519" s="6" t="s">
        <v>557</v>
      </c>
      <c r="C519" s="5">
        <f t="shared" si="1"/>
        <v>10</v>
      </c>
      <c r="D519" s="1" t="s">
        <v>116</v>
      </c>
      <c r="E519" s="1" t="s">
        <v>45</v>
      </c>
      <c r="F519" s="1" t="str">
        <f t="shared" si="2"/>
        <v>Yellow</v>
      </c>
      <c r="G519" s="5" t="s">
        <v>49</v>
      </c>
      <c r="H519" s="5" t="s">
        <v>3106</v>
      </c>
      <c r="I519" s="5">
        <f t="shared" si="3"/>
        <v>0.7115</v>
      </c>
      <c r="J519" s="5" t="s">
        <v>3107</v>
      </c>
      <c r="K519" s="5">
        <f t="shared" si="4"/>
        <v>44.767403</v>
      </c>
      <c r="L519" s="5" t="s">
        <v>3108</v>
      </c>
      <c r="M519" s="5">
        <f t="shared" si="5"/>
        <v>0.185</v>
      </c>
      <c r="N519" s="6" t="s">
        <v>5827</v>
      </c>
      <c r="O519" s="5">
        <f t="shared" si="6"/>
        <v>268</v>
      </c>
    </row>
    <row r="520">
      <c r="A520" s="6" t="s">
        <v>2488</v>
      </c>
      <c r="B520" s="6" t="s">
        <v>557</v>
      </c>
      <c r="C520" s="5">
        <f t="shared" si="1"/>
        <v>10</v>
      </c>
      <c r="D520" s="1" t="s">
        <v>116</v>
      </c>
      <c r="E520" s="1" t="s">
        <v>45</v>
      </c>
      <c r="F520" s="1" t="str">
        <f t="shared" si="2"/>
        <v>Yellow</v>
      </c>
      <c r="G520" s="5" t="s">
        <v>17</v>
      </c>
      <c r="H520" s="5" t="s">
        <v>3109</v>
      </c>
      <c r="I520" s="5">
        <f t="shared" si="3"/>
        <v>14.6753</v>
      </c>
      <c r="J520" s="5" t="s">
        <v>3110</v>
      </c>
      <c r="K520" s="5">
        <f t="shared" si="4"/>
        <v>1156.387558</v>
      </c>
      <c r="L520" s="9" t="s">
        <v>5829</v>
      </c>
      <c r="M520" s="5">
        <f t="shared" si="5"/>
        <v>5.2831</v>
      </c>
      <c r="N520" s="6" t="s">
        <v>5830</v>
      </c>
      <c r="O520" s="5">
        <f t="shared" si="6"/>
        <v>1877</v>
      </c>
    </row>
    <row r="521">
      <c r="A521" s="6" t="s">
        <v>2488</v>
      </c>
      <c r="B521" s="6" t="s">
        <v>557</v>
      </c>
      <c r="C521" s="5">
        <f t="shared" si="1"/>
        <v>10</v>
      </c>
      <c r="D521" s="1" t="s">
        <v>116</v>
      </c>
      <c r="E521" s="1" t="s">
        <v>1851</v>
      </c>
      <c r="F521" s="1" t="str">
        <f t="shared" si="2"/>
        <v>Rosy</v>
      </c>
      <c r="G521" s="5" t="s">
        <v>17</v>
      </c>
      <c r="H521" s="5" t="s">
        <v>3111</v>
      </c>
      <c r="I521" s="5">
        <f t="shared" si="3"/>
        <v>8.6253</v>
      </c>
      <c r="J521" s="5" t="s">
        <v>3112</v>
      </c>
      <c r="K521" s="5">
        <f t="shared" si="4"/>
        <v>595.802715</v>
      </c>
      <c r="L521" s="9" t="s">
        <v>5834</v>
      </c>
      <c r="M521" s="5">
        <f t="shared" si="5"/>
        <v>3.3207</v>
      </c>
      <c r="N521" s="6" t="s">
        <v>5835</v>
      </c>
      <c r="O521" s="5">
        <f t="shared" si="6"/>
        <v>2973</v>
      </c>
    </row>
    <row r="522">
      <c r="A522" s="6" t="s">
        <v>2488</v>
      </c>
      <c r="B522" s="6" t="s">
        <v>557</v>
      </c>
      <c r="C522" s="5">
        <f t="shared" si="1"/>
        <v>10</v>
      </c>
      <c r="D522" s="1" t="s">
        <v>116</v>
      </c>
      <c r="E522" s="1" t="s">
        <v>1851</v>
      </c>
      <c r="F522" s="1" t="str">
        <f t="shared" si="2"/>
        <v>Rosy</v>
      </c>
      <c r="G522" s="5" t="s">
        <v>21</v>
      </c>
      <c r="H522" s="9" t="s">
        <v>5836</v>
      </c>
      <c r="I522" s="5">
        <f t="shared" si="3"/>
        <v>3.7985</v>
      </c>
      <c r="J522" s="5" t="s">
        <v>3113</v>
      </c>
      <c r="K522" s="5">
        <f t="shared" si="4"/>
        <v>275.085705</v>
      </c>
      <c r="L522" s="9" t="s">
        <v>5837</v>
      </c>
      <c r="M522" s="5">
        <f t="shared" si="5"/>
        <v>1.8613</v>
      </c>
      <c r="N522" s="6" t="s">
        <v>5838</v>
      </c>
      <c r="O522" s="5">
        <f t="shared" si="6"/>
        <v>1927</v>
      </c>
    </row>
    <row r="523">
      <c r="A523" s="6" t="s">
        <v>2488</v>
      </c>
      <c r="B523" s="6" t="s">
        <v>557</v>
      </c>
      <c r="C523" s="5">
        <f t="shared" si="1"/>
        <v>10</v>
      </c>
      <c r="D523" s="1" t="s">
        <v>116</v>
      </c>
      <c r="E523" s="1" t="s">
        <v>42</v>
      </c>
      <c r="F523" s="1" t="str">
        <f t="shared" si="2"/>
        <v>Red</v>
      </c>
      <c r="G523" s="5" t="s">
        <v>17</v>
      </c>
      <c r="H523" s="9" t="s">
        <v>3114</v>
      </c>
      <c r="I523" s="5">
        <f t="shared" si="3"/>
        <v>2.1044</v>
      </c>
      <c r="J523" s="5" t="s">
        <v>3115</v>
      </c>
      <c r="K523" s="5">
        <f t="shared" si="4"/>
        <v>449.283347</v>
      </c>
      <c r="L523" s="5" t="s">
        <v>3116</v>
      </c>
      <c r="M523" s="5">
        <f t="shared" si="5"/>
        <v>0.7786</v>
      </c>
      <c r="N523" s="6" t="s">
        <v>291</v>
      </c>
      <c r="O523" s="5">
        <f t="shared" si="6"/>
        <v>0</v>
      </c>
    </row>
    <row r="524">
      <c r="A524" s="6" t="s">
        <v>2488</v>
      </c>
      <c r="B524" s="6" t="s">
        <v>557</v>
      </c>
      <c r="C524" s="5">
        <f t="shared" si="1"/>
        <v>10</v>
      </c>
      <c r="D524" s="1" t="s">
        <v>116</v>
      </c>
      <c r="E524" s="1" t="s">
        <v>147</v>
      </c>
      <c r="F524" s="1" t="str">
        <f t="shared" si="2"/>
        <v>Deep</v>
      </c>
      <c r="G524" s="5" t="s">
        <v>39</v>
      </c>
      <c r="H524" s="9" t="s">
        <v>5840</v>
      </c>
      <c r="I524" s="5">
        <f t="shared" si="3"/>
        <v>1.2162</v>
      </c>
      <c r="J524" s="5" t="s">
        <v>3117</v>
      </c>
      <c r="K524" s="5">
        <f t="shared" si="4"/>
        <v>378.995335</v>
      </c>
      <c r="L524" s="5" t="s">
        <v>3118</v>
      </c>
      <c r="M524" s="5">
        <f t="shared" si="5"/>
        <v>0.2311</v>
      </c>
      <c r="N524" s="6" t="s">
        <v>3836</v>
      </c>
      <c r="O524" s="5">
        <f t="shared" si="6"/>
        <v>107</v>
      </c>
    </row>
    <row r="525">
      <c r="A525" s="6" t="s">
        <v>2488</v>
      </c>
      <c r="B525" s="6" t="s">
        <v>557</v>
      </c>
      <c r="C525" s="5">
        <f t="shared" si="1"/>
        <v>10</v>
      </c>
      <c r="D525" s="1" t="s">
        <v>116</v>
      </c>
      <c r="E525" s="1" t="s">
        <v>147</v>
      </c>
      <c r="F525" s="1" t="str">
        <f t="shared" si="2"/>
        <v>Deep</v>
      </c>
      <c r="G525" s="5" t="s">
        <v>17</v>
      </c>
      <c r="H525" s="5" t="s">
        <v>2030</v>
      </c>
      <c r="I525" s="5">
        <f t="shared" si="3"/>
        <v>0.0176</v>
      </c>
      <c r="J525" s="5" t="s">
        <v>3119</v>
      </c>
      <c r="K525" s="5">
        <f t="shared" si="4"/>
        <v>7.460162</v>
      </c>
      <c r="L525" s="5" t="s">
        <v>207</v>
      </c>
      <c r="M525" s="5">
        <f t="shared" si="5"/>
        <v>0.0062</v>
      </c>
      <c r="N525" s="6" t="s">
        <v>273</v>
      </c>
      <c r="O525" s="5">
        <f t="shared" si="6"/>
        <v>4</v>
      </c>
    </row>
    <row r="526">
      <c r="A526" s="6" t="s">
        <v>2488</v>
      </c>
      <c r="B526" s="6" t="s">
        <v>557</v>
      </c>
      <c r="C526" s="5">
        <f t="shared" si="1"/>
        <v>10</v>
      </c>
      <c r="D526" s="1" t="s">
        <v>116</v>
      </c>
      <c r="E526" s="1" t="s">
        <v>147</v>
      </c>
      <c r="F526" s="1" t="str">
        <f t="shared" si="2"/>
        <v>Deep</v>
      </c>
      <c r="G526" s="5" t="s">
        <v>21</v>
      </c>
      <c r="H526" s="5" t="s">
        <v>3120</v>
      </c>
      <c r="I526" s="5">
        <f t="shared" si="3"/>
        <v>0.0467</v>
      </c>
      <c r="J526" s="5" t="s">
        <v>3121</v>
      </c>
      <c r="K526" s="5">
        <f t="shared" si="4"/>
        <v>23.810641</v>
      </c>
      <c r="L526" s="5" t="s">
        <v>3122</v>
      </c>
      <c r="M526" s="5">
        <f t="shared" si="5"/>
        <v>0.0233</v>
      </c>
      <c r="N526" s="6" t="s">
        <v>5523</v>
      </c>
      <c r="O526" s="5">
        <f t="shared" si="6"/>
        <v>36</v>
      </c>
    </row>
    <row r="527">
      <c r="A527" s="6" t="s">
        <v>2488</v>
      </c>
      <c r="B527" s="6" t="s">
        <v>557</v>
      </c>
      <c r="C527" s="5">
        <f t="shared" si="1"/>
        <v>10</v>
      </c>
      <c r="D527" s="1" t="s">
        <v>116</v>
      </c>
      <c r="E527" s="1" t="s">
        <v>158</v>
      </c>
      <c r="F527" s="1" t="str">
        <f t="shared" si="2"/>
        <v>Dim</v>
      </c>
      <c r="G527" s="5" t="s">
        <v>39</v>
      </c>
      <c r="H527" s="5" t="s">
        <v>1134</v>
      </c>
      <c r="I527" s="5">
        <f t="shared" si="3"/>
        <v>0.0026</v>
      </c>
      <c r="J527" s="5" t="s">
        <v>3123</v>
      </c>
      <c r="K527" s="5">
        <f t="shared" si="4"/>
        <v>1.273673</v>
      </c>
      <c r="L527" s="5" t="s">
        <v>674</v>
      </c>
      <c r="M527" s="5">
        <f t="shared" si="5"/>
        <v>0.0005</v>
      </c>
      <c r="N527" s="6" t="s">
        <v>186</v>
      </c>
      <c r="O527" s="5">
        <f t="shared" si="6"/>
        <v>1</v>
      </c>
    </row>
    <row r="528">
      <c r="A528" s="6" t="s">
        <v>2488</v>
      </c>
      <c r="B528" s="6" t="s">
        <v>557</v>
      </c>
      <c r="C528" s="5">
        <f t="shared" si="1"/>
        <v>10</v>
      </c>
      <c r="D528" s="1" t="s">
        <v>116</v>
      </c>
      <c r="E528" s="1" t="s">
        <v>158</v>
      </c>
      <c r="F528" s="1" t="str">
        <f t="shared" si="2"/>
        <v>Dim</v>
      </c>
      <c r="G528" s="5" t="s">
        <v>17</v>
      </c>
      <c r="H528" s="5" t="s">
        <v>3124</v>
      </c>
      <c r="I528" s="5">
        <f t="shared" si="3"/>
        <v>0.1336</v>
      </c>
      <c r="J528" s="5" t="s">
        <v>3125</v>
      </c>
      <c r="K528" s="5">
        <f t="shared" si="4"/>
        <v>58.314528</v>
      </c>
      <c r="L528" s="5" t="s">
        <v>3120</v>
      </c>
      <c r="M528" s="5">
        <f t="shared" si="5"/>
        <v>0.0467</v>
      </c>
      <c r="N528" s="6" t="s">
        <v>746</v>
      </c>
      <c r="O528" s="5">
        <f t="shared" si="6"/>
        <v>89</v>
      </c>
    </row>
    <row r="529">
      <c r="A529" s="6" t="s">
        <v>2488</v>
      </c>
      <c r="B529" s="6" t="s">
        <v>557</v>
      </c>
      <c r="C529" s="5">
        <f t="shared" si="1"/>
        <v>10</v>
      </c>
      <c r="D529" s="1" t="s">
        <v>116</v>
      </c>
      <c r="E529" s="1" t="s">
        <v>158</v>
      </c>
      <c r="F529" s="1" t="str">
        <f t="shared" si="2"/>
        <v>Dim</v>
      </c>
      <c r="G529" s="5" t="s">
        <v>21</v>
      </c>
      <c r="H529" s="5" t="s">
        <v>3126</v>
      </c>
      <c r="I529" s="5">
        <f t="shared" si="3"/>
        <v>0.5234</v>
      </c>
      <c r="J529" s="5" t="s">
        <v>3127</v>
      </c>
      <c r="K529" s="5">
        <f t="shared" si="4"/>
        <v>283.693426</v>
      </c>
      <c r="L529" s="5" t="s">
        <v>3128</v>
      </c>
      <c r="M529" s="5">
        <f t="shared" si="5"/>
        <v>0.2199</v>
      </c>
      <c r="N529" s="6" t="s">
        <v>746</v>
      </c>
      <c r="O529" s="5">
        <f t="shared" si="6"/>
        <v>89</v>
      </c>
    </row>
    <row r="530">
      <c r="A530" s="6" t="s">
        <v>2488</v>
      </c>
      <c r="B530" s="6" t="s">
        <v>557</v>
      </c>
      <c r="C530" s="5">
        <f t="shared" si="1"/>
        <v>10</v>
      </c>
      <c r="D530" s="1" t="s">
        <v>116</v>
      </c>
      <c r="E530" s="1" t="s">
        <v>1830</v>
      </c>
      <c r="F530" s="1" t="str">
        <f t="shared" si="2"/>
        <v>Magenta</v>
      </c>
      <c r="G530" s="5" t="s">
        <v>72</v>
      </c>
      <c r="H530" s="9" t="s">
        <v>5848</v>
      </c>
      <c r="I530" s="5">
        <f t="shared" si="3"/>
        <v>2.7794</v>
      </c>
      <c r="J530" s="5" t="s">
        <v>3129</v>
      </c>
      <c r="K530" s="5">
        <f t="shared" si="4"/>
        <v>235.037437</v>
      </c>
      <c r="L530" s="5" t="s">
        <v>1090</v>
      </c>
      <c r="M530" s="5">
        <f t="shared" si="5"/>
        <v>0.8894</v>
      </c>
      <c r="N530" s="6" t="s">
        <v>5849</v>
      </c>
      <c r="O530" s="5">
        <f t="shared" si="6"/>
        <v>2408</v>
      </c>
    </row>
    <row r="531">
      <c r="A531" s="6" t="s">
        <v>2488</v>
      </c>
      <c r="B531" s="6" t="s">
        <v>557</v>
      </c>
      <c r="C531" s="5">
        <f t="shared" si="1"/>
        <v>10</v>
      </c>
      <c r="D531" s="1" t="s">
        <v>116</v>
      </c>
      <c r="E531" s="1" t="s">
        <v>544</v>
      </c>
      <c r="F531" s="1" t="str">
        <f t="shared" si="2"/>
        <v>Golden</v>
      </c>
      <c r="G531" s="5" t="s">
        <v>17</v>
      </c>
      <c r="H531" s="9" t="s">
        <v>5850</v>
      </c>
      <c r="I531" s="5">
        <f t="shared" si="3"/>
        <v>2.6869</v>
      </c>
      <c r="J531" s="5" t="s">
        <v>3130</v>
      </c>
      <c r="K531" s="5">
        <f t="shared" si="4"/>
        <v>191.259121</v>
      </c>
      <c r="L531" s="5" t="s">
        <v>3131</v>
      </c>
      <c r="M531" s="5">
        <f t="shared" si="5"/>
        <v>0.9404</v>
      </c>
      <c r="N531" s="6" t="s">
        <v>5851</v>
      </c>
      <c r="O531" s="5">
        <f t="shared" si="6"/>
        <v>1641</v>
      </c>
    </row>
    <row r="532">
      <c r="A532" s="6" t="s">
        <v>2488</v>
      </c>
      <c r="B532" s="6" t="s">
        <v>2591</v>
      </c>
      <c r="C532" s="5">
        <f t="shared" si="1"/>
        <v>11</v>
      </c>
      <c r="D532" s="1" t="s">
        <v>12</v>
      </c>
      <c r="E532" s="1" t="s">
        <v>2497</v>
      </c>
      <c r="F532" s="1" t="str">
        <f t="shared" si="2"/>
        <v>Green</v>
      </c>
      <c r="G532" s="5" t="s">
        <v>14</v>
      </c>
      <c r="H532" s="9" t="s">
        <v>5852</v>
      </c>
      <c r="I532" s="5">
        <f t="shared" si="3"/>
        <v>9.3454</v>
      </c>
      <c r="J532" s="5" t="s">
        <v>3132</v>
      </c>
      <c r="K532" s="5">
        <f t="shared" si="4"/>
        <v>632.659472</v>
      </c>
      <c r="L532" s="9" t="s">
        <v>5853</v>
      </c>
      <c r="M532" s="5">
        <f t="shared" si="5"/>
        <v>1.9625</v>
      </c>
      <c r="N532" s="6" t="s">
        <v>5854</v>
      </c>
      <c r="O532" s="5">
        <f t="shared" si="6"/>
        <v>445</v>
      </c>
    </row>
    <row r="533">
      <c r="A533" s="6" t="s">
        <v>2488</v>
      </c>
      <c r="B533" s="6" t="s">
        <v>2591</v>
      </c>
      <c r="C533" s="5">
        <f t="shared" si="1"/>
        <v>11</v>
      </c>
      <c r="D533" s="1" t="s">
        <v>12</v>
      </c>
      <c r="E533" s="1" t="s">
        <v>2497</v>
      </c>
      <c r="F533" s="1" t="str">
        <f t="shared" si="2"/>
        <v>Green</v>
      </c>
      <c r="G533" s="5" t="s">
        <v>17</v>
      </c>
      <c r="H533" s="5" t="s">
        <v>3133</v>
      </c>
      <c r="I533" s="5">
        <f t="shared" si="3"/>
        <v>49.5129</v>
      </c>
      <c r="J533" s="5" t="s">
        <v>3134</v>
      </c>
      <c r="K533" s="5">
        <f t="shared" si="4"/>
        <v>4733.228104</v>
      </c>
      <c r="L533" s="5" t="s">
        <v>3135</v>
      </c>
      <c r="M533" s="5">
        <f t="shared" si="5"/>
        <v>17.3296</v>
      </c>
      <c r="N533" s="6" t="s">
        <v>2791</v>
      </c>
      <c r="O533" s="5">
        <f t="shared" si="6"/>
        <v>780</v>
      </c>
    </row>
    <row r="534">
      <c r="A534" s="6" t="s">
        <v>2488</v>
      </c>
      <c r="B534" s="6" t="s">
        <v>2591</v>
      </c>
      <c r="C534" s="5">
        <f t="shared" si="1"/>
        <v>11</v>
      </c>
      <c r="D534" s="1" t="s">
        <v>12</v>
      </c>
      <c r="E534" s="1" t="s">
        <v>2497</v>
      </c>
      <c r="F534" s="1" t="str">
        <f t="shared" si="2"/>
        <v>Green</v>
      </c>
      <c r="G534" s="5" t="s">
        <v>21</v>
      </c>
      <c r="H534" s="5" t="s">
        <v>3136</v>
      </c>
      <c r="I534" s="5">
        <f t="shared" si="3"/>
        <v>48.8577</v>
      </c>
      <c r="J534" s="5" t="s">
        <v>3137</v>
      </c>
      <c r="K534" s="5">
        <f t="shared" si="4"/>
        <v>5155.983123</v>
      </c>
      <c r="L534" s="5" t="s">
        <v>3138</v>
      </c>
      <c r="M534" s="5">
        <f t="shared" si="5"/>
        <v>24.4289</v>
      </c>
      <c r="N534" s="6" t="s">
        <v>5859</v>
      </c>
      <c r="O534" s="5">
        <f t="shared" si="6"/>
        <v>670</v>
      </c>
    </row>
    <row r="535">
      <c r="A535" s="6" t="s">
        <v>2488</v>
      </c>
      <c r="B535" s="6" t="s">
        <v>2591</v>
      </c>
      <c r="C535" s="5">
        <f t="shared" si="1"/>
        <v>11</v>
      </c>
      <c r="D535" s="1" t="s">
        <v>12</v>
      </c>
      <c r="E535" s="1" t="s">
        <v>29</v>
      </c>
      <c r="F535" s="1" t="str">
        <f t="shared" si="2"/>
        <v>Blue</v>
      </c>
      <c r="G535" s="5" t="s">
        <v>14</v>
      </c>
      <c r="H535" s="5" t="s">
        <v>3139</v>
      </c>
      <c r="I535" s="5">
        <f t="shared" si="3"/>
        <v>0.1204</v>
      </c>
      <c r="J535" s="5" t="s">
        <v>3140</v>
      </c>
      <c r="K535" s="5">
        <f t="shared" si="4"/>
        <v>15.142913</v>
      </c>
      <c r="L535" s="5" t="s">
        <v>3141</v>
      </c>
      <c r="M535" s="5">
        <f t="shared" si="5"/>
        <v>0.0241</v>
      </c>
      <c r="N535" s="6" t="s">
        <v>2591</v>
      </c>
      <c r="O535" s="5">
        <f t="shared" si="6"/>
        <v>11</v>
      </c>
    </row>
    <row r="536">
      <c r="A536" s="6" t="s">
        <v>2488</v>
      </c>
      <c r="B536" s="6" t="s">
        <v>2591</v>
      </c>
      <c r="C536" s="5">
        <f t="shared" si="1"/>
        <v>11</v>
      </c>
      <c r="D536" s="1" t="s">
        <v>12</v>
      </c>
      <c r="E536" s="1" t="s">
        <v>29</v>
      </c>
      <c r="F536" s="1" t="str">
        <f t="shared" si="2"/>
        <v>Blue</v>
      </c>
      <c r="G536" s="5" t="s">
        <v>21</v>
      </c>
      <c r="H536" s="5" t="s">
        <v>3142</v>
      </c>
      <c r="I536" s="5">
        <f t="shared" si="3"/>
        <v>57.1231</v>
      </c>
      <c r="J536" s="5" t="s">
        <v>3143</v>
      </c>
      <c r="K536" s="5">
        <f t="shared" si="4"/>
        <v>7939.393997</v>
      </c>
      <c r="L536" s="5" t="s">
        <v>3144</v>
      </c>
      <c r="M536" s="5">
        <f t="shared" si="5"/>
        <v>22.8493</v>
      </c>
      <c r="N536" s="6" t="s">
        <v>5861</v>
      </c>
      <c r="O536" s="5">
        <f t="shared" si="6"/>
        <v>766</v>
      </c>
    </row>
    <row r="537">
      <c r="A537" s="6" t="s">
        <v>2488</v>
      </c>
      <c r="B537" s="6" t="s">
        <v>2591</v>
      </c>
      <c r="C537" s="5">
        <f t="shared" si="1"/>
        <v>11</v>
      </c>
      <c r="D537" s="1" t="s">
        <v>12</v>
      </c>
      <c r="E537" s="1" t="s">
        <v>38</v>
      </c>
      <c r="F537" s="1" t="str">
        <f t="shared" si="2"/>
        <v>White</v>
      </c>
      <c r="G537" s="5" t="s">
        <v>39</v>
      </c>
      <c r="H537" s="9" t="s">
        <v>5862</v>
      </c>
      <c r="I537" s="5">
        <f t="shared" si="3"/>
        <v>2.9588</v>
      </c>
      <c r="J537" s="5" t="s">
        <v>3145</v>
      </c>
      <c r="K537" s="5">
        <f t="shared" si="4"/>
        <v>322.443487</v>
      </c>
      <c r="L537" s="5" t="s">
        <v>3146</v>
      </c>
      <c r="M537" s="5">
        <f t="shared" si="5"/>
        <v>0.5326</v>
      </c>
      <c r="N537" s="6" t="s">
        <v>5775</v>
      </c>
      <c r="O537" s="5">
        <f t="shared" si="6"/>
        <v>196</v>
      </c>
    </row>
    <row r="538">
      <c r="A538" s="6" t="s">
        <v>2488</v>
      </c>
      <c r="B538" s="6" t="s">
        <v>2591</v>
      </c>
      <c r="C538" s="5">
        <f t="shared" si="1"/>
        <v>11</v>
      </c>
      <c r="D538" s="1" t="s">
        <v>12</v>
      </c>
      <c r="E538" s="1" t="s">
        <v>48</v>
      </c>
      <c r="F538" s="1" t="str">
        <f t="shared" si="2"/>
        <v>Orange</v>
      </c>
      <c r="G538" s="5" t="s">
        <v>49</v>
      </c>
      <c r="H538" s="5" t="s">
        <v>2355</v>
      </c>
      <c r="I538" s="5">
        <f t="shared" si="3"/>
        <v>0.0298</v>
      </c>
      <c r="J538" s="5" t="s">
        <v>3147</v>
      </c>
      <c r="K538" s="5">
        <f t="shared" si="4"/>
        <v>8.828719</v>
      </c>
      <c r="L538" s="5" t="s">
        <v>3148</v>
      </c>
      <c r="M538" s="5">
        <f t="shared" si="5"/>
        <v>0.0084</v>
      </c>
      <c r="N538" s="6" t="s">
        <v>4500</v>
      </c>
      <c r="O538" s="5">
        <f t="shared" si="6"/>
        <v>15</v>
      </c>
    </row>
    <row r="539">
      <c r="A539" s="6" t="s">
        <v>2488</v>
      </c>
      <c r="B539" s="6" t="s">
        <v>2591</v>
      </c>
      <c r="C539" s="5">
        <f t="shared" si="1"/>
        <v>11</v>
      </c>
      <c r="D539" s="1" t="s">
        <v>12</v>
      </c>
      <c r="E539" s="1" t="s">
        <v>48</v>
      </c>
      <c r="F539" s="1" t="str">
        <f t="shared" si="2"/>
        <v>Orange</v>
      </c>
      <c r="G539" s="5" t="s">
        <v>21</v>
      </c>
      <c r="H539" s="9" t="s">
        <v>5866</v>
      </c>
      <c r="I539" s="5">
        <f t="shared" si="3"/>
        <v>1.2734</v>
      </c>
      <c r="J539" s="5" t="s">
        <v>3149</v>
      </c>
      <c r="K539" s="5">
        <f t="shared" si="4"/>
        <v>180.083167</v>
      </c>
      <c r="L539" s="5" t="s">
        <v>3150</v>
      </c>
      <c r="M539" s="5">
        <f t="shared" si="5"/>
        <v>0.5093</v>
      </c>
      <c r="N539" s="6" t="s">
        <v>5869</v>
      </c>
      <c r="O539" s="5">
        <f t="shared" si="6"/>
        <v>186</v>
      </c>
    </row>
    <row r="540">
      <c r="A540" s="6" t="s">
        <v>2488</v>
      </c>
      <c r="B540" s="6" t="s">
        <v>2591</v>
      </c>
      <c r="C540" s="5">
        <f t="shared" si="1"/>
        <v>11</v>
      </c>
      <c r="D540" s="1" t="s">
        <v>12</v>
      </c>
      <c r="E540" s="1" t="s">
        <v>45</v>
      </c>
      <c r="F540" s="1" t="str">
        <f t="shared" si="2"/>
        <v>Yellow</v>
      </c>
      <c r="G540" s="5" t="s">
        <v>49</v>
      </c>
      <c r="H540" s="5" t="s">
        <v>3148</v>
      </c>
      <c r="I540" s="5">
        <f t="shared" si="3"/>
        <v>0.0084</v>
      </c>
      <c r="J540" s="5" t="s">
        <v>3151</v>
      </c>
      <c r="K540" s="5">
        <f t="shared" si="4"/>
        <v>0.504921</v>
      </c>
      <c r="L540" s="5" t="s">
        <v>103</v>
      </c>
      <c r="M540" s="5">
        <f t="shared" si="5"/>
        <v>0.0022</v>
      </c>
      <c r="N540" s="6" t="s">
        <v>397</v>
      </c>
      <c r="O540" s="5">
        <f t="shared" si="6"/>
        <v>2</v>
      </c>
    </row>
    <row r="541">
      <c r="A541" s="6" t="s">
        <v>2488</v>
      </c>
      <c r="B541" s="6" t="s">
        <v>2591</v>
      </c>
      <c r="C541" s="5">
        <f t="shared" si="1"/>
        <v>11</v>
      </c>
      <c r="D541" s="1" t="s">
        <v>12</v>
      </c>
      <c r="E541" s="1" t="s">
        <v>45</v>
      </c>
      <c r="F541" s="1" t="str">
        <f t="shared" si="2"/>
        <v>Yellow</v>
      </c>
      <c r="G541" s="5" t="s">
        <v>17</v>
      </c>
      <c r="H541" s="9" t="s">
        <v>5870</v>
      </c>
      <c r="I541" s="5">
        <f t="shared" si="3"/>
        <v>1.9763</v>
      </c>
      <c r="J541" s="5" t="s">
        <v>3152</v>
      </c>
      <c r="K541" s="5">
        <f t="shared" si="4"/>
        <v>158.905209</v>
      </c>
      <c r="L541" s="5" t="s">
        <v>3106</v>
      </c>
      <c r="M541" s="5">
        <f t="shared" si="5"/>
        <v>0.7115</v>
      </c>
      <c r="N541" s="6" t="s">
        <v>3584</v>
      </c>
      <c r="O541" s="5">
        <f t="shared" si="6"/>
        <v>188</v>
      </c>
    </row>
    <row r="542">
      <c r="A542" s="6" t="s">
        <v>2488</v>
      </c>
      <c r="B542" s="6" t="s">
        <v>2591</v>
      </c>
      <c r="C542" s="5">
        <f t="shared" si="1"/>
        <v>11</v>
      </c>
      <c r="D542" s="1" t="s">
        <v>12</v>
      </c>
      <c r="E542" s="1" t="s">
        <v>42</v>
      </c>
      <c r="F542" s="1" t="str">
        <f t="shared" si="2"/>
        <v>Red</v>
      </c>
      <c r="G542" s="5" t="s">
        <v>17</v>
      </c>
      <c r="H542" s="5" t="s">
        <v>3153</v>
      </c>
      <c r="I542" s="5">
        <f t="shared" si="3"/>
        <v>0.3746</v>
      </c>
      <c r="J542" s="5" t="s">
        <v>3154</v>
      </c>
      <c r="K542" s="5">
        <f t="shared" si="4"/>
        <v>70.102819</v>
      </c>
      <c r="L542" s="5" t="s">
        <v>3155</v>
      </c>
      <c r="M542" s="5">
        <f t="shared" si="5"/>
        <v>0.1386</v>
      </c>
      <c r="N542" s="6" t="s">
        <v>4805</v>
      </c>
      <c r="O542" s="5">
        <f t="shared" si="6"/>
        <v>33</v>
      </c>
    </row>
    <row r="543">
      <c r="A543" s="6" t="s">
        <v>2488</v>
      </c>
      <c r="B543" s="6" t="s">
        <v>2591</v>
      </c>
      <c r="C543" s="5">
        <f t="shared" si="1"/>
        <v>11</v>
      </c>
      <c r="D543" s="1" t="s">
        <v>12</v>
      </c>
      <c r="E543" s="1" t="s">
        <v>1830</v>
      </c>
      <c r="F543" s="1" t="str">
        <f t="shared" si="2"/>
        <v>Magenta</v>
      </c>
      <c r="G543" s="5" t="s">
        <v>72</v>
      </c>
      <c r="H543" s="5" t="s">
        <v>3156</v>
      </c>
      <c r="I543" s="5">
        <f t="shared" si="3"/>
        <v>0.6834</v>
      </c>
      <c r="J543" s="5" t="s">
        <v>3157</v>
      </c>
      <c r="K543" s="5">
        <f t="shared" si="4"/>
        <v>69.379221</v>
      </c>
      <c r="L543" s="5" t="s">
        <v>3158</v>
      </c>
      <c r="M543" s="5">
        <f t="shared" si="5"/>
        <v>0.2187</v>
      </c>
      <c r="N543" s="6" t="s">
        <v>3648</v>
      </c>
      <c r="O543" s="5">
        <f t="shared" si="6"/>
        <v>235</v>
      </c>
    </row>
    <row r="544">
      <c r="A544" s="6" t="s">
        <v>2488</v>
      </c>
      <c r="B544" s="6" t="s">
        <v>2591</v>
      </c>
      <c r="C544" s="5">
        <f t="shared" si="1"/>
        <v>11</v>
      </c>
      <c r="D544" s="1" t="s">
        <v>12</v>
      </c>
      <c r="E544" s="1" t="s">
        <v>2082</v>
      </c>
      <c r="F544" s="1" t="str">
        <f t="shared" si="2"/>
        <v>Cotton</v>
      </c>
      <c r="G544" s="5" t="s">
        <v>21</v>
      </c>
      <c r="H544" s="5" t="s">
        <v>3159</v>
      </c>
      <c r="I544" s="5">
        <f t="shared" si="3"/>
        <v>0.1553</v>
      </c>
      <c r="J544" s="5" t="s">
        <v>3160</v>
      </c>
      <c r="K544" s="5">
        <f t="shared" si="4"/>
        <v>31.865635</v>
      </c>
      <c r="L544" s="5" t="s">
        <v>1141</v>
      </c>
      <c r="M544" s="5">
        <f t="shared" si="5"/>
        <v>0.0707</v>
      </c>
      <c r="N544" s="6" t="s">
        <v>291</v>
      </c>
      <c r="O544" s="5">
        <f t="shared" si="6"/>
        <v>0</v>
      </c>
    </row>
    <row r="545">
      <c r="A545" s="6" t="s">
        <v>2488</v>
      </c>
      <c r="B545" s="6" t="s">
        <v>2591</v>
      </c>
      <c r="C545" s="5">
        <f t="shared" si="1"/>
        <v>11</v>
      </c>
      <c r="D545" s="1" t="s">
        <v>12</v>
      </c>
      <c r="E545" s="1" t="s">
        <v>848</v>
      </c>
      <c r="F545" s="1" t="str">
        <f t="shared" si="2"/>
        <v>Lime</v>
      </c>
      <c r="G545" s="5" t="s">
        <v>21</v>
      </c>
      <c r="H545" s="5" t="s">
        <v>3161</v>
      </c>
      <c r="I545" s="5">
        <f t="shared" si="3"/>
        <v>0.1443</v>
      </c>
      <c r="J545" s="5" t="s">
        <v>3162</v>
      </c>
      <c r="K545" s="5">
        <f t="shared" si="4"/>
        <v>26.838243</v>
      </c>
      <c r="L545" s="5" t="s">
        <v>582</v>
      </c>
      <c r="M545" s="5">
        <f t="shared" si="5"/>
        <v>0.0577</v>
      </c>
      <c r="N545" s="6" t="s">
        <v>482</v>
      </c>
      <c r="O545" s="5">
        <f t="shared" si="6"/>
        <v>53</v>
      </c>
    </row>
    <row r="546">
      <c r="A546" s="6" t="s">
        <v>2488</v>
      </c>
      <c r="B546" s="6" t="s">
        <v>2591</v>
      </c>
      <c r="C546" s="5">
        <f t="shared" si="1"/>
        <v>11</v>
      </c>
      <c r="D546" s="1" t="s">
        <v>12</v>
      </c>
      <c r="E546" s="1" t="s">
        <v>60</v>
      </c>
      <c r="F546" s="1" t="str">
        <f t="shared" si="2"/>
        <v>Pink</v>
      </c>
      <c r="G546" s="5" t="s">
        <v>39</v>
      </c>
      <c r="H546" s="5" t="s">
        <v>3163</v>
      </c>
      <c r="I546" s="5">
        <f t="shared" si="3"/>
        <v>0.1516</v>
      </c>
      <c r="J546" s="5" t="s">
        <v>3164</v>
      </c>
      <c r="K546" s="5">
        <f t="shared" si="4"/>
        <v>25.916124</v>
      </c>
      <c r="L546" s="5" t="s">
        <v>3165</v>
      </c>
      <c r="M546" s="5">
        <f t="shared" si="5"/>
        <v>0.0288</v>
      </c>
      <c r="N546" s="6" t="s">
        <v>5880</v>
      </c>
      <c r="O546" s="5">
        <f t="shared" si="6"/>
        <v>64</v>
      </c>
    </row>
    <row r="547">
      <c r="A547" s="6" t="s">
        <v>2488</v>
      </c>
      <c r="B547" s="6" t="s">
        <v>2591</v>
      </c>
      <c r="C547" s="5">
        <f t="shared" si="1"/>
        <v>11</v>
      </c>
      <c r="D547" s="1" t="s">
        <v>12</v>
      </c>
      <c r="E547" s="1" t="s">
        <v>60</v>
      </c>
      <c r="F547" s="1" t="str">
        <f t="shared" si="2"/>
        <v>Pink</v>
      </c>
      <c r="G547" s="5" t="s">
        <v>17</v>
      </c>
      <c r="H547" s="5" t="s">
        <v>414</v>
      </c>
      <c r="I547" s="5">
        <f t="shared" si="3"/>
        <v>0.0007</v>
      </c>
      <c r="J547" s="5" t="s">
        <v>3166</v>
      </c>
      <c r="K547" s="5">
        <f t="shared" si="4"/>
        <v>0.069621</v>
      </c>
      <c r="L547" s="5" t="s">
        <v>333</v>
      </c>
      <c r="M547" s="5">
        <f t="shared" si="5"/>
        <v>0.0003</v>
      </c>
      <c r="N547" s="6" t="s">
        <v>397</v>
      </c>
      <c r="O547" s="5">
        <f t="shared" si="6"/>
        <v>2</v>
      </c>
    </row>
    <row r="548">
      <c r="A548" s="6" t="s">
        <v>2488</v>
      </c>
      <c r="B548" s="6" t="s">
        <v>2591</v>
      </c>
      <c r="C548" s="5">
        <f t="shared" si="1"/>
        <v>11</v>
      </c>
      <c r="D548" s="1" t="s">
        <v>68</v>
      </c>
      <c r="E548" s="1" t="s">
        <v>2497</v>
      </c>
      <c r="F548" s="1" t="str">
        <f t="shared" si="2"/>
        <v>Green</v>
      </c>
      <c r="G548" s="5" t="s">
        <v>14</v>
      </c>
      <c r="H548" s="5" t="s">
        <v>3167</v>
      </c>
      <c r="I548" s="5">
        <f t="shared" si="3"/>
        <v>26.6778</v>
      </c>
      <c r="J548" s="5" t="s">
        <v>3168</v>
      </c>
      <c r="K548" s="5">
        <f t="shared" si="4"/>
        <v>1862.527017</v>
      </c>
      <c r="L548" s="9" t="s">
        <v>5881</v>
      </c>
      <c r="M548" s="5">
        <f t="shared" si="5"/>
        <v>5.6023</v>
      </c>
      <c r="N548" s="6" t="s">
        <v>5882</v>
      </c>
      <c r="O548" s="5">
        <f t="shared" si="6"/>
        <v>5924</v>
      </c>
    </row>
    <row r="549">
      <c r="A549" s="6" t="s">
        <v>2488</v>
      </c>
      <c r="B549" s="6" t="s">
        <v>2591</v>
      </c>
      <c r="C549" s="5">
        <f t="shared" si="1"/>
        <v>11</v>
      </c>
      <c r="D549" s="1" t="s">
        <v>68</v>
      </c>
      <c r="E549" s="1" t="s">
        <v>2497</v>
      </c>
      <c r="F549" s="1" t="str">
        <f t="shared" si="2"/>
        <v>Green</v>
      </c>
      <c r="G549" s="5" t="s">
        <v>17</v>
      </c>
      <c r="H549" s="5" t="s">
        <v>3170</v>
      </c>
      <c r="I549" s="5">
        <f t="shared" si="3"/>
        <v>65.9601</v>
      </c>
      <c r="J549" s="5" t="s">
        <v>3171</v>
      </c>
      <c r="K549" s="5">
        <f t="shared" si="4"/>
        <v>6276.647956</v>
      </c>
      <c r="L549" s="5" t="s">
        <v>3172</v>
      </c>
      <c r="M549" s="5">
        <f t="shared" si="5"/>
        <v>23.0859</v>
      </c>
      <c r="N549" s="6" t="s">
        <v>5883</v>
      </c>
      <c r="O549" s="5">
        <f t="shared" si="6"/>
        <v>10158</v>
      </c>
    </row>
    <row r="550">
      <c r="A550" s="6" t="s">
        <v>2488</v>
      </c>
      <c r="B550" s="6" t="s">
        <v>2591</v>
      </c>
      <c r="C550" s="5">
        <f t="shared" si="1"/>
        <v>11</v>
      </c>
      <c r="D550" s="1" t="s">
        <v>68</v>
      </c>
      <c r="E550" s="1" t="s">
        <v>2497</v>
      </c>
      <c r="F550" s="1" t="str">
        <f t="shared" si="2"/>
        <v>Green</v>
      </c>
      <c r="G550" s="5" t="s">
        <v>21</v>
      </c>
      <c r="H550" s="9" t="s">
        <v>5884</v>
      </c>
      <c r="I550" s="5">
        <f t="shared" si="3"/>
        <v>1.9498</v>
      </c>
      <c r="J550" s="5" t="s">
        <v>3173</v>
      </c>
      <c r="K550" s="5">
        <f t="shared" si="4"/>
        <v>303.855443</v>
      </c>
      <c r="L550" s="5" t="s">
        <v>3174</v>
      </c>
      <c r="M550" s="5">
        <f t="shared" si="5"/>
        <v>0.9749</v>
      </c>
      <c r="N550" s="6" t="s">
        <v>2491</v>
      </c>
      <c r="O550" s="5">
        <f t="shared" si="6"/>
        <v>545</v>
      </c>
    </row>
    <row r="551">
      <c r="A551" s="6" t="s">
        <v>2488</v>
      </c>
      <c r="B551" s="6" t="s">
        <v>2591</v>
      </c>
      <c r="C551" s="5">
        <f t="shared" si="1"/>
        <v>11</v>
      </c>
      <c r="D551" s="1" t="s">
        <v>68</v>
      </c>
      <c r="E551" s="1" t="s">
        <v>2497</v>
      </c>
      <c r="F551" s="1" t="str">
        <f t="shared" si="2"/>
        <v>Green</v>
      </c>
      <c r="G551" s="5" t="s">
        <v>25</v>
      </c>
      <c r="H551" s="5" t="s">
        <v>3175</v>
      </c>
      <c r="I551" s="5">
        <f t="shared" si="3"/>
        <v>0.2765</v>
      </c>
      <c r="J551" s="5" t="s">
        <v>3176</v>
      </c>
      <c r="K551" s="5">
        <f t="shared" si="4"/>
        <v>44.648981</v>
      </c>
      <c r="L551" s="5" t="s">
        <v>1669</v>
      </c>
      <c r="M551" s="5">
        <f t="shared" si="5"/>
        <v>0.2073</v>
      </c>
      <c r="N551" s="6" t="s">
        <v>4584</v>
      </c>
      <c r="O551" s="5">
        <f t="shared" si="6"/>
        <v>163</v>
      </c>
    </row>
    <row r="552">
      <c r="A552" s="6" t="s">
        <v>2488</v>
      </c>
      <c r="B552" s="6" t="s">
        <v>2591</v>
      </c>
      <c r="C552" s="5">
        <f t="shared" si="1"/>
        <v>11</v>
      </c>
      <c r="D552" s="1" t="s">
        <v>68</v>
      </c>
      <c r="E552" s="1" t="s">
        <v>29</v>
      </c>
      <c r="F552" s="1" t="str">
        <f t="shared" si="2"/>
        <v>Blue</v>
      </c>
      <c r="G552" s="5" t="s">
        <v>14</v>
      </c>
      <c r="H552" s="5" t="s">
        <v>1005</v>
      </c>
      <c r="I552" s="5">
        <f t="shared" si="3"/>
        <v>0.0267</v>
      </c>
      <c r="J552" s="5" t="s">
        <v>3177</v>
      </c>
      <c r="K552" s="5">
        <f t="shared" si="4"/>
        <v>3.119435</v>
      </c>
      <c r="L552" s="5" t="s">
        <v>3178</v>
      </c>
      <c r="M552" s="5">
        <f t="shared" si="5"/>
        <v>0.0054</v>
      </c>
      <c r="N552" s="6" t="s">
        <v>2672</v>
      </c>
      <c r="O552" s="5">
        <f t="shared" si="6"/>
        <v>8</v>
      </c>
    </row>
    <row r="553">
      <c r="A553" s="6" t="s">
        <v>2488</v>
      </c>
      <c r="B553" s="6" t="s">
        <v>2591</v>
      </c>
      <c r="C553" s="5">
        <f t="shared" si="1"/>
        <v>11</v>
      </c>
      <c r="D553" s="1" t="s">
        <v>68</v>
      </c>
      <c r="E553" s="1" t="s">
        <v>29</v>
      </c>
      <c r="F553" s="1" t="str">
        <f t="shared" si="2"/>
        <v>Blue</v>
      </c>
      <c r="G553" s="5" t="s">
        <v>21</v>
      </c>
      <c r="H553" s="9" t="s">
        <v>3180</v>
      </c>
      <c r="I553" s="5">
        <f t="shared" si="3"/>
        <v>8.1549</v>
      </c>
      <c r="J553" s="5" t="s">
        <v>3181</v>
      </c>
      <c r="K553" s="5">
        <f t="shared" si="4"/>
        <v>1411.382657</v>
      </c>
      <c r="L553" s="9" t="s">
        <v>5885</v>
      </c>
      <c r="M553" s="5">
        <f t="shared" si="5"/>
        <v>3.2619</v>
      </c>
      <c r="N553" s="6" t="s">
        <v>5886</v>
      </c>
      <c r="O553" s="5">
        <f t="shared" si="6"/>
        <v>1619</v>
      </c>
    </row>
    <row r="554">
      <c r="A554" s="6" t="s">
        <v>2488</v>
      </c>
      <c r="B554" s="6" t="s">
        <v>2591</v>
      </c>
      <c r="C554" s="5">
        <f t="shared" si="1"/>
        <v>11</v>
      </c>
      <c r="D554" s="1" t="s">
        <v>68</v>
      </c>
      <c r="E554" s="1" t="s">
        <v>38</v>
      </c>
      <c r="F554" s="1" t="str">
        <f t="shared" si="2"/>
        <v>White</v>
      </c>
      <c r="G554" s="5" t="s">
        <v>39</v>
      </c>
      <c r="H554" s="5" t="s">
        <v>3182</v>
      </c>
      <c r="I554" s="5">
        <f t="shared" si="3"/>
        <v>10.259</v>
      </c>
      <c r="J554" s="5" t="s">
        <v>3183</v>
      </c>
      <c r="K554" s="5">
        <f t="shared" si="4"/>
        <v>911.959193</v>
      </c>
      <c r="L554" s="9" t="s">
        <v>5887</v>
      </c>
      <c r="M554" s="5">
        <f t="shared" si="5"/>
        <v>1.8466</v>
      </c>
      <c r="N554" s="6" t="s">
        <v>5888</v>
      </c>
      <c r="O554" s="5">
        <f t="shared" si="6"/>
        <v>3204</v>
      </c>
    </row>
    <row r="555">
      <c r="A555" s="6" t="s">
        <v>2488</v>
      </c>
      <c r="B555" s="6" t="s">
        <v>2591</v>
      </c>
      <c r="C555" s="5">
        <f t="shared" si="1"/>
        <v>11</v>
      </c>
      <c r="D555" s="1" t="s">
        <v>68</v>
      </c>
      <c r="E555" s="1" t="s">
        <v>45</v>
      </c>
      <c r="F555" s="1" t="str">
        <f t="shared" si="2"/>
        <v>Yellow</v>
      </c>
      <c r="G555" s="5" t="s">
        <v>49</v>
      </c>
      <c r="H555" s="5" t="s">
        <v>3185</v>
      </c>
      <c r="I555" s="5">
        <f t="shared" si="3"/>
        <v>0.686</v>
      </c>
      <c r="J555" s="5" t="s">
        <v>3186</v>
      </c>
      <c r="K555" s="5">
        <f t="shared" si="4"/>
        <v>42.92005</v>
      </c>
      <c r="L555" s="5" t="s">
        <v>3187</v>
      </c>
      <c r="M555" s="5">
        <f t="shared" si="5"/>
        <v>0.1784</v>
      </c>
      <c r="N555" s="6" t="s">
        <v>3179</v>
      </c>
      <c r="O555" s="5">
        <f t="shared" si="6"/>
        <v>123</v>
      </c>
    </row>
    <row r="556">
      <c r="A556" s="6" t="s">
        <v>2488</v>
      </c>
      <c r="B556" s="6" t="s">
        <v>2591</v>
      </c>
      <c r="C556" s="5">
        <f t="shared" si="1"/>
        <v>11</v>
      </c>
      <c r="D556" s="1" t="s">
        <v>68</v>
      </c>
      <c r="E556" s="1" t="s">
        <v>45</v>
      </c>
      <c r="F556" s="1" t="str">
        <f t="shared" si="2"/>
        <v>Yellow</v>
      </c>
      <c r="G556" s="5" t="s">
        <v>17</v>
      </c>
      <c r="H556" s="9" t="s">
        <v>3188</v>
      </c>
      <c r="I556" s="5">
        <f t="shared" si="3"/>
        <v>12.0641</v>
      </c>
      <c r="J556" s="5" t="s">
        <v>3189</v>
      </c>
      <c r="K556" s="5">
        <f t="shared" si="4"/>
        <v>709.762952</v>
      </c>
      <c r="L556" s="5" t="s">
        <v>3190</v>
      </c>
      <c r="M556" s="5">
        <f t="shared" si="5"/>
        <v>4.343</v>
      </c>
      <c r="N556" s="6" t="s">
        <v>5889</v>
      </c>
      <c r="O556" s="5">
        <f t="shared" si="6"/>
        <v>1420</v>
      </c>
    </row>
    <row r="557">
      <c r="A557" s="6" t="s">
        <v>2488</v>
      </c>
      <c r="B557" s="6" t="s">
        <v>2591</v>
      </c>
      <c r="C557" s="5">
        <f t="shared" si="1"/>
        <v>11</v>
      </c>
      <c r="D557" s="1" t="s">
        <v>68</v>
      </c>
      <c r="E557" s="1" t="s">
        <v>1851</v>
      </c>
      <c r="F557" s="1" t="str">
        <f t="shared" si="2"/>
        <v>Rosy</v>
      </c>
      <c r="G557" s="5" t="s">
        <v>17</v>
      </c>
      <c r="H557" s="9" t="s">
        <v>5890</v>
      </c>
      <c r="I557" s="5">
        <f t="shared" si="3"/>
        <v>2.6768</v>
      </c>
      <c r="J557" s="5" t="s">
        <v>3191</v>
      </c>
      <c r="K557" s="5">
        <f t="shared" si="4"/>
        <v>167.301944</v>
      </c>
      <c r="L557" s="9" t="s">
        <v>3192</v>
      </c>
      <c r="M557" s="5">
        <f t="shared" si="5"/>
        <v>1.0306</v>
      </c>
      <c r="N557" s="6" t="s">
        <v>3917</v>
      </c>
      <c r="O557" s="5">
        <f t="shared" si="6"/>
        <v>788</v>
      </c>
    </row>
    <row r="558">
      <c r="A558" s="6" t="s">
        <v>2488</v>
      </c>
      <c r="B558" s="6" t="s">
        <v>2591</v>
      </c>
      <c r="C558" s="5">
        <f t="shared" si="1"/>
        <v>11</v>
      </c>
      <c r="D558" s="1" t="s">
        <v>68</v>
      </c>
      <c r="E558" s="1" t="s">
        <v>1851</v>
      </c>
      <c r="F558" s="1" t="str">
        <f t="shared" si="2"/>
        <v>Rosy</v>
      </c>
      <c r="G558" s="5" t="s">
        <v>21</v>
      </c>
      <c r="H558" s="9" t="s">
        <v>5891</v>
      </c>
      <c r="I558" s="5">
        <f t="shared" si="3"/>
        <v>1.2912</v>
      </c>
      <c r="J558" s="5" t="s">
        <v>3193</v>
      </c>
      <c r="K558" s="5">
        <f t="shared" si="4"/>
        <v>91.374932</v>
      </c>
      <c r="L558" s="5" t="s">
        <v>3194</v>
      </c>
      <c r="M558" s="5">
        <f t="shared" si="5"/>
        <v>0.6327</v>
      </c>
      <c r="N558" s="6" t="s">
        <v>5892</v>
      </c>
      <c r="O558" s="5">
        <f t="shared" si="6"/>
        <v>1002</v>
      </c>
    </row>
    <row r="559">
      <c r="A559" s="6" t="s">
        <v>2488</v>
      </c>
      <c r="B559" s="6" t="s">
        <v>2591</v>
      </c>
      <c r="C559" s="5">
        <f t="shared" si="1"/>
        <v>11</v>
      </c>
      <c r="D559" s="1" t="s">
        <v>68</v>
      </c>
      <c r="E559" s="1" t="s">
        <v>1830</v>
      </c>
      <c r="F559" s="1" t="str">
        <f t="shared" si="2"/>
        <v>Magenta</v>
      </c>
      <c r="G559" s="5" t="s">
        <v>72</v>
      </c>
      <c r="H559" s="9" t="s">
        <v>5893</v>
      </c>
      <c r="I559" s="5">
        <f t="shared" si="3"/>
        <v>1.9385</v>
      </c>
      <c r="J559" s="5" t="s">
        <v>3195</v>
      </c>
      <c r="K559" s="5">
        <f t="shared" si="4"/>
        <v>170.223986</v>
      </c>
      <c r="L559" s="5" t="s">
        <v>3196</v>
      </c>
      <c r="M559" s="5">
        <f t="shared" si="5"/>
        <v>0.6203</v>
      </c>
      <c r="N559" s="6" t="s">
        <v>5894</v>
      </c>
      <c r="O559" s="5">
        <f t="shared" si="6"/>
        <v>1671</v>
      </c>
    </row>
    <row r="560">
      <c r="A560" s="6" t="s">
        <v>2488</v>
      </c>
      <c r="B560" s="6" t="s">
        <v>2591</v>
      </c>
      <c r="C560" s="5">
        <f t="shared" si="1"/>
        <v>11</v>
      </c>
      <c r="D560" s="1" t="s">
        <v>68</v>
      </c>
      <c r="E560" s="1" t="s">
        <v>32</v>
      </c>
      <c r="F560" s="1" t="str">
        <f t="shared" si="2"/>
        <v>Black</v>
      </c>
      <c r="G560" s="5" t="s">
        <v>14</v>
      </c>
      <c r="H560" s="9" t="s">
        <v>3197</v>
      </c>
      <c r="I560" s="5">
        <f t="shared" si="3"/>
        <v>2.0573</v>
      </c>
      <c r="J560" s="5" t="s">
        <v>3198</v>
      </c>
      <c r="K560" s="5">
        <f t="shared" si="4"/>
        <v>141.777357</v>
      </c>
      <c r="L560" s="5" t="s">
        <v>3199</v>
      </c>
      <c r="M560" s="5">
        <f t="shared" si="5"/>
        <v>0.4732</v>
      </c>
      <c r="N560" s="6" t="s">
        <v>5895</v>
      </c>
      <c r="O560" s="5">
        <f t="shared" si="6"/>
        <v>673</v>
      </c>
    </row>
    <row r="561">
      <c r="A561" s="6" t="s">
        <v>2488</v>
      </c>
      <c r="B561" s="6" t="s">
        <v>2591</v>
      </c>
      <c r="C561" s="5">
        <f t="shared" si="1"/>
        <v>11</v>
      </c>
      <c r="D561" s="1" t="s">
        <v>68</v>
      </c>
      <c r="E561" s="1" t="s">
        <v>32</v>
      </c>
      <c r="F561" s="1" t="str">
        <f t="shared" si="2"/>
        <v>Black</v>
      </c>
      <c r="G561" s="5" t="s">
        <v>21</v>
      </c>
      <c r="H561" s="5" t="s">
        <v>3200</v>
      </c>
      <c r="I561" s="5">
        <f t="shared" si="3"/>
        <v>0.1111</v>
      </c>
      <c r="J561" s="5" t="s">
        <v>3201</v>
      </c>
      <c r="K561" s="5">
        <f t="shared" si="4"/>
        <v>9.832527</v>
      </c>
      <c r="L561" s="5" t="s">
        <v>3202</v>
      </c>
      <c r="M561" s="5">
        <f t="shared" si="5"/>
        <v>0.05</v>
      </c>
      <c r="N561" s="6" t="s">
        <v>3004</v>
      </c>
      <c r="O561" s="5">
        <f t="shared" si="6"/>
        <v>111</v>
      </c>
    </row>
    <row r="562">
      <c r="A562" s="6" t="s">
        <v>2488</v>
      </c>
      <c r="B562" s="6" t="s">
        <v>2591</v>
      </c>
      <c r="C562" s="5">
        <f t="shared" si="1"/>
        <v>11</v>
      </c>
      <c r="D562" s="1" t="s">
        <v>68</v>
      </c>
      <c r="E562" s="1" t="s">
        <v>2088</v>
      </c>
      <c r="F562" s="1" t="str">
        <f t="shared" si="2"/>
        <v>Lilac</v>
      </c>
      <c r="G562" s="5" t="s">
        <v>21</v>
      </c>
      <c r="H562" s="9" t="s">
        <v>3204</v>
      </c>
      <c r="I562" s="5">
        <f t="shared" si="3"/>
        <v>2.0803</v>
      </c>
      <c r="J562" s="5" t="s">
        <v>3205</v>
      </c>
      <c r="K562" s="5">
        <f t="shared" si="4"/>
        <v>150.476249</v>
      </c>
      <c r="L562" s="5" t="s">
        <v>3206</v>
      </c>
      <c r="M562" s="5">
        <f t="shared" si="5"/>
        <v>0.8321</v>
      </c>
      <c r="N562" s="6" t="s">
        <v>5896</v>
      </c>
      <c r="O562" s="5">
        <f t="shared" si="6"/>
        <v>660</v>
      </c>
    </row>
    <row r="563">
      <c r="A563" s="6" t="s">
        <v>2488</v>
      </c>
      <c r="B563" s="6" t="s">
        <v>2591</v>
      </c>
      <c r="C563" s="5">
        <f t="shared" si="1"/>
        <v>11</v>
      </c>
      <c r="D563" s="1" t="s">
        <v>68</v>
      </c>
      <c r="E563" s="1" t="s">
        <v>544</v>
      </c>
      <c r="F563" s="1" t="str">
        <f t="shared" si="2"/>
        <v>Golden</v>
      </c>
      <c r="G563" s="5" t="s">
        <v>17</v>
      </c>
      <c r="H563" s="9" t="s">
        <v>5897</v>
      </c>
      <c r="I563" s="5">
        <f t="shared" si="3"/>
        <v>1.6439</v>
      </c>
      <c r="J563" s="5" t="s">
        <v>3207</v>
      </c>
      <c r="K563" s="5">
        <f t="shared" si="4"/>
        <v>116.172805</v>
      </c>
      <c r="L563" s="5" t="s">
        <v>3208</v>
      </c>
      <c r="M563" s="5">
        <f t="shared" si="5"/>
        <v>0.5754</v>
      </c>
      <c r="N563" s="6" t="s">
        <v>5898</v>
      </c>
      <c r="O563" s="5">
        <f t="shared" si="6"/>
        <v>1077</v>
      </c>
    </row>
    <row r="564">
      <c r="A564" s="6" t="s">
        <v>2488</v>
      </c>
      <c r="B564" s="6" t="s">
        <v>2591</v>
      </c>
      <c r="C564" s="5">
        <f t="shared" si="1"/>
        <v>11</v>
      </c>
      <c r="D564" s="1" t="s">
        <v>68</v>
      </c>
      <c r="E564" s="1" t="s">
        <v>42</v>
      </c>
      <c r="F564" s="1" t="str">
        <f t="shared" si="2"/>
        <v>Red</v>
      </c>
      <c r="G564" s="5" t="s">
        <v>17</v>
      </c>
      <c r="H564" s="5" t="s">
        <v>3210</v>
      </c>
      <c r="I564" s="5">
        <f t="shared" si="3"/>
        <v>0.521</v>
      </c>
      <c r="J564" s="5" t="s">
        <v>3211</v>
      </c>
      <c r="K564" s="5">
        <f t="shared" si="4"/>
        <v>103.764818</v>
      </c>
      <c r="L564" s="5" t="s">
        <v>2866</v>
      </c>
      <c r="M564" s="5">
        <f t="shared" si="5"/>
        <v>0.1928</v>
      </c>
      <c r="N564" s="6" t="s">
        <v>291</v>
      </c>
      <c r="O564" s="5">
        <f t="shared" si="6"/>
        <v>0</v>
      </c>
    </row>
    <row r="565">
      <c r="A565" s="6" t="s">
        <v>2488</v>
      </c>
      <c r="B565" s="6" t="s">
        <v>2591</v>
      </c>
      <c r="C565" s="5">
        <f t="shared" si="1"/>
        <v>11</v>
      </c>
      <c r="D565" s="1" t="s">
        <v>116</v>
      </c>
      <c r="E565" s="1" t="s">
        <v>2497</v>
      </c>
      <c r="F565" s="1" t="str">
        <f t="shared" si="2"/>
        <v>Green</v>
      </c>
      <c r="G565" s="5" t="s">
        <v>14</v>
      </c>
      <c r="H565" s="5" t="s">
        <v>3212</v>
      </c>
      <c r="I565" s="5">
        <f t="shared" si="3"/>
        <v>91.0282</v>
      </c>
      <c r="J565" s="5" t="s">
        <v>3213</v>
      </c>
      <c r="K565" s="5">
        <f t="shared" si="4"/>
        <v>5751.850419</v>
      </c>
      <c r="L565" s="5" t="s">
        <v>3214</v>
      </c>
      <c r="M565" s="5">
        <f t="shared" si="5"/>
        <v>19.116</v>
      </c>
      <c r="N565" s="6" t="s">
        <v>5899</v>
      </c>
      <c r="O565" s="5">
        <f t="shared" si="6"/>
        <v>11309</v>
      </c>
    </row>
    <row r="566">
      <c r="A566" s="6" t="s">
        <v>2488</v>
      </c>
      <c r="B566" s="6" t="s">
        <v>2591</v>
      </c>
      <c r="C566" s="5">
        <f t="shared" si="1"/>
        <v>11</v>
      </c>
      <c r="D566" s="1" t="s">
        <v>116</v>
      </c>
      <c r="E566" s="1" t="s">
        <v>2497</v>
      </c>
      <c r="F566" s="1" t="str">
        <f t="shared" si="2"/>
        <v>Green</v>
      </c>
      <c r="G566" s="5" t="s">
        <v>17</v>
      </c>
      <c r="H566" s="5" t="s">
        <v>3215</v>
      </c>
      <c r="I566" s="5">
        <f t="shared" si="3"/>
        <v>148.5251</v>
      </c>
      <c r="J566" s="5" t="s">
        <v>3216</v>
      </c>
      <c r="K566" s="5">
        <f t="shared" si="4"/>
        <v>13843.01025</v>
      </c>
      <c r="L566" s="5" t="s">
        <v>3217</v>
      </c>
      <c r="M566" s="5">
        <f t="shared" si="5"/>
        <v>51.9838</v>
      </c>
      <c r="N566" s="6" t="s">
        <v>5900</v>
      </c>
      <c r="O566" s="5">
        <f t="shared" si="6"/>
        <v>17986</v>
      </c>
    </row>
    <row r="567">
      <c r="A567" s="6" t="s">
        <v>2488</v>
      </c>
      <c r="B567" s="6" t="s">
        <v>2591</v>
      </c>
      <c r="C567" s="5">
        <f t="shared" si="1"/>
        <v>11</v>
      </c>
      <c r="D567" s="1" t="s">
        <v>116</v>
      </c>
      <c r="E567" s="1" t="s">
        <v>2497</v>
      </c>
      <c r="F567" s="1" t="str">
        <f t="shared" si="2"/>
        <v>Green</v>
      </c>
      <c r="G567" s="5" t="s">
        <v>21</v>
      </c>
      <c r="H567" s="5" t="s">
        <v>3218</v>
      </c>
      <c r="I567" s="5">
        <f t="shared" si="3"/>
        <v>13.1242</v>
      </c>
      <c r="J567" s="5" t="s">
        <v>3219</v>
      </c>
      <c r="K567" s="5">
        <f t="shared" si="4"/>
        <v>1613.783187</v>
      </c>
      <c r="L567" s="9" t="s">
        <v>5901</v>
      </c>
      <c r="M567" s="5">
        <f t="shared" si="5"/>
        <v>6.5621</v>
      </c>
      <c r="N567" s="6" t="s">
        <v>5131</v>
      </c>
      <c r="O567" s="5">
        <f t="shared" si="6"/>
        <v>721</v>
      </c>
    </row>
    <row r="568">
      <c r="A568" s="6" t="s">
        <v>2488</v>
      </c>
      <c r="B568" s="6" t="s">
        <v>2591</v>
      </c>
      <c r="C568" s="5">
        <f t="shared" si="1"/>
        <v>11</v>
      </c>
      <c r="D568" s="1" t="s">
        <v>116</v>
      </c>
      <c r="E568" s="1" t="s">
        <v>2497</v>
      </c>
      <c r="F568" s="1" t="str">
        <f t="shared" si="2"/>
        <v>Green</v>
      </c>
      <c r="G568" s="5" t="s">
        <v>25</v>
      </c>
      <c r="H568" s="5" t="s">
        <v>3220</v>
      </c>
      <c r="I568" s="5">
        <f t="shared" si="3"/>
        <v>0.0116</v>
      </c>
      <c r="J568" s="5" t="s">
        <v>3221</v>
      </c>
      <c r="K568" s="5">
        <f t="shared" si="4"/>
        <v>1.818643</v>
      </c>
      <c r="L568" s="5" t="s">
        <v>3222</v>
      </c>
      <c r="M568" s="5">
        <f t="shared" si="5"/>
        <v>0.0087</v>
      </c>
      <c r="N568" s="6" t="s">
        <v>2677</v>
      </c>
      <c r="O568" s="5">
        <f t="shared" si="6"/>
        <v>3</v>
      </c>
    </row>
    <row r="569">
      <c r="A569" s="6" t="s">
        <v>2488</v>
      </c>
      <c r="B569" s="6" t="s">
        <v>2591</v>
      </c>
      <c r="C569" s="5">
        <f t="shared" si="1"/>
        <v>11</v>
      </c>
      <c r="D569" s="1" t="s">
        <v>116</v>
      </c>
      <c r="E569" s="1" t="s">
        <v>29</v>
      </c>
      <c r="F569" s="1" t="str">
        <f t="shared" si="2"/>
        <v>Blue</v>
      </c>
      <c r="G569" s="5" t="s">
        <v>14</v>
      </c>
      <c r="H569" s="5" t="s">
        <v>3223</v>
      </c>
      <c r="I569" s="5">
        <f t="shared" si="3"/>
        <v>0.9913</v>
      </c>
      <c r="J569" s="5" t="s">
        <v>3224</v>
      </c>
      <c r="K569" s="5">
        <f t="shared" si="4"/>
        <v>116.186596</v>
      </c>
      <c r="L569" s="5" t="s">
        <v>3225</v>
      </c>
      <c r="M569" s="5">
        <f t="shared" si="5"/>
        <v>0.1983</v>
      </c>
      <c r="N569" s="6" t="s">
        <v>4752</v>
      </c>
      <c r="O569" s="5">
        <f t="shared" si="6"/>
        <v>252</v>
      </c>
    </row>
    <row r="570">
      <c r="A570" s="6" t="s">
        <v>2488</v>
      </c>
      <c r="B570" s="6" t="s">
        <v>2591</v>
      </c>
      <c r="C570" s="5">
        <f t="shared" si="1"/>
        <v>11</v>
      </c>
      <c r="D570" s="1" t="s">
        <v>116</v>
      </c>
      <c r="E570" s="1" t="s">
        <v>29</v>
      </c>
      <c r="F570" s="1" t="str">
        <f t="shared" si="2"/>
        <v>Blue</v>
      </c>
      <c r="G570" s="5" t="s">
        <v>21</v>
      </c>
      <c r="H570" s="5" t="s">
        <v>3226</v>
      </c>
      <c r="I570" s="5">
        <f t="shared" si="3"/>
        <v>49.3487</v>
      </c>
      <c r="J570" s="5" t="s">
        <v>3227</v>
      </c>
      <c r="K570" s="5">
        <f t="shared" si="4"/>
        <v>8723.807701</v>
      </c>
      <c r="L570" s="5" t="s">
        <v>3228</v>
      </c>
      <c r="M570" s="5">
        <f t="shared" si="5"/>
        <v>19.7395</v>
      </c>
      <c r="N570" s="6" t="s">
        <v>5902</v>
      </c>
      <c r="O570" s="5">
        <f t="shared" si="6"/>
        <v>4650</v>
      </c>
    </row>
    <row r="571">
      <c r="A571" s="6" t="s">
        <v>2488</v>
      </c>
      <c r="B571" s="6" t="s">
        <v>2591</v>
      </c>
      <c r="C571" s="5">
        <f t="shared" si="1"/>
        <v>11</v>
      </c>
      <c r="D571" s="1" t="s">
        <v>116</v>
      </c>
      <c r="E571" s="1" t="s">
        <v>45</v>
      </c>
      <c r="F571" s="1" t="str">
        <f t="shared" si="2"/>
        <v>Yellow</v>
      </c>
      <c r="G571" s="5" t="s">
        <v>49</v>
      </c>
      <c r="H571" s="9" t="s">
        <v>5903</v>
      </c>
      <c r="I571" s="5">
        <f t="shared" si="3"/>
        <v>1.5021</v>
      </c>
      <c r="J571" s="5" t="s">
        <v>3229</v>
      </c>
      <c r="K571" s="5">
        <f t="shared" si="4"/>
        <v>94.162771</v>
      </c>
      <c r="L571" s="5" t="s">
        <v>3230</v>
      </c>
      <c r="M571" s="5">
        <f t="shared" si="5"/>
        <v>0.3905</v>
      </c>
      <c r="N571" s="6" t="s">
        <v>5904</v>
      </c>
      <c r="O571" s="5">
        <f t="shared" si="6"/>
        <v>299</v>
      </c>
    </row>
    <row r="572">
      <c r="A572" s="6" t="s">
        <v>2488</v>
      </c>
      <c r="B572" s="6" t="s">
        <v>2591</v>
      </c>
      <c r="C572" s="5">
        <f t="shared" si="1"/>
        <v>11</v>
      </c>
      <c r="D572" s="1" t="s">
        <v>116</v>
      </c>
      <c r="E572" s="1" t="s">
        <v>45</v>
      </c>
      <c r="F572" s="1" t="str">
        <f t="shared" si="2"/>
        <v>Yellow</v>
      </c>
      <c r="G572" s="5" t="s">
        <v>17</v>
      </c>
      <c r="H572" s="5" t="s">
        <v>3231</v>
      </c>
      <c r="I572" s="5">
        <f t="shared" si="3"/>
        <v>31.1936</v>
      </c>
      <c r="J572" s="5" t="s">
        <v>3232</v>
      </c>
      <c r="K572" s="5">
        <f t="shared" si="4"/>
        <v>1961.295407</v>
      </c>
      <c r="L572" s="9" t="s">
        <v>5905</v>
      </c>
      <c r="M572" s="5">
        <f t="shared" si="5"/>
        <v>11.2297</v>
      </c>
      <c r="N572" s="6" t="s">
        <v>5906</v>
      </c>
      <c r="O572" s="5">
        <f t="shared" si="6"/>
        <v>1922</v>
      </c>
    </row>
    <row r="573">
      <c r="A573" s="6" t="s">
        <v>2488</v>
      </c>
      <c r="B573" s="6" t="s">
        <v>2591</v>
      </c>
      <c r="C573" s="5">
        <f t="shared" si="1"/>
        <v>11</v>
      </c>
      <c r="D573" s="1" t="s">
        <v>116</v>
      </c>
      <c r="E573" s="1" t="s">
        <v>38</v>
      </c>
      <c r="F573" s="1" t="str">
        <f t="shared" si="2"/>
        <v>White</v>
      </c>
      <c r="G573" s="5" t="s">
        <v>39</v>
      </c>
      <c r="H573" s="5" t="s">
        <v>3233</v>
      </c>
      <c r="I573" s="5">
        <f t="shared" si="3"/>
        <v>16.482</v>
      </c>
      <c r="J573" s="5" t="s">
        <v>3234</v>
      </c>
      <c r="K573" s="5">
        <f t="shared" si="4"/>
        <v>1502.999939</v>
      </c>
      <c r="L573" s="9" t="s">
        <v>5907</v>
      </c>
      <c r="M573" s="5">
        <f t="shared" si="5"/>
        <v>2.9668</v>
      </c>
      <c r="N573" s="6" t="s">
        <v>5908</v>
      </c>
      <c r="O573" s="5">
        <f t="shared" si="6"/>
        <v>4821</v>
      </c>
    </row>
    <row r="574">
      <c r="A574" s="6" t="s">
        <v>2488</v>
      </c>
      <c r="B574" s="6" t="s">
        <v>2591</v>
      </c>
      <c r="C574" s="5">
        <f t="shared" si="1"/>
        <v>11</v>
      </c>
      <c r="D574" s="1" t="s">
        <v>116</v>
      </c>
      <c r="E574" s="1" t="s">
        <v>1851</v>
      </c>
      <c r="F574" s="1" t="str">
        <f t="shared" si="2"/>
        <v>Rosy</v>
      </c>
      <c r="G574" s="5" t="s">
        <v>17</v>
      </c>
      <c r="H574" s="9" t="s">
        <v>3235</v>
      </c>
      <c r="I574" s="5">
        <f t="shared" si="3"/>
        <v>8.0768</v>
      </c>
      <c r="J574" s="5" t="s">
        <v>3236</v>
      </c>
      <c r="K574" s="5">
        <f t="shared" si="4"/>
        <v>479.585418</v>
      </c>
      <c r="L574" s="9" t="s">
        <v>3237</v>
      </c>
      <c r="M574" s="5">
        <f t="shared" si="5"/>
        <v>3.1096</v>
      </c>
      <c r="N574" s="6" t="s">
        <v>5909</v>
      </c>
      <c r="O574" s="5">
        <f t="shared" si="6"/>
        <v>2321</v>
      </c>
    </row>
    <row r="575">
      <c r="A575" s="6" t="s">
        <v>2488</v>
      </c>
      <c r="B575" s="6" t="s">
        <v>2591</v>
      </c>
      <c r="C575" s="5">
        <f t="shared" si="1"/>
        <v>11</v>
      </c>
      <c r="D575" s="1" t="s">
        <v>116</v>
      </c>
      <c r="E575" s="1" t="s">
        <v>1851</v>
      </c>
      <c r="F575" s="1" t="str">
        <f t="shared" si="2"/>
        <v>Rosy</v>
      </c>
      <c r="G575" s="5" t="s">
        <v>21</v>
      </c>
      <c r="H575" s="9" t="s">
        <v>5910</v>
      </c>
      <c r="I575" s="5">
        <f t="shared" si="3"/>
        <v>1.7141</v>
      </c>
      <c r="J575" s="5" t="s">
        <v>3238</v>
      </c>
      <c r="K575" s="5">
        <f t="shared" si="4"/>
        <v>119.786021</v>
      </c>
      <c r="L575" s="5" t="s">
        <v>3239</v>
      </c>
      <c r="M575" s="5">
        <f t="shared" si="5"/>
        <v>0.8399</v>
      </c>
      <c r="N575" s="6" t="s">
        <v>5911</v>
      </c>
      <c r="O575" s="5">
        <f t="shared" si="6"/>
        <v>1202</v>
      </c>
    </row>
    <row r="576">
      <c r="A576" s="6" t="s">
        <v>2488</v>
      </c>
      <c r="B576" s="6" t="s">
        <v>2591</v>
      </c>
      <c r="C576" s="5">
        <f t="shared" si="1"/>
        <v>11</v>
      </c>
      <c r="D576" s="1" t="s">
        <v>116</v>
      </c>
      <c r="E576" s="1" t="s">
        <v>42</v>
      </c>
      <c r="F576" s="1" t="str">
        <f t="shared" si="2"/>
        <v>Red</v>
      </c>
      <c r="G576" s="5" t="s">
        <v>17</v>
      </c>
      <c r="H576" s="5" t="s">
        <v>3240</v>
      </c>
      <c r="I576" s="5">
        <f t="shared" si="3"/>
        <v>1.827</v>
      </c>
      <c r="J576" s="5" t="s">
        <v>3241</v>
      </c>
      <c r="K576" s="5">
        <f t="shared" si="4"/>
        <v>378.372655</v>
      </c>
      <c r="L576" s="5" t="s">
        <v>3242</v>
      </c>
      <c r="M576" s="5">
        <f t="shared" si="5"/>
        <v>0.676</v>
      </c>
      <c r="N576" s="6" t="s">
        <v>291</v>
      </c>
      <c r="O576" s="5">
        <f t="shared" si="6"/>
        <v>0</v>
      </c>
    </row>
    <row r="577">
      <c r="A577" s="6" t="s">
        <v>2488</v>
      </c>
      <c r="B577" s="6" t="s">
        <v>2591</v>
      </c>
      <c r="C577" s="5">
        <f t="shared" si="1"/>
        <v>11</v>
      </c>
      <c r="D577" s="1" t="s">
        <v>116</v>
      </c>
      <c r="E577" s="1" t="s">
        <v>147</v>
      </c>
      <c r="F577" s="1" t="str">
        <f t="shared" si="2"/>
        <v>Deep</v>
      </c>
      <c r="G577" s="5" t="s">
        <v>39</v>
      </c>
      <c r="H577" s="9" t="s">
        <v>3243</v>
      </c>
      <c r="I577" s="5">
        <f t="shared" si="3"/>
        <v>1.0677</v>
      </c>
      <c r="J577" s="5" t="s">
        <v>3245</v>
      </c>
      <c r="K577" s="5">
        <f t="shared" si="4"/>
        <v>321.767696</v>
      </c>
      <c r="L577" s="5" t="s">
        <v>3247</v>
      </c>
      <c r="M577" s="5">
        <f t="shared" si="5"/>
        <v>0.2027</v>
      </c>
      <c r="N577" s="6" t="s">
        <v>1510</v>
      </c>
      <c r="O577" s="5">
        <f t="shared" si="6"/>
        <v>108</v>
      </c>
    </row>
    <row r="578">
      <c r="A578" s="6" t="s">
        <v>2488</v>
      </c>
      <c r="B578" s="6" t="s">
        <v>2591</v>
      </c>
      <c r="C578" s="5">
        <f t="shared" si="1"/>
        <v>11</v>
      </c>
      <c r="D578" s="1" t="s">
        <v>116</v>
      </c>
      <c r="E578" s="1" t="s">
        <v>147</v>
      </c>
      <c r="F578" s="1" t="str">
        <f t="shared" si="2"/>
        <v>Deep</v>
      </c>
      <c r="G578" s="5" t="s">
        <v>17</v>
      </c>
      <c r="H578" s="5" t="s">
        <v>1418</v>
      </c>
      <c r="I578" s="5">
        <f t="shared" si="3"/>
        <v>0.0168</v>
      </c>
      <c r="J578" s="5" t="s">
        <v>3248</v>
      </c>
      <c r="K578" s="5">
        <f t="shared" si="4"/>
        <v>7.170603</v>
      </c>
      <c r="L578" s="5" t="s">
        <v>1413</v>
      </c>
      <c r="M578" s="5">
        <f t="shared" si="5"/>
        <v>0.006</v>
      </c>
      <c r="N578" s="6" t="s">
        <v>3552</v>
      </c>
      <c r="O578" s="5">
        <f t="shared" si="6"/>
        <v>5</v>
      </c>
    </row>
    <row r="579">
      <c r="A579" s="6" t="s">
        <v>2488</v>
      </c>
      <c r="B579" s="6" t="s">
        <v>2591</v>
      </c>
      <c r="C579" s="5">
        <f t="shared" si="1"/>
        <v>11</v>
      </c>
      <c r="D579" s="1" t="s">
        <v>116</v>
      </c>
      <c r="E579" s="1" t="s">
        <v>147</v>
      </c>
      <c r="F579" s="1" t="str">
        <f t="shared" si="2"/>
        <v>Deep</v>
      </c>
      <c r="G579" s="5" t="s">
        <v>21</v>
      </c>
      <c r="H579" s="5" t="s">
        <v>3249</v>
      </c>
      <c r="I579" s="5">
        <f t="shared" si="3"/>
        <v>0.0466</v>
      </c>
      <c r="J579" s="5" t="s">
        <v>3250</v>
      </c>
      <c r="K579" s="5">
        <f t="shared" si="4"/>
        <v>24.183679</v>
      </c>
      <c r="L579" s="5" t="s">
        <v>3122</v>
      </c>
      <c r="M579" s="5">
        <f t="shared" si="5"/>
        <v>0.0233</v>
      </c>
      <c r="N579" s="6" t="s">
        <v>5064</v>
      </c>
      <c r="O579" s="5">
        <f t="shared" si="6"/>
        <v>39</v>
      </c>
    </row>
    <row r="580">
      <c r="A580" s="6" t="s">
        <v>2488</v>
      </c>
      <c r="B580" s="6" t="s">
        <v>2591</v>
      </c>
      <c r="C580" s="5">
        <f t="shared" si="1"/>
        <v>11</v>
      </c>
      <c r="D580" s="1" t="s">
        <v>116</v>
      </c>
      <c r="E580" s="1" t="s">
        <v>1830</v>
      </c>
      <c r="F580" s="1" t="str">
        <f t="shared" si="2"/>
        <v>Magenta</v>
      </c>
      <c r="G580" s="5" t="s">
        <v>72</v>
      </c>
      <c r="H580" s="9" t="s">
        <v>6054</v>
      </c>
      <c r="I580" s="5">
        <f t="shared" si="3"/>
        <v>3.8501</v>
      </c>
      <c r="J580" s="5" t="s">
        <v>3251</v>
      </c>
      <c r="K580" s="5">
        <f t="shared" si="4"/>
        <v>311.613187</v>
      </c>
      <c r="L580" s="5" t="s">
        <v>3253</v>
      </c>
      <c r="M580" s="5">
        <f t="shared" si="5"/>
        <v>1.232</v>
      </c>
      <c r="N580" s="6" t="s">
        <v>6055</v>
      </c>
      <c r="O580" s="5">
        <f t="shared" si="6"/>
        <v>2984</v>
      </c>
    </row>
    <row r="581">
      <c r="A581" s="6" t="s">
        <v>2488</v>
      </c>
      <c r="B581" s="6" t="s">
        <v>2591</v>
      </c>
      <c r="C581" s="5">
        <f t="shared" si="1"/>
        <v>11</v>
      </c>
      <c r="D581" s="1" t="s">
        <v>116</v>
      </c>
      <c r="E581" s="1" t="s">
        <v>48</v>
      </c>
      <c r="F581" s="1" t="str">
        <f t="shared" si="2"/>
        <v>Orange</v>
      </c>
      <c r="G581" s="5" t="s">
        <v>49</v>
      </c>
      <c r="H581" s="5" t="s">
        <v>3254</v>
      </c>
      <c r="I581" s="5">
        <f t="shared" si="3"/>
        <v>0.3133</v>
      </c>
      <c r="J581" s="5" t="s">
        <v>3255</v>
      </c>
      <c r="K581" s="5">
        <f t="shared" si="4"/>
        <v>119.615482</v>
      </c>
      <c r="L581" s="5" t="s">
        <v>793</v>
      </c>
      <c r="M581" s="5">
        <f t="shared" si="5"/>
        <v>0.0877</v>
      </c>
      <c r="N581" s="6" t="s">
        <v>291</v>
      </c>
      <c r="O581" s="5">
        <f t="shared" si="6"/>
        <v>0</v>
      </c>
    </row>
    <row r="582">
      <c r="A582" s="6" t="s">
        <v>2488</v>
      </c>
      <c r="B582" s="6" t="s">
        <v>2591</v>
      </c>
      <c r="C582" s="5">
        <f t="shared" si="1"/>
        <v>11</v>
      </c>
      <c r="D582" s="1" t="s">
        <v>116</v>
      </c>
      <c r="E582" s="1" t="s">
        <v>48</v>
      </c>
      <c r="F582" s="1" t="str">
        <f t="shared" si="2"/>
        <v>Orange</v>
      </c>
      <c r="G582" s="5" t="s">
        <v>72</v>
      </c>
      <c r="H582" s="5" t="s">
        <v>331</v>
      </c>
      <c r="I582" s="5">
        <f t="shared" si="3"/>
        <v>0.0016</v>
      </c>
      <c r="J582" s="5" t="s">
        <v>3256</v>
      </c>
      <c r="K582" s="5">
        <f t="shared" si="4"/>
        <v>0.526536</v>
      </c>
      <c r="L582" s="5" t="s">
        <v>674</v>
      </c>
      <c r="M582" s="5">
        <f t="shared" si="5"/>
        <v>0.0005</v>
      </c>
      <c r="N582" s="6" t="s">
        <v>291</v>
      </c>
      <c r="O582" s="5">
        <f t="shared" si="6"/>
        <v>0</v>
      </c>
    </row>
    <row r="583">
      <c r="A583" s="6" t="s">
        <v>2488</v>
      </c>
      <c r="B583" s="6" t="s">
        <v>2591</v>
      </c>
      <c r="C583" s="5">
        <f t="shared" si="1"/>
        <v>11</v>
      </c>
      <c r="D583" s="1" t="s">
        <v>116</v>
      </c>
      <c r="E583" s="1" t="s">
        <v>48</v>
      </c>
      <c r="F583" s="1" t="str">
        <f t="shared" si="2"/>
        <v>Orange</v>
      </c>
      <c r="G583" s="5" t="s">
        <v>21</v>
      </c>
      <c r="H583" s="9" t="s">
        <v>3259</v>
      </c>
      <c r="I583" s="5">
        <f t="shared" si="3"/>
        <v>1.1007</v>
      </c>
      <c r="J583" s="5" t="s">
        <v>3260</v>
      </c>
      <c r="K583" s="5">
        <f t="shared" si="4"/>
        <v>150.34304</v>
      </c>
      <c r="L583" s="5" t="s">
        <v>3261</v>
      </c>
      <c r="M583" s="5">
        <f t="shared" si="5"/>
        <v>0.4403</v>
      </c>
      <c r="N583" s="6" t="s">
        <v>291</v>
      </c>
      <c r="O583" s="5">
        <f t="shared" si="6"/>
        <v>0</v>
      </c>
    </row>
    <row r="584">
      <c r="A584" s="6" t="s">
        <v>2488</v>
      </c>
      <c r="B584" s="6" t="s">
        <v>2591</v>
      </c>
      <c r="C584" s="5">
        <f t="shared" si="1"/>
        <v>11</v>
      </c>
      <c r="D584" s="1" t="s">
        <v>116</v>
      </c>
      <c r="E584" s="1" t="s">
        <v>1949</v>
      </c>
      <c r="F584" s="1" t="str">
        <f t="shared" si="2"/>
        <v>Beige</v>
      </c>
      <c r="G584" s="5" t="s">
        <v>14</v>
      </c>
      <c r="H584" s="5" t="s">
        <v>3262</v>
      </c>
      <c r="I584" s="5">
        <f t="shared" si="3"/>
        <v>0.2777</v>
      </c>
      <c r="J584" s="5" t="s">
        <v>3263</v>
      </c>
      <c r="K584" s="5">
        <f t="shared" si="4"/>
        <v>139.085529</v>
      </c>
      <c r="L584" s="5" t="s">
        <v>3264</v>
      </c>
      <c r="M584" s="5">
        <f t="shared" si="5"/>
        <v>0.0556</v>
      </c>
      <c r="N584" s="6" t="s">
        <v>291</v>
      </c>
      <c r="O584" s="5">
        <f t="shared" si="6"/>
        <v>0</v>
      </c>
    </row>
    <row r="585">
      <c r="A585" s="6" t="s">
        <v>2488</v>
      </c>
      <c r="B585" s="6" t="s">
        <v>2591</v>
      </c>
      <c r="C585" s="5">
        <f t="shared" si="1"/>
        <v>11</v>
      </c>
      <c r="D585" s="1" t="s">
        <v>116</v>
      </c>
      <c r="E585" s="1" t="s">
        <v>1949</v>
      </c>
      <c r="F585" s="1" t="str">
        <f t="shared" si="2"/>
        <v>Beige</v>
      </c>
      <c r="G585" s="5" t="s">
        <v>17</v>
      </c>
      <c r="H585" s="5" t="s">
        <v>3265</v>
      </c>
      <c r="I585" s="5">
        <f t="shared" si="3"/>
        <v>0.2557</v>
      </c>
      <c r="J585" s="5" t="s">
        <v>3266</v>
      </c>
      <c r="K585" s="5">
        <f t="shared" si="4"/>
        <v>129.399208</v>
      </c>
      <c r="L585" s="5" t="s">
        <v>3045</v>
      </c>
      <c r="M585" s="5">
        <f t="shared" si="5"/>
        <v>0.0894</v>
      </c>
      <c r="N585" s="6" t="s">
        <v>291</v>
      </c>
      <c r="O585" s="5">
        <f t="shared" si="6"/>
        <v>0</v>
      </c>
    </row>
    <row r="586">
      <c r="A586" s="6" t="s">
        <v>2488</v>
      </c>
      <c r="B586" s="6" t="s">
        <v>2793</v>
      </c>
      <c r="C586" s="5">
        <f t="shared" si="1"/>
        <v>12</v>
      </c>
      <c r="D586" s="1" t="s">
        <v>12</v>
      </c>
      <c r="E586" s="1" t="s">
        <v>2497</v>
      </c>
      <c r="F586" s="1" t="str">
        <f t="shared" si="2"/>
        <v>Green</v>
      </c>
      <c r="G586" s="5" t="s">
        <v>14</v>
      </c>
      <c r="H586" s="9" t="s">
        <v>6063</v>
      </c>
      <c r="I586" s="5">
        <f t="shared" si="3"/>
        <v>8.2873</v>
      </c>
      <c r="J586" s="5" t="s">
        <v>3268</v>
      </c>
      <c r="K586" s="5">
        <f t="shared" si="4"/>
        <v>584.439645</v>
      </c>
      <c r="L586" s="9" t="s">
        <v>6064</v>
      </c>
      <c r="M586" s="5">
        <f t="shared" si="5"/>
        <v>1.7403</v>
      </c>
      <c r="N586" s="6" t="s">
        <v>4158</v>
      </c>
      <c r="O586" s="5">
        <f t="shared" si="6"/>
        <v>484</v>
      </c>
    </row>
    <row r="587">
      <c r="A587" s="6" t="s">
        <v>2488</v>
      </c>
      <c r="B587" s="6" t="s">
        <v>2793</v>
      </c>
      <c r="C587" s="5">
        <f t="shared" si="1"/>
        <v>12</v>
      </c>
      <c r="D587" s="1" t="s">
        <v>12</v>
      </c>
      <c r="E587" s="1" t="s">
        <v>2497</v>
      </c>
      <c r="F587" s="1" t="str">
        <f t="shared" si="2"/>
        <v>Green</v>
      </c>
      <c r="G587" s="5" t="s">
        <v>17</v>
      </c>
      <c r="H587" s="5" t="s">
        <v>3269</v>
      </c>
      <c r="I587" s="5">
        <f t="shared" si="3"/>
        <v>58.9269</v>
      </c>
      <c r="J587" s="5" t="s">
        <v>3270</v>
      </c>
      <c r="K587" s="5">
        <f t="shared" si="4"/>
        <v>5261.899307</v>
      </c>
      <c r="L587" s="5" t="s">
        <v>3271</v>
      </c>
      <c r="M587" s="5">
        <f t="shared" si="5"/>
        <v>20.6244</v>
      </c>
      <c r="N587" s="6" t="s">
        <v>4655</v>
      </c>
      <c r="O587" s="5">
        <f t="shared" si="6"/>
        <v>782</v>
      </c>
    </row>
    <row r="588">
      <c r="A588" s="6" t="s">
        <v>2488</v>
      </c>
      <c r="B588" s="6" t="s">
        <v>2793</v>
      </c>
      <c r="C588" s="5">
        <f t="shared" si="1"/>
        <v>12</v>
      </c>
      <c r="D588" s="1" t="s">
        <v>12</v>
      </c>
      <c r="E588" s="1" t="s">
        <v>2497</v>
      </c>
      <c r="F588" s="1" t="str">
        <f t="shared" si="2"/>
        <v>Green</v>
      </c>
      <c r="G588" s="5" t="s">
        <v>21</v>
      </c>
      <c r="H588" s="5" t="s">
        <v>3272</v>
      </c>
      <c r="I588" s="5">
        <f t="shared" si="3"/>
        <v>40.0693</v>
      </c>
      <c r="J588" s="5" t="s">
        <v>3273</v>
      </c>
      <c r="K588" s="5">
        <f t="shared" si="4"/>
        <v>4483.308138</v>
      </c>
      <c r="L588" s="5" t="s">
        <v>3274</v>
      </c>
      <c r="M588" s="5">
        <f t="shared" si="5"/>
        <v>20.0346</v>
      </c>
      <c r="N588" s="6" t="s">
        <v>6068</v>
      </c>
      <c r="O588" s="5">
        <f t="shared" si="6"/>
        <v>666</v>
      </c>
    </row>
    <row r="589">
      <c r="A589" s="6" t="s">
        <v>2488</v>
      </c>
      <c r="B589" s="6" t="s">
        <v>2793</v>
      </c>
      <c r="C589" s="5">
        <f t="shared" si="1"/>
        <v>12</v>
      </c>
      <c r="D589" s="1" t="s">
        <v>12</v>
      </c>
      <c r="E589" s="1" t="s">
        <v>29</v>
      </c>
      <c r="F589" s="1" t="str">
        <f t="shared" si="2"/>
        <v>Blue</v>
      </c>
      <c r="G589" s="5" t="s">
        <v>14</v>
      </c>
      <c r="H589" s="5" t="s">
        <v>3275</v>
      </c>
      <c r="I589" s="5">
        <f t="shared" si="3"/>
        <v>0.126</v>
      </c>
      <c r="J589" s="5" t="s">
        <v>3276</v>
      </c>
      <c r="K589" s="5">
        <f t="shared" si="4"/>
        <v>15.565614</v>
      </c>
      <c r="L589" s="5" t="s">
        <v>3277</v>
      </c>
      <c r="M589" s="5">
        <f t="shared" si="5"/>
        <v>0.0252</v>
      </c>
      <c r="N589" s="6" t="s">
        <v>2591</v>
      </c>
      <c r="O589" s="5">
        <f t="shared" si="6"/>
        <v>11</v>
      </c>
    </row>
    <row r="590">
      <c r="A590" s="6" t="s">
        <v>2488</v>
      </c>
      <c r="B590" s="6" t="s">
        <v>2793</v>
      </c>
      <c r="C590" s="5">
        <f t="shared" si="1"/>
        <v>12</v>
      </c>
      <c r="D590" s="1" t="s">
        <v>12</v>
      </c>
      <c r="E590" s="1" t="s">
        <v>29</v>
      </c>
      <c r="F590" s="1" t="str">
        <f t="shared" si="2"/>
        <v>Blue</v>
      </c>
      <c r="G590" s="5" t="s">
        <v>21</v>
      </c>
      <c r="H590" s="5" t="s">
        <v>3280</v>
      </c>
      <c r="I590" s="5">
        <f t="shared" si="3"/>
        <v>48.5318</v>
      </c>
      <c r="J590" s="5" t="s">
        <v>3281</v>
      </c>
      <c r="K590" s="5">
        <f t="shared" si="4"/>
        <v>7688.316923</v>
      </c>
      <c r="L590" s="5" t="s">
        <v>3282</v>
      </c>
      <c r="M590" s="5">
        <f t="shared" si="5"/>
        <v>19.4127</v>
      </c>
      <c r="N590" s="6" t="s">
        <v>5861</v>
      </c>
      <c r="O590" s="5">
        <f t="shared" si="6"/>
        <v>766</v>
      </c>
    </row>
    <row r="591">
      <c r="A591" s="6" t="s">
        <v>2488</v>
      </c>
      <c r="B591" s="6" t="s">
        <v>2793</v>
      </c>
      <c r="C591" s="5">
        <f t="shared" si="1"/>
        <v>12</v>
      </c>
      <c r="D591" s="1" t="s">
        <v>12</v>
      </c>
      <c r="E591" s="1" t="s">
        <v>38</v>
      </c>
      <c r="F591" s="1" t="str">
        <f t="shared" si="2"/>
        <v>White</v>
      </c>
      <c r="G591" s="5" t="s">
        <v>39</v>
      </c>
      <c r="H591" s="9" t="s">
        <v>3283</v>
      </c>
      <c r="I591" s="5">
        <f t="shared" si="3"/>
        <v>3.0142</v>
      </c>
      <c r="J591" s="5" t="s">
        <v>3284</v>
      </c>
      <c r="K591" s="5">
        <f t="shared" si="4"/>
        <v>325.022263</v>
      </c>
      <c r="L591" s="5" t="s">
        <v>3285</v>
      </c>
      <c r="M591" s="5">
        <f t="shared" si="5"/>
        <v>0.5425</v>
      </c>
      <c r="N591" s="6" t="s">
        <v>4753</v>
      </c>
      <c r="O591" s="5">
        <f t="shared" si="6"/>
        <v>210</v>
      </c>
    </row>
    <row r="592">
      <c r="A592" s="6" t="s">
        <v>2488</v>
      </c>
      <c r="B592" s="6" t="s">
        <v>2793</v>
      </c>
      <c r="C592" s="5">
        <f t="shared" si="1"/>
        <v>12</v>
      </c>
      <c r="D592" s="1" t="s">
        <v>12</v>
      </c>
      <c r="E592" s="1" t="s">
        <v>48</v>
      </c>
      <c r="F592" s="1" t="str">
        <f t="shared" si="2"/>
        <v>Orange</v>
      </c>
      <c r="G592" s="5" t="s">
        <v>49</v>
      </c>
      <c r="H592" s="5" t="s">
        <v>3286</v>
      </c>
      <c r="I592" s="5">
        <f t="shared" si="3"/>
        <v>0.0374</v>
      </c>
      <c r="J592" s="5" t="s">
        <v>3287</v>
      </c>
      <c r="K592" s="5">
        <f t="shared" si="4"/>
        <v>10.424574</v>
      </c>
      <c r="L592" s="5" t="s">
        <v>3288</v>
      </c>
      <c r="M592" s="5">
        <f t="shared" si="5"/>
        <v>0.0105</v>
      </c>
      <c r="N592" s="6" t="s">
        <v>2669</v>
      </c>
      <c r="O592" s="5">
        <f t="shared" si="6"/>
        <v>13</v>
      </c>
    </row>
    <row r="593">
      <c r="A593" s="6" t="s">
        <v>2488</v>
      </c>
      <c r="B593" s="6" t="s">
        <v>2793</v>
      </c>
      <c r="C593" s="5">
        <f t="shared" si="1"/>
        <v>12</v>
      </c>
      <c r="D593" s="1" t="s">
        <v>12</v>
      </c>
      <c r="E593" s="1" t="s">
        <v>48</v>
      </c>
      <c r="F593" s="1" t="str">
        <f t="shared" si="2"/>
        <v>Orange</v>
      </c>
      <c r="G593" s="5" t="s">
        <v>21</v>
      </c>
      <c r="H593" s="5" t="s">
        <v>3290</v>
      </c>
      <c r="I593" s="5">
        <f t="shared" si="3"/>
        <v>1.381</v>
      </c>
      <c r="J593" s="5" t="s">
        <v>3291</v>
      </c>
      <c r="K593" s="5">
        <f t="shared" si="4"/>
        <v>191.527329</v>
      </c>
      <c r="L593" s="5" t="s">
        <v>3292</v>
      </c>
      <c r="M593" s="5">
        <f t="shared" si="5"/>
        <v>0.5524</v>
      </c>
      <c r="N593" s="6" t="s">
        <v>5106</v>
      </c>
      <c r="O593" s="5">
        <f t="shared" si="6"/>
        <v>195</v>
      </c>
    </row>
    <row r="594">
      <c r="A594" s="6" t="s">
        <v>2488</v>
      </c>
      <c r="B594" s="6" t="s">
        <v>2793</v>
      </c>
      <c r="C594" s="5">
        <f t="shared" si="1"/>
        <v>12</v>
      </c>
      <c r="D594" s="1" t="s">
        <v>12</v>
      </c>
      <c r="E594" s="1" t="s">
        <v>45</v>
      </c>
      <c r="F594" s="1" t="str">
        <f t="shared" si="2"/>
        <v>Yellow</v>
      </c>
      <c r="G594" s="5" t="s">
        <v>49</v>
      </c>
      <c r="H594" s="5" t="s">
        <v>3293</v>
      </c>
      <c r="I594" s="5">
        <f t="shared" si="3"/>
        <v>0.0071</v>
      </c>
      <c r="J594" s="5" t="s">
        <v>3295</v>
      </c>
      <c r="K594" s="5">
        <f t="shared" si="4"/>
        <v>0.403671</v>
      </c>
      <c r="L594" s="5" t="s">
        <v>52</v>
      </c>
      <c r="M594" s="5">
        <f t="shared" si="5"/>
        <v>0.0019</v>
      </c>
      <c r="N594" s="6" t="s">
        <v>397</v>
      </c>
      <c r="O594" s="5">
        <f t="shared" si="6"/>
        <v>2</v>
      </c>
    </row>
    <row r="595">
      <c r="A595" s="6" t="s">
        <v>2488</v>
      </c>
      <c r="B595" s="6" t="s">
        <v>2793</v>
      </c>
      <c r="C595" s="5">
        <f t="shared" si="1"/>
        <v>12</v>
      </c>
      <c r="D595" s="1" t="s">
        <v>12</v>
      </c>
      <c r="E595" s="1" t="s">
        <v>45</v>
      </c>
      <c r="F595" s="1" t="str">
        <f t="shared" si="2"/>
        <v>Yellow</v>
      </c>
      <c r="G595" s="5" t="s">
        <v>17</v>
      </c>
      <c r="H595" s="9" t="s">
        <v>6071</v>
      </c>
      <c r="I595" s="5">
        <f t="shared" si="3"/>
        <v>1.5797</v>
      </c>
      <c r="J595" s="5" t="s">
        <v>3297</v>
      </c>
      <c r="K595" s="5">
        <f t="shared" si="4"/>
        <v>129.878468</v>
      </c>
      <c r="L595" s="5" t="s">
        <v>3299</v>
      </c>
      <c r="M595" s="5">
        <f t="shared" si="5"/>
        <v>0.5687</v>
      </c>
      <c r="N595" s="6" t="s">
        <v>4574</v>
      </c>
      <c r="O595" s="5">
        <f t="shared" si="6"/>
        <v>175</v>
      </c>
    </row>
    <row r="596">
      <c r="A596" s="6" t="s">
        <v>2488</v>
      </c>
      <c r="B596" s="6" t="s">
        <v>2793</v>
      </c>
      <c r="C596" s="5">
        <f t="shared" si="1"/>
        <v>12</v>
      </c>
      <c r="D596" s="1" t="s">
        <v>12</v>
      </c>
      <c r="E596" s="1" t="s">
        <v>42</v>
      </c>
      <c r="F596" s="1" t="str">
        <f t="shared" si="2"/>
        <v>Red</v>
      </c>
      <c r="G596" s="5" t="s">
        <v>17</v>
      </c>
      <c r="H596" s="5" t="s">
        <v>3300</v>
      </c>
      <c r="I596" s="5">
        <f t="shared" si="3"/>
        <v>0.7599</v>
      </c>
      <c r="J596" s="5" t="s">
        <v>3301</v>
      </c>
      <c r="K596" s="5">
        <f t="shared" si="4"/>
        <v>127.89406</v>
      </c>
      <c r="L596" s="5" t="s">
        <v>3302</v>
      </c>
      <c r="M596" s="5">
        <f t="shared" si="5"/>
        <v>0.2812</v>
      </c>
      <c r="N596" s="6" t="s">
        <v>6072</v>
      </c>
      <c r="O596" s="5">
        <f t="shared" si="6"/>
        <v>35</v>
      </c>
    </row>
    <row r="597">
      <c r="A597" s="6" t="s">
        <v>2488</v>
      </c>
      <c r="B597" s="6" t="s">
        <v>2793</v>
      </c>
      <c r="C597" s="5">
        <f t="shared" si="1"/>
        <v>12</v>
      </c>
      <c r="D597" s="1" t="s">
        <v>12</v>
      </c>
      <c r="E597" s="1" t="s">
        <v>1830</v>
      </c>
      <c r="F597" s="1" t="str">
        <f t="shared" si="2"/>
        <v>Magenta</v>
      </c>
      <c r="G597" s="5" t="s">
        <v>72</v>
      </c>
      <c r="H597" s="5" t="s">
        <v>3303</v>
      </c>
      <c r="I597" s="5">
        <f t="shared" si="3"/>
        <v>0.5868</v>
      </c>
      <c r="J597" s="5" t="s">
        <v>3304</v>
      </c>
      <c r="K597" s="5">
        <f t="shared" si="4"/>
        <v>63.073779</v>
      </c>
      <c r="L597" s="5" t="s">
        <v>3305</v>
      </c>
      <c r="M597" s="5">
        <f t="shared" si="5"/>
        <v>0.1878</v>
      </c>
      <c r="N597" s="6" t="s">
        <v>2551</v>
      </c>
      <c r="O597" s="5">
        <f t="shared" si="6"/>
        <v>234</v>
      </c>
    </row>
    <row r="598">
      <c r="A598" s="6" t="s">
        <v>2488</v>
      </c>
      <c r="B598" s="6" t="s">
        <v>2793</v>
      </c>
      <c r="C598" s="5">
        <f t="shared" si="1"/>
        <v>12</v>
      </c>
      <c r="D598" s="1" t="s">
        <v>12</v>
      </c>
      <c r="E598" s="1" t="s">
        <v>2082</v>
      </c>
      <c r="F598" s="1" t="str">
        <f t="shared" si="2"/>
        <v>Cotton</v>
      </c>
      <c r="G598" s="5" t="s">
        <v>21</v>
      </c>
      <c r="H598" s="5" t="s">
        <v>3307</v>
      </c>
      <c r="I598" s="5">
        <f t="shared" si="3"/>
        <v>0.3817</v>
      </c>
      <c r="J598" s="5" t="s">
        <v>3308</v>
      </c>
      <c r="K598" s="5">
        <f t="shared" si="4"/>
        <v>61.491981</v>
      </c>
      <c r="L598" s="5" t="s">
        <v>3309</v>
      </c>
      <c r="M598" s="5">
        <f t="shared" si="5"/>
        <v>0.1737</v>
      </c>
      <c r="N598" s="6" t="s">
        <v>291</v>
      </c>
      <c r="O598" s="5">
        <f t="shared" si="6"/>
        <v>0</v>
      </c>
    </row>
    <row r="599">
      <c r="A599" s="6" t="s">
        <v>2488</v>
      </c>
      <c r="B599" s="6" t="s">
        <v>2793</v>
      </c>
      <c r="C599" s="5">
        <f t="shared" si="1"/>
        <v>12</v>
      </c>
      <c r="D599" s="1" t="s">
        <v>12</v>
      </c>
      <c r="E599" s="1" t="s">
        <v>56</v>
      </c>
      <c r="F599" s="1" t="str">
        <f t="shared" si="2"/>
        <v>Purple</v>
      </c>
      <c r="G599" s="5" t="s">
        <v>21</v>
      </c>
      <c r="H599" s="5" t="s">
        <v>2863</v>
      </c>
      <c r="I599" s="5">
        <f t="shared" si="3"/>
        <v>0.1827</v>
      </c>
      <c r="J599" s="5" t="s">
        <v>3311</v>
      </c>
      <c r="K599" s="5">
        <f t="shared" si="4"/>
        <v>36.0215</v>
      </c>
      <c r="L599" s="5" t="s">
        <v>3312</v>
      </c>
      <c r="M599" s="5">
        <f t="shared" si="5"/>
        <v>0.0731</v>
      </c>
      <c r="N599" s="6" t="s">
        <v>3623</v>
      </c>
      <c r="O599" s="5">
        <f t="shared" si="6"/>
        <v>118</v>
      </c>
    </row>
    <row r="600">
      <c r="A600" s="6" t="s">
        <v>2488</v>
      </c>
      <c r="B600" s="6" t="s">
        <v>2793</v>
      </c>
      <c r="C600" s="5">
        <f t="shared" si="1"/>
        <v>12</v>
      </c>
      <c r="D600" s="1" t="s">
        <v>12</v>
      </c>
      <c r="E600" s="1" t="s">
        <v>60</v>
      </c>
      <c r="F600" s="1" t="str">
        <f t="shared" si="2"/>
        <v>Pink</v>
      </c>
      <c r="G600" s="5" t="s">
        <v>39</v>
      </c>
      <c r="H600" s="5" t="s">
        <v>3314</v>
      </c>
      <c r="I600" s="5">
        <f t="shared" si="3"/>
        <v>0.1949</v>
      </c>
      <c r="J600" s="5" t="s">
        <v>3315</v>
      </c>
      <c r="K600" s="5">
        <f t="shared" si="4"/>
        <v>33.214698</v>
      </c>
      <c r="L600" s="5" t="s">
        <v>3316</v>
      </c>
      <c r="M600" s="5">
        <f t="shared" si="5"/>
        <v>0.037</v>
      </c>
      <c r="N600" s="6" t="s">
        <v>4555</v>
      </c>
      <c r="O600" s="5">
        <f t="shared" si="6"/>
        <v>74</v>
      </c>
    </row>
    <row r="601">
      <c r="A601" s="6" t="s">
        <v>2488</v>
      </c>
      <c r="B601" s="6" t="s">
        <v>2793</v>
      </c>
      <c r="C601" s="5">
        <f t="shared" si="1"/>
        <v>12</v>
      </c>
      <c r="D601" s="1" t="s">
        <v>12</v>
      </c>
      <c r="E601" s="1" t="s">
        <v>60</v>
      </c>
      <c r="F601" s="1" t="str">
        <f t="shared" si="2"/>
        <v>Pink</v>
      </c>
      <c r="G601" s="5" t="s">
        <v>17</v>
      </c>
      <c r="H601" s="5" t="s">
        <v>414</v>
      </c>
      <c r="I601" s="5">
        <f t="shared" si="3"/>
        <v>0.0007</v>
      </c>
      <c r="J601" s="5" t="s">
        <v>3318</v>
      </c>
      <c r="K601" s="5">
        <f t="shared" si="4"/>
        <v>0.086132</v>
      </c>
      <c r="L601" s="5" t="s">
        <v>333</v>
      </c>
      <c r="M601" s="5">
        <f t="shared" si="5"/>
        <v>0.0003</v>
      </c>
      <c r="N601" s="6" t="s">
        <v>397</v>
      </c>
      <c r="O601" s="5">
        <f t="shared" si="6"/>
        <v>2</v>
      </c>
    </row>
    <row r="602">
      <c r="A602" s="6" t="s">
        <v>2488</v>
      </c>
      <c r="B602" s="6" t="s">
        <v>2793</v>
      </c>
      <c r="C602" s="5">
        <f t="shared" si="1"/>
        <v>12</v>
      </c>
      <c r="D602" s="1" t="s">
        <v>68</v>
      </c>
      <c r="E602" s="1" t="s">
        <v>2497</v>
      </c>
      <c r="F602" s="1" t="str">
        <f t="shared" si="2"/>
        <v>Green</v>
      </c>
      <c r="G602" s="5" t="s">
        <v>14</v>
      </c>
      <c r="H602" s="5" t="s">
        <v>3319</v>
      </c>
      <c r="I602" s="5">
        <f t="shared" si="3"/>
        <v>26.8384</v>
      </c>
      <c r="J602" s="5" t="s">
        <v>3320</v>
      </c>
      <c r="K602" s="5">
        <f t="shared" si="4"/>
        <v>1831.470979</v>
      </c>
      <c r="L602" s="9" t="s">
        <v>6073</v>
      </c>
      <c r="M602" s="5">
        <f t="shared" si="5"/>
        <v>5.6361</v>
      </c>
      <c r="N602" s="6" t="s">
        <v>6074</v>
      </c>
      <c r="O602" s="5">
        <f t="shared" si="6"/>
        <v>5837</v>
      </c>
    </row>
    <row r="603">
      <c r="A603" s="6" t="s">
        <v>2488</v>
      </c>
      <c r="B603" s="6" t="s">
        <v>2793</v>
      </c>
      <c r="C603" s="5">
        <f t="shared" si="1"/>
        <v>12</v>
      </c>
      <c r="D603" s="1" t="s">
        <v>68</v>
      </c>
      <c r="E603" s="1" t="s">
        <v>2497</v>
      </c>
      <c r="F603" s="1" t="str">
        <f t="shared" si="2"/>
        <v>Green</v>
      </c>
      <c r="G603" s="5" t="s">
        <v>17</v>
      </c>
      <c r="H603" s="5" t="s">
        <v>3322</v>
      </c>
      <c r="I603" s="5">
        <f t="shared" si="3"/>
        <v>69.7096</v>
      </c>
      <c r="J603" s="5" t="s">
        <v>3323</v>
      </c>
      <c r="K603" s="5">
        <f t="shared" si="4"/>
        <v>6746.23011</v>
      </c>
      <c r="L603" s="5" t="s">
        <v>3324</v>
      </c>
      <c r="M603" s="5">
        <f t="shared" si="5"/>
        <v>24.3984</v>
      </c>
      <c r="N603" s="6" t="s">
        <v>6075</v>
      </c>
      <c r="O603" s="5">
        <f t="shared" si="6"/>
        <v>10270</v>
      </c>
    </row>
    <row r="604">
      <c r="A604" s="6" t="s">
        <v>2488</v>
      </c>
      <c r="B604" s="6" t="s">
        <v>2793</v>
      </c>
      <c r="C604" s="5">
        <f t="shared" si="1"/>
        <v>12</v>
      </c>
      <c r="D604" s="1" t="s">
        <v>68</v>
      </c>
      <c r="E604" s="1" t="s">
        <v>2497</v>
      </c>
      <c r="F604" s="1" t="str">
        <f t="shared" si="2"/>
        <v>Green</v>
      </c>
      <c r="G604" s="5" t="s">
        <v>21</v>
      </c>
      <c r="H604" s="9" t="s">
        <v>6076</v>
      </c>
      <c r="I604" s="5">
        <f t="shared" si="3"/>
        <v>2.2707</v>
      </c>
      <c r="J604" s="5" t="s">
        <v>3325</v>
      </c>
      <c r="K604" s="5">
        <f t="shared" si="4"/>
        <v>346.235894</v>
      </c>
      <c r="L604" s="9" t="s">
        <v>3326</v>
      </c>
      <c r="M604" s="5">
        <f t="shared" si="5"/>
        <v>1.1352</v>
      </c>
      <c r="N604" s="6" t="s">
        <v>6077</v>
      </c>
      <c r="O604" s="5">
        <f t="shared" si="6"/>
        <v>606</v>
      </c>
    </row>
    <row r="605">
      <c r="A605" s="6" t="s">
        <v>2488</v>
      </c>
      <c r="B605" s="6" t="s">
        <v>2793</v>
      </c>
      <c r="C605" s="5">
        <f t="shared" si="1"/>
        <v>12</v>
      </c>
      <c r="D605" s="1" t="s">
        <v>68</v>
      </c>
      <c r="E605" s="1" t="s">
        <v>2497</v>
      </c>
      <c r="F605" s="1" t="str">
        <f t="shared" si="2"/>
        <v>Green</v>
      </c>
      <c r="G605" s="5" t="s">
        <v>25</v>
      </c>
      <c r="H605" s="5" t="s">
        <v>3328</v>
      </c>
      <c r="I605" s="5">
        <f t="shared" si="3"/>
        <v>0.2856</v>
      </c>
      <c r="J605" s="5" t="s">
        <v>3329</v>
      </c>
      <c r="K605" s="5">
        <f t="shared" si="4"/>
        <v>46.13722</v>
      </c>
      <c r="L605" s="5" t="s">
        <v>3330</v>
      </c>
      <c r="M605" s="5">
        <f t="shared" si="5"/>
        <v>0.2142</v>
      </c>
      <c r="N605" s="6" t="s">
        <v>4584</v>
      </c>
      <c r="O605" s="5">
        <f t="shared" si="6"/>
        <v>163</v>
      </c>
    </row>
    <row r="606">
      <c r="A606" s="6" t="s">
        <v>2488</v>
      </c>
      <c r="B606" s="6" t="s">
        <v>2793</v>
      </c>
      <c r="C606" s="5">
        <f t="shared" si="1"/>
        <v>12</v>
      </c>
      <c r="D606" s="1" t="s">
        <v>68</v>
      </c>
      <c r="E606" s="1" t="s">
        <v>29</v>
      </c>
      <c r="F606" s="1" t="str">
        <f t="shared" si="2"/>
        <v>Blue</v>
      </c>
      <c r="G606" s="5" t="s">
        <v>14</v>
      </c>
      <c r="H606" s="5" t="s">
        <v>602</v>
      </c>
      <c r="I606" s="5">
        <f t="shared" si="3"/>
        <v>0.0646</v>
      </c>
      <c r="J606" s="5" t="s">
        <v>3331</v>
      </c>
      <c r="K606" s="5">
        <f t="shared" si="4"/>
        <v>9.829012</v>
      </c>
      <c r="L606" s="5" t="s">
        <v>3332</v>
      </c>
      <c r="M606" s="5">
        <f t="shared" si="5"/>
        <v>0.0129</v>
      </c>
      <c r="N606" s="6" t="s">
        <v>4694</v>
      </c>
      <c r="O606" s="5">
        <f t="shared" si="6"/>
        <v>19</v>
      </c>
    </row>
    <row r="607">
      <c r="A607" s="6" t="s">
        <v>2488</v>
      </c>
      <c r="B607" s="6" t="s">
        <v>2793</v>
      </c>
      <c r="C607" s="5">
        <f t="shared" si="1"/>
        <v>12</v>
      </c>
      <c r="D607" s="1" t="s">
        <v>68</v>
      </c>
      <c r="E607" s="1" t="s">
        <v>29</v>
      </c>
      <c r="F607" s="1" t="str">
        <f t="shared" si="2"/>
        <v>Blue</v>
      </c>
      <c r="G607" s="5" t="s">
        <v>21</v>
      </c>
      <c r="H607" s="9" t="s">
        <v>3333</v>
      </c>
      <c r="I607" s="5">
        <f t="shared" si="3"/>
        <v>7.1892</v>
      </c>
      <c r="J607" s="5" t="s">
        <v>3334</v>
      </c>
      <c r="K607" s="5">
        <f t="shared" si="4"/>
        <v>1308.781975</v>
      </c>
      <c r="L607" s="9" t="s">
        <v>6078</v>
      </c>
      <c r="M607" s="5">
        <f t="shared" si="5"/>
        <v>2.8757</v>
      </c>
      <c r="N607" s="6" t="s">
        <v>6079</v>
      </c>
      <c r="O607" s="5">
        <f t="shared" si="6"/>
        <v>1638</v>
      </c>
    </row>
    <row r="608">
      <c r="A608" s="6" t="s">
        <v>2488</v>
      </c>
      <c r="B608" s="6" t="s">
        <v>2793</v>
      </c>
      <c r="C608" s="5">
        <f t="shared" si="1"/>
        <v>12</v>
      </c>
      <c r="D608" s="1" t="s">
        <v>68</v>
      </c>
      <c r="E608" s="1" t="s">
        <v>38</v>
      </c>
      <c r="F608" s="1" t="str">
        <f t="shared" si="2"/>
        <v>White</v>
      </c>
      <c r="G608" s="5" t="s">
        <v>39</v>
      </c>
      <c r="H608" s="9" t="s">
        <v>6080</v>
      </c>
      <c r="I608" s="5">
        <f t="shared" si="3"/>
        <v>9.2164</v>
      </c>
      <c r="J608" s="5" t="s">
        <v>3335</v>
      </c>
      <c r="K608" s="5">
        <f t="shared" si="4"/>
        <v>785.239745</v>
      </c>
      <c r="L608" s="9" t="s">
        <v>6081</v>
      </c>
      <c r="M608" s="5">
        <f t="shared" si="5"/>
        <v>1.6589</v>
      </c>
      <c r="N608" s="6" t="s">
        <v>6082</v>
      </c>
      <c r="O608" s="5">
        <f t="shared" si="6"/>
        <v>3027</v>
      </c>
    </row>
    <row r="609">
      <c r="A609" s="6" t="s">
        <v>2488</v>
      </c>
      <c r="B609" s="6" t="s">
        <v>2793</v>
      </c>
      <c r="C609" s="5">
        <f t="shared" si="1"/>
        <v>12</v>
      </c>
      <c r="D609" s="1" t="s">
        <v>68</v>
      </c>
      <c r="E609" s="1" t="s">
        <v>45</v>
      </c>
      <c r="F609" s="1" t="str">
        <f t="shared" si="2"/>
        <v>Yellow</v>
      </c>
      <c r="G609" s="5" t="s">
        <v>49</v>
      </c>
      <c r="H609" s="5" t="s">
        <v>3336</v>
      </c>
      <c r="I609" s="5">
        <f t="shared" si="3"/>
        <v>1.021</v>
      </c>
      <c r="J609" s="5" t="s">
        <v>3337</v>
      </c>
      <c r="K609" s="5">
        <f t="shared" si="4"/>
        <v>58.981037</v>
      </c>
      <c r="L609" s="5" t="s">
        <v>3338</v>
      </c>
      <c r="M609" s="5">
        <f t="shared" si="5"/>
        <v>0.2654</v>
      </c>
      <c r="N609" s="6" t="s">
        <v>3683</v>
      </c>
      <c r="O609" s="5">
        <f t="shared" si="6"/>
        <v>151</v>
      </c>
    </row>
    <row r="610">
      <c r="A610" s="6" t="s">
        <v>2488</v>
      </c>
      <c r="B610" s="6" t="s">
        <v>2793</v>
      </c>
      <c r="C610" s="5">
        <f t="shared" si="1"/>
        <v>12</v>
      </c>
      <c r="D610" s="1" t="s">
        <v>68</v>
      </c>
      <c r="E610" s="1" t="s">
        <v>45</v>
      </c>
      <c r="F610" s="1" t="str">
        <f t="shared" si="2"/>
        <v>Yellow</v>
      </c>
      <c r="G610" s="5" t="s">
        <v>17</v>
      </c>
      <c r="H610" s="9" t="s">
        <v>3339</v>
      </c>
      <c r="I610" s="5">
        <f t="shared" si="3"/>
        <v>10.0487</v>
      </c>
      <c r="J610" s="5" t="s">
        <v>3340</v>
      </c>
      <c r="K610" s="5">
        <f t="shared" si="4"/>
        <v>606.25328</v>
      </c>
      <c r="L610" s="9" t="s">
        <v>6083</v>
      </c>
      <c r="M610" s="5">
        <f t="shared" si="5"/>
        <v>3.6175</v>
      </c>
      <c r="N610" s="6" t="s">
        <v>6084</v>
      </c>
      <c r="O610" s="5">
        <f t="shared" si="6"/>
        <v>1359</v>
      </c>
    </row>
    <row r="611">
      <c r="A611" s="6" t="s">
        <v>2488</v>
      </c>
      <c r="B611" s="6" t="s">
        <v>2793</v>
      </c>
      <c r="C611" s="5">
        <f t="shared" si="1"/>
        <v>12</v>
      </c>
      <c r="D611" s="1" t="s">
        <v>68</v>
      </c>
      <c r="E611" s="1" t="s">
        <v>1851</v>
      </c>
      <c r="F611" s="1" t="str">
        <f t="shared" si="2"/>
        <v>Rosy</v>
      </c>
      <c r="G611" s="5" t="s">
        <v>17</v>
      </c>
      <c r="H611" s="5" t="s">
        <v>3341</v>
      </c>
      <c r="I611" s="5">
        <f t="shared" si="3"/>
        <v>2.361</v>
      </c>
      <c r="J611" s="5" t="s">
        <v>3342</v>
      </c>
      <c r="K611" s="5">
        <f t="shared" si="4"/>
        <v>171.533862</v>
      </c>
      <c r="L611" s="5" t="s">
        <v>3343</v>
      </c>
      <c r="M611" s="5">
        <f t="shared" si="5"/>
        <v>0.909</v>
      </c>
      <c r="N611" s="6" t="s">
        <v>6085</v>
      </c>
      <c r="O611" s="5">
        <f t="shared" si="6"/>
        <v>785</v>
      </c>
    </row>
    <row r="612">
      <c r="A612" s="6" t="s">
        <v>2488</v>
      </c>
      <c r="B612" s="6" t="s">
        <v>2793</v>
      </c>
      <c r="C612" s="5">
        <f t="shared" si="1"/>
        <v>12</v>
      </c>
      <c r="D612" s="1" t="s">
        <v>68</v>
      </c>
      <c r="E612" s="1" t="s">
        <v>1851</v>
      </c>
      <c r="F612" s="1" t="str">
        <f t="shared" si="2"/>
        <v>Rosy</v>
      </c>
      <c r="G612" s="5" t="s">
        <v>21</v>
      </c>
      <c r="H612" s="5" t="s">
        <v>3344</v>
      </c>
      <c r="I612" s="5">
        <f t="shared" si="3"/>
        <v>0.6965</v>
      </c>
      <c r="J612" s="5" t="s">
        <v>3345</v>
      </c>
      <c r="K612" s="5">
        <f t="shared" si="4"/>
        <v>55.380153</v>
      </c>
      <c r="L612" s="5" t="s">
        <v>3346</v>
      </c>
      <c r="M612" s="5">
        <f t="shared" si="5"/>
        <v>0.3413</v>
      </c>
      <c r="N612" s="6" t="s">
        <v>6086</v>
      </c>
      <c r="O612" s="5">
        <f t="shared" si="6"/>
        <v>408</v>
      </c>
    </row>
    <row r="613">
      <c r="A613" s="6" t="s">
        <v>2488</v>
      </c>
      <c r="B613" s="6" t="s">
        <v>2793</v>
      </c>
      <c r="C613" s="5">
        <f t="shared" si="1"/>
        <v>12</v>
      </c>
      <c r="D613" s="1" t="s">
        <v>68</v>
      </c>
      <c r="E613" s="1" t="s">
        <v>1830</v>
      </c>
      <c r="F613" s="1" t="str">
        <f t="shared" si="2"/>
        <v>Magenta</v>
      </c>
      <c r="G613" s="5" t="s">
        <v>72</v>
      </c>
      <c r="H613" s="9" t="s">
        <v>6087</v>
      </c>
      <c r="I613" s="5">
        <f t="shared" si="3"/>
        <v>1.9456</v>
      </c>
      <c r="J613" s="5" t="s">
        <v>3347</v>
      </c>
      <c r="K613" s="5">
        <f t="shared" si="4"/>
        <v>177.160661</v>
      </c>
      <c r="L613" s="5" t="s">
        <v>3348</v>
      </c>
      <c r="M613" s="5">
        <f t="shared" si="5"/>
        <v>0.6225</v>
      </c>
      <c r="N613" s="6" t="s">
        <v>6088</v>
      </c>
      <c r="O613" s="5">
        <f t="shared" si="6"/>
        <v>1542</v>
      </c>
    </row>
    <row r="614">
      <c r="A614" s="6" t="s">
        <v>2488</v>
      </c>
      <c r="B614" s="6" t="s">
        <v>2793</v>
      </c>
      <c r="C614" s="5">
        <f t="shared" si="1"/>
        <v>12</v>
      </c>
      <c r="D614" s="1" t="s">
        <v>68</v>
      </c>
      <c r="E614" s="1" t="s">
        <v>32</v>
      </c>
      <c r="F614" s="1" t="str">
        <f t="shared" si="2"/>
        <v>Black</v>
      </c>
      <c r="G614" s="5" t="s">
        <v>14</v>
      </c>
      <c r="H614" s="9" t="s">
        <v>6089</v>
      </c>
      <c r="I614" s="5">
        <f t="shared" si="3"/>
        <v>1.9184</v>
      </c>
      <c r="J614" s="5" t="s">
        <v>3349</v>
      </c>
      <c r="K614" s="5">
        <f t="shared" si="4"/>
        <v>134.078957</v>
      </c>
      <c r="L614" s="5" t="s">
        <v>3350</v>
      </c>
      <c r="M614" s="5">
        <f t="shared" si="5"/>
        <v>0.4413</v>
      </c>
      <c r="N614" s="6" t="s">
        <v>6090</v>
      </c>
      <c r="O614" s="5">
        <f t="shared" si="6"/>
        <v>623</v>
      </c>
    </row>
    <row r="615">
      <c r="A615" s="6" t="s">
        <v>2488</v>
      </c>
      <c r="B615" s="6" t="s">
        <v>2793</v>
      </c>
      <c r="C615" s="5">
        <f t="shared" si="1"/>
        <v>12</v>
      </c>
      <c r="D615" s="1" t="s">
        <v>68</v>
      </c>
      <c r="E615" s="1" t="s">
        <v>32</v>
      </c>
      <c r="F615" s="1" t="str">
        <f t="shared" si="2"/>
        <v>Black</v>
      </c>
      <c r="G615" s="5" t="s">
        <v>21</v>
      </c>
      <c r="H615" s="5" t="s">
        <v>3351</v>
      </c>
      <c r="I615" s="5">
        <f t="shared" si="3"/>
        <v>0.0887</v>
      </c>
      <c r="J615" s="5" t="s">
        <v>3352</v>
      </c>
      <c r="K615" s="5">
        <f t="shared" si="4"/>
        <v>7.754097</v>
      </c>
      <c r="L615" s="5" t="s">
        <v>3353</v>
      </c>
      <c r="M615" s="5">
        <f t="shared" si="5"/>
        <v>0.0398</v>
      </c>
      <c r="N615" s="6" t="s">
        <v>6091</v>
      </c>
      <c r="O615" s="5">
        <f t="shared" si="6"/>
        <v>134</v>
      </c>
    </row>
    <row r="616">
      <c r="A616" s="6" t="s">
        <v>2488</v>
      </c>
      <c r="B616" s="6" t="s">
        <v>2793</v>
      </c>
      <c r="C616" s="5">
        <f t="shared" si="1"/>
        <v>12</v>
      </c>
      <c r="D616" s="1" t="s">
        <v>68</v>
      </c>
      <c r="E616" s="1" t="s">
        <v>42</v>
      </c>
      <c r="F616" s="1" t="str">
        <f t="shared" si="2"/>
        <v>Red</v>
      </c>
      <c r="G616" s="5" t="s">
        <v>17</v>
      </c>
      <c r="H616" s="5" t="s">
        <v>3354</v>
      </c>
      <c r="I616" s="5">
        <f t="shared" si="3"/>
        <v>0.6647</v>
      </c>
      <c r="J616" s="5" t="s">
        <v>3355</v>
      </c>
      <c r="K616" s="5">
        <f t="shared" si="4"/>
        <v>133.355757</v>
      </c>
      <c r="L616" s="5" t="s">
        <v>3356</v>
      </c>
      <c r="M616" s="5">
        <f t="shared" si="5"/>
        <v>0.2459</v>
      </c>
      <c r="N616" s="6" t="s">
        <v>291</v>
      </c>
      <c r="O616" s="5">
        <f t="shared" si="6"/>
        <v>0</v>
      </c>
    </row>
    <row r="617">
      <c r="A617" s="6" t="s">
        <v>2488</v>
      </c>
      <c r="B617" s="6" t="s">
        <v>2793</v>
      </c>
      <c r="C617" s="5">
        <f t="shared" si="1"/>
        <v>12</v>
      </c>
      <c r="D617" s="1" t="s">
        <v>68</v>
      </c>
      <c r="E617" s="1" t="s">
        <v>2104</v>
      </c>
      <c r="F617" s="1" t="str">
        <f t="shared" si="2"/>
        <v>Snow</v>
      </c>
      <c r="G617" s="5" t="s">
        <v>17</v>
      </c>
      <c r="H617" s="9" t="s">
        <v>6092</v>
      </c>
      <c r="I617" s="5">
        <f t="shared" si="3"/>
        <v>2.4751</v>
      </c>
      <c r="J617" s="5" t="s">
        <v>3357</v>
      </c>
      <c r="K617" s="5">
        <f t="shared" si="4"/>
        <v>121.583181</v>
      </c>
      <c r="L617" s="5" t="s">
        <v>3358</v>
      </c>
      <c r="M617" s="5">
        <f t="shared" si="5"/>
        <v>0.8663</v>
      </c>
      <c r="N617" s="6" t="s">
        <v>6093</v>
      </c>
      <c r="O617" s="5">
        <f t="shared" si="6"/>
        <v>429</v>
      </c>
    </row>
    <row r="618">
      <c r="A618" s="6" t="s">
        <v>2488</v>
      </c>
      <c r="B618" s="6" t="s">
        <v>2793</v>
      </c>
      <c r="C618" s="5">
        <f t="shared" si="1"/>
        <v>12</v>
      </c>
      <c r="D618" s="1" t="s">
        <v>68</v>
      </c>
      <c r="E618" s="1" t="s">
        <v>544</v>
      </c>
      <c r="F618" s="1" t="str">
        <f t="shared" si="2"/>
        <v>Golden</v>
      </c>
      <c r="G618" s="5" t="s">
        <v>17</v>
      </c>
      <c r="H618" s="9" t="s">
        <v>6094</v>
      </c>
      <c r="I618" s="5">
        <f t="shared" si="3"/>
        <v>1.6842</v>
      </c>
      <c r="J618" s="5" t="s">
        <v>3359</v>
      </c>
      <c r="K618" s="5">
        <f t="shared" si="4"/>
        <v>108.666096</v>
      </c>
      <c r="L618" s="5" t="s">
        <v>3360</v>
      </c>
      <c r="M618" s="5">
        <f t="shared" si="5"/>
        <v>0.5895</v>
      </c>
      <c r="N618" s="6" t="s">
        <v>6095</v>
      </c>
      <c r="O618" s="5">
        <f t="shared" si="6"/>
        <v>956</v>
      </c>
    </row>
    <row r="619">
      <c r="A619" s="6" t="s">
        <v>2488</v>
      </c>
      <c r="B619" s="6" t="s">
        <v>2793</v>
      </c>
      <c r="C619" s="5">
        <f t="shared" si="1"/>
        <v>12</v>
      </c>
      <c r="D619" s="1" t="s">
        <v>116</v>
      </c>
      <c r="E619" s="1" t="s">
        <v>2497</v>
      </c>
      <c r="F619" s="1" t="str">
        <f t="shared" si="2"/>
        <v>Green</v>
      </c>
      <c r="G619" s="5" t="s">
        <v>14</v>
      </c>
      <c r="H619" s="5" t="s">
        <v>3361</v>
      </c>
      <c r="I619" s="5">
        <f t="shared" si="3"/>
        <v>92.2485</v>
      </c>
      <c r="J619" s="5" t="s">
        <v>3362</v>
      </c>
      <c r="K619" s="5">
        <f t="shared" si="4"/>
        <v>5816.404614</v>
      </c>
      <c r="L619" s="5" t="s">
        <v>3363</v>
      </c>
      <c r="M619" s="5">
        <f t="shared" si="5"/>
        <v>19.3721</v>
      </c>
      <c r="N619" s="6" t="s">
        <v>6096</v>
      </c>
      <c r="O619" s="5">
        <f t="shared" si="6"/>
        <v>12028</v>
      </c>
    </row>
    <row r="620">
      <c r="A620" s="6" t="s">
        <v>2488</v>
      </c>
      <c r="B620" s="6" t="s">
        <v>2793</v>
      </c>
      <c r="C620" s="5">
        <f t="shared" si="1"/>
        <v>12</v>
      </c>
      <c r="D620" s="1" t="s">
        <v>116</v>
      </c>
      <c r="E620" s="1" t="s">
        <v>2497</v>
      </c>
      <c r="F620" s="1" t="str">
        <f t="shared" si="2"/>
        <v>Green</v>
      </c>
      <c r="G620" s="5" t="s">
        <v>17</v>
      </c>
      <c r="H620" s="5" t="s">
        <v>3364</v>
      </c>
      <c r="I620" s="5">
        <f t="shared" si="3"/>
        <v>158.1712</v>
      </c>
      <c r="J620" s="5" t="s">
        <v>3365</v>
      </c>
      <c r="K620" s="5">
        <f t="shared" si="4"/>
        <v>14410.52547</v>
      </c>
      <c r="L620" s="5" t="s">
        <v>3366</v>
      </c>
      <c r="M620" s="5">
        <f t="shared" si="5"/>
        <v>55.3599</v>
      </c>
      <c r="N620" s="6" t="s">
        <v>6097</v>
      </c>
      <c r="O620" s="5">
        <f t="shared" si="6"/>
        <v>17750</v>
      </c>
    </row>
    <row r="621">
      <c r="A621" s="6" t="s">
        <v>2488</v>
      </c>
      <c r="B621" s="6" t="s">
        <v>2793</v>
      </c>
      <c r="C621" s="5">
        <f t="shared" si="1"/>
        <v>12</v>
      </c>
      <c r="D621" s="1" t="s">
        <v>116</v>
      </c>
      <c r="E621" s="1" t="s">
        <v>2497</v>
      </c>
      <c r="F621" s="1" t="str">
        <f t="shared" si="2"/>
        <v>Green</v>
      </c>
      <c r="G621" s="5" t="s">
        <v>21</v>
      </c>
      <c r="H621" s="5" t="s">
        <v>3367</v>
      </c>
      <c r="I621" s="5">
        <f t="shared" si="3"/>
        <v>9.2023</v>
      </c>
      <c r="J621" s="5" t="s">
        <v>3368</v>
      </c>
      <c r="K621" s="5">
        <f t="shared" si="4"/>
        <v>1260.909194</v>
      </c>
      <c r="L621" s="9" t="s">
        <v>6098</v>
      </c>
      <c r="M621" s="5">
        <f t="shared" si="5"/>
        <v>4.6012</v>
      </c>
      <c r="N621" s="6" t="s">
        <v>3674</v>
      </c>
      <c r="O621" s="5">
        <f t="shared" si="6"/>
        <v>714</v>
      </c>
    </row>
    <row r="622">
      <c r="A622" s="6" t="s">
        <v>2488</v>
      </c>
      <c r="B622" s="6" t="s">
        <v>2793</v>
      </c>
      <c r="C622" s="5">
        <f t="shared" si="1"/>
        <v>12</v>
      </c>
      <c r="D622" s="1" t="s">
        <v>116</v>
      </c>
      <c r="E622" s="1" t="s">
        <v>2497</v>
      </c>
      <c r="F622" s="1" t="str">
        <f t="shared" si="2"/>
        <v>Green</v>
      </c>
      <c r="G622" s="5" t="s">
        <v>25</v>
      </c>
      <c r="H622" s="5" t="s">
        <v>3222</v>
      </c>
      <c r="I622" s="5">
        <f t="shared" si="3"/>
        <v>0.0087</v>
      </c>
      <c r="J622" s="5" t="s">
        <v>3369</v>
      </c>
      <c r="K622" s="5">
        <f t="shared" si="4"/>
        <v>1.791126</v>
      </c>
      <c r="L622" s="5" t="s">
        <v>3370</v>
      </c>
      <c r="M622" s="5">
        <f t="shared" si="5"/>
        <v>0.0065</v>
      </c>
      <c r="N622" s="6" t="s">
        <v>2677</v>
      </c>
      <c r="O622" s="5">
        <f t="shared" si="6"/>
        <v>3</v>
      </c>
    </row>
    <row r="623">
      <c r="A623" s="6" t="s">
        <v>2488</v>
      </c>
      <c r="B623" s="6" t="s">
        <v>2793</v>
      </c>
      <c r="C623" s="5">
        <f t="shared" si="1"/>
        <v>12</v>
      </c>
      <c r="D623" s="1" t="s">
        <v>116</v>
      </c>
      <c r="E623" s="1" t="s">
        <v>29</v>
      </c>
      <c r="F623" s="1" t="str">
        <f t="shared" si="2"/>
        <v>Blue</v>
      </c>
      <c r="G623" s="5" t="s">
        <v>14</v>
      </c>
      <c r="H623" s="9" t="s">
        <v>6099</v>
      </c>
      <c r="I623" s="5">
        <f t="shared" si="3"/>
        <v>1.3881</v>
      </c>
      <c r="J623" s="5" t="s">
        <v>3371</v>
      </c>
      <c r="K623" s="5">
        <f t="shared" si="4"/>
        <v>160.195657</v>
      </c>
      <c r="L623" s="5" t="s">
        <v>2619</v>
      </c>
      <c r="M623" s="5">
        <f t="shared" si="5"/>
        <v>0.2776</v>
      </c>
      <c r="N623" s="6" t="s">
        <v>6100</v>
      </c>
      <c r="O623" s="5">
        <f t="shared" si="6"/>
        <v>278</v>
      </c>
    </row>
    <row r="624">
      <c r="A624" s="6" t="s">
        <v>2488</v>
      </c>
      <c r="B624" s="6" t="s">
        <v>2793</v>
      </c>
      <c r="C624" s="5">
        <f t="shared" si="1"/>
        <v>12</v>
      </c>
      <c r="D624" s="1" t="s">
        <v>116</v>
      </c>
      <c r="E624" s="1" t="s">
        <v>29</v>
      </c>
      <c r="F624" s="1" t="str">
        <f t="shared" si="2"/>
        <v>Blue</v>
      </c>
      <c r="G624" s="5" t="s">
        <v>21</v>
      </c>
      <c r="H624" s="5" t="s">
        <v>3372</v>
      </c>
      <c r="I624" s="5">
        <f t="shared" si="3"/>
        <v>38.9478</v>
      </c>
      <c r="J624" s="5" t="s">
        <v>3373</v>
      </c>
      <c r="K624" s="5">
        <f t="shared" si="4"/>
        <v>7508.403565</v>
      </c>
      <c r="L624" s="5" t="s">
        <v>3374</v>
      </c>
      <c r="M624" s="5">
        <f t="shared" si="5"/>
        <v>15.5791</v>
      </c>
      <c r="N624" s="6" t="s">
        <v>6101</v>
      </c>
      <c r="O624" s="5">
        <f t="shared" si="6"/>
        <v>4678</v>
      </c>
    </row>
    <row r="625">
      <c r="A625" s="6" t="s">
        <v>2488</v>
      </c>
      <c r="B625" s="6" t="s">
        <v>2793</v>
      </c>
      <c r="C625" s="5">
        <f t="shared" si="1"/>
        <v>12</v>
      </c>
      <c r="D625" s="1" t="s">
        <v>116</v>
      </c>
      <c r="E625" s="1" t="s">
        <v>45</v>
      </c>
      <c r="F625" s="1" t="str">
        <f t="shared" si="2"/>
        <v>Yellow</v>
      </c>
      <c r="G625" s="5" t="s">
        <v>49</v>
      </c>
      <c r="H625" s="9" t="s">
        <v>3375</v>
      </c>
      <c r="I625" s="5">
        <f t="shared" si="3"/>
        <v>2.0282</v>
      </c>
      <c r="J625" s="5" t="s">
        <v>3376</v>
      </c>
      <c r="K625" s="5">
        <f t="shared" si="4"/>
        <v>122.270841</v>
      </c>
      <c r="L625" s="5" t="s">
        <v>3377</v>
      </c>
      <c r="M625" s="5">
        <f t="shared" si="5"/>
        <v>0.5273</v>
      </c>
      <c r="N625" s="6" t="s">
        <v>6102</v>
      </c>
      <c r="O625" s="5">
        <f t="shared" si="6"/>
        <v>312</v>
      </c>
    </row>
    <row r="626">
      <c r="A626" s="6" t="s">
        <v>2488</v>
      </c>
      <c r="B626" s="6" t="s">
        <v>2793</v>
      </c>
      <c r="C626" s="5">
        <f t="shared" si="1"/>
        <v>12</v>
      </c>
      <c r="D626" s="1" t="s">
        <v>116</v>
      </c>
      <c r="E626" s="1" t="s">
        <v>45</v>
      </c>
      <c r="F626" s="1" t="str">
        <f t="shared" si="2"/>
        <v>Yellow</v>
      </c>
      <c r="G626" s="5" t="s">
        <v>17</v>
      </c>
      <c r="H626" s="5" t="s">
        <v>3378</v>
      </c>
      <c r="I626" s="5">
        <f t="shared" si="3"/>
        <v>19.925</v>
      </c>
      <c r="J626" s="5" t="s">
        <v>3379</v>
      </c>
      <c r="K626" s="5">
        <f t="shared" si="4"/>
        <v>1349.544558</v>
      </c>
      <c r="L626" s="5" t="s">
        <v>3380</v>
      </c>
      <c r="M626" s="5">
        <f t="shared" si="5"/>
        <v>7.173</v>
      </c>
      <c r="N626" s="6" t="s">
        <v>6103</v>
      </c>
      <c r="O626" s="5">
        <f t="shared" si="6"/>
        <v>1769</v>
      </c>
    </row>
    <row r="627">
      <c r="A627" s="6" t="s">
        <v>2488</v>
      </c>
      <c r="B627" s="6" t="s">
        <v>2793</v>
      </c>
      <c r="C627" s="5">
        <f t="shared" si="1"/>
        <v>12</v>
      </c>
      <c r="D627" s="1" t="s">
        <v>116</v>
      </c>
      <c r="E627" s="1" t="s">
        <v>38</v>
      </c>
      <c r="F627" s="1" t="str">
        <f t="shared" si="2"/>
        <v>White</v>
      </c>
      <c r="G627" s="5" t="s">
        <v>39</v>
      </c>
      <c r="H627" s="5" t="s">
        <v>3381</v>
      </c>
      <c r="I627" s="5">
        <f t="shared" si="3"/>
        <v>17.0671</v>
      </c>
      <c r="J627" s="5" t="s">
        <v>3382</v>
      </c>
      <c r="K627" s="5">
        <f t="shared" si="4"/>
        <v>1470.941751</v>
      </c>
      <c r="L627" s="9" t="s">
        <v>3383</v>
      </c>
      <c r="M627" s="5">
        <f t="shared" si="5"/>
        <v>3.0721</v>
      </c>
      <c r="N627" s="6" t="s">
        <v>6105</v>
      </c>
      <c r="O627" s="5">
        <f t="shared" si="6"/>
        <v>4837</v>
      </c>
    </row>
    <row r="628">
      <c r="A628" s="6" t="s">
        <v>2488</v>
      </c>
      <c r="B628" s="6" t="s">
        <v>2793</v>
      </c>
      <c r="C628" s="5">
        <f t="shared" si="1"/>
        <v>12</v>
      </c>
      <c r="D628" s="1" t="s">
        <v>116</v>
      </c>
      <c r="E628" s="1" t="s">
        <v>147</v>
      </c>
      <c r="F628" s="1" t="str">
        <f t="shared" si="2"/>
        <v>Deep</v>
      </c>
      <c r="G628" s="5" t="s">
        <v>39</v>
      </c>
      <c r="H628" s="9" t="s">
        <v>6106</v>
      </c>
      <c r="I628" s="5">
        <f t="shared" si="3"/>
        <v>1.3044</v>
      </c>
      <c r="J628" s="5" t="s">
        <v>3384</v>
      </c>
      <c r="K628" s="5">
        <f t="shared" si="4"/>
        <v>385.360054</v>
      </c>
      <c r="L628" s="5" t="s">
        <v>3385</v>
      </c>
      <c r="M628" s="5">
        <f t="shared" si="5"/>
        <v>0.2478</v>
      </c>
      <c r="N628" s="6" t="s">
        <v>2744</v>
      </c>
      <c r="O628" s="5">
        <f t="shared" si="6"/>
        <v>105</v>
      </c>
    </row>
    <row r="629">
      <c r="A629" s="6" t="s">
        <v>2488</v>
      </c>
      <c r="B629" s="6" t="s">
        <v>2793</v>
      </c>
      <c r="C629" s="5">
        <f t="shared" si="1"/>
        <v>12</v>
      </c>
      <c r="D629" s="1" t="s">
        <v>116</v>
      </c>
      <c r="E629" s="1" t="s">
        <v>147</v>
      </c>
      <c r="F629" s="1" t="str">
        <f t="shared" si="2"/>
        <v>Deep</v>
      </c>
      <c r="G629" s="5" t="s">
        <v>17</v>
      </c>
      <c r="H629" s="5" t="s">
        <v>3386</v>
      </c>
      <c r="I629" s="5">
        <f t="shared" si="3"/>
        <v>0.0201</v>
      </c>
      <c r="J629" s="5" t="s">
        <v>3387</v>
      </c>
      <c r="K629" s="5">
        <f t="shared" si="4"/>
        <v>8.773221</v>
      </c>
      <c r="L629" s="5" t="s">
        <v>3388</v>
      </c>
      <c r="M629" s="5">
        <f t="shared" si="5"/>
        <v>0.0072</v>
      </c>
      <c r="N629" s="6" t="s">
        <v>2521</v>
      </c>
      <c r="O629" s="5">
        <f t="shared" si="6"/>
        <v>6</v>
      </c>
    </row>
    <row r="630">
      <c r="A630" s="6" t="s">
        <v>2488</v>
      </c>
      <c r="B630" s="6" t="s">
        <v>2793</v>
      </c>
      <c r="C630" s="5">
        <f t="shared" si="1"/>
        <v>12</v>
      </c>
      <c r="D630" s="1" t="s">
        <v>116</v>
      </c>
      <c r="E630" s="1" t="s">
        <v>147</v>
      </c>
      <c r="F630" s="1" t="str">
        <f t="shared" si="2"/>
        <v>Deep</v>
      </c>
      <c r="G630" s="5" t="s">
        <v>21</v>
      </c>
      <c r="H630" s="5" t="s">
        <v>1191</v>
      </c>
      <c r="I630" s="5">
        <f t="shared" si="3"/>
        <v>0.0551</v>
      </c>
      <c r="J630" s="5" t="s">
        <v>3389</v>
      </c>
      <c r="K630" s="5">
        <f t="shared" si="4"/>
        <v>28.912296</v>
      </c>
      <c r="L630" s="5" t="s">
        <v>1964</v>
      </c>
      <c r="M630" s="5">
        <f t="shared" si="5"/>
        <v>0.0276</v>
      </c>
      <c r="N630" s="6" t="s">
        <v>4334</v>
      </c>
      <c r="O630" s="5">
        <f t="shared" si="6"/>
        <v>44</v>
      </c>
    </row>
    <row r="631">
      <c r="A631" s="6" t="s">
        <v>2488</v>
      </c>
      <c r="B631" s="6" t="s">
        <v>2793</v>
      </c>
      <c r="C631" s="5">
        <f t="shared" si="1"/>
        <v>12</v>
      </c>
      <c r="D631" s="1" t="s">
        <v>116</v>
      </c>
      <c r="E631" s="1" t="s">
        <v>1851</v>
      </c>
      <c r="F631" s="1" t="str">
        <f t="shared" si="2"/>
        <v>Rosy</v>
      </c>
      <c r="G631" s="5" t="s">
        <v>17</v>
      </c>
      <c r="H631" s="9" t="s">
        <v>6111</v>
      </c>
      <c r="I631" s="5">
        <f t="shared" si="3"/>
        <v>3.5262</v>
      </c>
      <c r="J631" s="5" t="s">
        <v>3390</v>
      </c>
      <c r="K631" s="5">
        <f t="shared" si="4"/>
        <v>303.53724</v>
      </c>
      <c r="L631" s="9" t="s">
        <v>6112</v>
      </c>
      <c r="M631" s="5">
        <f t="shared" si="5"/>
        <v>1.3576</v>
      </c>
      <c r="N631" s="6" t="s">
        <v>6114</v>
      </c>
      <c r="O631" s="5">
        <f t="shared" si="6"/>
        <v>1857</v>
      </c>
    </row>
    <row r="632">
      <c r="A632" s="6" t="s">
        <v>2488</v>
      </c>
      <c r="B632" s="6" t="s">
        <v>2793</v>
      </c>
      <c r="C632" s="5">
        <f t="shared" si="1"/>
        <v>12</v>
      </c>
      <c r="D632" s="1" t="s">
        <v>116</v>
      </c>
      <c r="E632" s="1" t="s">
        <v>1851</v>
      </c>
      <c r="F632" s="1" t="str">
        <f t="shared" si="2"/>
        <v>Rosy</v>
      </c>
      <c r="G632" s="5" t="s">
        <v>21</v>
      </c>
      <c r="H632" s="5" t="s">
        <v>3391</v>
      </c>
      <c r="I632" s="5">
        <f t="shared" si="3"/>
        <v>0.5836</v>
      </c>
      <c r="J632" s="5" t="s">
        <v>3392</v>
      </c>
      <c r="K632" s="5">
        <f t="shared" si="4"/>
        <v>45.059481</v>
      </c>
      <c r="L632" s="5" t="s">
        <v>3393</v>
      </c>
      <c r="M632" s="5">
        <f t="shared" si="5"/>
        <v>0.286</v>
      </c>
      <c r="N632" s="6" t="s">
        <v>6115</v>
      </c>
      <c r="O632" s="5">
        <f t="shared" si="6"/>
        <v>483</v>
      </c>
    </row>
    <row r="633">
      <c r="A633" s="6" t="s">
        <v>2488</v>
      </c>
      <c r="B633" s="6" t="s">
        <v>2793</v>
      </c>
      <c r="C633" s="5">
        <f t="shared" si="1"/>
        <v>12</v>
      </c>
      <c r="D633" s="1" t="s">
        <v>116</v>
      </c>
      <c r="E633" s="1" t="s">
        <v>1830</v>
      </c>
      <c r="F633" s="1" t="str">
        <f t="shared" si="2"/>
        <v>Magenta</v>
      </c>
      <c r="G633" s="5" t="s">
        <v>72</v>
      </c>
      <c r="H633" s="9" t="s">
        <v>6116</v>
      </c>
      <c r="I633" s="5">
        <f t="shared" si="3"/>
        <v>3.5655</v>
      </c>
      <c r="J633" s="5" t="s">
        <v>3394</v>
      </c>
      <c r="K633" s="5">
        <f t="shared" si="4"/>
        <v>309.04197</v>
      </c>
      <c r="L633" s="5" t="s">
        <v>3395</v>
      </c>
      <c r="M633" s="5">
        <f t="shared" si="5"/>
        <v>1.141</v>
      </c>
      <c r="N633" s="6" t="s">
        <v>6118</v>
      </c>
      <c r="O633" s="5">
        <f t="shared" si="6"/>
        <v>2940</v>
      </c>
    </row>
    <row r="634">
      <c r="A634" s="6" t="s">
        <v>2488</v>
      </c>
      <c r="B634" s="6" t="s">
        <v>2793</v>
      </c>
      <c r="C634" s="5">
        <f t="shared" si="1"/>
        <v>12</v>
      </c>
      <c r="D634" s="1" t="s">
        <v>116</v>
      </c>
      <c r="E634" s="1" t="s">
        <v>42</v>
      </c>
      <c r="F634" s="1" t="str">
        <f t="shared" si="2"/>
        <v>Red</v>
      </c>
      <c r="G634" s="5" t="s">
        <v>17</v>
      </c>
      <c r="H634" s="5" t="s">
        <v>3396</v>
      </c>
      <c r="I634" s="5">
        <f t="shared" si="3"/>
        <v>1.341</v>
      </c>
      <c r="J634" s="5" t="s">
        <v>3397</v>
      </c>
      <c r="K634" s="5">
        <f t="shared" si="4"/>
        <v>266.459087</v>
      </c>
      <c r="L634" s="5" t="s">
        <v>2820</v>
      </c>
      <c r="M634" s="5">
        <f t="shared" si="5"/>
        <v>0.4962</v>
      </c>
      <c r="N634" s="6" t="s">
        <v>291</v>
      </c>
      <c r="O634" s="5">
        <f t="shared" si="6"/>
        <v>0</v>
      </c>
    </row>
    <row r="635">
      <c r="A635" s="6" t="s">
        <v>2488</v>
      </c>
      <c r="B635" s="6" t="s">
        <v>2793</v>
      </c>
      <c r="C635" s="5">
        <f t="shared" si="1"/>
        <v>12</v>
      </c>
      <c r="D635" s="1" t="s">
        <v>116</v>
      </c>
      <c r="E635" s="1" t="s">
        <v>158</v>
      </c>
      <c r="F635" s="1" t="str">
        <f t="shared" si="2"/>
        <v>Dim</v>
      </c>
      <c r="G635" s="5" t="s">
        <v>39</v>
      </c>
      <c r="H635" s="5" t="s">
        <v>315</v>
      </c>
      <c r="I635" s="5">
        <f t="shared" si="3"/>
        <v>0.0033</v>
      </c>
      <c r="J635" s="5" t="s">
        <v>3398</v>
      </c>
      <c r="K635" s="5">
        <f t="shared" si="4"/>
        <v>1.651021</v>
      </c>
      <c r="L635" s="5" t="s">
        <v>2812</v>
      </c>
      <c r="M635" s="5">
        <f t="shared" si="5"/>
        <v>0.0006</v>
      </c>
      <c r="N635" s="6" t="s">
        <v>291</v>
      </c>
      <c r="O635" s="5">
        <f t="shared" si="6"/>
        <v>0</v>
      </c>
    </row>
    <row r="636">
      <c r="A636" s="6" t="s">
        <v>2488</v>
      </c>
      <c r="B636" s="6" t="s">
        <v>2793</v>
      </c>
      <c r="C636" s="5">
        <f t="shared" si="1"/>
        <v>12</v>
      </c>
      <c r="D636" s="1" t="s">
        <v>116</v>
      </c>
      <c r="E636" s="1" t="s">
        <v>158</v>
      </c>
      <c r="F636" s="1" t="str">
        <f t="shared" si="2"/>
        <v>Dim</v>
      </c>
      <c r="G636" s="5" t="s">
        <v>17</v>
      </c>
      <c r="H636" s="5" t="s">
        <v>3399</v>
      </c>
      <c r="I636" s="5">
        <f t="shared" si="3"/>
        <v>0.104</v>
      </c>
      <c r="J636" s="5" t="s">
        <v>3400</v>
      </c>
      <c r="K636" s="5">
        <f t="shared" si="4"/>
        <v>49.401866</v>
      </c>
      <c r="L636" s="5" t="s">
        <v>3401</v>
      </c>
      <c r="M636" s="5">
        <f t="shared" si="5"/>
        <v>0.0364</v>
      </c>
      <c r="N636" s="6" t="s">
        <v>291</v>
      </c>
      <c r="O636" s="5">
        <f t="shared" si="6"/>
        <v>0</v>
      </c>
    </row>
    <row r="637">
      <c r="A637" s="6" t="s">
        <v>2488</v>
      </c>
      <c r="B637" s="6" t="s">
        <v>2793</v>
      </c>
      <c r="C637" s="5">
        <f t="shared" si="1"/>
        <v>12</v>
      </c>
      <c r="D637" s="1" t="s">
        <v>116</v>
      </c>
      <c r="E637" s="1" t="s">
        <v>158</v>
      </c>
      <c r="F637" s="1" t="str">
        <f t="shared" si="2"/>
        <v>Dim</v>
      </c>
      <c r="G637" s="5" t="s">
        <v>21</v>
      </c>
      <c r="H637" s="5" t="s">
        <v>3402</v>
      </c>
      <c r="I637" s="5">
        <f t="shared" si="3"/>
        <v>0.2762</v>
      </c>
      <c r="J637" s="5" t="s">
        <v>3403</v>
      </c>
      <c r="K637" s="5">
        <f t="shared" si="4"/>
        <v>154.514089</v>
      </c>
      <c r="L637" s="5" t="s">
        <v>3404</v>
      </c>
      <c r="M637" s="5">
        <f t="shared" si="5"/>
        <v>0.116</v>
      </c>
      <c r="N637" s="6" t="s">
        <v>291</v>
      </c>
      <c r="O637" s="5">
        <f t="shared" si="6"/>
        <v>0</v>
      </c>
    </row>
    <row r="638">
      <c r="A638" s="6" t="s">
        <v>2488</v>
      </c>
      <c r="B638" s="6" t="s">
        <v>2793</v>
      </c>
      <c r="C638" s="5">
        <f t="shared" si="1"/>
        <v>12</v>
      </c>
      <c r="D638" s="1" t="s">
        <v>116</v>
      </c>
      <c r="E638" s="1" t="s">
        <v>48</v>
      </c>
      <c r="F638" s="1" t="str">
        <f t="shared" si="2"/>
        <v>Orange</v>
      </c>
      <c r="G638" s="5" t="s">
        <v>49</v>
      </c>
      <c r="H638" s="5" t="s">
        <v>3405</v>
      </c>
      <c r="I638" s="5">
        <f t="shared" si="3"/>
        <v>0.0391</v>
      </c>
      <c r="J638" s="5" t="s">
        <v>3406</v>
      </c>
      <c r="K638" s="5">
        <f t="shared" si="4"/>
        <v>14.953212</v>
      </c>
      <c r="L638" s="5" t="s">
        <v>507</v>
      </c>
      <c r="M638" s="5">
        <f t="shared" si="5"/>
        <v>0.0109</v>
      </c>
      <c r="N638" s="6" t="s">
        <v>291</v>
      </c>
      <c r="O638" s="5">
        <f t="shared" si="6"/>
        <v>0</v>
      </c>
    </row>
    <row r="639">
      <c r="A639" s="6" t="s">
        <v>2488</v>
      </c>
      <c r="B639" s="6" t="s">
        <v>2793</v>
      </c>
      <c r="C639" s="5">
        <f t="shared" si="1"/>
        <v>12</v>
      </c>
      <c r="D639" s="1" t="s">
        <v>116</v>
      </c>
      <c r="E639" s="1" t="s">
        <v>48</v>
      </c>
      <c r="F639" s="1" t="str">
        <f t="shared" si="2"/>
        <v>Orange</v>
      </c>
      <c r="G639" s="5" t="s">
        <v>72</v>
      </c>
      <c r="H639" s="5" t="s">
        <v>666</v>
      </c>
      <c r="I639" s="5">
        <f t="shared" si="3"/>
        <v>0.0031</v>
      </c>
      <c r="J639" s="5" t="s">
        <v>3407</v>
      </c>
      <c r="K639" s="5">
        <f t="shared" si="4"/>
        <v>0.960841</v>
      </c>
      <c r="L639" s="5" t="s">
        <v>574</v>
      </c>
      <c r="M639" s="5">
        <f t="shared" si="5"/>
        <v>0.0009</v>
      </c>
      <c r="N639" s="6" t="s">
        <v>291</v>
      </c>
      <c r="O639" s="5">
        <f t="shared" si="6"/>
        <v>0</v>
      </c>
    </row>
    <row r="640">
      <c r="A640" s="6" t="s">
        <v>2488</v>
      </c>
      <c r="B640" s="6" t="s">
        <v>2793</v>
      </c>
      <c r="C640" s="5">
        <f t="shared" si="1"/>
        <v>12</v>
      </c>
      <c r="D640" s="1" t="s">
        <v>116</v>
      </c>
      <c r="E640" s="1" t="s">
        <v>48</v>
      </c>
      <c r="F640" s="1" t="str">
        <f t="shared" si="2"/>
        <v>Orange</v>
      </c>
      <c r="G640" s="5" t="s">
        <v>21</v>
      </c>
      <c r="H640" s="9" t="s">
        <v>6124</v>
      </c>
      <c r="I640" s="5">
        <f t="shared" si="3"/>
        <v>1.4449</v>
      </c>
      <c r="J640" s="5" t="s">
        <v>3408</v>
      </c>
      <c r="K640" s="5">
        <f t="shared" si="4"/>
        <v>173.679195</v>
      </c>
      <c r="L640" s="5" t="s">
        <v>3409</v>
      </c>
      <c r="M640" s="5">
        <f t="shared" si="5"/>
        <v>0.5781</v>
      </c>
      <c r="N640" s="6" t="s">
        <v>291</v>
      </c>
      <c r="O640" s="5">
        <f t="shared" si="6"/>
        <v>0</v>
      </c>
    </row>
    <row r="641">
      <c r="A641" s="6" t="s">
        <v>2488</v>
      </c>
      <c r="B641" s="6" t="s">
        <v>186</v>
      </c>
      <c r="C641" s="5">
        <f t="shared" si="1"/>
        <v>1</v>
      </c>
      <c r="D641" s="1" t="s">
        <v>12</v>
      </c>
      <c r="E641" s="1" t="s">
        <v>2497</v>
      </c>
      <c r="F641" s="1" t="str">
        <f t="shared" si="2"/>
        <v>Green</v>
      </c>
      <c r="G641" s="5" t="s">
        <v>2230</v>
      </c>
      <c r="H641" s="5" t="s">
        <v>3410</v>
      </c>
      <c r="I641" s="5">
        <f t="shared" si="3"/>
        <v>31.182</v>
      </c>
      <c r="J641" s="5" t="s">
        <v>3411</v>
      </c>
      <c r="K641" s="5">
        <f t="shared" si="4"/>
        <v>2078.5833</v>
      </c>
      <c r="L641" s="9" t="s">
        <v>6127</v>
      </c>
      <c r="M641" s="5">
        <f t="shared" si="5"/>
        <v>6.2363</v>
      </c>
      <c r="N641" s="6" t="s">
        <v>5662</v>
      </c>
      <c r="O641" s="5">
        <f t="shared" si="6"/>
        <v>511</v>
      </c>
    </row>
    <row r="642">
      <c r="A642" s="6" t="s">
        <v>2488</v>
      </c>
      <c r="B642" s="6" t="s">
        <v>186</v>
      </c>
      <c r="C642" s="5">
        <f t="shared" si="1"/>
        <v>1</v>
      </c>
      <c r="D642" s="1" t="s">
        <v>68</v>
      </c>
      <c r="E642" s="1" t="s">
        <v>2497</v>
      </c>
      <c r="F642" s="1" t="str">
        <f t="shared" si="2"/>
        <v>Green</v>
      </c>
      <c r="G642" s="5" t="s">
        <v>2230</v>
      </c>
      <c r="H642" s="5" t="s">
        <v>3412</v>
      </c>
      <c r="I642" s="5">
        <f t="shared" si="3"/>
        <v>18.0189</v>
      </c>
      <c r="J642" s="5" t="s">
        <v>3413</v>
      </c>
      <c r="K642" s="5">
        <f t="shared" si="4"/>
        <v>1233.5554</v>
      </c>
      <c r="L642" s="9" t="s">
        <v>6229</v>
      </c>
      <c r="M642" s="5">
        <f t="shared" si="5"/>
        <v>3.6037</v>
      </c>
      <c r="N642" s="6" t="s">
        <v>6230</v>
      </c>
      <c r="O642" s="5">
        <f t="shared" si="6"/>
        <v>1755</v>
      </c>
    </row>
    <row r="643">
      <c r="A643" s="6" t="s">
        <v>2488</v>
      </c>
      <c r="B643" s="6" t="s">
        <v>186</v>
      </c>
      <c r="C643" s="5">
        <f t="shared" si="1"/>
        <v>1</v>
      </c>
      <c r="D643" s="1" t="s">
        <v>116</v>
      </c>
      <c r="E643" s="1" t="s">
        <v>2497</v>
      </c>
      <c r="F643" s="1" t="str">
        <f t="shared" si="2"/>
        <v>Green</v>
      </c>
      <c r="G643" s="5" t="s">
        <v>2230</v>
      </c>
      <c r="H643" s="5" t="s">
        <v>3414</v>
      </c>
      <c r="I643" s="5">
        <f t="shared" si="3"/>
        <v>26.234</v>
      </c>
      <c r="J643" s="5" t="s">
        <v>3415</v>
      </c>
      <c r="K643" s="5">
        <f t="shared" si="4"/>
        <v>1891.4637</v>
      </c>
      <c r="L643" s="9" t="s">
        <v>6231</v>
      </c>
      <c r="M643" s="5">
        <f t="shared" si="5"/>
        <v>5.2468</v>
      </c>
      <c r="N643" s="6" t="s">
        <v>6232</v>
      </c>
      <c r="O643" s="5">
        <f t="shared" si="6"/>
        <v>2038</v>
      </c>
    </row>
    <row r="644">
      <c r="A644" s="6" t="s">
        <v>2488</v>
      </c>
      <c r="B644" s="6" t="s">
        <v>397</v>
      </c>
      <c r="C644" s="5">
        <f t="shared" si="1"/>
        <v>2</v>
      </c>
      <c r="D644" s="1" t="s">
        <v>12</v>
      </c>
      <c r="E644" s="1" t="s">
        <v>2497</v>
      </c>
      <c r="F644" s="1" t="str">
        <f t="shared" si="2"/>
        <v>Green</v>
      </c>
      <c r="G644" s="5" t="s">
        <v>2230</v>
      </c>
      <c r="H644" s="5" t="s">
        <v>3416</v>
      </c>
      <c r="I644" s="5">
        <f t="shared" si="3"/>
        <v>27.5444</v>
      </c>
      <c r="J644" s="9" t="s">
        <v>6233</v>
      </c>
      <c r="K644" s="5">
        <f t="shared" si="4"/>
        <v>1726.978</v>
      </c>
      <c r="L644" s="9" t="s">
        <v>6234</v>
      </c>
      <c r="M644" s="5">
        <f t="shared" si="5"/>
        <v>5.5089</v>
      </c>
      <c r="N644" s="6" t="s">
        <v>4748</v>
      </c>
      <c r="O644" s="5">
        <f t="shared" si="6"/>
        <v>549</v>
      </c>
    </row>
    <row r="645">
      <c r="A645" s="6" t="s">
        <v>2488</v>
      </c>
      <c r="B645" s="6" t="s">
        <v>397</v>
      </c>
      <c r="C645" s="5">
        <f t="shared" si="1"/>
        <v>2</v>
      </c>
      <c r="D645" s="1" t="s">
        <v>68</v>
      </c>
      <c r="E645" s="1" t="s">
        <v>2497</v>
      </c>
      <c r="F645" s="1" t="str">
        <f t="shared" si="2"/>
        <v>Green</v>
      </c>
      <c r="G645" s="5" t="s">
        <v>2230</v>
      </c>
      <c r="H645" s="5" t="s">
        <v>3417</v>
      </c>
      <c r="I645" s="5">
        <f t="shared" si="3"/>
        <v>15.2089</v>
      </c>
      <c r="J645" s="5" t="s">
        <v>3418</v>
      </c>
      <c r="K645" s="5">
        <f t="shared" si="4"/>
        <v>999.1274</v>
      </c>
      <c r="L645" s="9" t="s">
        <v>3419</v>
      </c>
      <c r="M645" s="5">
        <f t="shared" si="5"/>
        <v>3.0419</v>
      </c>
      <c r="N645" s="6" t="s">
        <v>6235</v>
      </c>
      <c r="O645" s="5">
        <f t="shared" si="6"/>
        <v>1941</v>
      </c>
    </row>
    <row r="646">
      <c r="A646" s="6" t="s">
        <v>2488</v>
      </c>
      <c r="B646" s="6" t="s">
        <v>397</v>
      </c>
      <c r="C646" s="5">
        <f t="shared" si="1"/>
        <v>2</v>
      </c>
      <c r="D646" s="1" t="s">
        <v>116</v>
      </c>
      <c r="E646" s="1" t="s">
        <v>2497</v>
      </c>
      <c r="F646" s="1" t="str">
        <f t="shared" si="2"/>
        <v>Green</v>
      </c>
      <c r="G646" s="5" t="s">
        <v>2230</v>
      </c>
      <c r="H646" s="5" t="s">
        <v>3420</v>
      </c>
      <c r="I646" s="5">
        <f t="shared" si="3"/>
        <v>23.4901</v>
      </c>
      <c r="J646" s="5" t="s">
        <v>3421</v>
      </c>
      <c r="K646" s="5">
        <f t="shared" si="4"/>
        <v>1653.5799</v>
      </c>
      <c r="L646" s="9" t="s">
        <v>6236</v>
      </c>
      <c r="M646" s="5">
        <f t="shared" si="5"/>
        <v>4.6981</v>
      </c>
      <c r="N646" s="6" t="s">
        <v>6237</v>
      </c>
      <c r="O646" s="5">
        <f t="shared" si="6"/>
        <v>1923</v>
      </c>
    </row>
    <row r="647">
      <c r="A647" s="6" t="s">
        <v>2488</v>
      </c>
      <c r="B647" s="6" t="s">
        <v>2677</v>
      </c>
      <c r="C647" s="5">
        <f t="shared" si="1"/>
        <v>3</v>
      </c>
      <c r="D647" s="1" t="s">
        <v>12</v>
      </c>
      <c r="E647" s="1" t="s">
        <v>2497</v>
      </c>
      <c r="F647" s="1" t="str">
        <f t="shared" si="2"/>
        <v>Green</v>
      </c>
      <c r="G647" s="5" t="s">
        <v>2230</v>
      </c>
      <c r="H647" s="5" t="s">
        <v>3422</v>
      </c>
      <c r="I647" s="5">
        <f t="shared" si="3"/>
        <v>24.9705</v>
      </c>
      <c r="J647" s="5" t="s">
        <v>3423</v>
      </c>
      <c r="K647" s="5">
        <f t="shared" si="4"/>
        <v>1670.2214</v>
      </c>
      <c r="L647" s="9" t="s">
        <v>6238</v>
      </c>
      <c r="M647" s="5">
        <f t="shared" si="5"/>
        <v>4.9941</v>
      </c>
      <c r="N647" s="6" t="s">
        <v>5293</v>
      </c>
      <c r="O647" s="5">
        <f t="shared" si="6"/>
        <v>543</v>
      </c>
    </row>
    <row r="648">
      <c r="A648" s="6" t="s">
        <v>2488</v>
      </c>
      <c r="B648" s="6" t="s">
        <v>2677</v>
      </c>
      <c r="C648" s="5">
        <f t="shared" si="1"/>
        <v>3</v>
      </c>
      <c r="D648" s="1" t="s">
        <v>68</v>
      </c>
      <c r="E648" s="1" t="s">
        <v>2497</v>
      </c>
      <c r="F648" s="1" t="str">
        <f t="shared" si="2"/>
        <v>Green</v>
      </c>
      <c r="G648" s="5" t="s">
        <v>2230</v>
      </c>
      <c r="H648" s="5" t="s">
        <v>3424</v>
      </c>
      <c r="I648" s="5">
        <f t="shared" si="3"/>
        <v>14.6105</v>
      </c>
      <c r="J648" s="5" t="s">
        <v>3425</v>
      </c>
      <c r="K648" s="5">
        <f t="shared" si="4"/>
        <v>876.2526</v>
      </c>
      <c r="L648" s="9" t="s">
        <v>6239</v>
      </c>
      <c r="M648" s="5">
        <f t="shared" si="5"/>
        <v>2.9221</v>
      </c>
      <c r="N648" s="6" t="s">
        <v>6240</v>
      </c>
      <c r="O648" s="5">
        <f t="shared" si="6"/>
        <v>1735</v>
      </c>
    </row>
    <row r="649">
      <c r="A649" s="6" t="s">
        <v>2488</v>
      </c>
      <c r="B649" s="6" t="s">
        <v>2677</v>
      </c>
      <c r="C649" s="5">
        <f t="shared" si="1"/>
        <v>3</v>
      </c>
      <c r="D649" s="1" t="s">
        <v>116</v>
      </c>
      <c r="E649" s="1" t="s">
        <v>2497</v>
      </c>
      <c r="F649" s="1" t="str">
        <f t="shared" si="2"/>
        <v>Green</v>
      </c>
      <c r="G649" s="5" t="s">
        <v>2230</v>
      </c>
      <c r="H649" s="5" t="s">
        <v>3426</v>
      </c>
      <c r="I649" s="5">
        <f t="shared" si="3"/>
        <v>18.2471</v>
      </c>
      <c r="J649" s="5" t="s">
        <v>3427</v>
      </c>
      <c r="K649" s="5">
        <f t="shared" si="4"/>
        <v>1287.2407</v>
      </c>
      <c r="L649" s="9" t="s">
        <v>6241</v>
      </c>
      <c r="M649" s="5">
        <f t="shared" si="5"/>
        <v>3.6494</v>
      </c>
      <c r="N649" s="6" t="s">
        <v>6242</v>
      </c>
      <c r="O649" s="5">
        <f t="shared" si="6"/>
        <v>1862</v>
      </c>
    </row>
    <row r="650">
      <c r="A650" s="6" t="s">
        <v>2488</v>
      </c>
      <c r="B650" s="6" t="s">
        <v>273</v>
      </c>
      <c r="C650" s="5">
        <f t="shared" si="1"/>
        <v>4</v>
      </c>
      <c r="D650" s="1" t="s">
        <v>12</v>
      </c>
      <c r="E650" s="1" t="s">
        <v>2497</v>
      </c>
      <c r="F650" s="1" t="str">
        <f t="shared" si="2"/>
        <v>Green</v>
      </c>
      <c r="G650" s="5" t="s">
        <v>2230</v>
      </c>
      <c r="H650" s="5" t="s">
        <v>3428</v>
      </c>
      <c r="I650" s="5">
        <f t="shared" si="3"/>
        <v>19.3133</v>
      </c>
      <c r="J650" s="5" t="s">
        <v>3429</v>
      </c>
      <c r="K650" s="5">
        <f t="shared" si="4"/>
        <v>1358.9363</v>
      </c>
      <c r="L650" s="9" t="s">
        <v>6243</v>
      </c>
      <c r="M650" s="5">
        <f t="shared" si="5"/>
        <v>3.8626</v>
      </c>
      <c r="N650" s="6" t="s">
        <v>5293</v>
      </c>
      <c r="O650" s="5">
        <f t="shared" si="6"/>
        <v>543</v>
      </c>
    </row>
    <row r="651">
      <c r="A651" s="6" t="s">
        <v>2488</v>
      </c>
      <c r="B651" s="6" t="s">
        <v>273</v>
      </c>
      <c r="C651" s="5">
        <f t="shared" si="1"/>
        <v>4</v>
      </c>
      <c r="D651" s="1" t="s">
        <v>68</v>
      </c>
      <c r="E651" s="1" t="s">
        <v>2497</v>
      </c>
      <c r="F651" s="1" t="str">
        <f t="shared" si="2"/>
        <v>Green</v>
      </c>
      <c r="G651" s="5" t="s">
        <v>2230</v>
      </c>
      <c r="H651" s="5" t="s">
        <v>3430</v>
      </c>
      <c r="I651" s="5">
        <f t="shared" si="3"/>
        <v>9.3769</v>
      </c>
      <c r="J651" s="5" t="s">
        <v>3431</v>
      </c>
      <c r="K651" s="5">
        <f t="shared" si="4"/>
        <v>759.3862</v>
      </c>
      <c r="L651" s="9" t="s">
        <v>6244</v>
      </c>
      <c r="M651" s="5">
        <f t="shared" si="5"/>
        <v>1.8754</v>
      </c>
      <c r="N651" s="6" t="s">
        <v>6245</v>
      </c>
      <c r="O651" s="5">
        <f t="shared" si="6"/>
        <v>1389</v>
      </c>
    </row>
    <row r="652">
      <c r="A652" s="6" t="s">
        <v>2488</v>
      </c>
      <c r="B652" s="6" t="s">
        <v>273</v>
      </c>
      <c r="C652" s="5">
        <f t="shared" si="1"/>
        <v>4</v>
      </c>
      <c r="D652" s="1" t="s">
        <v>116</v>
      </c>
      <c r="E652" s="1" t="s">
        <v>2497</v>
      </c>
      <c r="F652" s="1" t="str">
        <f t="shared" si="2"/>
        <v>Green</v>
      </c>
      <c r="G652" s="5" t="s">
        <v>2230</v>
      </c>
      <c r="H652" s="5" t="s">
        <v>3432</v>
      </c>
      <c r="I652" s="5">
        <f t="shared" si="3"/>
        <v>62.7087</v>
      </c>
      <c r="J652" s="5" t="s">
        <v>3433</v>
      </c>
      <c r="K652" s="5">
        <f t="shared" si="4"/>
        <v>2991.2072</v>
      </c>
      <c r="L652" s="9" t="s">
        <v>6246</v>
      </c>
      <c r="M652" s="5">
        <f t="shared" si="5"/>
        <v>12.5417</v>
      </c>
      <c r="N652" s="6" t="s">
        <v>6247</v>
      </c>
      <c r="O652" s="5">
        <f t="shared" si="6"/>
        <v>1647</v>
      </c>
    </row>
    <row r="653">
      <c r="A653" s="6" t="s">
        <v>2488</v>
      </c>
      <c r="B653" s="6" t="s">
        <v>3552</v>
      </c>
      <c r="C653" s="5">
        <f t="shared" si="1"/>
        <v>5</v>
      </c>
      <c r="D653" s="1" t="s">
        <v>12</v>
      </c>
      <c r="E653" s="1" t="s">
        <v>2497</v>
      </c>
      <c r="F653" s="1" t="str">
        <f t="shared" si="2"/>
        <v>Green</v>
      </c>
      <c r="G653" s="5" t="s">
        <v>2230</v>
      </c>
      <c r="H653" s="5" t="s">
        <v>3434</v>
      </c>
      <c r="I653" s="5">
        <f t="shared" si="3"/>
        <v>22.617</v>
      </c>
      <c r="J653" s="5" t="s">
        <v>3435</v>
      </c>
      <c r="K653" s="5">
        <f t="shared" si="4"/>
        <v>1451.1396</v>
      </c>
      <c r="L653" s="9" t="s">
        <v>6248</v>
      </c>
      <c r="M653" s="5">
        <f t="shared" si="5"/>
        <v>4.5234</v>
      </c>
      <c r="N653" s="6" t="s">
        <v>4808</v>
      </c>
      <c r="O653" s="5">
        <f t="shared" si="6"/>
        <v>539</v>
      </c>
    </row>
    <row r="654">
      <c r="A654" s="6" t="s">
        <v>2488</v>
      </c>
      <c r="B654" s="6" t="s">
        <v>3552</v>
      </c>
      <c r="C654" s="5">
        <f t="shared" si="1"/>
        <v>5</v>
      </c>
      <c r="D654" s="1" t="s">
        <v>68</v>
      </c>
      <c r="E654" s="1" t="s">
        <v>2497</v>
      </c>
      <c r="F654" s="1" t="str">
        <f t="shared" si="2"/>
        <v>Green</v>
      </c>
      <c r="G654" s="5" t="s">
        <v>2230</v>
      </c>
      <c r="H654" s="5" t="s">
        <v>3436</v>
      </c>
      <c r="I654" s="5">
        <f t="shared" si="3"/>
        <v>8.8641</v>
      </c>
      <c r="J654" s="5" t="s">
        <v>3437</v>
      </c>
      <c r="K654" s="5">
        <f t="shared" si="4"/>
        <v>751.6631</v>
      </c>
      <c r="L654" s="9" t="s">
        <v>4704</v>
      </c>
      <c r="M654" s="5">
        <f t="shared" si="5"/>
        <v>1.7728</v>
      </c>
      <c r="N654" s="6" t="s">
        <v>6249</v>
      </c>
      <c r="O654" s="5">
        <f t="shared" si="6"/>
        <v>1521</v>
      </c>
    </row>
    <row r="655">
      <c r="A655" s="6" t="s">
        <v>2488</v>
      </c>
      <c r="B655" s="6" t="s">
        <v>3552</v>
      </c>
      <c r="C655" s="5">
        <f t="shared" si="1"/>
        <v>5</v>
      </c>
      <c r="D655" s="1" t="s">
        <v>116</v>
      </c>
      <c r="E655" s="1" t="s">
        <v>2497</v>
      </c>
      <c r="F655" s="1" t="str">
        <f t="shared" si="2"/>
        <v>Green</v>
      </c>
      <c r="G655" s="5" t="s">
        <v>2230</v>
      </c>
      <c r="H655" s="5" t="s">
        <v>3438</v>
      </c>
      <c r="I655" s="5">
        <f t="shared" si="3"/>
        <v>17.6217</v>
      </c>
      <c r="J655" s="5" t="s">
        <v>3439</v>
      </c>
      <c r="K655" s="5">
        <f t="shared" si="4"/>
        <v>1321.7207</v>
      </c>
      <c r="L655" s="9" t="s">
        <v>6250</v>
      </c>
      <c r="M655" s="5">
        <f t="shared" si="5"/>
        <v>3.5244</v>
      </c>
      <c r="N655" s="6" t="s">
        <v>6251</v>
      </c>
      <c r="O655" s="5">
        <f t="shared" si="6"/>
        <v>1773</v>
      </c>
    </row>
    <row r="656">
      <c r="A656" s="6" t="s">
        <v>2488</v>
      </c>
      <c r="B656" s="6" t="s">
        <v>2521</v>
      </c>
      <c r="C656" s="5">
        <f t="shared" si="1"/>
        <v>6</v>
      </c>
      <c r="D656" s="1" t="s">
        <v>12</v>
      </c>
      <c r="E656" s="1" t="s">
        <v>2497</v>
      </c>
      <c r="F656" s="1" t="str">
        <f t="shared" si="2"/>
        <v>Green</v>
      </c>
      <c r="G656" s="5" t="s">
        <v>2230</v>
      </c>
      <c r="H656" s="5" t="s">
        <v>3441</v>
      </c>
      <c r="I656" s="5">
        <f t="shared" si="3"/>
        <v>20.1482</v>
      </c>
      <c r="J656" s="5" t="s">
        <v>3442</v>
      </c>
      <c r="K656" s="5">
        <f t="shared" si="4"/>
        <v>1271.7483</v>
      </c>
      <c r="L656" s="9" t="s">
        <v>3443</v>
      </c>
      <c r="M656" s="5">
        <f t="shared" si="5"/>
        <v>4.0296</v>
      </c>
      <c r="N656" s="6" t="s">
        <v>6252</v>
      </c>
      <c r="O656" s="5">
        <f t="shared" si="6"/>
        <v>588</v>
      </c>
    </row>
    <row r="657">
      <c r="A657" s="6" t="s">
        <v>2488</v>
      </c>
      <c r="B657" s="6" t="s">
        <v>2521</v>
      </c>
      <c r="C657" s="5">
        <f t="shared" si="1"/>
        <v>6</v>
      </c>
      <c r="D657" s="1" t="s">
        <v>68</v>
      </c>
      <c r="E657" s="1" t="s">
        <v>2497</v>
      </c>
      <c r="F657" s="1" t="str">
        <f t="shared" si="2"/>
        <v>Green</v>
      </c>
      <c r="G657" s="5" t="s">
        <v>2230</v>
      </c>
      <c r="H657" s="5" t="s">
        <v>3444</v>
      </c>
      <c r="I657" s="5">
        <f t="shared" si="3"/>
        <v>15.7034</v>
      </c>
      <c r="J657" s="5" t="s">
        <v>3445</v>
      </c>
      <c r="K657" s="5">
        <f t="shared" si="4"/>
        <v>1119.4307</v>
      </c>
      <c r="L657" s="9" t="s">
        <v>3446</v>
      </c>
      <c r="M657" s="5">
        <f t="shared" si="5"/>
        <v>3.1407</v>
      </c>
      <c r="N657" s="6" t="s">
        <v>6253</v>
      </c>
      <c r="O657" s="5">
        <f t="shared" si="6"/>
        <v>1986</v>
      </c>
    </row>
    <row r="658">
      <c r="A658" s="6" t="s">
        <v>2488</v>
      </c>
      <c r="B658" s="6" t="s">
        <v>2521</v>
      </c>
      <c r="C658" s="5">
        <f t="shared" si="1"/>
        <v>6</v>
      </c>
      <c r="D658" s="1" t="s">
        <v>116</v>
      </c>
      <c r="E658" s="1" t="s">
        <v>2497</v>
      </c>
      <c r="F658" s="1" t="str">
        <f t="shared" si="2"/>
        <v>Green</v>
      </c>
      <c r="G658" s="5" t="s">
        <v>2230</v>
      </c>
      <c r="H658" s="5" t="s">
        <v>3447</v>
      </c>
      <c r="I658" s="5">
        <f t="shared" si="3"/>
        <v>36.2357</v>
      </c>
      <c r="J658" s="5" t="s">
        <v>3448</v>
      </c>
      <c r="K658" s="5">
        <f t="shared" si="4"/>
        <v>2409.2682</v>
      </c>
      <c r="L658" s="9" t="s">
        <v>6254</v>
      </c>
      <c r="M658" s="5">
        <f t="shared" si="5"/>
        <v>7.2472</v>
      </c>
      <c r="N658" s="6" t="s">
        <v>6255</v>
      </c>
      <c r="O658" s="5">
        <f t="shared" si="6"/>
        <v>3011</v>
      </c>
    </row>
    <row r="659">
      <c r="A659" s="6" t="s">
        <v>2488</v>
      </c>
      <c r="B659" s="6" t="s">
        <v>600</v>
      </c>
      <c r="C659" s="5">
        <f t="shared" si="1"/>
        <v>7</v>
      </c>
      <c r="D659" s="1" t="s">
        <v>12</v>
      </c>
      <c r="E659" s="1" t="s">
        <v>2497</v>
      </c>
      <c r="F659" s="1" t="str">
        <f t="shared" si="2"/>
        <v>Green</v>
      </c>
      <c r="G659" s="5" t="s">
        <v>2230</v>
      </c>
      <c r="H659" s="5" t="s">
        <v>3450</v>
      </c>
      <c r="I659" s="5">
        <f t="shared" si="3"/>
        <v>25.8357</v>
      </c>
      <c r="J659" s="5" t="s">
        <v>3451</v>
      </c>
      <c r="K659" s="5">
        <f t="shared" si="4"/>
        <v>1472.9105</v>
      </c>
      <c r="L659" s="9" t="s">
        <v>3452</v>
      </c>
      <c r="M659" s="5">
        <f t="shared" si="5"/>
        <v>5.1671</v>
      </c>
      <c r="N659" s="6" t="s">
        <v>6256</v>
      </c>
      <c r="O659" s="5">
        <f t="shared" si="6"/>
        <v>689</v>
      </c>
    </row>
    <row r="660">
      <c r="A660" s="6" t="s">
        <v>2488</v>
      </c>
      <c r="B660" s="6" t="s">
        <v>600</v>
      </c>
      <c r="C660" s="5">
        <f t="shared" si="1"/>
        <v>7</v>
      </c>
      <c r="D660" s="1" t="s">
        <v>68</v>
      </c>
      <c r="E660" s="1" t="s">
        <v>2497</v>
      </c>
      <c r="F660" s="1" t="str">
        <f t="shared" si="2"/>
        <v>Green</v>
      </c>
      <c r="G660" s="5" t="s">
        <v>2230</v>
      </c>
      <c r="H660" s="5" t="s">
        <v>3453</v>
      </c>
      <c r="I660" s="5">
        <f t="shared" si="3"/>
        <v>21.2905</v>
      </c>
      <c r="J660" s="5" t="s">
        <v>3454</v>
      </c>
      <c r="K660" s="5">
        <f t="shared" si="4"/>
        <v>1292.4159</v>
      </c>
      <c r="L660" s="9" t="s">
        <v>6270</v>
      </c>
      <c r="M660" s="5">
        <f t="shared" si="5"/>
        <v>4.2581</v>
      </c>
      <c r="N660" s="6" t="s">
        <v>6271</v>
      </c>
      <c r="O660" s="5">
        <f t="shared" si="6"/>
        <v>2136</v>
      </c>
    </row>
    <row r="661">
      <c r="A661" s="6" t="s">
        <v>2488</v>
      </c>
      <c r="B661" s="6" t="s">
        <v>600</v>
      </c>
      <c r="C661" s="5">
        <f t="shared" si="1"/>
        <v>7</v>
      </c>
      <c r="D661" s="1" t="s">
        <v>116</v>
      </c>
      <c r="E661" s="1" t="s">
        <v>2497</v>
      </c>
      <c r="F661" s="1" t="str">
        <f t="shared" si="2"/>
        <v>Green</v>
      </c>
      <c r="G661" s="5" t="s">
        <v>2230</v>
      </c>
      <c r="H661" s="5" t="s">
        <v>3455</v>
      </c>
      <c r="I661" s="5">
        <f t="shared" si="3"/>
        <v>44.1025</v>
      </c>
      <c r="J661" s="5" t="s">
        <v>3456</v>
      </c>
      <c r="K661" s="5">
        <f t="shared" si="4"/>
        <v>2610.5358</v>
      </c>
      <c r="L661" s="5" t="s">
        <v>3457</v>
      </c>
      <c r="M661" s="5">
        <f t="shared" si="5"/>
        <v>8.8204</v>
      </c>
      <c r="N661" s="6" t="s">
        <v>6272</v>
      </c>
      <c r="O661" s="5">
        <f t="shared" si="6"/>
        <v>3823</v>
      </c>
    </row>
    <row r="662">
      <c r="A662" s="6" t="s">
        <v>2488</v>
      </c>
      <c r="B662" s="6" t="s">
        <v>2672</v>
      </c>
      <c r="C662" s="5">
        <f t="shared" si="1"/>
        <v>8</v>
      </c>
      <c r="D662" s="1" t="s">
        <v>12</v>
      </c>
      <c r="E662" s="1" t="s">
        <v>2497</v>
      </c>
      <c r="F662" s="1" t="str">
        <f t="shared" si="2"/>
        <v>Green</v>
      </c>
      <c r="G662" s="5" t="s">
        <v>2230</v>
      </c>
      <c r="H662" s="5" t="s">
        <v>3459</v>
      </c>
      <c r="I662" s="5">
        <f t="shared" si="3"/>
        <v>19.4161</v>
      </c>
      <c r="J662" s="5" t="s">
        <v>3460</v>
      </c>
      <c r="K662" s="5">
        <f t="shared" si="4"/>
        <v>1174.4153</v>
      </c>
      <c r="L662" s="9" t="s">
        <v>6273</v>
      </c>
      <c r="M662" s="5">
        <f t="shared" si="5"/>
        <v>3.8833</v>
      </c>
      <c r="N662" s="6" t="s">
        <v>4475</v>
      </c>
      <c r="O662" s="5">
        <f t="shared" si="6"/>
        <v>654</v>
      </c>
    </row>
    <row r="663">
      <c r="A663" s="6" t="s">
        <v>2488</v>
      </c>
      <c r="B663" s="6" t="s">
        <v>2672</v>
      </c>
      <c r="C663" s="5">
        <f t="shared" si="1"/>
        <v>8</v>
      </c>
      <c r="D663" s="1" t="s">
        <v>68</v>
      </c>
      <c r="E663" s="1" t="s">
        <v>2497</v>
      </c>
      <c r="F663" s="1" t="str">
        <f t="shared" si="2"/>
        <v>Green</v>
      </c>
      <c r="G663" s="5" t="s">
        <v>2230</v>
      </c>
      <c r="H663" s="5" t="s">
        <v>3461</v>
      </c>
      <c r="I663" s="5">
        <f t="shared" si="3"/>
        <v>22.1025</v>
      </c>
      <c r="J663" s="5" t="s">
        <v>3462</v>
      </c>
      <c r="K663" s="5">
        <f t="shared" si="4"/>
        <v>1298.0841</v>
      </c>
      <c r="L663" s="9" t="s">
        <v>6274</v>
      </c>
      <c r="M663" s="5">
        <f t="shared" si="5"/>
        <v>4.4205</v>
      </c>
      <c r="N663" s="6" t="s">
        <v>6275</v>
      </c>
      <c r="O663" s="5">
        <f t="shared" si="6"/>
        <v>2197</v>
      </c>
    </row>
    <row r="664">
      <c r="A664" s="6" t="s">
        <v>2488</v>
      </c>
      <c r="B664" s="6" t="s">
        <v>2672</v>
      </c>
      <c r="C664" s="5">
        <f t="shared" si="1"/>
        <v>8</v>
      </c>
      <c r="D664" s="1" t="s">
        <v>116</v>
      </c>
      <c r="E664" s="1" t="s">
        <v>2497</v>
      </c>
      <c r="F664" s="1" t="str">
        <f t="shared" si="2"/>
        <v>Green</v>
      </c>
      <c r="G664" s="5" t="s">
        <v>2230</v>
      </c>
      <c r="H664" s="5" t="s">
        <v>3463</v>
      </c>
      <c r="I664" s="5">
        <f t="shared" si="3"/>
        <v>49.0676</v>
      </c>
      <c r="J664" s="5" t="s">
        <v>3464</v>
      </c>
      <c r="K664" s="5">
        <f t="shared" si="4"/>
        <v>2683.1193</v>
      </c>
      <c r="L664" s="5" t="s">
        <v>3465</v>
      </c>
      <c r="M664" s="5">
        <f t="shared" si="5"/>
        <v>9.8136</v>
      </c>
      <c r="N664" s="6" t="s">
        <v>6276</v>
      </c>
      <c r="O664" s="5">
        <f t="shared" si="6"/>
        <v>4198</v>
      </c>
    </row>
    <row r="665">
      <c r="A665" s="6" t="s">
        <v>2488</v>
      </c>
      <c r="B665" s="6" t="s">
        <v>3927</v>
      </c>
      <c r="C665" s="5">
        <f t="shared" si="1"/>
        <v>9</v>
      </c>
      <c r="D665" s="1" t="s">
        <v>12</v>
      </c>
      <c r="E665" s="1" t="s">
        <v>2497</v>
      </c>
      <c r="F665" s="1" t="str">
        <f t="shared" si="2"/>
        <v>Green</v>
      </c>
      <c r="G665" s="5" t="s">
        <v>2230</v>
      </c>
      <c r="H665" s="5" t="s">
        <v>3466</v>
      </c>
      <c r="I665" s="5">
        <f t="shared" si="3"/>
        <v>17.6166</v>
      </c>
      <c r="J665" s="5" t="s">
        <v>3467</v>
      </c>
      <c r="K665" s="5">
        <f t="shared" si="4"/>
        <v>1100.4579</v>
      </c>
      <c r="L665" s="9" t="s">
        <v>6277</v>
      </c>
      <c r="M665" s="5">
        <f t="shared" si="5"/>
        <v>3.5234</v>
      </c>
      <c r="N665" s="6" t="s">
        <v>6278</v>
      </c>
      <c r="O665" s="5">
        <f t="shared" si="6"/>
        <v>563</v>
      </c>
    </row>
    <row r="666">
      <c r="A666" s="6" t="s">
        <v>2488</v>
      </c>
      <c r="B666" s="6" t="s">
        <v>3927</v>
      </c>
      <c r="C666" s="5">
        <f t="shared" si="1"/>
        <v>9</v>
      </c>
      <c r="D666" s="1" t="s">
        <v>68</v>
      </c>
      <c r="E666" s="1" t="s">
        <v>2497</v>
      </c>
      <c r="F666" s="1" t="str">
        <f t="shared" si="2"/>
        <v>Green</v>
      </c>
      <c r="G666" s="5" t="s">
        <v>2230</v>
      </c>
      <c r="H666" s="5" t="s">
        <v>3468</v>
      </c>
      <c r="I666" s="5">
        <f t="shared" si="3"/>
        <v>19.039</v>
      </c>
      <c r="J666" s="5" t="s">
        <v>3469</v>
      </c>
      <c r="K666" s="5">
        <f t="shared" si="4"/>
        <v>1265.2026</v>
      </c>
      <c r="L666" s="9" t="s">
        <v>6279</v>
      </c>
      <c r="M666" s="5">
        <f t="shared" si="5"/>
        <v>3.8079</v>
      </c>
      <c r="N666" s="6" t="s">
        <v>6280</v>
      </c>
      <c r="O666" s="5">
        <f t="shared" si="6"/>
        <v>2540</v>
      </c>
    </row>
    <row r="667">
      <c r="A667" s="6" t="s">
        <v>2488</v>
      </c>
      <c r="B667" s="6" t="s">
        <v>3927</v>
      </c>
      <c r="C667" s="5">
        <f t="shared" si="1"/>
        <v>9</v>
      </c>
      <c r="D667" s="1" t="s">
        <v>116</v>
      </c>
      <c r="E667" s="1" t="s">
        <v>2497</v>
      </c>
      <c r="F667" s="1" t="str">
        <f t="shared" si="2"/>
        <v>Green</v>
      </c>
      <c r="G667" s="5" t="s">
        <v>2230</v>
      </c>
      <c r="H667" s="5" t="s">
        <v>3470</v>
      </c>
      <c r="I667" s="5">
        <f t="shared" si="3"/>
        <v>29.4026</v>
      </c>
      <c r="J667" s="5" t="s">
        <v>3471</v>
      </c>
      <c r="K667" s="5">
        <f t="shared" si="4"/>
        <v>1831.2859</v>
      </c>
      <c r="L667" s="9" t="s">
        <v>6281</v>
      </c>
      <c r="M667" s="5">
        <f t="shared" si="5"/>
        <v>5.8805</v>
      </c>
      <c r="N667" s="6" t="s">
        <v>6282</v>
      </c>
      <c r="O667" s="5">
        <f t="shared" si="6"/>
        <v>3746</v>
      </c>
    </row>
    <row r="668">
      <c r="A668" s="6" t="s">
        <v>2488</v>
      </c>
      <c r="B668" s="6" t="s">
        <v>557</v>
      </c>
      <c r="C668" s="5">
        <f t="shared" si="1"/>
        <v>10</v>
      </c>
      <c r="D668" s="1" t="s">
        <v>12</v>
      </c>
      <c r="E668" s="1" t="s">
        <v>2497</v>
      </c>
      <c r="F668" s="1" t="str">
        <f t="shared" si="2"/>
        <v>Green</v>
      </c>
      <c r="G668" s="5" t="s">
        <v>2230</v>
      </c>
      <c r="H668" s="9" t="s">
        <v>6283</v>
      </c>
      <c r="I668" s="5">
        <f t="shared" si="3"/>
        <v>12.0022</v>
      </c>
      <c r="J668" s="5" t="s">
        <v>3472</v>
      </c>
      <c r="K668" s="5">
        <f t="shared" si="4"/>
        <v>833.8938</v>
      </c>
      <c r="L668" s="9" t="s">
        <v>6284</v>
      </c>
      <c r="M668" s="5">
        <f t="shared" si="5"/>
        <v>2.4005</v>
      </c>
      <c r="N668" s="6" t="s">
        <v>5744</v>
      </c>
      <c r="O668" s="5">
        <f t="shared" si="6"/>
        <v>468</v>
      </c>
    </row>
    <row r="669">
      <c r="A669" s="6" t="s">
        <v>2488</v>
      </c>
      <c r="B669" s="6" t="s">
        <v>557</v>
      </c>
      <c r="C669" s="5">
        <f t="shared" si="1"/>
        <v>10</v>
      </c>
      <c r="D669" s="1" t="s">
        <v>68</v>
      </c>
      <c r="E669" s="1" t="s">
        <v>2497</v>
      </c>
      <c r="F669" s="1" t="str">
        <f t="shared" si="2"/>
        <v>Green</v>
      </c>
      <c r="G669" s="5" t="s">
        <v>2230</v>
      </c>
      <c r="H669" s="5" t="s">
        <v>3473</v>
      </c>
      <c r="I669" s="5">
        <f t="shared" si="3"/>
        <v>13.6879</v>
      </c>
      <c r="J669" s="5" t="s">
        <v>3474</v>
      </c>
      <c r="K669" s="5">
        <f t="shared" si="4"/>
        <v>867.9115</v>
      </c>
      <c r="L669" s="9" t="s">
        <v>6285</v>
      </c>
      <c r="M669" s="5">
        <f t="shared" si="5"/>
        <v>2.7376</v>
      </c>
      <c r="N669" s="6" t="s">
        <v>6286</v>
      </c>
      <c r="O669" s="5">
        <f t="shared" si="6"/>
        <v>1703</v>
      </c>
    </row>
    <row r="670">
      <c r="A670" s="6" t="s">
        <v>2488</v>
      </c>
      <c r="B670" s="6" t="s">
        <v>557</v>
      </c>
      <c r="C670" s="5">
        <f t="shared" si="1"/>
        <v>10</v>
      </c>
      <c r="D670" s="1" t="s">
        <v>116</v>
      </c>
      <c r="E670" s="1" t="s">
        <v>2497</v>
      </c>
      <c r="F670" s="1" t="str">
        <f t="shared" si="2"/>
        <v>Green</v>
      </c>
      <c r="G670" s="5" t="s">
        <v>2230</v>
      </c>
      <c r="H670" s="5" t="s">
        <v>3475</v>
      </c>
      <c r="I670" s="5">
        <f t="shared" si="3"/>
        <v>27.9039</v>
      </c>
      <c r="J670" s="5" t="s">
        <v>3476</v>
      </c>
      <c r="K670" s="5">
        <f t="shared" si="4"/>
        <v>1875.1751</v>
      </c>
      <c r="L670" s="9" t="s">
        <v>6287</v>
      </c>
      <c r="M670" s="5">
        <f t="shared" si="5"/>
        <v>5.5807</v>
      </c>
      <c r="N670" s="6" t="s">
        <v>6288</v>
      </c>
      <c r="O670" s="5">
        <f t="shared" si="6"/>
        <v>2625</v>
      </c>
    </row>
    <row r="671">
      <c r="A671" s="6" t="s">
        <v>2488</v>
      </c>
      <c r="B671" s="6" t="s">
        <v>2591</v>
      </c>
      <c r="C671" s="5">
        <f t="shared" si="1"/>
        <v>11</v>
      </c>
      <c r="D671" s="1" t="s">
        <v>12</v>
      </c>
      <c r="E671" s="1" t="s">
        <v>2497</v>
      </c>
      <c r="F671" s="1" t="str">
        <f t="shared" si="2"/>
        <v>Green</v>
      </c>
      <c r="G671" s="5" t="s">
        <v>2230</v>
      </c>
      <c r="H671" s="5" t="s">
        <v>3478</v>
      </c>
      <c r="I671" s="5">
        <f t="shared" si="3"/>
        <v>13.2139</v>
      </c>
      <c r="J671" s="5" t="s">
        <v>3479</v>
      </c>
      <c r="K671" s="5">
        <f t="shared" si="4"/>
        <v>894.7549</v>
      </c>
      <c r="L671" s="9" t="s">
        <v>6289</v>
      </c>
      <c r="M671" s="5">
        <f t="shared" si="5"/>
        <v>2.6428</v>
      </c>
      <c r="N671" s="6" t="s">
        <v>3736</v>
      </c>
      <c r="O671" s="5">
        <f t="shared" si="6"/>
        <v>461</v>
      </c>
    </row>
    <row r="672">
      <c r="A672" s="6" t="s">
        <v>2488</v>
      </c>
      <c r="B672" s="6" t="s">
        <v>2591</v>
      </c>
      <c r="C672" s="5">
        <f t="shared" si="1"/>
        <v>11</v>
      </c>
      <c r="D672" s="1" t="s">
        <v>68</v>
      </c>
      <c r="E672" s="1" t="s">
        <v>2497</v>
      </c>
      <c r="F672" s="1" t="str">
        <f t="shared" si="2"/>
        <v>Green</v>
      </c>
      <c r="G672" s="5" t="s">
        <v>2230</v>
      </c>
      <c r="H672" s="9" t="s">
        <v>6290</v>
      </c>
      <c r="I672" s="5">
        <f t="shared" si="3"/>
        <v>11.4728</v>
      </c>
      <c r="J672" s="5" t="s">
        <v>3480</v>
      </c>
      <c r="K672" s="5">
        <f t="shared" si="4"/>
        <v>749.0576</v>
      </c>
      <c r="L672" s="9" t="s">
        <v>6291</v>
      </c>
      <c r="M672" s="5">
        <f t="shared" si="5"/>
        <v>2.2945</v>
      </c>
      <c r="N672" s="6" t="s">
        <v>6292</v>
      </c>
      <c r="O672" s="5">
        <f t="shared" si="6"/>
        <v>1710</v>
      </c>
    </row>
    <row r="673">
      <c r="A673" s="6" t="s">
        <v>2488</v>
      </c>
      <c r="B673" s="6" t="s">
        <v>2591</v>
      </c>
      <c r="C673" s="5">
        <f t="shared" si="1"/>
        <v>11</v>
      </c>
      <c r="D673" s="1" t="s">
        <v>116</v>
      </c>
      <c r="E673" s="1" t="s">
        <v>2497</v>
      </c>
      <c r="F673" s="1" t="str">
        <f t="shared" si="2"/>
        <v>Green</v>
      </c>
      <c r="G673" s="5" t="s">
        <v>2230</v>
      </c>
      <c r="H673" s="5" t="s">
        <v>3482</v>
      </c>
      <c r="I673" s="5">
        <f t="shared" si="3"/>
        <v>17.9486</v>
      </c>
      <c r="J673" s="5" t="s">
        <v>3483</v>
      </c>
      <c r="K673" s="5">
        <f t="shared" si="4"/>
        <v>1339.4531</v>
      </c>
      <c r="L673" s="9" t="s">
        <v>6293</v>
      </c>
      <c r="M673" s="5">
        <f t="shared" si="5"/>
        <v>3.5896</v>
      </c>
      <c r="N673" s="6" t="s">
        <v>6294</v>
      </c>
      <c r="O673" s="5">
        <f t="shared" si="6"/>
        <v>2387</v>
      </c>
    </row>
    <row r="674">
      <c r="A674" s="6" t="s">
        <v>2488</v>
      </c>
      <c r="B674" s="6" t="s">
        <v>2793</v>
      </c>
      <c r="C674" s="5">
        <f t="shared" si="1"/>
        <v>12</v>
      </c>
      <c r="D674" s="1" t="s">
        <v>12</v>
      </c>
      <c r="E674" s="1" t="s">
        <v>2497</v>
      </c>
      <c r="F674" s="1" t="str">
        <f t="shared" si="2"/>
        <v>Green</v>
      </c>
      <c r="G674" s="5" t="s">
        <v>2230</v>
      </c>
      <c r="H674" s="9" t="s">
        <v>6295</v>
      </c>
      <c r="I674" s="5">
        <f t="shared" si="3"/>
        <v>10.5903</v>
      </c>
      <c r="J674" s="5" t="s">
        <v>3484</v>
      </c>
      <c r="K674" s="5">
        <f t="shared" si="4"/>
        <v>748.8579</v>
      </c>
      <c r="L674" s="5" t="s">
        <v>3485</v>
      </c>
      <c r="M674" s="5">
        <f t="shared" si="5"/>
        <v>2.118</v>
      </c>
      <c r="N674" s="6" t="s">
        <v>6296</v>
      </c>
      <c r="O674" s="5">
        <f t="shared" si="6"/>
        <v>428</v>
      </c>
    </row>
    <row r="675">
      <c r="A675" s="6" t="s">
        <v>2488</v>
      </c>
      <c r="B675" s="6" t="s">
        <v>2793</v>
      </c>
      <c r="C675" s="5">
        <f t="shared" si="1"/>
        <v>12</v>
      </c>
      <c r="D675" s="1" t="s">
        <v>68</v>
      </c>
      <c r="E675" s="1" t="s">
        <v>2497</v>
      </c>
      <c r="F675" s="1" t="str">
        <f t="shared" si="2"/>
        <v>Green</v>
      </c>
      <c r="G675" s="5" t="s">
        <v>2230</v>
      </c>
      <c r="H675" s="9" t="s">
        <v>6297</v>
      </c>
      <c r="I675" s="5">
        <f t="shared" si="3"/>
        <v>7.8182</v>
      </c>
      <c r="J675" s="5" t="s">
        <v>3486</v>
      </c>
      <c r="K675" s="5">
        <f t="shared" si="4"/>
        <v>549.3443</v>
      </c>
      <c r="L675" s="9" t="s">
        <v>6298</v>
      </c>
      <c r="M675" s="5">
        <f t="shared" si="5"/>
        <v>1.5636</v>
      </c>
      <c r="N675" s="6" t="s">
        <v>6299</v>
      </c>
      <c r="O675" s="5">
        <f t="shared" si="6"/>
        <v>1053</v>
      </c>
    </row>
    <row r="676">
      <c r="A676" s="6" t="s">
        <v>2488</v>
      </c>
      <c r="B676" s="6" t="s">
        <v>2793</v>
      </c>
      <c r="C676" s="5">
        <f t="shared" si="1"/>
        <v>12</v>
      </c>
      <c r="D676" s="1" t="s">
        <v>116</v>
      </c>
      <c r="E676" s="1" t="s">
        <v>2497</v>
      </c>
      <c r="F676" s="1" t="str">
        <f t="shared" si="2"/>
        <v>Green</v>
      </c>
      <c r="G676" s="5" t="s">
        <v>2230</v>
      </c>
      <c r="H676" s="5" t="s">
        <v>3488</v>
      </c>
      <c r="I676" s="5">
        <f t="shared" si="3"/>
        <v>25.2956</v>
      </c>
      <c r="J676" s="5" t="s">
        <v>3489</v>
      </c>
      <c r="K676" s="5">
        <f t="shared" si="4"/>
        <v>1721.9886</v>
      </c>
      <c r="L676" s="9" t="s">
        <v>3490</v>
      </c>
      <c r="M676" s="5">
        <f t="shared" si="5"/>
        <v>5.0591</v>
      </c>
      <c r="N676" s="6" t="s">
        <v>6300</v>
      </c>
      <c r="O676" s="5">
        <f t="shared" si="6"/>
        <v>2407</v>
      </c>
    </row>
    <row r="677">
      <c r="C677" s="13"/>
      <c r="G677" s="13"/>
      <c r="H677" s="13"/>
      <c r="I677" s="13"/>
      <c r="J677" s="13"/>
      <c r="K677" s="13"/>
      <c r="L677" s="13"/>
      <c r="M677" s="13"/>
      <c r="O677" s="13"/>
    </row>
    <row r="678">
      <c r="C678" s="13"/>
      <c r="G678" s="13"/>
      <c r="H678" s="13"/>
      <c r="I678" s="13"/>
      <c r="J678" s="13"/>
      <c r="K678" s="13"/>
      <c r="L678" s="13"/>
      <c r="M678" s="13"/>
      <c r="O678" s="13"/>
    </row>
    <row r="679">
      <c r="C679" s="13"/>
      <c r="G679" s="13"/>
      <c r="H679" s="13"/>
      <c r="I679" s="13"/>
      <c r="J679" s="13"/>
      <c r="K679" s="13"/>
      <c r="L679" s="13"/>
      <c r="M679" s="13"/>
      <c r="O679" s="13"/>
    </row>
    <row r="680">
      <c r="C680" s="13"/>
      <c r="G680" s="13"/>
      <c r="H680" s="13"/>
      <c r="I680" s="13"/>
      <c r="J680" s="13"/>
      <c r="K680" s="13"/>
      <c r="L680" s="13"/>
      <c r="M680" s="13"/>
      <c r="O680" s="13"/>
    </row>
    <row r="681">
      <c r="C681" s="13"/>
      <c r="G681" s="13"/>
      <c r="H681" s="13"/>
      <c r="I681" s="13"/>
      <c r="J681" s="13"/>
      <c r="K681" s="13"/>
      <c r="L681" s="13"/>
      <c r="M681" s="13"/>
      <c r="O681" s="13"/>
    </row>
    <row r="682">
      <c r="C682" s="13"/>
      <c r="G682" s="13"/>
      <c r="H682" s="13"/>
      <c r="I682" s="13"/>
      <c r="J682" s="13"/>
      <c r="K682" s="13"/>
      <c r="L682" s="13"/>
      <c r="M682" s="13"/>
      <c r="O682" s="13"/>
    </row>
    <row r="683">
      <c r="C683" s="13"/>
      <c r="G683" s="13"/>
      <c r="H683" s="13"/>
      <c r="I683" s="13"/>
      <c r="J683" s="13"/>
      <c r="K683" s="13"/>
      <c r="L683" s="13"/>
      <c r="M683" s="13"/>
      <c r="O683" s="13"/>
    </row>
    <row r="684">
      <c r="C684" s="13"/>
      <c r="G684" s="13"/>
      <c r="H684" s="13"/>
      <c r="I684" s="13"/>
      <c r="J684" s="13"/>
      <c r="K684" s="13"/>
      <c r="L684" s="13"/>
      <c r="M684" s="13"/>
      <c r="O684" s="13"/>
    </row>
    <row r="685">
      <c r="C685" s="13"/>
      <c r="G685" s="13"/>
      <c r="H685" s="13"/>
      <c r="I685" s="13"/>
      <c r="J685" s="13"/>
      <c r="K685" s="13"/>
      <c r="L685" s="13"/>
      <c r="M685" s="13"/>
      <c r="O685" s="13"/>
    </row>
    <row r="686">
      <c r="C686" s="13"/>
      <c r="G686" s="13"/>
      <c r="H686" s="13"/>
      <c r="I686" s="13"/>
      <c r="J686" s="13"/>
      <c r="K686" s="13"/>
      <c r="L686" s="13"/>
      <c r="M686" s="13"/>
      <c r="O686" s="13"/>
    </row>
    <row r="687">
      <c r="C687" s="13"/>
      <c r="G687" s="13"/>
      <c r="H687" s="13"/>
      <c r="I687" s="13"/>
      <c r="J687" s="13"/>
      <c r="K687" s="13"/>
      <c r="L687" s="13"/>
      <c r="M687" s="13"/>
      <c r="O687" s="13"/>
    </row>
    <row r="688">
      <c r="C688" s="13"/>
      <c r="G688" s="13"/>
      <c r="H688" s="13"/>
      <c r="I688" s="13"/>
      <c r="J688" s="13"/>
      <c r="K688" s="13"/>
      <c r="L688" s="13"/>
      <c r="M688" s="13"/>
      <c r="O688" s="13"/>
    </row>
    <row r="689">
      <c r="C689" s="13"/>
      <c r="G689" s="13"/>
      <c r="H689" s="13"/>
      <c r="I689" s="13"/>
      <c r="J689" s="13"/>
      <c r="K689" s="13"/>
      <c r="L689" s="13"/>
      <c r="M689" s="13"/>
      <c r="O689" s="13"/>
    </row>
    <row r="690">
      <c r="C690" s="13"/>
      <c r="G690" s="13"/>
      <c r="H690" s="13"/>
      <c r="I690" s="13"/>
      <c r="J690" s="13"/>
      <c r="K690" s="13"/>
      <c r="L690" s="13"/>
      <c r="M690" s="13"/>
      <c r="O690" s="13"/>
    </row>
    <row r="691">
      <c r="C691" s="13"/>
      <c r="G691" s="13"/>
      <c r="H691" s="13"/>
      <c r="I691" s="13"/>
      <c r="J691" s="13"/>
      <c r="K691" s="13"/>
      <c r="L691" s="13"/>
      <c r="M691" s="13"/>
      <c r="O691" s="13"/>
    </row>
    <row r="692">
      <c r="C692" s="13"/>
      <c r="G692" s="13"/>
      <c r="H692" s="13"/>
      <c r="I692" s="13"/>
      <c r="J692" s="13"/>
      <c r="K692" s="13"/>
      <c r="L692" s="13"/>
      <c r="M692" s="13"/>
      <c r="O692" s="13"/>
    </row>
    <row r="693">
      <c r="C693" s="13"/>
      <c r="G693" s="13"/>
      <c r="H693" s="13"/>
      <c r="I693" s="13"/>
      <c r="J693" s="13"/>
      <c r="K693" s="13"/>
      <c r="L693" s="13"/>
      <c r="M693" s="13"/>
      <c r="O693" s="13"/>
    </row>
    <row r="694">
      <c r="C694" s="13"/>
      <c r="G694" s="13"/>
      <c r="H694" s="13"/>
      <c r="I694" s="13"/>
      <c r="J694" s="13"/>
      <c r="K694" s="13"/>
      <c r="L694" s="13"/>
      <c r="M694" s="13"/>
      <c r="O694" s="13"/>
    </row>
    <row r="695">
      <c r="C695" s="13"/>
      <c r="G695" s="13"/>
      <c r="H695" s="13"/>
      <c r="I695" s="13"/>
      <c r="J695" s="13"/>
      <c r="K695" s="13"/>
      <c r="L695" s="13"/>
      <c r="M695" s="13"/>
      <c r="O695" s="13"/>
    </row>
    <row r="696">
      <c r="C696" s="13"/>
      <c r="G696" s="13"/>
      <c r="H696" s="13"/>
      <c r="I696" s="13"/>
      <c r="J696" s="13"/>
      <c r="K696" s="13"/>
      <c r="L696" s="13"/>
      <c r="M696" s="13"/>
      <c r="O696" s="13"/>
    </row>
    <row r="697">
      <c r="C697" s="13"/>
      <c r="G697" s="13"/>
      <c r="H697" s="13"/>
      <c r="I697" s="13"/>
      <c r="J697" s="13"/>
      <c r="K697" s="13"/>
      <c r="L697" s="13"/>
      <c r="M697" s="13"/>
      <c r="O697" s="13"/>
    </row>
    <row r="698">
      <c r="C698" s="13"/>
      <c r="G698" s="13"/>
      <c r="H698" s="13"/>
      <c r="I698" s="13"/>
      <c r="J698" s="13"/>
      <c r="K698" s="13"/>
      <c r="L698" s="13"/>
      <c r="M698" s="13"/>
      <c r="O698" s="13"/>
    </row>
    <row r="699">
      <c r="C699" s="13"/>
      <c r="G699" s="13"/>
      <c r="H699" s="13"/>
      <c r="I699" s="13"/>
      <c r="J699" s="13"/>
      <c r="K699" s="13"/>
      <c r="L699" s="13"/>
      <c r="M699" s="13"/>
      <c r="O699" s="13"/>
    </row>
    <row r="700">
      <c r="C700" s="13"/>
      <c r="G700" s="13"/>
      <c r="H700" s="13"/>
      <c r="I700" s="13"/>
      <c r="J700" s="13"/>
      <c r="K700" s="13"/>
      <c r="L700" s="13"/>
      <c r="M700" s="13"/>
      <c r="O700" s="13"/>
    </row>
    <row r="701">
      <c r="C701" s="13"/>
      <c r="G701" s="13"/>
      <c r="H701" s="13"/>
      <c r="I701" s="13"/>
      <c r="J701" s="13"/>
      <c r="K701" s="13"/>
      <c r="L701" s="13"/>
      <c r="M701" s="13"/>
      <c r="O701" s="13"/>
    </row>
    <row r="702">
      <c r="C702" s="13"/>
      <c r="G702" s="13"/>
      <c r="H702" s="13"/>
      <c r="I702" s="13"/>
      <c r="J702" s="13"/>
      <c r="K702" s="13"/>
      <c r="L702" s="13"/>
      <c r="M702" s="13"/>
      <c r="O702" s="13"/>
    </row>
    <row r="703">
      <c r="C703" s="13"/>
      <c r="G703" s="13"/>
      <c r="H703" s="13"/>
      <c r="I703" s="13"/>
      <c r="J703" s="13"/>
      <c r="K703" s="13"/>
      <c r="L703" s="13"/>
      <c r="M703" s="13"/>
      <c r="O703" s="13"/>
    </row>
    <row r="704">
      <c r="C704" s="13"/>
      <c r="G704" s="13"/>
      <c r="H704" s="13"/>
      <c r="I704" s="13"/>
      <c r="J704" s="13"/>
      <c r="K704" s="13"/>
      <c r="L704" s="13"/>
      <c r="M704" s="13"/>
      <c r="O704" s="13"/>
    </row>
    <row r="705">
      <c r="C705" s="13"/>
      <c r="G705" s="13"/>
      <c r="H705" s="13"/>
      <c r="I705" s="13"/>
      <c r="J705" s="13"/>
      <c r="K705" s="13"/>
      <c r="L705" s="13"/>
      <c r="M705" s="13"/>
      <c r="O705" s="13"/>
    </row>
    <row r="706">
      <c r="C706" s="13"/>
      <c r="G706" s="13"/>
      <c r="H706" s="13"/>
      <c r="I706" s="13"/>
      <c r="J706" s="13"/>
      <c r="K706" s="13"/>
      <c r="L706" s="13"/>
      <c r="M706" s="13"/>
      <c r="O706" s="13"/>
    </row>
    <row r="707">
      <c r="C707" s="13"/>
      <c r="G707" s="13"/>
      <c r="H707" s="13"/>
      <c r="I707" s="13"/>
      <c r="J707" s="13"/>
      <c r="K707" s="13"/>
      <c r="L707" s="13"/>
      <c r="M707" s="13"/>
      <c r="O707" s="13"/>
    </row>
    <row r="708">
      <c r="C708" s="13"/>
      <c r="G708" s="13"/>
      <c r="H708" s="13"/>
      <c r="I708" s="13"/>
      <c r="J708" s="13"/>
      <c r="K708" s="13"/>
      <c r="L708" s="13"/>
      <c r="M708" s="13"/>
      <c r="O708" s="13"/>
    </row>
    <row r="709">
      <c r="C709" s="13"/>
      <c r="G709" s="13"/>
      <c r="H709" s="13"/>
      <c r="I709" s="13"/>
      <c r="J709" s="13"/>
      <c r="K709" s="13"/>
      <c r="L709" s="13"/>
      <c r="M709" s="13"/>
      <c r="O709" s="13"/>
    </row>
    <row r="710">
      <c r="C710" s="13"/>
      <c r="G710" s="13"/>
      <c r="H710" s="13"/>
      <c r="I710" s="13"/>
      <c r="J710" s="13"/>
      <c r="K710" s="13"/>
      <c r="L710" s="13"/>
      <c r="M710" s="13"/>
      <c r="O710" s="13"/>
    </row>
    <row r="711">
      <c r="C711" s="13"/>
      <c r="G711" s="13"/>
      <c r="H711" s="13"/>
      <c r="I711" s="13"/>
      <c r="J711" s="13"/>
      <c r="K711" s="13"/>
      <c r="L711" s="13"/>
      <c r="M711" s="13"/>
      <c r="O711" s="13"/>
    </row>
    <row r="712">
      <c r="C712" s="13"/>
      <c r="G712" s="13"/>
      <c r="H712" s="13"/>
      <c r="I712" s="13"/>
      <c r="J712" s="13"/>
      <c r="K712" s="13"/>
      <c r="L712" s="13"/>
      <c r="M712" s="13"/>
      <c r="O712" s="13"/>
    </row>
    <row r="713">
      <c r="C713" s="13"/>
      <c r="G713" s="13"/>
      <c r="H713" s="13"/>
      <c r="I713" s="13"/>
      <c r="J713" s="13"/>
      <c r="K713" s="13"/>
      <c r="L713" s="13"/>
      <c r="M713" s="13"/>
      <c r="O713" s="13"/>
    </row>
    <row r="714">
      <c r="C714" s="13"/>
      <c r="G714" s="13"/>
      <c r="H714" s="13"/>
      <c r="I714" s="13"/>
      <c r="J714" s="13"/>
      <c r="K714" s="13"/>
      <c r="L714" s="13"/>
      <c r="M714" s="13"/>
      <c r="O714" s="13"/>
    </row>
    <row r="715">
      <c r="C715" s="13"/>
      <c r="G715" s="13"/>
      <c r="H715" s="13"/>
      <c r="I715" s="13"/>
      <c r="J715" s="13"/>
      <c r="K715" s="13"/>
      <c r="L715" s="13"/>
      <c r="M715" s="13"/>
      <c r="O715" s="13"/>
    </row>
    <row r="716">
      <c r="C716" s="13"/>
      <c r="G716" s="13"/>
      <c r="H716" s="13"/>
      <c r="I716" s="13"/>
      <c r="J716" s="13"/>
      <c r="K716" s="13"/>
      <c r="L716" s="13"/>
      <c r="M716" s="13"/>
      <c r="O716" s="13"/>
    </row>
    <row r="717">
      <c r="C717" s="13"/>
      <c r="G717" s="13"/>
      <c r="H717" s="13"/>
      <c r="I717" s="13"/>
      <c r="J717" s="13"/>
      <c r="K717" s="13"/>
      <c r="L717" s="13"/>
      <c r="M717" s="13"/>
      <c r="O717" s="13"/>
    </row>
    <row r="718">
      <c r="C718" s="13"/>
      <c r="G718" s="13"/>
      <c r="H718" s="13"/>
      <c r="I718" s="13"/>
      <c r="J718" s="13"/>
      <c r="K718" s="13"/>
      <c r="L718" s="13"/>
      <c r="M718" s="13"/>
      <c r="O718" s="13"/>
    </row>
    <row r="719">
      <c r="C719" s="13"/>
      <c r="G719" s="13"/>
      <c r="H719" s="13"/>
      <c r="I719" s="13"/>
      <c r="J719" s="13"/>
      <c r="K719" s="13"/>
      <c r="L719" s="13"/>
      <c r="M719" s="13"/>
      <c r="O719" s="13"/>
    </row>
    <row r="720">
      <c r="C720" s="13"/>
      <c r="G720" s="13"/>
      <c r="H720" s="13"/>
      <c r="I720" s="13"/>
      <c r="J720" s="13"/>
      <c r="K720" s="13"/>
      <c r="L720" s="13"/>
      <c r="M720" s="13"/>
      <c r="O720" s="13"/>
    </row>
    <row r="721">
      <c r="C721" s="13"/>
      <c r="G721" s="13"/>
      <c r="H721" s="13"/>
      <c r="I721" s="13"/>
      <c r="J721" s="13"/>
      <c r="K721" s="13"/>
      <c r="L721" s="13"/>
      <c r="M721" s="13"/>
      <c r="O721" s="13"/>
    </row>
    <row r="722">
      <c r="C722" s="13"/>
      <c r="G722" s="13"/>
      <c r="H722" s="13"/>
      <c r="I722" s="13"/>
      <c r="J722" s="13"/>
      <c r="K722" s="13"/>
      <c r="L722" s="13"/>
      <c r="M722" s="13"/>
      <c r="O722" s="13"/>
    </row>
    <row r="723">
      <c r="C723" s="13"/>
      <c r="G723" s="13"/>
      <c r="H723" s="13"/>
      <c r="I723" s="13"/>
      <c r="J723" s="13"/>
      <c r="K723" s="13"/>
      <c r="L723" s="13"/>
      <c r="M723" s="13"/>
      <c r="O723" s="13"/>
    </row>
    <row r="724">
      <c r="C724" s="13"/>
      <c r="G724" s="13"/>
      <c r="H724" s="13"/>
      <c r="I724" s="13"/>
      <c r="J724" s="13"/>
      <c r="K724" s="13"/>
      <c r="L724" s="13"/>
      <c r="M724" s="13"/>
      <c r="O724" s="13"/>
    </row>
    <row r="725">
      <c r="C725" s="13"/>
      <c r="G725" s="13"/>
      <c r="H725" s="13"/>
      <c r="I725" s="13"/>
      <c r="J725" s="13"/>
      <c r="K725" s="13"/>
      <c r="L725" s="13"/>
      <c r="M725" s="13"/>
      <c r="O725" s="13"/>
    </row>
    <row r="726">
      <c r="C726" s="13"/>
      <c r="G726" s="13"/>
      <c r="H726" s="13"/>
      <c r="I726" s="13"/>
      <c r="J726" s="13"/>
      <c r="K726" s="13"/>
      <c r="L726" s="13"/>
      <c r="M726" s="13"/>
      <c r="O726" s="13"/>
    </row>
    <row r="727">
      <c r="C727" s="13"/>
      <c r="G727" s="13"/>
      <c r="H727" s="13"/>
      <c r="I727" s="13"/>
      <c r="J727" s="13"/>
      <c r="K727" s="13"/>
      <c r="L727" s="13"/>
      <c r="M727" s="13"/>
      <c r="O727" s="13"/>
    </row>
    <row r="728">
      <c r="C728" s="13"/>
      <c r="G728" s="13"/>
      <c r="H728" s="13"/>
      <c r="I728" s="13"/>
      <c r="J728" s="13"/>
      <c r="K728" s="13"/>
      <c r="L728" s="13"/>
      <c r="M728" s="13"/>
      <c r="O728" s="13"/>
    </row>
    <row r="729">
      <c r="C729" s="13"/>
      <c r="G729" s="13"/>
      <c r="H729" s="13"/>
      <c r="I729" s="13"/>
      <c r="J729" s="13"/>
      <c r="K729" s="13"/>
      <c r="L729" s="13"/>
      <c r="M729" s="13"/>
      <c r="O729" s="13"/>
    </row>
    <row r="730">
      <c r="C730" s="13"/>
      <c r="G730" s="13"/>
      <c r="H730" s="13"/>
      <c r="I730" s="13"/>
      <c r="J730" s="13"/>
      <c r="K730" s="13"/>
      <c r="L730" s="13"/>
      <c r="M730" s="13"/>
      <c r="O730" s="13"/>
    </row>
    <row r="731">
      <c r="C731" s="13"/>
      <c r="G731" s="13"/>
      <c r="H731" s="13"/>
      <c r="I731" s="13"/>
      <c r="J731" s="13"/>
      <c r="K731" s="13"/>
      <c r="L731" s="13"/>
      <c r="M731" s="13"/>
      <c r="O731" s="13"/>
    </row>
    <row r="732">
      <c r="C732" s="13"/>
      <c r="G732" s="13"/>
      <c r="H732" s="13"/>
      <c r="I732" s="13"/>
      <c r="J732" s="13"/>
      <c r="K732" s="13"/>
      <c r="L732" s="13"/>
      <c r="M732" s="13"/>
      <c r="O732" s="13"/>
    </row>
    <row r="733">
      <c r="C733" s="13"/>
      <c r="G733" s="13"/>
      <c r="H733" s="13"/>
      <c r="I733" s="13"/>
      <c r="J733" s="13"/>
      <c r="K733" s="13"/>
      <c r="L733" s="13"/>
      <c r="M733" s="13"/>
      <c r="O733" s="13"/>
    </row>
    <row r="734">
      <c r="C734" s="13"/>
      <c r="G734" s="13"/>
      <c r="H734" s="13"/>
      <c r="I734" s="13"/>
      <c r="J734" s="13"/>
      <c r="K734" s="13"/>
      <c r="L734" s="13"/>
      <c r="M734" s="13"/>
      <c r="O734" s="13"/>
    </row>
    <row r="735">
      <c r="C735" s="13"/>
      <c r="G735" s="13"/>
      <c r="H735" s="13"/>
      <c r="I735" s="13"/>
      <c r="J735" s="13"/>
      <c r="K735" s="13"/>
      <c r="L735" s="13"/>
      <c r="M735" s="13"/>
      <c r="O735" s="13"/>
    </row>
    <row r="736">
      <c r="C736" s="13"/>
      <c r="G736" s="13"/>
      <c r="H736" s="13"/>
      <c r="I736" s="13"/>
      <c r="J736" s="13"/>
      <c r="K736" s="13"/>
      <c r="L736" s="13"/>
      <c r="M736" s="13"/>
      <c r="O736" s="13"/>
    </row>
    <row r="737">
      <c r="C737" s="13"/>
      <c r="G737" s="13"/>
      <c r="H737" s="13"/>
      <c r="I737" s="13"/>
      <c r="J737" s="13"/>
      <c r="K737" s="13"/>
      <c r="L737" s="13"/>
      <c r="M737" s="13"/>
      <c r="O737" s="13"/>
    </row>
    <row r="738">
      <c r="C738" s="13"/>
      <c r="G738" s="13"/>
      <c r="H738" s="13"/>
      <c r="I738" s="13"/>
      <c r="J738" s="13"/>
      <c r="K738" s="13"/>
      <c r="L738" s="13"/>
      <c r="M738" s="13"/>
      <c r="O738" s="13"/>
    </row>
    <row r="739">
      <c r="C739" s="13"/>
      <c r="G739" s="13"/>
      <c r="H739" s="13"/>
      <c r="I739" s="13"/>
      <c r="J739" s="13"/>
      <c r="K739" s="13"/>
      <c r="L739" s="13"/>
      <c r="M739" s="13"/>
      <c r="O739" s="13"/>
    </row>
    <row r="740">
      <c r="C740" s="13"/>
      <c r="G740" s="13"/>
      <c r="H740" s="13"/>
      <c r="I740" s="13"/>
      <c r="J740" s="13"/>
      <c r="K740" s="13"/>
      <c r="L740" s="13"/>
      <c r="M740" s="13"/>
      <c r="O740" s="13"/>
    </row>
    <row r="741">
      <c r="C741" s="13"/>
      <c r="G741" s="13"/>
      <c r="H741" s="13"/>
      <c r="I741" s="13"/>
      <c r="J741" s="13"/>
      <c r="K741" s="13"/>
      <c r="L741" s="13"/>
      <c r="M741" s="13"/>
      <c r="O741" s="13"/>
    </row>
    <row r="742">
      <c r="C742" s="13"/>
      <c r="G742" s="13"/>
      <c r="H742" s="13"/>
      <c r="I742" s="13"/>
      <c r="J742" s="13"/>
      <c r="K742" s="13"/>
      <c r="L742" s="13"/>
      <c r="M742" s="13"/>
      <c r="O742" s="13"/>
    </row>
    <row r="743">
      <c r="C743" s="13"/>
      <c r="G743" s="13"/>
      <c r="H743" s="13"/>
      <c r="I743" s="13"/>
      <c r="J743" s="13"/>
      <c r="K743" s="13"/>
      <c r="L743" s="13"/>
      <c r="M743" s="13"/>
      <c r="O743" s="13"/>
    </row>
    <row r="744">
      <c r="C744" s="13"/>
      <c r="G744" s="13"/>
      <c r="H744" s="13"/>
      <c r="I744" s="13"/>
      <c r="J744" s="13"/>
      <c r="K744" s="13"/>
      <c r="L744" s="13"/>
      <c r="M744" s="13"/>
      <c r="O744" s="13"/>
    </row>
    <row r="745">
      <c r="C745" s="13"/>
      <c r="G745" s="13"/>
      <c r="H745" s="13"/>
      <c r="I745" s="13"/>
      <c r="J745" s="13"/>
      <c r="K745" s="13"/>
      <c r="L745" s="13"/>
      <c r="M745" s="13"/>
      <c r="O745" s="13"/>
    </row>
    <row r="746">
      <c r="C746" s="13"/>
      <c r="G746" s="13"/>
      <c r="H746" s="13"/>
      <c r="I746" s="13"/>
      <c r="J746" s="13"/>
      <c r="K746" s="13"/>
      <c r="L746" s="13"/>
      <c r="M746" s="13"/>
      <c r="O746" s="13"/>
    </row>
    <row r="747">
      <c r="C747" s="13"/>
      <c r="G747" s="13"/>
      <c r="H747" s="13"/>
      <c r="I747" s="13"/>
      <c r="J747" s="13"/>
      <c r="K747" s="13"/>
      <c r="L747" s="13"/>
      <c r="M747" s="13"/>
      <c r="O747" s="13"/>
    </row>
    <row r="748">
      <c r="C748" s="13"/>
      <c r="G748" s="13"/>
      <c r="H748" s="13"/>
      <c r="I748" s="13"/>
      <c r="J748" s="13"/>
      <c r="K748" s="13"/>
      <c r="L748" s="13"/>
      <c r="M748" s="13"/>
      <c r="O748" s="13"/>
    </row>
    <row r="749">
      <c r="C749" s="13"/>
      <c r="G749" s="13"/>
      <c r="H749" s="13"/>
      <c r="I749" s="13"/>
      <c r="J749" s="13"/>
      <c r="K749" s="13"/>
      <c r="L749" s="13"/>
      <c r="M749" s="13"/>
      <c r="O749" s="13"/>
    </row>
    <row r="750">
      <c r="C750" s="13"/>
      <c r="G750" s="13"/>
      <c r="H750" s="13"/>
      <c r="I750" s="13"/>
      <c r="J750" s="13"/>
      <c r="K750" s="13"/>
      <c r="L750" s="13"/>
      <c r="M750" s="13"/>
      <c r="O750" s="13"/>
    </row>
    <row r="751">
      <c r="C751" s="13"/>
      <c r="G751" s="13"/>
      <c r="H751" s="13"/>
      <c r="I751" s="13"/>
      <c r="J751" s="13"/>
      <c r="K751" s="13"/>
      <c r="L751" s="13"/>
      <c r="M751" s="13"/>
      <c r="O751" s="13"/>
    </row>
    <row r="752">
      <c r="C752" s="13"/>
      <c r="G752" s="13"/>
      <c r="H752" s="13"/>
      <c r="I752" s="13"/>
      <c r="J752" s="13"/>
      <c r="K752" s="13"/>
      <c r="L752" s="13"/>
      <c r="M752" s="13"/>
      <c r="O752" s="13"/>
    </row>
    <row r="753">
      <c r="C753" s="13"/>
      <c r="G753" s="13"/>
      <c r="H753" s="13"/>
      <c r="I753" s="13"/>
      <c r="J753" s="13"/>
      <c r="K753" s="13"/>
      <c r="L753" s="13"/>
      <c r="M753" s="13"/>
      <c r="O753" s="13"/>
    </row>
    <row r="754">
      <c r="C754" s="13"/>
      <c r="G754" s="13"/>
      <c r="H754" s="13"/>
      <c r="I754" s="13"/>
      <c r="J754" s="13"/>
      <c r="K754" s="13"/>
      <c r="L754" s="13"/>
      <c r="M754" s="13"/>
      <c r="O754" s="13"/>
    </row>
    <row r="755">
      <c r="C755" s="13"/>
      <c r="G755" s="13"/>
      <c r="H755" s="13"/>
      <c r="I755" s="13"/>
      <c r="J755" s="13"/>
      <c r="K755" s="13"/>
      <c r="L755" s="13"/>
      <c r="M755" s="13"/>
      <c r="O755" s="13"/>
    </row>
    <row r="756">
      <c r="C756" s="13"/>
      <c r="G756" s="13"/>
      <c r="H756" s="13"/>
      <c r="I756" s="13"/>
      <c r="J756" s="13"/>
      <c r="K756" s="13"/>
      <c r="L756" s="13"/>
      <c r="M756" s="13"/>
      <c r="O756" s="13"/>
    </row>
    <row r="757">
      <c r="C757" s="13"/>
      <c r="G757" s="13"/>
      <c r="H757" s="13"/>
      <c r="I757" s="13"/>
      <c r="J757" s="13"/>
      <c r="K757" s="13"/>
      <c r="L757" s="13"/>
      <c r="M757" s="13"/>
      <c r="O757" s="13"/>
    </row>
    <row r="758">
      <c r="C758" s="13"/>
      <c r="G758" s="13"/>
      <c r="H758" s="13"/>
      <c r="I758" s="13"/>
      <c r="J758" s="13"/>
      <c r="K758" s="13"/>
      <c r="L758" s="13"/>
      <c r="M758" s="13"/>
      <c r="O758" s="13"/>
    </row>
    <row r="759">
      <c r="C759" s="13"/>
      <c r="G759" s="13"/>
      <c r="H759" s="13"/>
      <c r="I759" s="13"/>
      <c r="J759" s="13"/>
      <c r="K759" s="13"/>
      <c r="L759" s="13"/>
      <c r="M759" s="13"/>
      <c r="O759" s="13"/>
    </row>
    <row r="760">
      <c r="C760" s="13"/>
      <c r="G760" s="13"/>
      <c r="H760" s="13"/>
      <c r="I760" s="13"/>
      <c r="J760" s="13"/>
      <c r="K760" s="13"/>
      <c r="L760" s="13"/>
      <c r="M760" s="13"/>
      <c r="O760" s="13"/>
    </row>
    <row r="761">
      <c r="C761" s="13"/>
      <c r="G761" s="13"/>
      <c r="H761" s="13"/>
      <c r="I761" s="13"/>
      <c r="J761" s="13"/>
      <c r="K761" s="13"/>
      <c r="L761" s="13"/>
      <c r="M761" s="13"/>
      <c r="O761" s="13"/>
    </row>
    <row r="762">
      <c r="C762" s="13"/>
      <c r="G762" s="13"/>
      <c r="H762" s="13"/>
      <c r="I762" s="13"/>
      <c r="J762" s="13"/>
      <c r="K762" s="13"/>
      <c r="L762" s="13"/>
      <c r="M762" s="13"/>
      <c r="O762" s="13"/>
    </row>
    <row r="763">
      <c r="C763" s="13"/>
      <c r="G763" s="13"/>
      <c r="H763" s="13"/>
      <c r="I763" s="13"/>
      <c r="J763" s="13"/>
      <c r="K763" s="13"/>
      <c r="L763" s="13"/>
      <c r="M763" s="13"/>
      <c r="O763" s="13"/>
    </row>
    <row r="764">
      <c r="C764" s="13"/>
      <c r="G764" s="13"/>
      <c r="H764" s="13"/>
      <c r="I764" s="13"/>
      <c r="J764" s="13"/>
      <c r="K764" s="13"/>
      <c r="L764" s="13"/>
      <c r="M764" s="13"/>
      <c r="O764" s="13"/>
    </row>
    <row r="765">
      <c r="C765" s="13"/>
      <c r="G765" s="13"/>
      <c r="H765" s="13"/>
      <c r="I765" s="13"/>
      <c r="J765" s="13"/>
      <c r="K765" s="13"/>
      <c r="L765" s="13"/>
      <c r="M765" s="13"/>
      <c r="O765" s="13"/>
    </row>
    <row r="766">
      <c r="C766" s="13"/>
      <c r="G766" s="13"/>
      <c r="H766" s="13"/>
      <c r="I766" s="13"/>
      <c r="J766" s="13"/>
      <c r="K766" s="13"/>
      <c r="L766" s="13"/>
      <c r="M766" s="13"/>
      <c r="O766" s="13"/>
    </row>
    <row r="767">
      <c r="C767" s="13"/>
      <c r="G767" s="13"/>
      <c r="H767" s="13"/>
      <c r="I767" s="13"/>
      <c r="J767" s="13"/>
      <c r="K767" s="13"/>
      <c r="L767" s="13"/>
      <c r="M767" s="13"/>
      <c r="O767" s="13"/>
    </row>
    <row r="768">
      <c r="C768" s="13"/>
      <c r="G768" s="13"/>
      <c r="H768" s="13"/>
      <c r="I768" s="13"/>
      <c r="J768" s="13"/>
      <c r="K768" s="13"/>
      <c r="L768" s="13"/>
      <c r="M768" s="13"/>
      <c r="O768" s="13"/>
    </row>
    <row r="769">
      <c r="C769" s="13"/>
      <c r="G769" s="13"/>
      <c r="H769" s="13"/>
      <c r="I769" s="13"/>
      <c r="J769" s="13"/>
      <c r="K769" s="13"/>
      <c r="L769" s="13"/>
      <c r="M769" s="13"/>
      <c r="O769" s="13"/>
    </row>
    <row r="770">
      <c r="C770" s="13"/>
      <c r="G770" s="13"/>
      <c r="H770" s="13"/>
      <c r="I770" s="13"/>
      <c r="J770" s="13"/>
      <c r="K770" s="13"/>
      <c r="L770" s="13"/>
      <c r="M770" s="13"/>
      <c r="O770" s="13"/>
    </row>
    <row r="771">
      <c r="C771" s="13"/>
      <c r="G771" s="13"/>
      <c r="H771" s="13"/>
      <c r="I771" s="13"/>
      <c r="J771" s="13"/>
      <c r="K771" s="13"/>
      <c r="L771" s="13"/>
      <c r="M771" s="13"/>
      <c r="O771" s="13"/>
    </row>
    <row r="772">
      <c r="C772" s="13"/>
      <c r="G772" s="13"/>
      <c r="H772" s="13"/>
      <c r="I772" s="13"/>
      <c r="J772" s="13"/>
      <c r="K772" s="13"/>
      <c r="L772" s="13"/>
      <c r="M772" s="13"/>
      <c r="O772" s="13"/>
    </row>
    <row r="773">
      <c r="C773" s="13"/>
      <c r="G773" s="13"/>
      <c r="H773" s="13"/>
      <c r="I773" s="13"/>
      <c r="J773" s="13"/>
      <c r="K773" s="13"/>
      <c r="L773" s="13"/>
      <c r="M773" s="13"/>
      <c r="O773" s="13"/>
    </row>
    <row r="774">
      <c r="C774" s="13"/>
      <c r="G774" s="13"/>
      <c r="H774" s="13"/>
      <c r="I774" s="13"/>
      <c r="J774" s="13"/>
      <c r="K774" s="13"/>
      <c r="L774" s="13"/>
      <c r="M774" s="13"/>
      <c r="O774" s="13"/>
    </row>
    <row r="775">
      <c r="C775" s="13"/>
      <c r="G775" s="13"/>
      <c r="H775" s="13"/>
      <c r="I775" s="13"/>
      <c r="J775" s="13"/>
      <c r="K775" s="13"/>
      <c r="L775" s="13"/>
      <c r="M775" s="13"/>
      <c r="O775" s="13"/>
    </row>
    <row r="776">
      <c r="C776" s="13"/>
      <c r="G776" s="13"/>
      <c r="H776" s="13"/>
      <c r="I776" s="13"/>
      <c r="J776" s="13"/>
      <c r="K776" s="13"/>
      <c r="L776" s="13"/>
      <c r="M776" s="13"/>
      <c r="O776" s="13"/>
    </row>
    <row r="777">
      <c r="C777" s="13"/>
      <c r="G777" s="13"/>
      <c r="H777" s="13"/>
      <c r="I777" s="13"/>
      <c r="J777" s="13"/>
      <c r="K777" s="13"/>
      <c r="L777" s="13"/>
      <c r="M777" s="13"/>
      <c r="O777" s="13"/>
    </row>
    <row r="778">
      <c r="C778" s="13"/>
      <c r="G778" s="13"/>
      <c r="H778" s="13"/>
      <c r="I778" s="13"/>
      <c r="J778" s="13"/>
      <c r="K778" s="13"/>
      <c r="L778" s="13"/>
      <c r="M778" s="13"/>
      <c r="O778" s="13"/>
    </row>
    <row r="779">
      <c r="C779" s="13"/>
      <c r="G779" s="13"/>
      <c r="H779" s="13"/>
      <c r="I779" s="13"/>
      <c r="J779" s="13"/>
      <c r="K779" s="13"/>
      <c r="L779" s="13"/>
      <c r="M779" s="13"/>
      <c r="O779" s="13"/>
    </row>
    <row r="780">
      <c r="C780" s="13"/>
      <c r="G780" s="13"/>
      <c r="H780" s="13"/>
      <c r="I780" s="13"/>
      <c r="J780" s="13"/>
      <c r="K780" s="13"/>
      <c r="L780" s="13"/>
      <c r="M780" s="13"/>
      <c r="O780" s="13"/>
    </row>
    <row r="781">
      <c r="C781" s="13"/>
      <c r="G781" s="13"/>
      <c r="H781" s="13"/>
      <c r="I781" s="13"/>
      <c r="J781" s="13"/>
      <c r="K781" s="13"/>
      <c r="L781" s="13"/>
      <c r="M781" s="13"/>
      <c r="O781" s="13"/>
    </row>
    <row r="782">
      <c r="C782" s="13"/>
      <c r="G782" s="13"/>
      <c r="H782" s="13"/>
      <c r="I782" s="13"/>
      <c r="J782" s="13"/>
      <c r="K782" s="13"/>
      <c r="L782" s="13"/>
      <c r="M782" s="13"/>
      <c r="O782" s="13"/>
    </row>
    <row r="783">
      <c r="C783" s="13"/>
      <c r="G783" s="13"/>
      <c r="H783" s="13"/>
      <c r="I783" s="13"/>
      <c r="J783" s="13"/>
      <c r="K783" s="13"/>
      <c r="L783" s="13"/>
      <c r="M783" s="13"/>
      <c r="O783" s="13"/>
    </row>
    <row r="784">
      <c r="C784" s="13"/>
      <c r="G784" s="13"/>
      <c r="H784" s="13"/>
      <c r="I784" s="13"/>
      <c r="J784" s="13"/>
      <c r="K784" s="13"/>
      <c r="L784" s="13"/>
      <c r="M784" s="13"/>
      <c r="O784" s="13"/>
    </row>
    <row r="785">
      <c r="C785" s="13"/>
      <c r="G785" s="13"/>
      <c r="H785" s="13"/>
      <c r="I785" s="13"/>
      <c r="J785" s="13"/>
      <c r="K785" s="13"/>
      <c r="L785" s="13"/>
      <c r="M785" s="13"/>
      <c r="O785" s="13"/>
    </row>
    <row r="786">
      <c r="C786" s="13"/>
      <c r="G786" s="13"/>
      <c r="H786" s="13"/>
      <c r="I786" s="13"/>
      <c r="J786" s="13"/>
      <c r="K786" s="13"/>
      <c r="L786" s="13"/>
      <c r="M786" s="13"/>
      <c r="O786" s="13"/>
    </row>
    <row r="787">
      <c r="C787" s="13"/>
      <c r="G787" s="13"/>
      <c r="H787" s="13"/>
      <c r="I787" s="13"/>
      <c r="J787" s="13"/>
      <c r="K787" s="13"/>
      <c r="L787" s="13"/>
      <c r="M787" s="13"/>
      <c r="O787" s="13"/>
    </row>
    <row r="788">
      <c r="C788" s="13"/>
      <c r="G788" s="13"/>
      <c r="H788" s="13"/>
      <c r="I788" s="13"/>
      <c r="J788" s="13"/>
      <c r="K788" s="13"/>
      <c r="L788" s="13"/>
      <c r="M788" s="13"/>
      <c r="O788" s="13"/>
    </row>
    <row r="789">
      <c r="C789" s="13"/>
      <c r="G789" s="13"/>
      <c r="H789" s="13"/>
      <c r="I789" s="13"/>
      <c r="J789" s="13"/>
      <c r="K789" s="13"/>
      <c r="L789" s="13"/>
      <c r="M789" s="13"/>
      <c r="O789" s="13"/>
    </row>
    <row r="790">
      <c r="C790" s="13"/>
      <c r="G790" s="13"/>
      <c r="H790" s="13"/>
      <c r="I790" s="13"/>
      <c r="J790" s="13"/>
      <c r="K790" s="13"/>
      <c r="L790" s="13"/>
      <c r="M790" s="13"/>
      <c r="O790" s="13"/>
    </row>
    <row r="791">
      <c r="C791" s="13"/>
      <c r="G791" s="13"/>
      <c r="H791" s="13"/>
      <c r="I791" s="13"/>
      <c r="J791" s="13"/>
      <c r="K791" s="13"/>
      <c r="L791" s="13"/>
      <c r="M791" s="13"/>
      <c r="O791" s="13"/>
    </row>
    <row r="792">
      <c r="C792" s="13"/>
      <c r="G792" s="13"/>
      <c r="H792" s="13"/>
      <c r="I792" s="13"/>
      <c r="J792" s="13"/>
      <c r="K792" s="13"/>
      <c r="L792" s="13"/>
      <c r="M792" s="13"/>
      <c r="O792" s="13"/>
    </row>
    <row r="793">
      <c r="C793" s="13"/>
      <c r="G793" s="13"/>
      <c r="H793" s="13"/>
      <c r="I793" s="13"/>
      <c r="J793" s="13"/>
      <c r="K793" s="13"/>
      <c r="L793" s="13"/>
      <c r="M793" s="13"/>
      <c r="O793" s="13"/>
    </row>
    <row r="794">
      <c r="C794" s="13"/>
      <c r="G794" s="13"/>
      <c r="H794" s="13"/>
      <c r="I794" s="13"/>
      <c r="J794" s="13"/>
      <c r="K794" s="13"/>
      <c r="L794" s="13"/>
      <c r="M794" s="13"/>
      <c r="O794" s="13"/>
    </row>
    <row r="795">
      <c r="C795" s="13"/>
      <c r="G795" s="13"/>
      <c r="H795" s="13"/>
      <c r="I795" s="13"/>
      <c r="J795" s="13"/>
      <c r="K795" s="13"/>
      <c r="L795" s="13"/>
      <c r="M795" s="13"/>
      <c r="O795" s="13"/>
    </row>
    <row r="796">
      <c r="C796" s="13"/>
      <c r="G796" s="13"/>
      <c r="H796" s="13"/>
      <c r="I796" s="13"/>
      <c r="J796" s="13"/>
      <c r="K796" s="13"/>
      <c r="L796" s="13"/>
      <c r="M796" s="13"/>
      <c r="O796" s="13"/>
    </row>
    <row r="797">
      <c r="C797" s="13"/>
      <c r="G797" s="13"/>
      <c r="H797" s="13"/>
      <c r="I797" s="13"/>
      <c r="J797" s="13"/>
      <c r="K797" s="13"/>
      <c r="L797" s="13"/>
      <c r="M797" s="13"/>
      <c r="O797" s="13"/>
    </row>
    <row r="798">
      <c r="C798" s="13"/>
      <c r="G798" s="13"/>
      <c r="H798" s="13"/>
      <c r="I798" s="13"/>
      <c r="J798" s="13"/>
      <c r="K798" s="13"/>
      <c r="L798" s="13"/>
      <c r="M798" s="13"/>
      <c r="O798" s="13"/>
    </row>
    <row r="799">
      <c r="C799" s="13"/>
      <c r="G799" s="13"/>
      <c r="H799" s="13"/>
      <c r="I799" s="13"/>
      <c r="J799" s="13"/>
      <c r="K799" s="13"/>
      <c r="L799" s="13"/>
      <c r="M799" s="13"/>
      <c r="O799" s="13"/>
    </row>
    <row r="800">
      <c r="C800" s="13"/>
      <c r="G800" s="13"/>
      <c r="H800" s="13"/>
      <c r="I800" s="13"/>
      <c r="J800" s="13"/>
      <c r="K800" s="13"/>
      <c r="L800" s="13"/>
      <c r="M800" s="13"/>
      <c r="O800" s="13"/>
    </row>
    <row r="801">
      <c r="C801" s="13"/>
      <c r="G801" s="13"/>
      <c r="H801" s="13"/>
      <c r="I801" s="13"/>
      <c r="J801" s="13"/>
      <c r="K801" s="13"/>
      <c r="L801" s="13"/>
      <c r="M801" s="13"/>
      <c r="O801" s="13"/>
    </row>
    <row r="802">
      <c r="C802" s="13"/>
      <c r="G802" s="13"/>
      <c r="H802" s="13"/>
      <c r="I802" s="13"/>
      <c r="J802" s="13"/>
      <c r="K802" s="13"/>
      <c r="L802" s="13"/>
      <c r="M802" s="13"/>
      <c r="O802" s="13"/>
    </row>
    <row r="803">
      <c r="C803" s="13"/>
      <c r="G803" s="13"/>
      <c r="H803" s="13"/>
      <c r="I803" s="13"/>
      <c r="J803" s="13"/>
      <c r="K803" s="13"/>
      <c r="L803" s="13"/>
      <c r="M803" s="13"/>
      <c r="O803" s="13"/>
    </row>
    <row r="804">
      <c r="C804" s="13"/>
      <c r="G804" s="13"/>
      <c r="H804" s="13"/>
      <c r="I804" s="13"/>
      <c r="J804" s="13"/>
      <c r="K804" s="13"/>
      <c r="L804" s="13"/>
      <c r="M804" s="13"/>
      <c r="O804" s="13"/>
    </row>
    <row r="805">
      <c r="C805" s="13"/>
      <c r="G805" s="13"/>
      <c r="H805" s="13"/>
      <c r="I805" s="13"/>
      <c r="J805" s="13"/>
      <c r="K805" s="13"/>
      <c r="L805" s="13"/>
      <c r="M805" s="13"/>
      <c r="O805" s="13"/>
    </row>
    <row r="806">
      <c r="C806" s="13"/>
      <c r="G806" s="13"/>
      <c r="H806" s="13"/>
      <c r="I806" s="13"/>
      <c r="J806" s="13"/>
      <c r="K806" s="13"/>
      <c r="L806" s="13"/>
      <c r="M806" s="13"/>
      <c r="O806" s="13"/>
    </row>
    <row r="807">
      <c r="C807" s="13"/>
      <c r="G807" s="13"/>
      <c r="H807" s="13"/>
      <c r="I807" s="13"/>
      <c r="J807" s="13"/>
      <c r="K807" s="13"/>
      <c r="L807" s="13"/>
      <c r="M807" s="13"/>
      <c r="O807" s="13"/>
    </row>
    <row r="808">
      <c r="C808" s="13"/>
      <c r="G808" s="13"/>
      <c r="H808" s="13"/>
      <c r="I808" s="13"/>
      <c r="J808" s="13"/>
      <c r="K808" s="13"/>
      <c r="L808" s="13"/>
      <c r="M808" s="13"/>
      <c r="O808" s="13"/>
    </row>
    <row r="809">
      <c r="C809" s="13"/>
      <c r="G809" s="13"/>
      <c r="H809" s="13"/>
      <c r="I809" s="13"/>
      <c r="J809" s="13"/>
      <c r="K809" s="13"/>
      <c r="L809" s="13"/>
      <c r="M809" s="13"/>
      <c r="O809" s="13"/>
    </row>
    <row r="810">
      <c r="C810" s="13"/>
      <c r="G810" s="13"/>
      <c r="H810" s="13"/>
      <c r="I810" s="13"/>
      <c r="J810" s="13"/>
      <c r="K810" s="13"/>
      <c r="L810" s="13"/>
      <c r="M810" s="13"/>
      <c r="O810" s="13"/>
    </row>
    <row r="811">
      <c r="C811" s="13"/>
      <c r="G811" s="13"/>
      <c r="H811" s="13"/>
      <c r="I811" s="13"/>
      <c r="J811" s="13"/>
      <c r="K811" s="13"/>
      <c r="L811" s="13"/>
      <c r="M811" s="13"/>
      <c r="O811" s="13"/>
    </row>
    <row r="812">
      <c r="C812" s="13"/>
      <c r="G812" s="13"/>
      <c r="H812" s="13"/>
      <c r="I812" s="13"/>
      <c r="J812" s="13"/>
      <c r="K812" s="13"/>
      <c r="L812" s="13"/>
      <c r="M812" s="13"/>
      <c r="O812" s="13"/>
    </row>
    <row r="813">
      <c r="C813" s="13"/>
      <c r="G813" s="13"/>
      <c r="H813" s="13"/>
      <c r="I813" s="13"/>
      <c r="J813" s="13"/>
      <c r="K813" s="13"/>
      <c r="L813" s="13"/>
      <c r="M813" s="13"/>
      <c r="O813" s="13"/>
    </row>
    <row r="814">
      <c r="C814" s="13"/>
      <c r="G814" s="13"/>
      <c r="H814" s="13"/>
      <c r="I814" s="13"/>
      <c r="J814" s="13"/>
      <c r="K814" s="13"/>
      <c r="L814" s="13"/>
      <c r="M814" s="13"/>
      <c r="O814" s="13"/>
    </row>
    <row r="815">
      <c r="C815" s="13"/>
      <c r="G815" s="13"/>
      <c r="H815" s="13"/>
      <c r="I815" s="13"/>
      <c r="J815" s="13"/>
      <c r="K815" s="13"/>
      <c r="L815" s="13"/>
      <c r="M815" s="13"/>
      <c r="O815" s="13"/>
    </row>
    <row r="816">
      <c r="C816" s="13"/>
      <c r="G816" s="13"/>
      <c r="H816" s="13"/>
      <c r="I816" s="13"/>
      <c r="J816" s="13"/>
      <c r="K816" s="13"/>
      <c r="L816" s="13"/>
      <c r="M816" s="13"/>
      <c r="O816" s="13"/>
    </row>
    <row r="817">
      <c r="C817" s="13"/>
      <c r="G817" s="13"/>
      <c r="H817" s="13"/>
      <c r="I817" s="13"/>
      <c r="J817" s="13"/>
      <c r="K817" s="13"/>
      <c r="L817" s="13"/>
      <c r="M817" s="13"/>
      <c r="O817" s="13"/>
    </row>
    <row r="818">
      <c r="C818" s="13"/>
      <c r="G818" s="13"/>
      <c r="H818" s="13"/>
      <c r="I818" s="13"/>
      <c r="J818" s="13"/>
      <c r="K818" s="13"/>
      <c r="L818" s="13"/>
      <c r="M818" s="13"/>
      <c r="O818" s="13"/>
    </row>
    <row r="819">
      <c r="C819" s="13"/>
      <c r="G819" s="13"/>
      <c r="H819" s="13"/>
      <c r="I819" s="13"/>
      <c r="J819" s="13"/>
      <c r="K819" s="13"/>
      <c r="L819" s="13"/>
      <c r="M819" s="13"/>
      <c r="O819" s="13"/>
    </row>
    <row r="820">
      <c r="C820" s="13"/>
      <c r="G820" s="13"/>
      <c r="H820" s="13"/>
      <c r="I820" s="13"/>
      <c r="J820" s="13"/>
      <c r="K820" s="13"/>
      <c r="L820" s="13"/>
      <c r="M820" s="13"/>
      <c r="O820" s="13"/>
    </row>
    <row r="821">
      <c r="C821" s="13"/>
      <c r="G821" s="13"/>
      <c r="H821" s="13"/>
      <c r="I821" s="13"/>
      <c r="J821" s="13"/>
      <c r="K821" s="13"/>
      <c r="L821" s="13"/>
      <c r="M821" s="13"/>
      <c r="O821" s="13"/>
    </row>
    <row r="822">
      <c r="C822" s="13"/>
      <c r="G822" s="13"/>
      <c r="H822" s="13"/>
      <c r="I822" s="13"/>
      <c r="J822" s="13"/>
      <c r="K822" s="13"/>
      <c r="L822" s="13"/>
      <c r="M822" s="13"/>
      <c r="O822" s="13"/>
    </row>
    <row r="823">
      <c r="C823" s="13"/>
      <c r="G823" s="13"/>
      <c r="H823" s="13"/>
      <c r="I823" s="13"/>
      <c r="J823" s="13"/>
      <c r="K823" s="13"/>
      <c r="L823" s="13"/>
      <c r="M823" s="13"/>
      <c r="O823" s="13"/>
    </row>
    <row r="824">
      <c r="C824" s="13"/>
      <c r="G824" s="13"/>
      <c r="H824" s="13"/>
      <c r="I824" s="13"/>
      <c r="J824" s="13"/>
      <c r="K824" s="13"/>
      <c r="L824" s="13"/>
      <c r="M824" s="13"/>
      <c r="O824" s="13"/>
    </row>
    <row r="825">
      <c r="C825" s="13"/>
      <c r="G825" s="13"/>
      <c r="H825" s="13"/>
      <c r="I825" s="13"/>
      <c r="J825" s="13"/>
      <c r="K825" s="13"/>
      <c r="L825" s="13"/>
      <c r="M825" s="13"/>
      <c r="O825" s="13"/>
    </row>
    <row r="826">
      <c r="C826" s="13"/>
      <c r="G826" s="13"/>
      <c r="H826" s="13"/>
      <c r="I826" s="13"/>
      <c r="J826" s="13"/>
      <c r="K826" s="13"/>
      <c r="L826" s="13"/>
      <c r="M826" s="13"/>
      <c r="O826" s="13"/>
    </row>
    <row r="827">
      <c r="C827" s="13"/>
      <c r="G827" s="13"/>
      <c r="H827" s="13"/>
      <c r="I827" s="13"/>
      <c r="J827" s="13"/>
      <c r="K827" s="13"/>
      <c r="L827" s="13"/>
      <c r="M827" s="13"/>
      <c r="O827" s="13"/>
    </row>
    <row r="828">
      <c r="C828" s="13"/>
      <c r="G828" s="13"/>
      <c r="H828" s="13"/>
      <c r="I828" s="13"/>
      <c r="J828" s="13"/>
      <c r="K828" s="13"/>
      <c r="L828" s="13"/>
      <c r="M828" s="13"/>
      <c r="O828" s="13"/>
    </row>
    <row r="829">
      <c r="C829" s="13"/>
      <c r="G829" s="13"/>
      <c r="H829" s="13"/>
      <c r="I829" s="13"/>
      <c r="J829" s="13"/>
      <c r="K829" s="13"/>
      <c r="L829" s="13"/>
      <c r="M829" s="13"/>
      <c r="O829" s="13"/>
    </row>
    <row r="830">
      <c r="C830" s="13"/>
      <c r="G830" s="13"/>
      <c r="H830" s="13"/>
      <c r="I830" s="13"/>
      <c r="J830" s="13"/>
      <c r="K830" s="13"/>
      <c r="L830" s="13"/>
      <c r="M830" s="13"/>
      <c r="O830" s="13"/>
    </row>
    <row r="831">
      <c r="C831" s="13"/>
      <c r="G831" s="13"/>
      <c r="H831" s="13"/>
      <c r="I831" s="13"/>
      <c r="J831" s="13"/>
      <c r="K831" s="13"/>
      <c r="L831" s="13"/>
      <c r="M831" s="13"/>
      <c r="O831" s="13"/>
    </row>
    <row r="832">
      <c r="C832" s="13"/>
      <c r="G832" s="13"/>
      <c r="H832" s="13"/>
      <c r="I832" s="13"/>
      <c r="J832" s="13"/>
      <c r="K832" s="13"/>
      <c r="L832" s="13"/>
      <c r="M832" s="13"/>
      <c r="O832" s="13"/>
    </row>
    <row r="833">
      <c r="C833" s="13"/>
      <c r="G833" s="13"/>
      <c r="H833" s="13"/>
      <c r="I833" s="13"/>
      <c r="J833" s="13"/>
      <c r="K833" s="13"/>
      <c r="L833" s="13"/>
      <c r="M833" s="13"/>
      <c r="O833" s="13"/>
    </row>
    <row r="834">
      <c r="C834" s="13"/>
      <c r="G834" s="13"/>
      <c r="H834" s="13"/>
      <c r="I834" s="13"/>
      <c r="J834" s="13"/>
      <c r="K834" s="13"/>
      <c r="L834" s="13"/>
      <c r="M834" s="13"/>
      <c r="O834" s="13"/>
    </row>
    <row r="835">
      <c r="C835" s="13"/>
      <c r="G835" s="13"/>
      <c r="H835" s="13"/>
      <c r="I835" s="13"/>
      <c r="J835" s="13"/>
      <c r="K835" s="13"/>
      <c r="L835" s="13"/>
      <c r="M835" s="13"/>
      <c r="O835" s="13"/>
    </row>
    <row r="836">
      <c r="C836" s="13"/>
      <c r="G836" s="13"/>
      <c r="H836" s="13"/>
      <c r="I836" s="13"/>
      <c r="J836" s="13"/>
      <c r="K836" s="13"/>
      <c r="L836" s="13"/>
      <c r="M836" s="13"/>
      <c r="O836" s="13"/>
    </row>
    <row r="837">
      <c r="C837" s="13"/>
      <c r="G837" s="13"/>
      <c r="H837" s="13"/>
      <c r="I837" s="13"/>
      <c r="J837" s="13"/>
      <c r="K837" s="13"/>
      <c r="L837" s="13"/>
      <c r="M837" s="13"/>
      <c r="O837" s="13"/>
    </row>
    <row r="838">
      <c r="C838" s="13"/>
      <c r="G838" s="13"/>
      <c r="H838" s="13"/>
      <c r="I838" s="13"/>
      <c r="J838" s="13"/>
      <c r="K838" s="13"/>
      <c r="L838" s="13"/>
      <c r="M838" s="13"/>
      <c r="O838" s="13"/>
    </row>
    <row r="839">
      <c r="C839" s="13"/>
      <c r="G839" s="13"/>
      <c r="H839" s="13"/>
      <c r="I839" s="13"/>
      <c r="J839" s="13"/>
      <c r="K839" s="13"/>
      <c r="L839" s="13"/>
      <c r="M839" s="13"/>
      <c r="O839" s="13"/>
    </row>
    <row r="840">
      <c r="C840" s="13"/>
      <c r="G840" s="13"/>
      <c r="H840" s="13"/>
      <c r="I840" s="13"/>
      <c r="J840" s="13"/>
      <c r="K840" s="13"/>
      <c r="L840" s="13"/>
      <c r="M840" s="13"/>
      <c r="O840" s="13"/>
    </row>
    <row r="841">
      <c r="C841" s="13"/>
      <c r="G841" s="13"/>
      <c r="H841" s="13"/>
      <c r="I841" s="13"/>
      <c r="J841" s="13"/>
      <c r="K841" s="13"/>
      <c r="L841" s="13"/>
      <c r="M841" s="13"/>
      <c r="O841" s="13"/>
    </row>
    <row r="842">
      <c r="C842" s="13"/>
      <c r="G842" s="13"/>
      <c r="H842" s="13"/>
      <c r="I842" s="13"/>
      <c r="J842" s="13"/>
      <c r="K842" s="13"/>
      <c r="L842" s="13"/>
      <c r="M842" s="13"/>
      <c r="O842" s="13"/>
    </row>
    <row r="843">
      <c r="C843" s="13"/>
      <c r="G843" s="13"/>
      <c r="H843" s="13"/>
      <c r="I843" s="13"/>
      <c r="J843" s="13"/>
      <c r="K843" s="13"/>
      <c r="L843" s="13"/>
      <c r="M843" s="13"/>
      <c r="O843" s="13"/>
    </row>
    <row r="844">
      <c r="C844" s="13"/>
      <c r="G844" s="13"/>
      <c r="H844" s="13"/>
      <c r="I844" s="13"/>
      <c r="J844" s="13"/>
      <c r="K844" s="13"/>
      <c r="L844" s="13"/>
      <c r="M844" s="13"/>
      <c r="O844" s="13"/>
    </row>
    <row r="845">
      <c r="C845" s="13"/>
      <c r="G845" s="13"/>
      <c r="H845" s="13"/>
      <c r="I845" s="13"/>
      <c r="J845" s="13"/>
      <c r="K845" s="13"/>
      <c r="L845" s="13"/>
      <c r="M845" s="13"/>
      <c r="O845" s="13"/>
    </row>
    <row r="846">
      <c r="C846" s="13"/>
      <c r="G846" s="13"/>
      <c r="H846" s="13"/>
      <c r="I846" s="13"/>
      <c r="J846" s="13"/>
      <c r="K846" s="13"/>
      <c r="L846" s="13"/>
      <c r="M846" s="13"/>
      <c r="O846" s="13"/>
    </row>
    <row r="847">
      <c r="C847" s="13"/>
      <c r="G847" s="13"/>
      <c r="H847" s="13"/>
      <c r="I847" s="13"/>
      <c r="J847" s="13"/>
      <c r="K847" s="13"/>
      <c r="L847" s="13"/>
      <c r="M847" s="13"/>
      <c r="O847" s="13"/>
    </row>
    <row r="848">
      <c r="C848" s="13"/>
      <c r="G848" s="13"/>
      <c r="H848" s="13"/>
      <c r="I848" s="13"/>
      <c r="J848" s="13"/>
      <c r="K848" s="13"/>
      <c r="L848" s="13"/>
      <c r="M848" s="13"/>
      <c r="O848" s="13"/>
    </row>
    <row r="849">
      <c r="C849" s="13"/>
      <c r="G849" s="13"/>
      <c r="H849" s="13"/>
      <c r="I849" s="13"/>
      <c r="J849" s="13"/>
      <c r="K849" s="13"/>
      <c r="L849" s="13"/>
      <c r="M849" s="13"/>
      <c r="O849" s="13"/>
    </row>
    <row r="850">
      <c r="C850" s="13"/>
      <c r="G850" s="13"/>
      <c r="H850" s="13"/>
      <c r="I850" s="13"/>
      <c r="J850" s="13"/>
      <c r="K850" s="13"/>
      <c r="L850" s="13"/>
      <c r="M850" s="13"/>
      <c r="O850" s="13"/>
    </row>
    <row r="851">
      <c r="C851" s="13"/>
      <c r="G851" s="13"/>
      <c r="H851" s="13"/>
      <c r="I851" s="13"/>
      <c r="J851" s="13"/>
      <c r="K851" s="13"/>
      <c r="L851" s="13"/>
      <c r="M851" s="13"/>
      <c r="O851" s="13"/>
    </row>
    <row r="852">
      <c r="C852" s="13"/>
      <c r="G852" s="13"/>
      <c r="H852" s="13"/>
      <c r="I852" s="13"/>
      <c r="J852" s="13"/>
      <c r="K852" s="13"/>
      <c r="L852" s="13"/>
      <c r="M852" s="13"/>
      <c r="O852" s="13"/>
    </row>
    <row r="853">
      <c r="C853" s="13"/>
      <c r="G853" s="13"/>
      <c r="H853" s="13"/>
      <c r="I853" s="13"/>
      <c r="J853" s="13"/>
      <c r="K853" s="13"/>
      <c r="L853" s="13"/>
      <c r="M853" s="13"/>
      <c r="O853" s="13"/>
    </row>
    <row r="854">
      <c r="C854" s="13"/>
      <c r="G854" s="13"/>
      <c r="H854" s="13"/>
      <c r="I854" s="13"/>
      <c r="J854" s="13"/>
      <c r="K854" s="13"/>
      <c r="L854" s="13"/>
      <c r="M854" s="13"/>
      <c r="O854" s="13"/>
    </row>
    <row r="855">
      <c r="C855" s="13"/>
      <c r="G855" s="13"/>
      <c r="H855" s="13"/>
      <c r="I855" s="13"/>
      <c r="J855" s="13"/>
      <c r="K855" s="13"/>
      <c r="L855" s="13"/>
      <c r="M855" s="13"/>
      <c r="O855" s="13"/>
    </row>
    <row r="856">
      <c r="C856" s="13"/>
      <c r="G856" s="13"/>
      <c r="H856" s="13"/>
      <c r="I856" s="13"/>
      <c r="J856" s="13"/>
      <c r="K856" s="13"/>
      <c r="L856" s="13"/>
      <c r="M856" s="13"/>
      <c r="O856" s="13"/>
    </row>
    <row r="857">
      <c r="C857" s="13"/>
      <c r="G857" s="13"/>
      <c r="H857" s="13"/>
      <c r="I857" s="13"/>
      <c r="J857" s="13"/>
      <c r="K857" s="13"/>
      <c r="L857" s="13"/>
      <c r="M857" s="13"/>
      <c r="O857" s="13"/>
    </row>
    <row r="858">
      <c r="C858" s="13"/>
      <c r="G858" s="13"/>
      <c r="H858" s="13"/>
      <c r="I858" s="13"/>
      <c r="J858" s="13"/>
      <c r="K858" s="13"/>
      <c r="L858" s="13"/>
      <c r="M858" s="13"/>
      <c r="O858" s="13"/>
    </row>
    <row r="859">
      <c r="C859" s="13"/>
      <c r="G859" s="13"/>
      <c r="H859" s="13"/>
      <c r="I859" s="13"/>
      <c r="J859" s="13"/>
      <c r="K859" s="13"/>
      <c r="L859" s="13"/>
      <c r="M859" s="13"/>
      <c r="O859" s="13"/>
    </row>
    <row r="860">
      <c r="C860" s="13"/>
      <c r="G860" s="13"/>
      <c r="H860" s="13"/>
      <c r="I860" s="13"/>
      <c r="J860" s="13"/>
      <c r="K860" s="13"/>
      <c r="L860" s="13"/>
      <c r="M860" s="13"/>
      <c r="O860" s="13"/>
    </row>
    <row r="861">
      <c r="C861" s="13"/>
      <c r="G861" s="13"/>
      <c r="H861" s="13"/>
      <c r="I861" s="13"/>
      <c r="J861" s="13"/>
      <c r="K861" s="13"/>
      <c r="L861" s="13"/>
      <c r="M861" s="13"/>
      <c r="O861" s="13"/>
    </row>
    <row r="862">
      <c r="C862" s="13"/>
      <c r="G862" s="13"/>
      <c r="H862" s="13"/>
      <c r="I862" s="13"/>
      <c r="J862" s="13"/>
      <c r="K862" s="13"/>
      <c r="L862" s="13"/>
      <c r="M862" s="13"/>
      <c r="O862" s="13"/>
    </row>
    <row r="863">
      <c r="C863" s="13"/>
      <c r="G863" s="13"/>
      <c r="H863" s="13"/>
      <c r="I863" s="13"/>
      <c r="J863" s="13"/>
      <c r="K863" s="13"/>
      <c r="L863" s="13"/>
      <c r="M863" s="13"/>
      <c r="O863" s="13"/>
    </row>
    <row r="864">
      <c r="C864" s="13"/>
      <c r="G864" s="13"/>
      <c r="H864" s="13"/>
      <c r="I864" s="13"/>
      <c r="J864" s="13"/>
      <c r="K864" s="13"/>
      <c r="L864" s="13"/>
      <c r="M864" s="13"/>
      <c r="O864" s="13"/>
    </row>
    <row r="865">
      <c r="C865" s="13"/>
      <c r="G865" s="13"/>
      <c r="H865" s="13"/>
      <c r="I865" s="13"/>
      <c r="J865" s="13"/>
      <c r="K865" s="13"/>
      <c r="L865" s="13"/>
      <c r="M865" s="13"/>
      <c r="O865" s="13"/>
    </row>
    <row r="866">
      <c r="C866" s="13"/>
      <c r="G866" s="13"/>
      <c r="H866" s="13"/>
      <c r="I866" s="13"/>
      <c r="J866" s="13"/>
      <c r="K866" s="13"/>
      <c r="L866" s="13"/>
      <c r="M866" s="13"/>
      <c r="O866" s="13"/>
    </row>
    <row r="867">
      <c r="C867" s="13"/>
      <c r="G867" s="13"/>
      <c r="H867" s="13"/>
      <c r="I867" s="13"/>
      <c r="J867" s="13"/>
      <c r="K867" s="13"/>
      <c r="L867" s="13"/>
      <c r="M867" s="13"/>
      <c r="O867" s="13"/>
    </row>
    <row r="868">
      <c r="C868" s="13"/>
      <c r="G868" s="13"/>
      <c r="H868" s="13"/>
      <c r="I868" s="13"/>
      <c r="J868" s="13"/>
      <c r="K868" s="13"/>
      <c r="L868" s="13"/>
      <c r="M868" s="13"/>
      <c r="O868" s="13"/>
    </row>
    <row r="869">
      <c r="C869" s="13"/>
      <c r="G869" s="13"/>
      <c r="H869" s="13"/>
      <c r="I869" s="13"/>
      <c r="J869" s="13"/>
      <c r="K869" s="13"/>
      <c r="L869" s="13"/>
      <c r="M869" s="13"/>
      <c r="O869" s="13"/>
    </row>
    <row r="870">
      <c r="C870" s="13"/>
      <c r="G870" s="13"/>
      <c r="H870" s="13"/>
      <c r="I870" s="13"/>
      <c r="J870" s="13"/>
      <c r="K870" s="13"/>
      <c r="L870" s="13"/>
      <c r="M870" s="13"/>
      <c r="O870" s="13"/>
    </row>
    <row r="871">
      <c r="C871" s="13"/>
      <c r="G871" s="13"/>
      <c r="H871" s="13"/>
      <c r="I871" s="13"/>
      <c r="J871" s="13"/>
      <c r="K871" s="13"/>
      <c r="L871" s="13"/>
      <c r="M871" s="13"/>
      <c r="O871" s="13"/>
    </row>
    <row r="872">
      <c r="C872" s="13"/>
      <c r="G872" s="13"/>
      <c r="H872" s="13"/>
      <c r="I872" s="13"/>
      <c r="J872" s="13"/>
      <c r="K872" s="13"/>
      <c r="L872" s="13"/>
      <c r="M872" s="13"/>
      <c r="O872" s="13"/>
    </row>
    <row r="873">
      <c r="C873" s="13"/>
      <c r="G873" s="13"/>
      <c r="H873" s="13"/>
      <c r="I873" s="13"/>
      <c r="J873" s="13"/>
      <c r="K873" s="13"/>
      <c r="L873" s="13"/>
      <c r="M873" s="13"/>
      <c r="O873" s="13"/>
    </row>
    <row r="874">
      <c r="C874" s="13"/>
      <c r="G874" s="13"/>
      <c r="H874" s="13"/>
      <c r="I874" s="13"/>
      <c r="J874" s="13"/>
      <c r="K874" s="13"/>
      <c r="L874" s="13"/>
      <c r="M874" s="13"/>
      <c r="O874" s="13"/>
    </row>
    <row r="875">
      <c r="C875" s="13"/>
      <c r="G875" s="13"/>
      <c r="H875" s="13"/>
      <c r="I875" s="13"/>
      <c r="J875" s="13"/>
      <c r="K875" s="13"/>
      <c r="L875" s="13"/>
      <c r="M875" s="13"/>
      <c r="O875" s="13"/>
    </row>
    <row r="876">
      <c r="C876" s="13"/>
      <c r="G876" s="13"/>
      <c r="H876" s="13"/>
      <c r="I876" s="13"/>
      <c r="J876" s="13"/>
      <c r="K876" s="13"/>
      <c r="L876" s="13"/>
      <c r="M876" s="13"/>
      <c r="O876" s="13"/>
    </row>
    <row r="877">
      <c r="C877" s="13"/>
      <c r="G877" s="13"/>
      <c r="H877" s="13"/>
      <c r="I877" s="13"/>
      <c r="J877" s="13"/>
      <c r="K877" s="13"/>
      <c r="L877" s="13"/>
      <c r="M877" s="13"/>
      <c r="O877" s="13"/>
    </row>
    <row r="878">
      <c r="C878" s="13"/>
      <c r="G878" s="13"/>
      <c r="H878" s="13"/>
      <c r="I878" s="13"/>
      <c r="J878" s="13"/>
      <c r="K878" s="13"/>
      <c r="L878" s="13"/>
      <c r="M878" s="13"/>
      <c r="O878" s="13"/>
    </row>
    <row r="879">
      <c r="C879" s="13"/>
      <c r="G879" s="13"/>
      <c r="H879" s="13"/>
      <c r="I879" s="13"/>
      <c r="J879" s="13"/>
      <c r="K879" s="13"/>
      <c r="L879" s="13"/>
      <c r="M879" s="13"/>
      <c r="O879" s="13"/>
    </row>
    <row r="880">
      <c r="C880" s="13"/>
      <c r="G880" s="13"/>
      <c r="H880" s="13"/>
      <c r="I880" s="13"/>
      <c r="J880" s="13"/>
      <c r="K880" s="13"/>
      <c r="L880" s="13"/>
      <c r="M880" s="13"/>
      <c r="O880" s="13"/>
    </row>
    <row r="881">
      <c r="C881" s="13"/>
      <c r="G881" s="13"/>
      <c r="H881" s="13"/>
      <c r="I881" s="13"/>
      <c r="J881" s="13"/>
      <c r="K881" s="13"/>
      <c r="L881" s="13"/>
      <c r="M881" s="13"/>
      <c r="O881" s="13"/>
    </row>
    <row r="882">
      <c r="C882" s="13"/>
      <c r="G882" s="13"/>
      <c r="H882" s="13"/>
      <c r="I882" s="13"/>
      <c r="J882" s="13"/>
      <c r="K882" s="13"/>
      <c r="L882" s="13"/>
      <c r="M882" s="13"/>
      <c r="O882" s="13"/>
    </row>
    <row r="883">
      <c r="C883" s="13"/>
      <c r="G883" s="13"/>
      <c r="H883" s="13"/>
      <c r="I883" s="13"/>
      <c r="J883" s="13"/>
      <c r="K883" s="13"/>
      <c r="L883" s="13"/>
      <c r="M883" s="13"/>
      <c r="O883" s="13"/>
    </row>
    <row r="884">
      <c r="C884" s="13"/>
      <c r="G884" s="13"/>
      <c r="H884" s="13"/>
      <c r="I884" s="13"/>
      <c r="J884" s="13"/>
      <c r="K884" s="13"/>
      <c r="L884" s="13"/>
      <c r="M884" s="13"/>
      <c r="O884" s="13"/>
    </row>
    <row r="885">
      <c r="C885" s="13"/>
      <c r="G885" s="13"/>
      <c r="H885" s="13"/>
      <c r="I885" s="13"/>
      <c r="J885" s="13"/>
      <c r="K885" s="13"/>
      <c r="L885" s="13"/>
      <c r="M885" s="13"/>
      <c r="O885" s="13"/>
    </row>
    <row r="886">
      <c r="C886" s="13"/>
      <c r="G886" s="13"/>
      <c r="H886" s="13"/>
      <c r="I886" s="13"/>
      <c r="J886" s="13"/>
      <c r="K886" s="13"/>
      <c r="L886" s="13"/>
      <c r="M886" s="13"/>
      <c r="O886" s="13"/>
    </row>
    <row r="887">
      <c r="C887" s="13"/>
      <c r="G887" s="13"/>
      <c r="H887" s="13"/>
      <c r="I887" s="13"/>
      <c r="J887" s="13"/>
      <c r="K887" s="13"/>
      <c r="L887" s="13"/>
      <c r="M887" s="13"/>
      <c r="O887" s="13"/>
    </row>
    <row r="888">
      <c r="C888" s="13"/>
      <c r="G888" s="13"/>
      <c r="H888" s="13"/>
      <c r="I888" s="13"/>
      <c r="J888" s="13"/>
      <c r="K888" s="13"/>
      <c r="L888" s="13"/>
      <c r="M888" s="13"/>
      <c r="O888" s="13"/>
    </row>
    <row r="889">
      <c r="C889" s="13"/>
      <c r="G889" s="13"/>
      <c r="H889" s="13"/>
      <c r="I889" s="13"/>
      <c r="J889" s="13"/>
      <c r="K889" s="13"/>
      <c r="L889" s="13"/>
      <c r="M889" s="13"/>
      <c r="O889" s="13"/>
    </row>
    <row r="890">
      <c r="C890" s="13"/>
      <c r="G890" s="13"/>
      <c r="H890" s="13"/>
      <c r="I890" s="13"/>
      <c r="J890" s="13"/>
      <c r="K890" s="13"/>
      <c r="L890" s="13"/>
      <c r="M890" s="13"/>
      <c r="O890" s="13"/>
    </row>
    <row r="891">
      <c r="C891" s="13"/>
      <c r="G891" s="13"/>
      <c r="H891" s="13"/>
      <c r="I891" s="13"/>
      <c r="J891" s="13"/>
      <c r="K891" s="13"/>
      <c r="L891" s="13"/>
      <c r="M891" s="13"/>
      <c r="O891" s="13"/>
    </row>
    <row r="892">
      <c r="C892" s="13"/>
      <c r="G892" s="13"/>
      <c r="H892" s="13"/>
      <c r="I892" s="13"/>
      <c r="J892" s="13"/>
      <c r="K892" s="13"/>
      <c r="L892" s="13"/>
      <c r="M892" s="13"/>
      <c r="O892" s="13"/>
    </row>
    <row r="893">
      <c r="C893" s="13"/>
      <c r="G893" s="13"/>
      <c r="H893" s="13"/>
      <c r="I893" s="13"/>
      <c r="J893" s="13"/>
      <c r="K893" s="13"/>
      <c r="L893" s="13"/>
      <c r="M893" s="13"/>
      <c r="O893" s="13"/>
    </row>
    <row r="894">
      <c r="C894" s="13"/>
      <c r="G894" s="13"/>
      <c r="H894" s="13"/>
      <c r="I894" s="13"/>
      <c r="J894" s="13"/>
      <c r="K894" s="13"/>
      <c r="L894" s="13"/>
      <c r="M894" s="13"/>
      <c r="O894" s="13"/>
    </row>
    <row r="895">
      <c r="C895" s="13"/>
      <c r="G895" s="13"/>
      <c r="H895" s="13"/>
      <c r="I895" s="13"/>
      <c r="J895" s="13"/>
      <c r="K895" s="13"/>
      <c r="L895" s="13"/>
      <c r="M895" s="13"/>
      <c r="O895" s="13"/>
    </row>
    <row r="896">
      <c r="C896" s="13"/>
      <c r="G896" s="13"/>
      <c r="H896" s="13"/>
      <c r="I896" s="13"/>
      <c r="J896" s="13"/>
      <c r="K896" s="13"/>
      <c r="L896" s="13"/>
      <c r="M896" s="13"/>
      <c r="O896" s="13"/>
    </row>
    <row r="897">
      <c r="C897" s="13"/>
      <c r="G897" s="13"/>
      <c r="H897" s="13"/>
      <c r="I897" s="13"/>
      <c r="J897" s="13"/>
      <c r="K897" s="13"/>
      <c r="L897" s="13"/>
      <c r="M897" s="13"/>
      <c r="O897" s="13"/>
    </row>
    <row r="898">
      <c r="C898" s="13"/>
      <c r="G898" s="13"/>
      <c r="H898" s="13"/>
      <c r="I898" s="13"/>
      <c r="J898" s="13"/>
      <c r="K898" s="13"/>
      <c r="L898" s="13"/>
      <c r="M898" s="13"/>
      <c r="O898" s="13"/>
    </row>
    <row r="899">
      <c r="C899" s="13"/>
      <c r="G899" s="13"/>
      <c r="H899" s="13"/>
      <c r="I899" s="13"/>
      <c r="J899" s="13"/>
      <c r="K899" s="13"/>
      <c r="L899" s="13"/>
      <c r="M899" s="13"/>
      <c r="O899" s="13"/>
    </row>
    <row r="900">
      <c r="C900" s="13"/>
      <c r="G900" s="13"/>
      <c r="H900" s="13"/>
      <c r="I900" s="13"/>
      <c r="J900" s="13"/>
      <c r="K900" s="13"/>
      <c r="L900" s="13"/>
      <c r="M900" s="13"/>
      <c r="O900" s="13"/>
    </row>
    <row r="901">
      <c r="C901" s="13"/>
      <c r="G901" s="13"/>
      <c r="H901" s="13"/>
      <c r="I901" s="13"/>
      <c r="J901" s="13"/>
      <c r="K901" s="13"/>
      <c r="L901" s="13"/>
      <c r="M901" s="13"/>
      <c r="O901" s="13"/>
    </row>
    <row r="902">
      <c r="C902" s="13"/>
      <c r="G902" s="13"/>
      <c r="H902" s="13"/>
      <c r="I902" s="13"/>
      <c r="J902" s="13"/>
      <c r="K902" s="13"/>
      <c r="L902" s="13"/>
      <c r="M902" s="13"/>
      <c r="O902" s="13"/>
    </row>
    <row r="903">
      <c r="C903" s="13"/>
      <c r="G903" s="13"/>
      <c r="H903" s="13"/>
      <c r="I903" s="13"/>
      <c r="J903" s="13"/>
      <c r="K903" s="13"/>
      <c r="L903" s="13"/>
      <c r="M903" s="13"/>
      <c r="O903" s="13"/>
    </row>
    <row r="904">
      <c r="C904" s="13"/>
      <c r="G904" s="13"/>
      <c r="H904" s="13"/>
      <c r="I904" s="13"/>
      <c r="J904" s="13"/>
      <c r="K904" s="13"/>
      <c r="L904" s="13"/>
      <c r="M904" s="13"/>
      <c r="O904" s="13"/>
    </row>
    <row r="905">
      <c r="C905" s="13"/>
      <c r="G905" s="13"/>
      <c r="H905" s="13"/>
      <c r="I905" s="13"/>
      <c r="J905" s="13"/>
      <c r="K905" s="13"/>
      <c r="L905" s="13"/>
      <c r="M905" s="13"/>
      <c r="O905" s="13"/>
    </row>
    <row r="906">
      <c r="C906" s="13"/>
      <c r="G906" s="13"/>
      <c r="H906" s="13"/>
      <c r="I906" s="13"/>
      <c r="J906" s="13"/>
      <c r="K906" s="13"/>
      <c r="L906" s="13"/>
      <c r="M906" s="13"/>
      <c r="O906" s="13"/>
    </row>
    <row r="907">
      <c r="C907" s="13"/>
      <c r="G907" s="13"/>
      <c r="H907" s="13"/>
      <c r="I907" s="13"/>
      <c r="J907" s="13"/>
      <c r="K907" s="13"/>
      <c r="L907" s="13"/>
      <c r="M907" s="13"/>
      <c r="O907" s="13"/>
    </row>
    <row r="908">
      <c r="C908" s="13"/>
      <c r="G908" s="13"/>
      <c r="H908" s="13"/>
      <c r="I908" s="13"/>
      <c r="J908" s="13"/>
      <c r="K908" s="13"/>
      <c r="L908" s="13"/>
      <c r="M908" s="13"/>
      <c r="O908" s="13"/>
    </row>
    <row r="909">
      <c r="C909" s="13"/>
      <c r="G909" s="13"/>
      <c r="H909" s="13"/>
      <c r="I909" s="13"/>
      <c r="J909" s="13"/>
      <c r="K909" s="13"/>
      <c r="L909" s="13"/>
      <c r="M909" s="13"/>
      <c r="O909" s="13"/>
    </row>
    <row r="910">
      <c r="C910" s="13"/>
      <c r="G910" s="13"/>
      <c r="H910" s="13"/>
      <c r="I910" s="13"/>
      <c r="J910" s="13"/>
      <c r="K910" s="13"/>
      <c r="L910" s="13"/>
      <c r="M910" s="13"/>
      <c r="O910" s="13"/>
    </row>
    <row r="911">
      <c r="C911" s="13"/>
      <c r="G911" s="13"/>
      <c r="H911" s="13"/>
      <c r="I911" s="13"/>
      <c r="J911" s="13"/>
      <c r="K911" s="13"/>
      <c r="L911" s="13"/>
      <c r="M911" s="13"/>
      <c r="O911" s="13"/>
    </row>
    <row r="912">
      <c r="C912" s="13"/>
      <c r="G912" s="13"/>
      <c r="H912" s="13"/>
      <c r="I912" s="13"/>
      <c r="J912" s="13"/>
      <c r="K912" s="13"/>
      <c r="L912" s="13"/>
      <c r="M912" s="13"/>
      <c r="O912" s="13"/>
    </row>
    <row r="913">
      <c r="C913" s="13"/>
      <c r="G913" s="13"/>
      <c r="H913" s="13"/>
      <c r="I913" s="13"/>
      <c r="J913" s="13"/>
      <c r="K913" s="13"/>
      <c r="L913" s="13"/>
      <c r="M913" s="13"/>
      <c r="O913" s="13"/>
    </row>
    <row r="914">
      <c r="C914" s="13"/>
      <c r="G914" s="13"/>
      <c r="H914" s="13"/>
      <c r="I914" s="13"/>
      <c r="J914" s="13"/>
      <c r="K914" s="13"/>
      <c r="L914" s="13"/>
      <c r="M914" s="13"/>
      <c r="O914" s="13"/>
    </row>
    <row r="915">
      <c r="C915" s="13"/>
      <c r="G915" s="13"/>
      <c r="H915" s="13"/>
      <c r="I915" s="13"/>
      <c r="J915" s="13"/>
      <c r="K915" s="13"/>
      <c r="L915" s="13"/>
      <c r="M915" s="13"/>
      <c r="O915" s="13"/>
    </row>
    <row r="916">
      <c r="C916" s="13"/>
      <c r="G916" s="13"/>
      <c r="H916" s="13"/>
      <c r="I916" s="13"/>
      <c r="J916" s="13"/>
      <c r="K916" s="13"/>
      <c r="L916" s="13"/>
      <c r="M916" s="13"/>
      <c r="O916" s="13"/>
    </row>
    <row r="917">
      <c r="C917" s="13"/>
      <c r="G917" s="13"/>
      <c r="H917" s="13"/>
      <c r="I917" s="13"/>
      <c r="J917" s="13"/>
      <c r="K917" s="13"/>
      <c r="L917" s="13"/>
      <c r="M917" s="13"/>
      <c r="O917" s="13"/>
    </row>
    <row r="918">
      <c r="C918" s="13"/>
      <c r="G918" s="13"/>
      <c r="H918" s="13"/>
      <c r="I918" s="13"/>
      <c r="J918" s="13"/>
      <c r="K918" s="13"/>
      <c r="L918" s="13"/>
      <c r="M918" s="13"/>
      <c r="O918" s="13"/>
    </row>
    <row r="919">
      <c r="C919" s="13"/>
      <c r="G919" s="13"/>
      <c r="H919" s="13"/>
      <c r="I919" s="13"/>
      <c r="J919" s="13"/>
      <c r="K919" s="13"/>
      <c r="L919" s="13"/>
      <c r="M919" s="13"/>
      <c r="O919" s="13"/>
    </row>
    <row r="920">
      <c r="C920" s="13"/>
      <c r="G920" s="13"/>
      <c r="H920" s="13"/>
      <c r="I920" s="13"/>
      <c r="J920" s="13"/>
      <c r="K920" s="13"/>
      <c r="L920" s="13"/>
      <c r="M920" s="13"/>
      <c r="O920" s="13"/>
    </row>
    <row r="921">
      <c r="C921" s="13"/>
      <c r="G921" s="13"/>
      <c r="H921" s="13"/>
      <c r="I921" s="13"/>
      <c r="J921" s="13"/>
      <c r="K921" s="13"/>
      <c r="L921" s="13"/>
      <c r="M921" s="13"/>
      <c r="O921" s="13"/>
    </row>
    <row r="922">
      <c r="C922" s="13"/>
      <c r="G922" s="13"/>
      <c r="H922" s="13"/>
      <c r="I922" s="13"/>
      <c r="J922" s="13"/>
      <c r="K922" s="13"/>
      <c r="L922" s="13"/>
      <c r="M922" s="13"/>
      <c r="O922" s="13"/>
    </row>
    <row r="923">
      <c r="C923" s="13"/>
      <c r="G923" s="13"/>
      <c r="H923" s="13"/>
      <c r="I923" s="13"/>
      <c r="J923" s="13"/>
      <c r="K923" s="13"/>
      <c r="L923" s="13"/>
      <c r="M923" s="13"/>
      <c r="O923" s="13"/>
    </row>
    <row r="924">
      <c r="C924" s="13"/>
      <c r="G924" s="13"/>
      <c r="H924" s="13"/>
      <c r="I924" s="13"/>
      <c r="J924" s="13"/>
      <c r="K924" s="13"/>
      <c r="L924" s="13"/>
      <c r="M924" s="13"/>
      <c r="O924" s="13"/>
    </row>
    <row r="925">
      <c r="C925" s="13"/>
      <c r="G925" s="13"/>
      <c r="H925" s="13"/>
      <c r="I925" s="13"/>
      <c r="J925" s="13"/>
      <c r="K925" s="13"/>
      <c r="L925" s="13"/>
      <c r="M925" s="13"/>
      <c r="O925" s="13"/>
    </row>
    <row r="926">
      <c r="C926" s="13"/>
      <c r="G926" s="13"/>
      <c r="H926" s="13"/>
      <c r="I926" s="13"/>
      <c r="J926" s="13"/>
      <c r="K926" s="13"/>
      <c r="L926" s="13"/>
      <c r="M926" s="13"/>
      <c r="O926" s="13"/>
    </row>
    <row r="927">
      <c r="C927" s="13"/>
      <c r="G927" s="13"/>
      <c r="H927" s="13"/>
      <c r="I927" s="13"/>
      <c r="J927" s="13"/>
      <c r="K927" s="13"/>
      <c r="L927" s="13"/>
      <c r="M927" s="13"/>
      <c r="O927" s="13"/>
    </row>
    <row r="928">
      <c r="C928" s="13"/>
      <c r="G928" s="13"/>
      <c r="H928" s="13"/>
      <c r="I928" s="13"/>
      <c r="J928" s="13"/>
      <c r="K928" s="13"/>
      <c r="L928" s="13"/>
      <c r="M928" s="13"/>
      <c r="O928" s="13"/>
    </row>
    <row r="929">
      <c r="C929" s="13"/>
      <c r="G929" s="13"/>
      <c r="H929" s="13"/>
      <c r="I929" s="13"/>
      <c r="J929" s="13"/>
      <c r="K929" s="13"/>
      <c r="L929" s="13"/>
      <c r="M929" s="13"/>
      <c r="O929" s="13"/>
    </row>
    <row r="930">
      <c r="C930" s="13"/>
      <c r="G930" s="13"/>
      <c r="H930" s="13"/>
      <c r="I930" s="13"/>
      <c r="J930" s="13"/>
      <c r="K930" s="13"/>
      <c r="L930" s="13"/>
      <c r="M930" s="13"/>
      <c r="O930" s="13"/>
    </row>
    <row r="931">
      <c r="C931" s="13"/>
      <c r="G931" s="13"/>
      <c r="H931" s="13"/>
      <c r="I931" s="13"/>
      <c r="J931" s="13"/>
      <c r="K931" s="13"/>
      <c r="L931" s="13"/>
      <c r="M931" s="13"/>
      <c r="O931" s="13"/>
    </row>
    <row r="932">
      <c r="C932" s="13"/>
      <c r="G932" s="13"/>
      <c r="H932" s="13"/>
      <c r="I932" s="13"/>
      <c r="J932" s="13"/>
      <c r="K932" s="13"/>
      <c r="L932" s="13"/>
      <c r="M932" s="13"/>
      <c r="O932" s="13"/>
    </row>
    <row r="933">
      <c r="C933" s="13"/>
      <c r="G933" s="13"/>
      <c r="H933" s="13"/>
      <c r="I933" s="13"/>
      <c r="J933" s="13"/>
      <c r="K933" s="13"/>
      <c r="L933" s="13"/>
      <c r="M933" s="13"/>
      <c r="O933" s="13"/>
    </row>
    <row r="934">
      <c r="C934" s="13"/>
      <c r="G934" s="13"/>
      <c r="H934" s="13"/>
      <c r="I934" s="13"/>
      <c r="J934" s="13"/>
      <c r="K934" s="13"/>
      <c r="L934" s="13"/>
      <c r="M934" s="13"/>
      <c r="O934" s="13"/>
    </row>
    <row r="935">
      <c r="C935" s="13"/>
      <c r="G935" s="13"/>
      <c r="H935" s="13"/>
      <c r="I935" s="13"/>
      <c r="J935" s="13"/>
      <c r="K935" s="13"/>
      <c r="L935" s="13"/>
      <c r="M935" s="13"/>
      <c r="O935" s="13"/>
    </row>
    <row r="936">
      <c r="C936" s="13"/>
      <c r="G936" s="13"/>
      <c r="H936" s="13"/>
      <c r="I936" s="13"/>
      <c r="J936" s="13"/>
      <c r="K936" s="13"/>
      <c r="L936" s="13"/>
      <c r="M936" s="13"/>
      <c r="O936" s="13"/>
    </row>
    <row r="937">
      <c r="C937" s="13"/>
      <c r="G937" s="13"/>
      <c r="H937" s="13"/>
      <c r="I937" s="13"/>
      <c r="J937" s="13"/>
      <c r="K937" s="13"/>
      <c r="L937" s="13"/>
      <c r="M937" s="13"/>
      <c r="O937" s="13"/>
    </row>
    <row r="938">
      <c r="C938" s="13"/>
      <c r="G938" s="13"/>
      <c r="H938" s="13"/>
      <c r="I938" s="13"/>
      <c r="J938" s="13"/>
      <c r="K938" s="13"/>
      <c r="L938" s="13"/>
      <c r="M938" s="13"/>
      <c r="O938" s="13"/>
    </row>
    <row r="939">
      <c r="C939" s="13"/>
      <c r="G939" s="13"/>
      <c r="H939" s="13"/>
      <c r="I939" s="13"/>
      <c r="J939" s="13"/>
      <c r="K939" s="13"/>
      <c r="L939" s="13"/>
      <c r="M939" s="13"/>
      <c r="O939" s="13"/>
    </row>
    <row r="940">
      <c r="C940" s="13"/>
      <c r="G940" s="13"/>
      <c r="H940" s="13"/>
      <c r="I940" s="13"/>
      <c r="J940" s="13"/>
      <c r="K940" s="13"/>
      <c r="L940" s="13"/>
      <c r="M940" s="13"/>
      <c r="O940" s="13"/>
    </row>
    <row r="941">
      <c r="C941" s="13"/>
      <c r="G941" s="13"/>
      <c r="H941" s="13"/>
      <c r="I941" s="13"/>
      <c r="J941" s="13"/>
      <c r="K941" s="13"/>
      <c r="L941" s="13"/>
      <c r="M941" s="13"/>
      <c r="O941" s="13"/>
    </row>
    <row r="942">
      <c r="C942" s="13"/>
      <c r="G942" s="13"/>
      <c r="H942" s="13"/>
      <c r="I942" s="13"/>
      <c r="J942" s="13"/>
      <c r="K942" s="13"/>
      <c r="L942" s="13"/>
      <c r="M942" s="13"/>
      <c r="O942" s="13"/>
    </row>
    <row r="943">
      <c r="C943" s="13"/>
      <c r="G943" s="13"/>
      <c r="H943" s="13"/>
      <c r="I943" s="13"/>
      <c r="J943" s="13"/>
      <c r="K943" s="13"/>
      <c r="L943" s="13"/>
      <c r="M943" s="13"/>
      <c r="O943" s="13"/>
    </row>
    <row r="944">
      <c r="C944" s="13"/>
      <c r="G944" s="13"/>
      <c r="H944" s="13"/>
      <c r="I944" s="13"/>
      <c r="J944" s="13"/>
      <c r="K944" s="13"/>
      <c r="L944" s="13"/>
      <c r="M944" s="13"/>
      <c r="O944" s="13"/>
    </row>
    <row r="945">
      <c r="C945" s="13"/>
      <c r="G945" s="13"/>
      <c r="H945" s="13"/>
      <c r="I945" s="13"/>
      <c r="J945" s="13"/>
      <c r="K945" s="13"/>
      <c r="L945" s="13"/>
      <c r="M945" s="13"/>
      <c r="O945" s="13"/>
    </row>
    <row r="946">
      <c r="C946" s="13"/>
      <c r="G946" s="13"/>
      <c r="H946" s="13"/>
      <c r="I946" s="13"/>
      <c r="J946" s="13"/>
      <c r="K946" s="13"/>
      <c r="L946" s="13"/>
      <c r="M946" s="13"/>
      <c r="O946" s="13"/>
    </row>
    <row r="947">
      <c r="C947" s="13"/>
      <c r="G947" s="13"/>
      <c r="H947" s="13"/>
      <c r="I947" s="13"/>
      <c r="J947" s="13"/>
      <c r="K947" s="13"/>
      <c r="L947" s="13"/>
      <c r="M947" s="13"/>
      <c r="O947" s="13"/>
    </row>
    <row r="948">
      <c r="C948" s="13"/>
      <c r="G948" s="13"/>
      <c r="H948" s="13"/>
      <c r="I948" s="13"/>
      <c r="J948" s="13"/>
      <c r="K948" s="13"/>
      <c r="L948" s="13"/>
      <c r="M948" s="13"/>
      <c r="O948" s="13"/>
    </row>
    <row r="949">
      <c r="C949" s="13"/>
      <c r="G949" s="13"/>
      <c r="H949" s="13"/>
      <c r="I949" s="13"/>
      <c r="J949" s="13"/>
      <c r="K949" s="13"/>
      <c r="L949" s="13"/>
      <c r="M949" s="13"/>
      <c r="O949" s="13"/>
    </row>
    <row r="950">
      <c r="C950" s="13"/>
      <c r="G950" s="13"/>
      <c r="H950" s="13"/>
      <c r="I950" s="13"/>
      <c r="J950" s="13"/>
      <c r="K950" s="13"/>
      <c r="L950" s="13"/>
      <c r="M950" s="13"/>
      <c r="O950" s="13"/>
    </row>
    <row r="951">
      <c r="C951" s="13"/>
      <c r="G951" s="13"/>
      <c r="H951" s="13"/>
      <c r="I951" s="13"/>
      <c r="J951" s="13"/>
      <c r="K951" s="13"/>
      <c r="L951" s="13"/>
      <c r="M951" s="13"/>
      <c r="O951" s="13"/>
    </row>
    <row r="952">
      <c r="C952" s="13"/>
      <c r="G952" s="13"/>
      <c r="H952" s="13"/>
      <c r="I952" s="13"/>
      <c r="J952" s="13"/>
      <c r="K952" s="13"/>
      <c r="L952" s="13"/>
      <c r="M952" s="13"/>
      <c r="O952" s="13"/>
    </row>
    <row r="953">
      <c r="C953" s="13"/>
      <c r="G953" s="13"/>
      <c r="H953" s="13"/>
      <c r="I953" s="13"/>
      <c r="J953" s="13"/>
      <c r="K953" s="13"/>
      <c r="L953" s="13"/>
      <c r="M953" s="13"/>
      <c r="O953" s="13"/>
    </row>
    <row r="954">
      <c r="C954" s="13"/>
      <c r="G954" s="13"/>
      <c r="H954" s="13"/>
      <c r="I954" s="13"/>
      <c r="J954" s="13"/>
      <c r="K954" s="13"/>
      <c r="L954" s="13"/>
      <c r="M954" s="13"/>
      <c r="O954" s="13"/>
    </row>
    <row r="955">
      <c r="C955" s="13"/>
      <c r="G955" s="13"/>
      <c r="H955" s="13"/>
      <c r="I955" s="13"/>
      <c r="J955" s="13"/>
      <c r="K955" s="13"/>
      <c r="L955" s="13"/>
      <c r="M955" s="13"/>
      <c r="O955" s="13"/>
    </row>
    <row r="956">
      <c r="C956" s="13"/>
      <c r="G956" s="13"/>
      <c r="H956" s="13"/>
      <c r="I956" s="13"/>
      <c r="J956" s="13"/>
      <c r="K956" s="13"/>
      <c r="L956" s="13"/>
      <c r="M956" s="13"/>
      <c r="O956" s="13"/>
    </row>
    <row r="957">
      <c r="C957" s="13"/>
      <c r="G957" s="13"/>
      <c r="H957" s="13"/>
      <c r="I957" s="13"/>
      <c r="J957" s="13"/>
      <c r="K957" s="13"/>
      <c r="L957" s="13"/>
      <c r="M957" s="13"/>
      <c r="O957" s="13"/>
    </row>
    <row r="958">
      <c r="C958" s="13"/>
      <c r="G958" s="13"/>
      <c r="H958" s="13"/>
      <c r="I958" s="13"/>
      <c r="J958" s="13"/>
      <c r="K958" s="13"/>
      <c r="L958" s="13"/>
      <c r="M958" s="13"/>
      <c r="O958" s="13"/>
    </row>
    <row r="959">
      <c r="C959" s="13"/>
      <c r="G959" s="13"/>
      <c r="H959" s="13"/>
      <c r="I959" s="13"/>
      <c r="J959" s="13"/>
      <c r="K959" s="13"/>
      <c r="L959" s="13"/>
      <c r="M959" s="13"/>
      <c r="O959" s="13"/>
    </row>
    <row r="960">
      <c r="C960" s="13"/>
      <c r="G960" s="13"/>
      <c r="H960" s="13"/>
      <c r="I960" s="13"/>
      <c r="J960" s="13"/>
      <c r="K960" s="13"/>
      <c r="L960" s="13"/>
      <c r="M960" s="13"/>
      <c r="O960" s="13"/>
    </row>
    <row r="961">
      <c r="C961" s="13"/>
      <c r="G961" s="13"/>
      <c r="H961" s="13"/>
      <c r="I961" s="13"/>
      <c r="J961" s="13"/>
      <c r="K961" s="13"/>
      <c r="L961" s="13"/>
      <c r="M961" s="13"/>
      <c r="O961" s="13"/>
    </row>
    <row r="962">
      <c r="C962" s="13"/>
      <c r="G962" s="13"/>
      <c r="H962" s="13"/>
      <c r="I962" s="13"/>
      <c r="J962" s="13"/>
      <c r="K962" s="13"/>
      <c r="L962" s="13"/>
      <c r="M962" s="13"/>
      <c r="O962" s="13"/>
    </row>
    <row r="963">
      <c r="C963" s="13"/>
      <c r="G963" s="13"/>
      <c r="H963" s="13"/>
      <c r="I963" s="13"/>
      <c r="J963" s="13"/>
      <c r="K963" s="13"/>
      <c r="L963" s="13"/>
      <c r="M963" s="13"/>
      <c r="O963" s="13"/>
    </row>
    <row r="964">
      <c r="C964" s="13"/>
      <c r="G964" s="13"/>
      <c r="H964" s="13"/>
      <c r="I964" s="13"/>
      <c r="J964" s="13"/>
      <c r="K964" s="13"/>
      <c r="L964" s="13"/>
      <c r="M964" s="13"/>
      <c r="O964" s="13"/>
    </row>
    <row r="965">
      <c r="C965" s="13"/>
      <c r="G965" s="13"/>
      <c r="H965" s="13"/>
      <c r="I965" s="13"/>
      <c r="J965" s="13"/>
      <c r="K965" s="13"/>
      <c r="L965" s="13"/>
      <c r="M965" s="13"/>
      <c r="O965" s="13"/>
    </row>
    <row r="966">
      <c r="C966" s="13"/>
      <c r="G966" s="13"/>
      <c r="H966" s="13"/>
      <c r="I966" s="13"/>
      <c r="J966" s="13"/>
      <c r="K966" s="13"/>
      <c r="L966" s="13"/>
      <c r="M966" s="13"/>
      <c r="O966" s="13"/>
    </row>
    <row r="967">
      <c r="C967" s="13"/>
      <c r="G967" s="13"/>
      <c r="H967" s="13"/>
      <c r="I967" s="13"/>
      <c r="J967" s="13"/>
      <c r="K967" s="13"/>
      <c r="L967" s="13"/>
      <c r="M967" s="13"/>
      <c r="O967" s="13"/>
    </row>
    <row r="968">
      <c r="C968" s="13"/>
      <c r="G968" s="13"/>
      <c r="H968" s="13"/>
      <c r="I968" s="13"/>
      <c r="J968" s="13"/>
      <c r="K968" s="13"/>
      <c r="L968" s="13"/>
      <c r="M968" s="13"/>
      <c r="O968" s="13"/>
    </row>
    <row r="969">
      <c r="C969" s="13"/>
      <c r="G969" s="13"/>
      <c r="H969" s="13"/>
      <c r="I969" s="13"/>
      <c r="J969" s="13"/>
      <c r="K969" s="13"/>
      <c r="L969" s="13"/>
      <c r="M969" s="13"/>
      <c r="O969" s="13"/>
    </row>
    <row r="970">
      <c r="C970" s="13"/>
      <c r="G970" s="13"/>
      <c r="H970" s="13"/>
      <c r="I970" s="13"/>
      <c r="J970" s="13"/>
      <c r="K970" s="13"/>
      <c r="L970" s="13"/>
      <c r="M970" s="13"/>
      <c r="O970" s="13"/>
    </row>
    <row r="971">
      <c r="C971" s="13"/>
      <c r="G971" s="13"/>
      <c r="H971" s="13"/>
      <c r="I971" s="13"/>
      <c r="J971" s="13"/>
      <c r="K971" s="13"/>
      <c r="L971" s="13"/>
      <c r="M971" s="13"/>
      <c r="O971" s="13"/>
    </row>
    <row r="972">
      <c r="C972" s="13"/>
      <c r="G972" s="13"/>
      <c r="H972" s="13"/>
      <c r="I972" s="13"/>
      <c r="J972" s="13"/>
      <c r="K972" s="13"/>
      <c r="L972" s="13"/>
      <c r="M972" s="13"/>
      <c r="O972" s="13"/>
    </row>
    <row r="973">
      <c r="C973" s="13"/>
      <c r="G973" s="13"/>
      <c r="H973" s="13"/>
      <c r="I973" s="13"/>
      <c r="J973" s="13"/>
      <c r="K973" s="13"/>
      <c r="L973" s="13"/>
      <c r="M973" s="13"/>
      <c r="O973" s="13"/>
    </row>
    <row r="974">
      <c r="C974" s="13"/>
      <c r="G974" s="13"/>
      <c r="H974" s="13"/>
      <c r="I974" s="13"/>
      <c r="J974" s="13"/>
      <c r="K974" s="13"/>
      <c r="L974" s="13"/>
      <c r="M974" s="13"/>
      <c r="O974" s="13"/>
    </row>
    <row r="975">
      <c r="C975" s="13"/>
      <c r="G975" s="13"/>
      <c r="H975" s="13"/>
      <c r="I975" s="13"/>
      <c r="J975" s="13"/>
      <c r="K975" s="13"/>
      <c r="L975" s="13"/>
      <c r="M975" s="13"/>
      <c r="O975" s="13"/>
    </row>
    <row r="976">
      <c r="C976" s="13"/>
      <c r="G976" s="13"/>
      <c r="H976" s="13"/>
      <c r="I976" s="13"/>
      <c r="J976" s="13"/>
      <c r="K976" s="13"/>
      <c r="L976" s="13"/>
      <c r="M976" s="13"/>
      <c r="O976" s="13"/>
    </row>
    <row r="977">
      <c r="C977" s="13"/>
      <c r="G977" s="13"/>
      <c r="H977" s="13"/>
      <c r="I977" s="13"/>
      <c r="J977" s="13"/>
      <c r="K977" s="13"/>
      <c r="L977" s="13"/>
      <c r="M977" s="13"/>
      <c r="O977" s="13"/>
    </row>
    <row r="978">
      <c r="C978" s="13"/>
      <c r="G978" s="13"/>
      <c r="H978" s="13"/>
      <c r="I978" s="13"/>
      <c r="J978" s="13"/>
      <c r="K978" s="13"/>
      <c r="L978" s="13"/>
      <c r="M978" s="13"/>
      <c r="O978" s="13"/>
    </row>
    <row r="979">
      <c r="C979" s="13"/>
      <c r="G979" s="13"/>
      <c r="H979" s="13"/>
      <c r="I979" s="13"/>
      <c r="J979" s="13"/>
      <c r="K979" s="13"/>
      <c r="L979" s="13"/>
      <c r="M979" s="13"/>
      <c r="O979" s="13"/>
    </row>
    <row r="980">
      <c r="C980" s="13"/>
      <c r="G980" s="13"/>
      <c r="H980" s="13"/>
      <c r="I980" s="13"/>
      <c r="J980" s="13"/>
      <c r="K980" s="13"/>
      <c r="L980" s="13"/>
      <c r="M980" s="13"/>
      <c r="O980" s="13"/>
    </row>
    <row r="981">
      <c r="C981" s="13"/>
      <c r="G981" s="13"/>
      <c r="H981" s="13"/>
      <c r="I981" s="13"/>
      <c r="J981" s="13"/>
      <c r="K981" s="13"/>
      <c r="L981" s="13"/>
      <c r="M981" s="13"/>
      <c r="O981" s="13"/>
    </row>
    <row r="982">
      <c r="C982" s="13"/>
      <c r="G982" s="13"/>
      <c r="H982" s="13"/>
      <c r="I982" s="13"/>
      <c r="J982" s="13"/>
      <c r="K982" s="13"/>
      <c r="L982" s="13"/>
      <c r="M982" s="13"/>
      <c r="O982" s="13"/>
    </row>
    <row r="983">
      <c r="C983" s="13"/>
      <c r="G983" s="13"/>
      <c r="H983" s="13"/>
      <c r="I983" s="13"/>
      <c r="J983" s="13"/>
      <c r="K983" s="13"/>
      <c r="L983" s="13"/>
      <c r="M983" s="13"/>
      <c r="O983" s="13"/>
    </row>
    <row r="984">
      <c r="C984" s="13"/>
      <c r="G984" s="13"/>
      <c r="H984" s="13"/>
      <c r="I984" s="13"/>
      <c r="J984" s="13"/>
      <c r="K984" s="13"/>
      <c r="L984" s="13"/>
      <c r="M984" s="13"/>
      <c r="O984" s="13"/>
    </row>
    <row r="985">
      <c r="C985" s="13"/>
      <c r="G985" s="13"/>
      <c r="H985" s="13"/>
      <c r="I985" s="13"/>
      <c r="J985" s="13"/>
      <c r="K985" s="13"/>
      <c r="L985" s="13"/>
      <c r="M985" s="13"/>
      <c r="O985" s="13"/>
    </row>
    <row r="986">
      <c r="C986" s="13"/>
      <c r="G986" s="13"/>
      <c r="H986" s="13"/>
      <c r="I986" s="13"/>
      <c r="J986" s="13"/>
      <c r="K986" s="13"/>
      <c r="L986" s="13"/>
      <c r="M986" s="13"/>
      <c r="O986" s="13"/>
    </row>
    <row r="987">
      <c r="C987" s="13"/>
      <c r="G987" s="13"/>
      <c r="H987" s="13"/>
      <c r="I987" s="13"/>
      <c r="J987" s="13"/>
      <c r="K987" s="13"/>
      <c r="L987" s="13"/>
      <c r="M987" s="13"/>
      <c r="O987" s="13"/>
    </row>
    <row r="988">
      <c r="C988" s="13"/>
      <c r="G988" s="13"/>
      <c r="H988" s="13"/>
      <c r="I988" s="13"/>
      <c r="J988" s="13"/>
      <c r="K988" s="13"/>
      <c r="L988" s="13"/>
      <c r="M988" s="13"/>
      <c r="O988" s="13"/>
    </row>
    <row r="989">
      <c r="C989" s="13"/>
      <c r="G989" s="13"/>
      <c r="H989" s="13"/>
      <c r="I989" s="13"/>
      <c r="J989" s="13"/>
      <c r="K989" s="13"/>
      <c r="L989" s="13"/>
      <c r="M989" s="13"/>
      <c r="O989" s="13"/>
    </row>
    <row r="990">
      <c r="C990" s="13"/>
      <c r="G990" s="13"/>
      <c r="H990" s="13"/>
      <c r="I990" s="13"/>
      <c r="J990" s="13"/>
      <c r="K990" s="13"/>
      <c r="L990" s="13"/>
      <c r="M990" s="13"/>
      <c r="O990" s="13"/>
    </row>
    <row r="991">
      <c r="C991" s="13"/>
      <c r="G991" s="13"/>
      <c r="H991" s="13"/>
      <c r="I991" s="13"/>
      <c r="J991" s="13"/>
      <c r="K991" s="13"/>
      <c r="L991" s="13"/>
      <c r="M991" s="13"/>
      <c r="O991" s="13"/>
    </row>
    <row r="992">
      <c r="C992" s="13"/>
      <c r="G992" s="13"/>
      <c r="H992" s="13"/>
      <c r="I992" s="13"/>
      <c r="J992" s="13"/>
      <c r="K992" s="13"/>
      <c r="L992" s="13"/>
      <c r="M992" s="13"/>
      <c r="O992" s="13"/>
    </row>
    <row r="993">
      <c r="C993" s="13"/>
      <c r="G993" s="13"/>
      <c r="H993" s="13"/>
      <c r="I993" s="13"/>
      <c r="J993" s="13"/>
      <c r="K993" s="13"/>
      <c r="L993" s="13"/>
      <c r="M993" s="13"/>
      <c r="O993" s="13"/>
    </row>
    <row r="994">
      <c r="C994" s="13"/>
      <c r="G994" s="13"/>
      <c r="H994" s="13"/>
      <c r="I994" s="13"/>
      <c r="J994" s="13"/>
      <c r="K994" s="13"/>
      <c r="L994" s="13"/>
      <c r="M994" s="13"/>
      <c r="O994" s="13"/>
    </row>
    <row r="995">
      <c r="C995" s="13"/>
      <c r="G995" s="13"/>
      <c r="H995" s="13"/>
      <c r="I995" s="13"/>
      <c r="J995" s="13"/>
      <c r="K995" s="13"/>
      <c r="L995" s="13"/>
      <c r="M995" s="13"/>
      <c r="O995" s="13"/>
    </row>
    <row r="996">
      <c r="C996" s="13"/>
      <c r="G996" s="13"/>
      <c r="H996" s="13"/>
      <c r="I996" s="13"/>
      <c r="J996" s="13"/>
      <c r="K996" s="13"/>
      <c r="L996" s="13"/>
      <c r="M996" s="13"/>
      <c r="O996" s="13"/>
    </row>
    <row r="997">
      <c r="C997" s="13"/>
      <c r="G997" s="13"/>
      <c r="H997" s="13"/>
      <c r="I997" s="13"/>
      <c r="J997" s="13"/>
      <c r="K997" s="13"/>
      <c r="L997" s="13"/>
      <c r="M997" s="13"/>
      <c r="O997" s="13"/>
    </row>
    <row r="998">
      <c r="C998" s="13"/>
      <c r="G998" s="13"/>
      <c r="H998" s="13"/>
      <c r="I998" s="13"/>
      <c r="J998" s="13"/>
      <c r="K998" s="13"/>
      <c r="L998" s="13"/>
      <c r="M998" s="13"/>
      <c r="O998" s="13"/>
    </row>
    <row r="999">
      <c r="C999" s="13"/>
      <c r="G999" s="13"/>
      <c r="H999" s="13"/>
      <c r="I999" s="13"/>
      <c r="J999" s="13"/>
      <c r="K999" s="13"/>
      <c r="L999" s="13"/>
      <c r="M999" s="13"/>
      <c r="O999" s="13"/>
    </row>
    <row r="1000">
      <c r="C1000" s="13"/>
      <c r="G1000" s="13"/>
      <c r="H1000" s="13"/>
      <c r="I1000" s="13"/>
      <c r="J1000" s="13"/>
      <c r="K1000" s="13"/>
      <c r="L1000" s="13"/>
      <c r="M1000" s="13"/>
      <c r="O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88"/>
    <col customWidth="1" min="3" max="3" width="17.5"/>
    <col customWidth="1" min="4" max="4" width="18.38"/>
    <col customWidth="1" min="5" max="5" width="26.1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5.25"/>
    <col customWidth="1" min="9" max="9" width="17.0"/>
    <col customWidth="1" min="10" max="10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8</v>
      </c>
      <c r="I1" s="1" t="s">
        <v>9</v>
      </c>
      <c r="J1" s="1" t="s">
        <v>11</v>
      </c>
    </row>
    <row r="2">
      <c r="A2" s="1">
        <v>2022.0</v>
      </c>
      <c r="B2" s="1">
        <v>1.0</v>
      </c>
      <c r="C2" s="1" t="s">
        <v>12</v>
      </c>
      <c r="D2" s="1" t="s">
        <v>13</v>
      </c>
      <c r="E2" s="1" t="s">
        <v>14</v>
      </c>
      <c r="F2" s="1" t="s">
        <v>3687</v>
      </c>
      <c r="G2" s="1" t="s">
        <v>3688</v>
      </c>
      <c r="H2" s="1">
        <f t="shared" ref="H2:H682" si="1">VALUE(SUBSTITUTE(SUBSTITUTE(G2,"+",""),".",","))</f>
        <v>899.265493</v>
      </c>
      <c r="I2" s="3">
        <v>26359.0</v>
      </c>
      <c r="J2" s="1">
        <v>536.0</v>
      </c>
    </row>
    <row r="3">
      <c r="A3" s="1">
        <v>2022.0</v>
      </c>
      <c r="B3" s="1">
        <v>1.0</v>
      </c>
      <c r="C3" s="1" t="s">
        <v>12</v>
      </c>
      <c r="D3" s="1" t="s">
        <v>13</v>
      </c>
      <c r="E3" s="1" t="s">
        <v>17</v>
      </c>
      <c r="F3" s="1" t="s">
        <v>3690</v>
      </c>
      <c r="G3" s="1" t="s">
        <v>3691</v>
      </c>
      <c r="H3" s="1">
        <f t="shared" si="1"/>
        <v>5622.580442</v>
      </c>
      <c r="I3" s="1" t="s">
        <v>3692</v>
      </c>
      <c r="J3" s="1">
        <v>758.0</v>
      </c>
    </row>
    <row r="4">
      <c r="A4" s="1">
        <v>2022.0</v>
      </c>
      <c r="B4" s="1">
        <v>1.0</v>
      </c>
      <c r="C4" s="1" t="s">
        <v>12</v>
      </c>
      <c r="D4" s="1" t="s">
        <v>13</v>
      </c>
      <c r="E4" s="1" t="s">
        <v>21</v>
      </c>
      <c r="F4" s="1" t="s">
        <v>3693</v>
      </c>
      <c r="G4" s="1" t="s">
        <v>3695</v>
      </c>
      <c r="H4" s="1">
        <f t="shared" si="1"/>
        <v>4457.22479</v>
      </c>
      <c r="I4" s="1" t="s">
        <v>3697</v>
      </c>
      <c r="J4" s="1">
        <v>633.0</v>
      </c>
    </row>
    <row r="5">
      <c r="A5" s="1">
        <v>2022.0</v>
      </c>
      <c r="B5" s="1">
        <v>1.0</v>
      </c>
      <c r="C5" s="1" t="s">
        <v>12</v>
      </c>
      <c r="D5" s="1" t="s">
        <v>29</v>
      </c>
      <c r="E5" s="1" t="s">
        <v>14</v>
      </c>
      <c r="F5" s="1" t="s">
        <v>3698</v>
      </c>
      <c r="G5" s="1" t="s">
        <v>3699</v>
      </c>
      <c r="H5" s="1">
        <f t="shared" si="1"/>
        <v>15.948333</v>
      </c>
      <c r="I5" s="1" t="s">
        <v>3700</v>
      </c>
      <c r="J5" s="1">
        <v>10.0</v>
      </c>
    </row>
    <row r="6">
      <c r="A6" s="1">
        <v>2022.0</v>
      </c>
      <c r="B6" s="1">
        <v>1.0</v>
      </c>
      <c r="C6" s="1" t="s">
        <v>12</v>
      </c>
      <c r="D6" s="1" t="s">
        <v>29</v>
      </c>
      <c r="E6" s="1" t="s">
        <v>21</v>
      </c>
      <c r="F6" s="1" t="s">
        <v>3701</v>
      </c>
      <c r="G6" s="1" t="s">
        <v>3702</v>
      </c>
      <c r="H6" s="1">
        <f t="shared" si="1"/>
        <v>7611.563208</v>
      </c>
      <c r="I6" s="1" t="s">
        <v>3703</v>
      </c>
      <c r="J6" s="1">
        <v>728.0</v>
      </c>
    </row>
    <row r="7">
      <c r="A7" s="1">
        <v>2022.0</v>
      </c>
      <c r="B7" s="1">
        <v>1.0</v>
      </c>
      <c r="C7" s="1" t="s">
        <v>12</v>
      </c>
      <c r="D7" s="1" t="s">
        <v>38</v>
      </c>
      <c r="E7" s="1" t="s">
        <v>39</v>
      </c>
      <c r="F7" s="3">
        <v>2457750.0</v>
      </c>
      <c r="G7" s="1" t="s">
        <v>3704</v>
      </c>
      <c r="H7" s="1">
        <f t="shared" si="1"/>
        <v>307.946992</v>
      </c>
      <c r="I7" s="1" t="s">
        <v>3705</v>
      </c>
      <c r="J7" s="1">
        <v>210.0</v>
      </c>
    </row>
    <row r="8">
      <c r="A8" s="1">
        <v>2022.0</v>
      </c>
      <c r="B8" s="1">
        <v>1.0</v>
      </c>
      <c r="C8" s="1" t="s">
        <v>12</v>
      </c>
      <c r="D8" s="1" t="s">
        <v>48</v>
      </c>
      <c r="E8" s="1" t="s">
        <v>49</v>
      </c>
      <c r="F8" s="1" t="s">
        <v>3706</v>
      </c>
      <c r="G8" s="1" t="s">
        <v>3707</v>
      </c>
      <c r="H8" s="1">
        <f t="shared" si="1"/>
        <v>6.422605</v>
      </c>
      <c r="I8" s="1" t="s">
        <v>3708</v>
      </c>
      <c r="J8" s="1">
        <v>13.0</v>
      </c>
    </row>
    <row r="9">
      <c r="A9" s="1">
        <v>2022.0</v>
      </c>
      <c r="B9" s="1">
        <v>1.0</v>
      </c>
      <c r="C9" s="1" t="s">
        <v>12</v>
      </c>
      <c r="D9" s="1" t="s">
        <v>48</v>
      </c>
      <c r="E9" s="1" t="s">
        <v>21</v>
      </c>
      <c r="F9" s="3">
        <v>1349573.0</v>
      </c>
      <c r="G9" s="1" t="s">
        <v>3709</v>
      </c>
      <c r="H9" s="1">
        <f t="shared" si="1"/>
        <v>212.469968</v>
      </c>
      <c r="I9" s="1" t="s">
        <v>3710</v>
      </c>
      <c r="J9" s="1">
        <v>178.0</v>
      </c>
    </row>
    <row r="10">
      <c r="A10" s="1">
        <v>2022.0</v>
      </c>
      <c r="B10" s="1">
        <v>1.0</v>
      </c>
      <c r="C10" s="1" t="s">
        <v>12</v>
      </c>
      <c r="D10" s="1" t="s">
        <v>42</v>
      </c>
      <c r="E10" s="1" t="s">
        <v>17</v>
      </c>
      <c r="F10" s="3" t="s">
        <v>3712</v>
      </c>
      <c r="G10" s="1" t="s">
        <v>3713</v>
      </c>
      <c r="H10" s="1">
        <f t="shared" si="1"/>
        <v>171.236944</v>
      </c>
      <c r="I10" s="1" t="s">
        <v>2128</v>
      </c>
      <c r="J10" s="1">
        <v>39.0</v>
      </c>
    </row>
    <row r="11">
      <c r="A11" s="1">
        <v>2022.0</v>
      </c>
      <c r="B11" s="1">
        <v>1.0</v>
      </c>
      <c r="C11" s="1" t="s">
        <v>12</v>
      </c>
      <c r="D11" s="1" t="s">
        <v>45</v>
      </c>
      <c r="E11" s="1" t="s">
        <v>49</v>
      </c>
      <c r="F11" s="1" t="s">
        <v>674</v>
      </c>
      <c r="G11" s="1" t="s">
        <v>3716</v>
      </c>
      <c r="H11" s="1">
        <f t="shared" si="1"/>
        <v>0.029771</v>
      </c>
      <c r="I11" s="1" t="s">
        <v>596</v>
      </c>
      <c r="J11" s="1">
        <v>2.0</v>
      </c>
    </row>
    <row r="12">
      <c r="A12" s="1">
        <v>2022.0</v>
      </c>
      <c r="B12" s="1">
        <v>1.0</v>
      </c>
      <c r="C12" s="1" t="s">
        <v>12</v>
      </c>
      <c r="D12" s="1" t="s">
        <v>45</v>
      </c>
      <c r="E12" s="1" t="s">
        <v>17</v>
      </c>
      <c r="F12" s="3">
        <v>971913.0</v>
      </c>
      <c r="G12" s="1" t="s">
        <v>3717</v>
      </c>
      <c r="H12" s="1">
        <f t="shared" si="1"/>
        <v>116.992414</v>
      </c>
      <c r="I12" s="1" t="s">
        <v>3718</v>
      </c>
      <c r="J12" s="1">
        <v>155.0</v>
      </c>
    </row>
    <row r="13">
      <c r="A13" s="1">
        <v>2022.0</v>
      </c>
      <c r="B13" s="1">
        <v>1.0</v>
      </c>
      <c r="C13" s="1" t="s">
        <v>12</v>
      </c>
      <c r="D13" s="1" t="s">
        <v>1830</v>
      </c>
      <c r="E13" s="1" t="s">
        <v>72</v>
      </c>
      <c r="F13" s="1" t="s">
        <v>3719</v>
      </c>
      <c r="G13" s="1" t="s">
        <v>3720</v>
      </c>
      <c r="H13" s="1">
        <f t="shared" si="1"/>
        <v>95.339903</v>
      </c>
      <c r="I13" s="1" t="s">
        <v>3722</v>
      </c>
      <c r="J13" s="1">
        <v>209.0</v>
      </c>
    </row>
    <row r="14">
      <c r="A14" s="1">
        <v>2022.0</v>
      </c>
      <c r="B14" s="1">
        <v>1.0</v>
      </c>
      <c r="C14" s="1" t="s">
        <v>12</v>
      </c>
      <c r="D14" s="1" t="s">
        <v>56</v>
      </c>
      <c r="E14" s="1" t="s">
        <v>21</v>
      </c>
      <c r="F14" s="1" t="s">
        <v>3723</v>
      </c>
      <c r="G14" s="1" t="s">
        <v>3724</v>
      </c>
      <c r="H14" s="1">
        <f t="shared" si="1"/>
        <v>38.969667</v>
      </c>
      <c r="I14" s="1" t="s">
        <v>3726</v>
      </c>
      <c r="J14" s="1">
        <v>110.0</v>
      </c>
    </row>
    <row r="15">
      <c r="A15" s="1">
        <v>2022.0</v>
      </c>
      <c r="B15" s="1">
        <v>1.0</v>
      </c>
      <c r="C15" s="1" t="s">
        <v>12</v>
      </c>
      <c r="D15" s="1" t="s">
        <v>60</v>
      </c>
      <c r="E15" s="1" t="s">
        <v>39</v>
      </c>
      <c r="F15" s="1" t="s">
        <v>3727</v>
      </c>
      <c r="G15" s="1" t="s">
        <v>3729</v>
      </c>
      <c r="H15" s="1">
        <f t="shared" si="1"/>
        <v>34.905171</v>
      </c>
      <c r="I15" s="1" t="s">
        <v>3731</v>
      </c>
      <c r="J15" s="1">
        <v>80.0</v>
      </c>
    </row>
    <row r="16">
      <c r="A16" s="1">
        <v>2022.0</v>
      </c>
      <c r="B16" s="1">
        <v>1.0</v>
      </c>
      <c r="C16" s="1" t="s">
        <v>12</v>
      </c>
      <c r="D16" s="1" t="s">
        <v>60</v>
      </c>
      <c r="E16" s="1" t="s">
        <v>17</v>
      </c>
      <c r="F16" s="1" t="s">
        <v>1056</v>
      </c>
      <c r="G16" s="1" t="s">
        <v>3732</v>
      </c>
      <c r="H16" s="1">
        <f t="shared" si="1"/>
        <v>0.142028</v>
      </c>
      <c r="I16" s="1" t="s">
        <v>674</v>
      </c>
      <c r="J16" s="1">
        <v>1.0</v>
      </c>
    </row>
    <row r="17">
      <c r="A17" s="1">
        <v>2022.0</v>
      </c>
      <c r="B17" s="1">
        <v>1.0</v>
      </c>
      <c r="C17" s="1" t="s">
        <v>12</v>
      </c>
      <c r="D17" s="1" t="s">
        <v>2082</v>
      </c>
      <c r="E17" s="1" t="s">
        <v>21</v>
      </c>
      <c r="F17" s="1" t="s">
        <v>3733</v>
      </c>
      <c r="G17" s="1" t="s">
        <v>3734</v>
      </c>
      <c r="H17" s="1">
        <f t="shared" si="1"/>
        <v>32.450189</v>
      </c>
      <c r="I17" s="1" t="s">
        <v>3735</v>
      </c>
      <c r="J17" s="1">
        <v>0.0</v>
      </c>
    </row>
    <row r="18">
      <c r="A18" s="1">
        <v>2022.0</v>
      </c>
      <c r="B18" s="1">
        <v>1.0</v>
      </c>
      <c r="C18" s="1" t="s">
        <v>68</v>
      </c>
      <c r="D18" s="1" t="s">
        <v>13</v>
      </c>
      <c r="E18" s="1" t="s">
        <v>14</v>
      </c>
      <c r="F18" s="1" t="s">
        <v>3737</v>
      </c>
      <c r="G18" s="1" t="s">
        <v>3738</v>
      </c>
      <c r="H18" s="1">
        <f t="shared" si="1"/>
        <v>4389.809554</v>
      </c>
      <c r="I18" s="1" t="s">
        <v>3739</v>
      </c>
      <c r="J18" s="1">
        <v>9100.0</v>
      </c>
    </row>
    <row r="19">
      <c r="A19" s="1">
        <v>2022.0</v>
      </c>
      <c r="B19" s="1">
        <v>1.0</v>
      </c>
      <c r="C19" s="1" t="s">
        <v>68</v>
      </c>
      <c r="D19" s="1" t="s">
        <v>13</v>
      </c>
      <c r="E19" s="1" t="s">
        <v>17</v>
      </c>
      <c r="F19" s="1" t="s">
        <v>3741</v>
      </c>
      <c r="G19" s="1" t="s">
        <v>3742</v>
      </c>
      <c r="H19" s="1">
        <f t="shared" si="1"/>
        <v>5967.119432</v>
      </c>
      <c r="I19" s="1" t="s">
        <v>3743</v>
      </c>
      <c r="J19" s="1">
        <v>9322.0</v>
      </c>
    </row>
    <row r="20">
      <c r="A20" s="1">
        <v>2022.0</v>
      </c>
      <c r="B20" s="1">
        <v>1.0</v>
      </c>
      <c r="C20" s="1" t="s">
        <v>68</v>
      </c>
      <c r="D20" s="1" t="s">
        <v>13</v>
      </c>
      <c r="E20" s="1" t="s">
        <v>21</v>
      </c>
      <c r="F20" s="1" t="s">
        <v>3745</v>
      </c>
      <c r="G20" s="1" t="s">
        <v>3746</v>
      </c>
      <c r="H20" s="1">
        <f t="shared" si="1"/>
        <v>485.822233</v>
      </c>
      <c r="I20" s="3">
        <v>829468.0</v>
      </c>
      <c r="J20" s="1">
        <v>721.0</v>
      </c>
    </row>
    <row r="21">
      <c r="A21" s="1">
        <v>2022.0</v>
      </c>
      <c r="B21" s="1">
        <v>1.0</v>
      </c>
      <c r="C21" s="1" t="s">
        <v>68</v>
      </c>
      <c r="D21" s="1" t="s">
        <v>13</v>
      </c>
      <c r="E21" s="1" t="s">
        <v>25</v>
      </c>
      <c r="F21" s="1" t="s">
        <v>3328</v>
      </c>
      <c r="G21" s="1" t="s">
        <v>3748</v>
      </c>
      <c r="H21" s="1">
        <f t="shared" si="1"/>
        <v>46.13722</v>
      </c>
      <c r="I21" s="1" t="s">
        <v>3330</v>
      </c>
      <c r="J21" s="1">
        <v>163.0</v>
      </c>
    </row>
    <row r="22">
      <c r="A22" s="1">
        <v>2022.0</v>
      </c>
      <c r="B22" s="1">
        <v>1.0</v>
      </c>
      <c r="C22" s="1" t="s">
        <v>68</v>
      </c>
      <c r="D22" s="1" t="s">
        <v>29</v>
      </c>
      <c r="E22" s="1" t="s">
        <v>14</v>
      </c>
      <c r="F22" s="1" t="s">
        <v>3749</v>
      </c>
      <c r="G22" s="1" t="s">
        <v>3750</v>
      </c>
      <c r="H22" s="1">
        <f t="shared" si="1"/>
        <v>14.795735</v>
      </c>
      <c r="I22" s="1" t="s">
        <v>3751</v>
      </c>
      <c r="J22" s="1">
        <v>24.0</v>
      </c>
    </row>
    <row r="23">
      <c r="A23" s="1">
        <v>2022.0</v>
      </c>
      <c r="B23" s="1">
        <v>1.0</v>
      </c>
      <c r="C23" s="1" t="s">
        <v>68</v>
      </c>
      <c r="D23" s="1" t="s">
        <v>29</v>
      </c>
      <c r="E23" s="1" t="s">
        <v>21</v>
      </c>
      <c r="F23" s="3" t="s">
        <v>3752</v>
      </c>
      <c r="G23" s="1" t="s">
        <v>3753</v>
      </c>
      <c r="H23" s="1">
        <f t="shared" si="1"/>
        <v>1609.072208</v>
      </c>
      <c r="I23" s="3">
        <v>199119.0</v>
      </c>
      <c r="J23" s="1">
        <v>1351.0</v>
      </c>
    </row>
    <row r="24">
      <c r="A24" s="1">
        <v>2022.0</v>
      </c>
      <c r="B24" s="1">
        <v>1.0</v>
      </c>
      <c r="C24" s="1" t="s">
        <v>68</v>
      </c>
      <c r="D24" s="1" t="s">
        <v>45</v>
      </c>
      <c r="E24" s="1" t="s">
        <v>49</v>
      </c>
      <c r="F24" s="1" t="s">
        <v>3754</v>
      </c>
      <c r="G24" s="1" t="s">
        <v>3755</v>
      </c>
      <c r="H24" s="1">
        <f t="shared" si="1"/>
        <v>38.73859</v>
      </c>
      <c r="I24" s="1" t="s">
        <v>3756</v>
      </c>
      <c r="J24" s="1">
        <v>128.0</v>
      </c>
    </row>
    <row r="25">
      <c r="A25" s="1">
        <v>2022.0</v>
      </c>
      <c r="B25" s="1">
        <v>1.0</v>
      </c>
      <c r="C25" s="1" t="s">
        <v>68</v>
      </c>
      <c r="D25" s="1" t="s">
        <v>45</v>
      </c>
      <c r="E25" s="1" t="s">
        <v>17</v>
      </c>
      <c r="F25" s="3">
        <v>2599006.0</v>
      </c>
      <c r="G25" s="1" t="s">
        <v>3757</v>
      </c>
      <c r="H25" s="1">
        <f t="shared" si="1"/>
        <v>701.603394</v>
      </c>
      <c r="I25" s="3">
        <v>345612.0</v>
      </c>
      <c r="J25" s="1">
        <v>1386.0</v>
      </c>
    </row>
    <row r="26">
      <c r="A26" s="1">
        <v>2022.0</v>
      </c>
      <c r="B26" s="1">
        <v>1.0</v>
      </c>
      <c r="C26" s="1" t="s">
        <v>68</v>
      </c>
      <c r="D26" s="1" t="s">
        <v>38</v>
      </c>
      <c r="E26" s="1" t="s">
        <v>39</v>
      </c>
      <c r="F26" s="3" t="s">
        <v>3758</v>
      </c>
      <c r="G26" s="1" t="s">
        <v>3759</v>
      </c>
      <c r="H26" s="1">
        <f t="shared" si="1"/>
        <v>700.442242</v>
      </c>
      <c r="I26" s="3">
        <v>989444.0</v>
      </c>
      <c r="J26" s="1">
        <v>2897.0</v>
      </c>
    </row>
    <row r="27">
      <c r="A27" s="1">
        <v>2022.0</v>
      </c>
      <c r="B27" s="1">
        <v>1.0</v>
      </c>
      <c r="C27" s="1" t="s">
        <v>68</v>
      </c>
      <c r="D27" s="1" t="s">
        <v>2104</v>
      </c>
      <c r="E27" s="1" t="s">
        <v>17</v>
      </c>
      <c r="F27" s="3">
        <v>941323.0</v>
      </c>
      <c r="G27" s="1" t="s">
        <v>3760</v>
      </c>
      <c r="H27" s="1">
        <f t="shared" si="1"/>
        <v>193.181003</v>
      </c>
      <c r="I27" s="3">
        <v>1339346.0</v>
      </c>
      <c r="J27" s="1">
        <v>435.0</v>
      </c>
    </row>
    <row r="28">
      <c r="A28" s="1">
        <v>2022.0</v>
      </c>
      <c r="B28" s="1">
        <v>1.0</v>
      </c>
      <c r="C28" s="1" t="s">
        <v>68</v>
      </c>
      <c r="D28" s="1" t="s">
        <v>1851</v>
      </c>
      <c r="E28" s="1" t="s">
        <v>17</v>
      </c>
      <c r="F28" s="3">
        <v>60664.0</v>
      </c>
      <c r="G28" s="1" t="s">
        <v>3761</v>
      </c>
      <c r="H28" s="1">
        <f t="shared" si="1"/>
        <v>164.704934</v>
      </c>
      <c r="I28" s="1" t="s">
        <v>3762</v>
      </c>
      <c r="J28" s="1">
        <v>769.0</v>
      </c>
    </row>
    <row r="29">
      <c r="A29" s="1">
        <v>2022.0</v>
      </c>
      <c r="B29" s="1">
        <v>1.0</v>
      </c>
      <c r="C29" s="1" t="s">
        <v>68</v>
      </c>
      <c r="D29" s="1" t="s">
        <v>1851</v>
      </c>
      <c r="E29" s="1" t="s">
        <v>21</v>
      </c>
      <c r="F29" s="1" t="s">
        <v>3763</v>
      </c>
      <c r="G29" s="1" t="s">
        <v>3764</v>
      </c>
      <c r="H29" s="1">
        <f t="shared" si="1"/>
        <v>12.006769</v>
      </c>
      <c r="I29" s="1" t="s">
        <v>3765</v>
      </c>
      <c r="J29" s="1">
        <v>56.0</v>
      </c>
    </row>
    <row r="30">
      <c r="A30" s="1">
        <v>2022.0</v>
      </c>
      <c r="B30" s="1">
        <v>1.0</v>
      </c>
      <c r="C30" s="1" t="s">
        <v>68</v>
      </c>
      <c r="D30" s="1" t="s">
        <v>2088</v>
      </c>
      <c r="E30" s="1" t="s">
        <v>21</v>
      </c>
      <c r="F30" s="3" t="s">
        <v>3766</v>
      </c>
      <c r="G30" s="1" t="s">
        <v>3767</v>
      </c>
      <c r="H30" s="1">
        <f t="shared" si="1"/>
        <v>135.056441</v>
      </c>
      <c r="I30" s="1" t="s">
        <v>3769</v>
      </c>
      <c r="J30" s="1">
        <v>0.0</v>
      </c>
    </row>
    <row r="31">
      <c r="A31" s="1">
        <v>2022.0</v>
      </c>
      <c r="B31" s="1">
        <v>1.0</v>
      </c>
      <c r="C31" s="1" t="s">
        <v>68</v>
      </c>
      <c r="D31" s="1" t="s">
        <v>48</v>
      </c>
      <c r="E31" s="1" t="s">
        <v>49</v>
      </c>
      <c r="F31" s="1" t="s">
        <v>561</v>
      </c>
      <c r="G31" s="1" t="s">
        <v>3770</v>
      </c>
      <c r="H31" s="1">
        <f t="shared" si="1"/>
        <v>1.59307</v>
      </c>
      <c r="I31" s="1" t="s">
        <v>1962</v>
      </c>
      <c r="J31" s="1">
        <v>0.0</v>
      </c>
    </row>
    <row r="32">
      <c r="A32" s="1">
        <v>2022.0</v>
      </c>
      <c r="B32" s="1">
        <v>1.0</v>
      </c>
      <c r="C32" s="1" t="s">
        <v>68</v>
      </c>
      <c r="D32" s="1" t="s">
        <v>48</v>
      </c>
      <c r="E32" s="1" t="s">
        <v>72</v>
      </c>
      <c r="F32" s="1" t="s">
        <v>666</v>
      </c>
      <c r="G32" s="1" t="s">
        <v>3771</v>
      </c>
      <c r="H32" s="1">
        <f t="shared" si="1"/>
        <v>0.95189</v>
      </c>
      <c r="I32" s="1" t="s">
        <v>574</v>
      </c>
      <c r="J32" s="1">
        <v>0.0</v>
      </c>
    </row>
    <row r="33">
      <c r="A33" s="1">
        <v>2022.0</v>
      </c>
      <c r="B33" s="1">
        <v>1.0</v>
      </c>
      <c r="C33" s="1" t="s">
        <v>68</v>
      </c>
      <c r="D33" s="1" t="s">
        <v>48</v>
      </c>
      <c r="E33" s="1" t="s">
        <v>21</v>
      </c>
      <c r="F33" s="1" t="s">
        <v>3772</v>
      </c>
      <c r="G33" s="1" t="s">
        <v>3773</v>
      </c>
      <c r="H33" s="1">
        <f t="shared" si="1"/>
        <v>127.584278</v>
      </c>
      <c r="I33" s="1" t="s">
        <v>3774</v>
      </c>
      <c r="J33" s="1">
        <v>0.0</v>
      </c>
    </row>
    <row r="34">
      <c r="A34" s="1">
        <v>2022.0</v>
      </c>
      <c r="B34" s="1">
        <v>1.0</v>
      </c>
      <c r="C34" s="1" t="s">
        <v>68</v>
      </c>
      <c r="D34" s="1" t="s">
        <v>32</v>
      </c>
      <c r="E34" s="1" t="s">
        <v>14</v>
      </c>
      <c r="F34" s="3">
        <v>623836.0</v>
      </c>
      <c r="G34" s="1" t="s">
        <v>3775</v>
      </c>
      <c r="H34" s="1">
        <f t="shared" si="1"/>
        <v>98.695255</v>
      </c>
      <c r="I34" s="1" t="s">
        <v>1025</v>
      </c>
      <c r="J34" s="1">
        <v>422.0</v>
      </c>
    </row>
    <row r="35">
      <c r="A35" s="1">
        <v>2022.0</v>
      </c>
      <c r="B35" s="1">
        <v>1.0</v>
      </c>
      <c r="C35" s="1" t="s">
        <v>68</v>
      </c>
      <c r="D35" s="1" t="s">
        <v>32</v>
      </c>
      <c r="E35" s="1" t="s">
        <v>21</v>
      </c>
      <c r="F35" s="1" t="s">
        <v>3776</v>
      </c>
      <c r="G35" s="1" t="s">
        <v>3777</v>
      </c>
      <c r="H35" s="1">
        <f t="shared" si="1"/>
        <v>7.20621</v>
      </c>
      <c r="I35" s="1" t="s">
        <v>3778</v>
      </c>
      <c r="J35" s="1">
        <v>97.0</v>
      </c>
    </row>
    <row r="36">
      <c r="A36" s="1">
        <v>2022.0</v>
      </c>
      <c r="B36" s="1">
        <v>1.0</v>
      </c>
      <c r="C36" s="1" t="s">
        <v>68</v>
      </c>
      <c r="D36" s="1" t="s">
        <v>1830</v>
      </c>
      <c r="E36" s="1" t="s">
        <v>72</v>
      </c>
      <c r="F36" s="3" t="s">
        <v>3779</v>
      </c>
      <c r="G36" s="1" t="s">
        <v>3780</v>
      </c>
      <c r="H36" s="1">
        <f t="shared" si="1"/>
        <v>96.79121</v>
      </c>
      <c r="I36" s="1" t="s">
        <v>3781</v>
      </c>
      <c r="J36" s="1">
        <v>921.0</v>
      </c>
    </row>
    <row r="37">
      <c r="A37" s="1">
        <v>2022.0</v>
      </c>
      <c r="B37" s="1">
        <v>1.0</v>
      </c>
      <c r="C37" s="1" t="s">
        <v>116</v>
      </c>
      <c r="D37" s="1" t="s">
        <v>13</v>
      </c>
      <c r="E37" s="1" t="s">
        <v>14</v>
      </c>
      <c r="F37" s="1" t="s">
        <v>3782</v>
      </c>
      <c r="G37" s="1" t="s">
        <v>3783</v>
      </c>
      <c r="H37" s="1">
        <f t="shared" si="1"/>
        <v>10271.13988</v>
      </c>
      <c r="I37" s="1" t="s">
        <v>3785</v>
      </c>
      <c r="J37" s="1">
        <v>17167.0</v>
      </c>
    </row>
    <row r="38">
      <c r="A38" s="1">
        <v>2022.0</v>
      </c>
      <c r="B38" s="1">
        <v>1.0</v>
      </c>
      <c r="C38" s="1" t="s">
        <v>116</v>
      </c>
      <c r="D38" s="1" t="s">
        <v>13</v>
      </c>
      <c r="E38" s="1" t="s">
        <v>17</v>
      </c>
      <c r="F38" s="1" t="s">
        <v>3786</v>
      </c>
      <c r="G38" s="1" t="s">
        <v>3787</v>
      </c>
      <c r="H38" s="1">
        <f t="shared" si="1"/>
        <v>14567.6979</v>
      </c>
      <c r="I38" s="1" t="s">
        <v>3788</v>
      </c>
      <c r="J38" s="1">
        <v>17397.0</v>
      </c>
    </row>
    <row r="39">
      <c r="A39" s="1">
        <v>2022.0</v>
      </c>
      <c r="B39" s="1">
        <v>1.0</v>
      </c>
      <c r="C39" s="1" t="s">
        <v>116</v>
      </c>
      <c r="D39" s="1" t="s">
        <v>13</v>
      </c>
      <c r="E39" s="1" t="s">
        <v>21</v>
      </c>
      <c r="F39" s="3">
        <v>2670533.0</v>
      </c>
      <c r="G39" s="1" t="s">
        <v>3789</v>
      </c>
      <c r="H39" s="1">
        <f t="shared" si="1"/>
        <v>1323.619549</v>
      </c>
      <c r="I39" s="3">
        <v>2814651.0</v>
      </c>
      <c r="J39" s="1">
        <v>729.0</v>
      </c>
    </row>
    <row r="40">
      <c r="A40" s="1">
        <v>2022.0</v>
      </c>
      <c r="B40" s="1">
        <v>1.0</v>
      </c>
      <c r="C40" s="1" t="s">
        <v>116</v>
      </c>
      <c r="D40" s="1" t="s">
        <v>13</v>
      </c>
      <c r="E40" s="1" t="s">
        <v>25</v>
      </c>
      <c r="F40" s="1" t="s">
        <v>1128</v>
      </c>
      <c r="G40" s="1" t="s">
        <v>3791</v>
      </c>
      <c r="H40" s="1">
        <f t="shared" si="1"/>
        <v>1.791126</v>
      </c>
      <c r="I40" s="1" t="s">
        <v>3370</v>
      </c>
      <c r="J40" s="1">
        <v>3.0</v>
      </c>
    </row>
    <row r="41">
      <c r="A41" s="1">
        <v>2022.0</v>
      </c>
      <c r="B41" s="1">
        <v>1.0</v>
      </c>
      <c r="C41" s="1" t="s">
        <v>116</v>
      </c>
      <c r="D41" s="1" t="s">
        <v>29</v>
      </c>
      <c r="E41" s="1" t="s">
        <v>14</v>
      </c>
      <c r="F41" s="3">
        <v>147194.0</v>
      </c>
      <c r="G41" s="1" t="s">
        <v>3792</v>
      </c>
      <c r="H41" s="1">
        <f t="shared" si="1"/>
        <v>147.988777</v>
      </c>
      <c r="I41" s="1" t="s">
        <v>3793</v>
      </c>
      <c r="J41" s="1">
        <v>286.0</v>
      </c>
    </row>
    <row r="42">
      <c r="A42" s="1">
        <v>2022.0</v>
      </c>
      <c r="B42" s="1">
        <v>1.0</v>
      </c>
      <c r="C42" s="1" t="s">
        <v>116</v>
      </c>
      <c r="D42" s="1" t="s">
        <v>29</v>
      </c>
      <c r="E42" s="1" t="s">
        <v>21</v>
      </c>
      <c r="F42" s="1" t="s">
        <v>3794</v>
      </c>
      <c r="G42" s="1" t="s">
        <v>3795</v>
      </c>
      <c r="H42" s="1">
        <f t="shared" si="1"/>
        <v>9934.412537</v>
      </c>
      <c r="I42" s="1" t="s">
        <v>3796</v>
      </c>
      <c r="J42" s="1">
        <v>4241.0</v>
      </c>
    </row>
    <row r="43">
      <c r="A43" s="1">
        <v>2022.0</v>
      </c>
      <c r="B43" s="1">
        <v>1.0</v>
      </c>
      <c r="C43" s="1" t="s">
        <v>116</v>
      </c>
      <c r="D43" s="1" t="s">
        <v>45</v>
      </c>
      <c r="E43" s="1" t="s">
        <v>49</v>
      </c>
      <c r="F43" s="3">
        <v>1391211.0</v>
      </c>
      <c r="G43" s="1" t="s">
        <v>3798</v>
      </c>
      <c r="H43" s="1">
        <f t="shared" si="1"/>
        <v>96.490976</v>
      </c>
      <c r="I43" s="1" t="s">
        <v>3799</v>
      </c>
      <c r="J43" s="1">
        <v>309.0</v>
      </c>
    </row>
    <row r="44">
      <c r="A44" s="1">
        <v>2022.0</v>
      </c>
      <c r="B44" s="1">
        <v>1.0</v>
      </c>
      <c r="C44" s="1" t="s">
        <v>116</v>
      </c>
      <c r="D44" s="1" t="s">
        <v>45</v>
      </c>
      <c r="E44" s="1" t="s">
        <v>17</v>
      </c>
      <c r="F44" s="1" t="s">
        <v>3800</v>
      </c>
      <c r="G44" s="1" t="s">
        <v>3801</v>
      </c>
      <c r="H44" s="1">
        <f t="shared" si="1"/>
        <v>1335.566377</v>
      </c>
      <c r="I44" s="3">
        <v>2395779.0</v>
      </c>
      <c r="J44" s="1">
        <v>1751.0</v>
      </c>
    </row>
    <row r="45">
      <c r="A45" s="1">
        <v>2022.0</v>
      </c>
      <c r="B45" s="1">
        <v>1.0</v>
      </c>
      <c r="C45" s="1" t="s">
        <v>116</v>
      </c>
      <c r="D45" s="1" t="s">
        <v>38</v>
      </c>
      <c r="E45" s="1" t="s">
        <v>39</v>
      </c>
      <c r="F45" s="1" t="s">
        <v>3802</v>
      </c>
      <c r="G45" s="1" t="s">
        <v>3803</v>
      </c>
      <c r="H45" s="1">
        <f t="shared" si="1"/>
        <v>1288.467984</v>
      </c>
      <c r="I45" s="3">
        <v>1644355.0</v>
      </c>
      <c r="J45" s="1">
        <v>4284.0</v>
      </c>
    </row>
    <row r="46">
      <c r="A46" s="1">
        <v>2022.0</v>
      </c>
      <c r="B46" s="1">
        <v>1.0</v>
      </c>
      <c r="C46" s="1" t="s">
        <v>116</v>
      </c>
      <c r="D46" s="1" t="s">
        <v>1851</v>
      </c>
      <c r="E46" s="1" t="s">
        <v>17</v>
      </c>
      <c r="F46" s="3">
        <v>711615.0</v>
      </c>
      <c r="G46" s="1" t="s">
        <v>3805</v>
      </c>
      <c r="H46" s="1">
        <f t="shared" si="1"/>
        <v>403.571082</v>
      </c>
      <c r="I46" s="3" t="s">
        <v>3807</v>
      </c>
      <c r="J46" s="1">
        <v>1598.0</v>
      </c>
    </row>
    <row r="47">
      <c r="A47" s="1">
        <v>2022.0</v>
      </c>
      <c r="B47" s="1">
        <v>1.0</v>
      </c>
      <c r="C47" s="1" t="s">
        <v>116</v>
      </c>
      <c r="D47" s="1" t="s">
        <v>1851</v>
      </c>
      <c r="E47" s="1" t="s">
        <v>21</v>
      </c>
      <c r="F47" s="1" t="s">
        <v>3808</v>
      </c>
      <c r="G47" s="1" t="s">
        <v>3809</v>
      </c>
      <c r="H47" s="1">
        <f t="shared" si="1"/>
        <v>34.83502</v>
      </c>
      <c r="I47" s="1" t="s">
        <v>2583</v>
      </c>
      <c r="J47" s="1">
        <v>201.0</v>
      </c>
    </row>
    <row r="48">
      <c r="A48" s="1">
        <v>2022.0</v>
      </c>
      <c r="B48" s="1">
        <v>1.0</v>
      </c>
      <c r="C48" s="1" t="s">
        <v>116</v>
      </c>
      <c r="D48" s="1" t="s">
        <v>147</v>
      </c>
      <c r="E48" s="1" t="s">
        <v>39</v>
      </c>
      <c r="F48" s="3" t="s">
        <v>3810</v>
      </c>
      <c r="G48" s="1" t="s">
        <v>3811</v>
      </c>
      <c r="H48" s="1">
        <f t="shared" si="1"/>
        <v>359.109615</v>
      </c>
      <c r="I48" s="1" t="s">
        <v>3812</v>
      </c>
      <c r="J48" s="1">
        <v>112.0</v>
      </c>
    </row>
    <row r="49">
      <c r="A49" s="1">
        <v>2022.0</v>
      </c>
      <c r="B49" s="1">
        <v>1.0</v>
      </c>
      <c r="C49" s="1" t="s">
        <v>116</v>
      </c>
      <c r="D49" s="1" t="s">
        <v>147</v>
      </c>
      <c r="E49" s="1" t="s">
        <v>17</v>
      </c>
      <c r="F49" s="1" t="s">
        <v>287</v>
      </c>
      <c r="G49" s="1" t="s">
        <v>3813</v>
      </c>
      <c r="H49" s="1">
        <f t="shared" si="1"/>
        <v>5.171741</v>
      </c>
      <c r="I49" s="1" t="s">
        <v>847</v>
      </c>
      <c r="J49" s="1">
        <v>5.0</v>
      </c>
    </row>
    <row r="50">
      <c r="A50" s="1">
        <v>2022.0</v>
      </c>
      <c r="B50" s="1">
        <v>1.0</v>
      </c>
      <c r="C50" s="1" t="s">
        <v>116</v>
      </c>
      <c r="D50" s="1" t="s">
        <v>147</v>
      </c>
      <c r="E50" s="1" t="s">
        <v>21</v>
      </c>
      <c r="F50" s="1" t="s">
        <v>3814</v>
      </c>
      <c r="G50" s="1" t="s">
        <v>3815</v>
      </c>
      <c r="H50" s="1">
        <f t="shared" si="1"/>
        <v>31.900512</v>
      </c>
      <c r="I50" s="1" t="s">
        <v>3816</v>
      </c>
      <c r="J50" s="1">
        <v>44.0</v>
      </c>
    </row>
    <row r="51">
      <c r="A51" s="1">
        <v>2022.0</v>
      </c>
      <c r="B51" s="1">
        <v>1.0</v>
      </c>
      <c r="C51" s="1" t="s">
        <v>116</v>
      </c>
      <c r="D51" s="1" t="s">
        <v>42</v>
      </c>
      <c r="E51" s="1" t="s">
        <v>17</v>
      </c>
      <c r="F51" s="3">
        <v>629315.0</v>
      </c>
      <c r="G51" s="1" t="s">
        <v>3818</v>
      </c>
      <c r="H51" s="1">
        <f t="shared" si="1"/>
        <v>282.59374</v>
      </c>
      <c r="I51" s="1" t="s">
        <v>3820</v>
      </c>
      <c r="J51" s="1">
        <v>0.0</v>
      </c>
    </row>
    <row r="52">
      <c r="A52" s="1">
        <v>2022.0</v>
      </c>
      <c r="B52" s="1">
        <v>1.0</v>
      </c>
      <c r="C52" s="1" t="s">
        <v>116</v>
      </c>
      <c r="D52" s="1" t="s">
        <v>1830</v>
      </c>
      <c r="E52" s="1" t="s">
        <v>72</v>
      </c>
      <c r="F52" s="3">
        <v>21245.0</v>
      </c>
      <c r="G52" s="1" t="s">
        <v>3821</v>
      </c>
      <c r="H52" s="1">
        <f t="shared" si="1"/>
        <v>280.300213</v>
      </c>
      <c r="I52" s="1" t="s">
        <v>3822</v>
      </c>
      <c r="J52" s="1">
        <v>2426.0</v>
      </c>
    </row>
    <row r="53">
      <c r="A53" s="1">
        <v>2022.0</v>
      </c>
      <c r="B53" s="1">
        <v>1.0</v>
      </c>
      <c r="C53" s="1" t="s">
        <v>116</v>
      </c>
      <c r="D53" s="1" t="s">
        <v>48</v>
      </c>
      <c r="E53" s="1" t="s">
        <v>49</v>
      </c>
      <c r="F53" s="1" t="s">
        <v>3823</v>
      </c>
      <c r="G53" s="1" t="s">
        <v>3824</v>
      </c>
      <c r="H53" s="1">
        <f t="shared" si="1"/>
        <v>3.230365</v>
      </c>
      <c r="I53" s="1" t="s">
        <v>1758</v>
      </c>
      <c r="J53" s="1">
        <v>4.0</v>
      </c>
    </row>
    <row r="54">
      <c r="A54" s="1">
        <v>2022.0</v>
      </c>
      <c r="B54" s="1">
        <v>1.0</v>
      </c>
      <c r="C54" s="1" t="s">
        <v>116</v>
      </c>
      <c r="D54" s="1" t="s">
        <v>48</v>
      </c>
      <c r="E54" s="1" t="s">
        <v>72</v>
      </c>
      <c r="F54" s="1" t="s">
        <v>1193</v>
      </c>
      <c r="G54" s="1" t="s">
        <v>3825</v>
      </c>
      <c r="H54" s="1">
        <f t="shared" si="1"/>
        <v>6.086698</v>
      </c>
      <c r="I54" s="1" t="s">
        <v>487</v>
      </c>
      <c r="J54" s="1">
        <v>14.0</v>
      </c>
    </row>
    <row r="55">
      <c r="A55" s="1">
        <v>2022.0</v>
      </c>
      <c r="B55" s="1">
        <v>1.0</v>
      </c>
      <c r="C55" s="1" t="s">
        <v>116</v>
      </c>
      <c r="D55" s="1" t="s">
        <v>48</v>
      </c>
      <c r="E55" s="1" t="s">
        <v>21</v>
      </c>
      <c r="F55" s="3">
        <v>1005880.0</v>
      </c>
      <c r="G55" s="1" t="s">
        <v>3826</v>
      </c>
      <c r="H55" s="1">
        <f t="shared" si="1"/>
        <v>261.313471</v>
      </c>
      <c r="I55" s="1" t="s">
        <v>3827</v>
      </c>
      <c r="J55" s="1">
        <v>188.0</v>
      </c>
    </row>
    <row r="56">
      <c r="A56" s="1">
        <v>2022.0</v>
      </c>
      <c r="B56" s="1">
        <v>1.0</v>
      </c>
      <c r="C56" s="1" t="s">
        <v>116</v>
      </c>
      <c r="D56" s="1" t="s">
        <v>165</v>
      </c>
      <c r="E56" s="1" t="s">
        <v>39</v>
      </c>
      <c r="F56" s="1" t="s">
        <v>3828</v>
      </c>
      <c r="G56" s="1" t="s">
        <v>3829</v>
      </c>
      <c r="H56" s="1">
        <f t="shared" si="1"/>
        <v>46.087756</v>
      </c>
      <c r="I56" s="1" t="s">
        <v>3830</v>
      </c>
      <c r="J56" s="1">
        <v>0.0</v>
      </c>
    </row>
    <row r="57">
      <c r="A57" s="1">
        <v>2022.0</v>
      </c>
      <c r="B57" s="1">
        <v>1.0</v>
      </c>
      <c r="C57" s="1" t="s">
        <v>116</v>
      </c>
      <c r="D57" s="1" t="s">
        <v>165</v>
      </c>
      <c r="E57" s="1" t="s">
        <v>17</v>
      </c>
      <c r="F57" s="1" t="s">
        <v>3831</v>
      </c>
      <c r="G57" s="1" t="s">
        <v>3832</v>
      </c>
      <c r="H57" s="1">
        <f t="shared" si="1"/>
        <v>145.866054</v>
      </c>
      <c r="I57" s="1" t="s">
        <v>3834</v>
      </c>
      <c r="J57" s="1">
        <v>0.0</v>
      </c>
    </row>
    <row r="58">
      <c r="A58" s="1">
        <v>2022.0</v>
      </c>
      <c r="B58" s="1">
        <v>2.0</v>
      </c>
      <c r="C58" s="1" t="s">
        <v>12</v>
      </c>
      <c r="D58" s="1" t="s">
        <v>13</v>
      </c>
      <c r="E58" s="1" t="s">
        <v>14</v>
      </c>
      <c r="F58" s="3" t="s">
        <v>3835</v>
      </c>
      <c r="G58" s="1" t="s">
        <v>3837</v>
      </c>
      <c r="H58" s="1">
        <f t="shared" si="1"/>
        <v>729.821201</v>
      </c>
      <c r="I58" s="3">
        <v>520869.0</v>
      </c>
      <c r="J58" s="1">
        <v>533.0</v>
      </c>
    </row>
    <row r="59">
      <c r="A59" s="1">
        <v>2022.0</v>
      </c>
      <c r="B59" s="1">
        <v>2.0</v>
      </c>
      <c r="C59" s="1" t="s">
        <v>12</v>
      </c>
      <c r="D59" s="1" t="s">
        <v>13</v>
      </c>
      <c r="E59" s="1" t="s">
        <v>17</v>
      </c>
      <c r="F59" s="1" t="s">
        <v>3838</v>
      </c>
      <c r="G59" s="1" t="s">
        <v>3839</v>
      </c>
      <c r="H59" s="1">
        <f t="shared" si="1"/>
        <v>4702.004113</v>
      </c>
      <c r="I59" s="1" t="s">
        <v>3840</v>
      </c>
      <c r="J59" s="1">
        <v>744.0</v>
      </c>
    </row>
    <row r="60">
      <c r="A60" s="1">
        <v>2022.0</v>
      </c>
      <c r="B60" s="1">
        <v>2.0</v>
      </c>
      <c r="C60" s="1" t="s">
        <v>12</v>
      </c>
      <c r="D60" s="1" t="s">
        <v>13</v>
      </c>
      <c r="E60" s="1" t="s">
        <v>21</v>
      </c>
      <c r="F60" s="1" t="s">
        <v>3841</v>
      </c>
      <c r="G60" s="1" t="s">
        <v>3842</v>
      </c>
      <c r="H60" s="1">
        <f t="shared" si="1"/>
        <v>3969.19894</v>
      </c>
      <c r="I60" s="1" t="s">
        <v>3843</v>
      </c>
      <c r="J60" s="1">
        <v>641.0</v>
      </c>
    </row>
    <row r="61">
      <c r="A61" s="1">
        <v>2022.0</v>
      </c>
      <c r="B61" s="1">
        <v>2.0</v>
      </c>
      <c r="C61" s="1" t="s">
        <v>12</v>
      </c>
      <c r="D61" s="1" t="s">
        <v>29</v>
      </c>
      <c r="E61" s="1" t="s">
        <v>14</v>
      </c>
      <c r="F61" s="1" t="s">
        <v>2297</v>
      </c>
      <c r="G61" s="1" t="s">
        <v>3844</v>
      </c>
      <c r="H61" s="1">
        <f t="shared" si="1"/>
        <v>11.329055</v>
      </c>
      <c r="I61" s="1" t="s">
        <v>3845</v>
      </c>
      <c r="J61" s="1">
        <v>10.0</v>
      </c>
    </row>
    <row r="62">
      <c r="A62" s="1">
        <v>2022.0</v>
      </c>
      <c r="B62" s="1">
        <v>2.0</v>
      </c>
      <c r="C62" s="1" t="s">
        <v>12</v>
      </c>
      <c r="D62" s="1" t="s">
        <v>29</v>
      </c>
      <c r="E62" s="1" t="s">
        <v>21</v>
      </c>
      <c r="F62" s="1" t="s">
        <v>3846</v>
      </c>
      <c r="G62" s="1" t="s">
        <v>3847</v>
      </c>
      <c r="H62" s="1">
        <f t="shared" si="1"/>
        <v>5962.643043</v>
      </c>
      <c r="I62" s="1" t="s">
        <v>3848</v>
      </c>
      <c r="J62" s="1">
        <v>694.0</v>
      </c>
    </row>
    <row r="63">
      <c r="A63" s="1">
        <v>2022.0</v>
      </c>
      <c r="B63" s="1">
        <v>2.0</v>
      </c>
      <c r="C63" s="1" t="s">
        <v>12</v>
      </c>
      <c r="D63" s="1" t="s">
        <v>38</v>
      </c>
      <c r="E63" s="1" t="s">
        <v>39</v>
      </c>
      <c r="F63" s="3">
        <v>1182688.0</v>
      </c>
      <c r="G63" s="1" t="s">
        <v>3849</v>
      </c>
      <c r="H63" s="1">
        <f t="shared" si="1"/>
        <v>284.824342</v>
      </c>
      <c r="I63" s="1" t="s">
        <v>3850</v>
      </c>
      <c r="J63" s="1">
        <v>202.0</v>
      </c>
    </row>
    <row r="64">
      <c r="A64" s="1">
        <v>2022.0</v>
      </c>
      <c r="B64" s="1">
        <v>2.0</v>
      </c>
      <c r="C64" s="1" t="s">
        <v>12</v>
      </c>
      <c r="D64" s="1" t="s">
        <v>48</v>
      </c>
      <c r="E64" s="1" t="s">
        <v>49</v>
      </c>
      <c r="F64" s="1" t="s">
        <v>1007</v>
      </c>
      <c r="G64" s="1" t="s">
        <v>3851</v>
      </c>
      <c r="H64" s="1">
        <f t="shared" si="1"/>
        <v>2.950686</v>
      </c>
      <c r="I64" s="1" t="s">
        <v>396</v>
      </c>
      <c r="J64" s="1">
        <v>7.0</v>
      </c>
    </row>
    <row r="65">
      <c r="A65" s="1">
        <v>2022.0</v>
      </c>
      <c r="B65" s="1">
        <v>2.0</v>
      </c>
      <c r="C65" s="1" t="s">
        <v>12</v>
      </c>
      <c r="D65" s="1" t="s">
        <v>48</v>
      </c>
      <c r="E65" s="1" t="s">
        <v>21</v>
      </c>
      <c r="F65" s="3">
        <v>1723581.0</v>
      </c>
      <c r="G65" s="1" t="s">
        <v>3853</v>
      </c>
      <c r="H65" s="1">
        <f t="shared" si="1"/>
        <v>234.198798</v>
      </c>
      <c r="I65" s="1" t="s">
        <v>3354</v>
      </c>
      <c r="J65" s="1">
        <v>171.0</v>
      </c>
    </row>
    <row r="66">
      <c r="A66" s="1">
        <v>2022.0</v>
      </c>
      <c r="B66" s="1">
        <v>2.0</v>
      </c>
      <c r="C66" s="1" t="s">
        <v>12</v>
      </c>
      <c r="D66" s="1" t="s">
        <v>45</v>
      </c>
      <c r="E66" s="1" t="s">
        <v>49</v>
      </c>
      <c r="F66" s="1" t="s">
        <v>3855</v>
      </c>
      <c r="G66" s="1" t="s">
        <v>3857</v>
      </c>
      <c r="H66" s="1">
        <f t="shared" si="1"/>
        <v>0.20893</v>
      </c>
      <c r="I66" s="1" t="s">
        <v>1962</v>
      </c>
      <c r="J66" s="1">
        <v>1.0</v>
      </c>
    </row>
    <row r="67">
      <c r="A67" s="1">
        <v>2022.0</v>
      </c>
      <c r="B67" s="1">
        <v>2.0</v>
      </c>
      <c r="C67" s="1" t="s">
        <v>12</v>
      </c>
      <c r="D67" s="1" t="s">
        <v>45</v>
      </c>
      <c r="E67" s="1" t="s">
        <v>17</v>
      </c>
      <c r="F67" s="3">
        <v>1178274.0</v>
      </c>
      <c r="G67" s="1" t="s">
        <v>3863</v>
      </c>
      <c r="H67" s="1">
        <f t="shared" si="1"/>
        <v>124.996153</v>
      </c>
      <c r="I67" s="1" t="s">
        <v>3865</v>
      </c>
      <c r="J67" s="1">
        <v>151.0</v>
      </c>
    </row>
    <row r="68">
      <c r="A68" s="1">
        <v>2022.0</v>
      </c>
      <c r="B68" s="1">
        <v>2.0</v>
      </c>
      <c r="C68" s="1" t="s">
        <v>12</v>
      </c>
      <c r="D68" s="1" t="s">
        <v>42</v>
      </c>
      <c r="E68" s="1" t="s">
        <v>17</v>
      </c>
      <c r="F68" s="1" t="s">
        <v>3866</v>
      </c>
      <c r="G68" s="1" t="s">
        <v>3867</v>
      </c>
      <c r="H68" s="1">
        <f t="shared" si="1"/>
        <v>75.322764</v>
      </c>
      <c r="I68" s="1" t="s">
        <v>3868</v>
      </c>
      <c r="J68" s="1">
        <v>34.0</v>
      </c>
    </row>
    <row r="69">
      <c r="A69" s="1">
        <v>2022.0</v>
      </c>
      <c r="B69" s="1">
        <v>2.0</v>
      </c>
      <c r="C69" s="1" t="s">
        <v>12</v>
      </c>
      <c r="D69" s="1" t="s">
        <v>1830</v>
      </c>
      <c r="E69" s="1" t="s">
        <v>72</v>
      </c>
      <c r="F69" s="1" t="s">
        <v>3869</v>
      </c>
      <c r="G69" s="1" t="s">
        <v>3870</v>
      </c>
      <c r="H69" s="1">
        <f t="shared" si="1"/>
        <v>74.063678</v>
      </c>
      <c r="I69" s="1" t="s">
        <v>3871</v>
      </c>
      <c r="J69" s="1">
        <v>251.0</v>
      </c>
    </row>
    <row r="70">
      <c r="A70" s="1">
        <v>2022.0</v>
      </c>
      <c r="B70" s="1">
        <v>2.0</v>
      </c>
      <c r="C70" s="1" t="s">
        <v>12</v>
      </c>
      <c r="D70" s="1" t="s">
        <v>56</v>
      </c>
      <c r="E70" s="1" t="s">
        <v>21</v>
      </c>
      <c r="F70" s="1" t="s">
        <v>3873</v>
      </c>
      <c r="G70" s="1" t="s">
        <v>3874</v>
      </c>
      <c r="H70" s="1">
        <f t="shared" si="1"/>
        <v>34.985402</v>
      </c>
      <c r="I70" s="1" t="s">
        <v>3876</v>
      </c>
      <c r="J70" s="1">
        <v>108.0</v>
      </c>
    </row>
    <row r="71">
      <c r="A71" s="1">
        <v>2022.0</v>
      </c>
      <c r="B71" s="1">
        <v>2.0</v>
      </c>
      <c r="C71" s="1" t="s">
        <v>12</v>
      </c>
      <c r="D71" s="1" t="s">
        <v>848</v>
      </c>
      <c r="E71" s="1" t="s">
        <v>21</v>
      </c>
      <c r="F71" s="1" t="s">
        <v>3878</v>
      </c>
      <c r="G71" s="1" t="s">
        <v>3879</v>
      </c>
      <c r="H71" s="1">
        <f t="shared" si="1"/>
        <v>33.859989</v>
      </c>
      <c r="I71" s="1" t="s">
        <v>3880</v>
      </c>
      <c r="J71" s="1">
        <v>0.0</v>
      </c>
    </row>
    <row r="72">
      <c r="A72" s="1">
        <v>2022.0</v>
      </c>
      <c r="B72" s="1">
        <v>2.0</v>
      </c>
      <c r="C72" s="1" t="s">
        <v>12</v>
      </c>
      <c r="D72" s="1" t="s">
        <v>60</v>
      </c>
      <c r="E72" s="1" t="s">
        <v>39</v>
      </c>
      <c r="F72" s="1" t="s">
        <v>3882</v>
      </c>
      <c r="G72" s="1" t="s">
        <v>3883</v>
      </c>
      <c r="H72" s="1">
        <f t="shared" si="1"/>
        <v>32.362732</v>
      </c>
      <c r="I72" s="1" t="s">
        <v>3884</v>
      </c>
      <c r="J72" s="1">
        <v>82.0</v>
      </c>
    </row>
    <row r="73">
      <c r="A73" s="1">
        <v>2022.0</v>
      </c>
      <c r="B73" s="1">
        <v>2.0</v>
      </c>
      <c r="C73" s="1" t="s">
        <v>12</v>
      </c>
      <c r="D73" s="1" t="s">
        <v>60</v>
      </c>
      <c r="E73" s="1" t="s">
        <v>17</v>
      </c>
      <c r="F73" s="1" t="s">
        <v>878</v>
      </c>
      <c r="G73" s="1" t="s">
        <v>3885</v>
      </c>
      <c r="H73" s="1">
        <f t="shared" si="1"/>
        <v>0.405462</v>
      </c>
      <c r="I73" s="1" t="s">
        <v>144</v>
      </c>
      <c r="J73" s="1">
        <v>2.0</v>
      </c>
    </row>
    <row r="74">
      <c r="A74" s="1">
        <v>2022.0</v>
      </c>
      <c r="B74" s="1">
        <v>2.0</v>
      </c>
      <c r="C74" s="1" t="s">
        <v>68</v>
      </c>
      <c r="D74" s="1" t="s">
        <v>13</v>
      </c>
      <c r="E74" s="1" t="s">
        <v>14</v>
      </c>
      <c r="F74" s="1" t="s">
        <v>3886</v>
      </c>
      <c r="G74" s="1" t="s">
        <v>3887</v>
      </c>
      <c r="H74" s="1">
        <f t="shared" si="1"/>
        <v>4483.615135</v>
      </c>
      <c r="I74" s="1" t="s">
        <v>3888</v>
      </c>
      <c r="J74" s="1">
        <v>9842.0</v>
      </c>
    </row>
    <row r="75">
      <c r="A75" s="1">
        <v>2022.0</v>
      </c>
      <c r="B75" s="1">
        <v>2.0</v>
      </c>
      <c r="C75" s="1" t="s">
        <v>68</v>
      </c>
      <c r="D75" s="1" t="s">
        <v>13</v>
      </c>
      <c r="E75" s="1" t="s">
        <v>17</v>
      </c>
      <c r="F75" s="1" t="s">
        <v>3889</v>
      </c>
      <c r="G75" s="1" t="s">
        <v>3890</v>
      </c>
      <c r="H75" s="1">
        <f t="shared" si="1"/>
        <v>5765.421415</v>
      </c>
      <c r="I75" s="1" t="s">
        <v>3891</v>
      </c>
      <c r="J75" s="1">
        <v>8884.0</v>
      </c>
    </row>
    <row r="76">
      <c r="A76" s="1">
        <v>2022.0</v>
      </c>
      <c r="B76" s="1">
        <v>2.0</v>
      </c>
      <c r="C76" s="1" t="s">
        <v>68</v>
      </c>
      <c r="D76" s="1" t="s">
        <v>13</v>
      </c>
      <c r="E76" s="1" t="s">
        <v>21</v>
      </c>
      <c r="F76" s="3">
        <v>147253.0</v>
      </c>
      <c r="G76" s="1" t="s">
        <v>3892</v>
      </c>
      <c r="H76" s="1">
        <f t="shared" si="1"/>
        <v>555.281552</v>
      </c>
      <c r="I76" s="3">
        <v>1552648.0</v>
      </c>
      <c r="J76" s="1">
        <v>698.0</v>
      </c>
    </row>
    <row r="77">
      <c r="A77" s="1">
        <v>2022.0</v>
      </c>
      <c r="B77" s="1">
        <v>2.0</v>
      </c>
      <c r="C77" s="1" t="s">
        <v>68</v>
      </c>
      <c r="D77" s="1" t="s">
        <v>13</v>
      </c>
      <c r="E77" s="1" t="s">
        <v>25</v>
      </c>
      <c r="F77" s="1" t="s">
        <v>3893</v>
      </c>
      <c r="G77" s="1" t="s">
        <v>3894</v>
      </c>
      <c r="H77" s="1">
        <f t="shared" si="1"/>
        <v>47.309114</v>
      </c>
      <c r="I77" s="1" t="s">
        <v>3895</v>
      </c>
      <c r="J77" s="1">
        <v>179.0</v>
      </c>
    </row>
    <row r="78">
      <c r="A78" s="1">
        <v>2022.0</v>
      </c>
      <c r="B78" s="1">
        <v>2.0</v>
      </c>
      <c r="C78" s="1" t="s">
        <v>68</v>
      </c>
      <c r="D78" s="1" t="s">
        <v>29</v>
      </c>
      <c r="E78" s="1" t="s">
        <v>14</v>
      </c>
      <c r="F78" s="1" t="s">
        <v>2841</v>
      </c>
      <c r="G78" s="1" t="s">
        <v>3896</v>
      </c>
      <c r="H78" s="1">
        <f t="shared" si="1"/>
        <v>13.461723</v>
      </c>
      <c r="I78" s="1" t="s">
        <v>1558</v>
      </c>
      <c r="J78" s="1">
        <v>22.0</v>
      </c>
    </row>
    <row r="79">
      <c r="A79" s="1">
        <v>2022.0</v>
      </c>
      <c r="B79" s="1">
        <v>2.0</v>
      </c>
      <c r="C79" s="1" t="s">
        <v>68</v>
      </c>
      <c r="D79" s="1" t="s">
        <v>29</v>
      </c>
      <c r="E79" s="1" t="s">
        <v>21</v>
      </c>
      <c r="F79" s="3">
        <v>1760286.0</v>
      </c>
      <c r="G79" s="1" t="s">
        <v>3897</v>
      </c>
      <c r="H79" s="1">
        <f t="shared" si="1"/>
        <v>1608.789744</v>
      </c>
      <c r="I79" s="3" t="s">
        <v>3898</v>
      </c>
      <c r="J79" s="1">
        <v>1087.0</v>
      </c>
    </row>
    <row r="80">
      <c r="A80" s="1">
        <v>2022.0</v>
      </c>
      <c r="B80" s="1">
        <v>2.0</v>
      </c>
      <c r="C80" s="1" t="s">
        <v>68</v>
      </c>
      <c r="D80" s="1" t="s">
        <v>45</v>
      </c>
      <c r="E80" s="1" t="s">
        <v>49</v>
      </c>
      <c r="F80" s="1" t="s">
        <v>3899</v>
      </c>
      <c r="G80" s="1" t="s">
        <v>3900</v>
      </c>
      <c r="H80" s="1">
        <f t="shared" si="1"/>
        <v>54.697267</v>
      </c>
      <c r="I80" s="1" t="s">
        <v>1844</v>
      </c>
      <c r="J80" s="1">
        <v>153.0</v>
      </c>
    </row>
    <row r="81">
      <c r="A81" s="1">
        <v>2022.0</v>
      </c>
      <c r="B81" s="1">
        <v>2.0</v>
      </c>
      <c r="C81" s="1" t="s">
        <v>68</v>
      </c>
      <c r="D81" s="1" t="s">
        <v>45</v>
      </c>
      <c r="E81" s="1" t="s">
        <v>17</v>
      </c>
      <c r="F81" s="3" t="s">
        <v>3902</v>
      </c>
      <c r="G81" s="1" t="s">
        <v>3903</v>
      </c>
      <c r="H81" s="1">
        <f t="shared" si="1"/>
        <v>530.288474</v>
      </c>
      <c r="I81" s="3">
        <v>1275826.0</v>
      </c>
      <c r="J81" s="1">
        <v>1340.0</v>
      </c>
    </row>
    <row r="82">
      <c r="A82" s="1">
        <v>2022.0</v>
      </c>
      <c r="B82" s="1">
        <v>2.0</v>
      </c>
      <c r="C82" s="1" t="s">
        <v>68</v>
      </c>
      <c r="D82" s="1" t="s">
        <v>38</v>
      </c>
      <c r="E82" s="1" t="s">
        <v>39</v>
      </c>
      <c r="F82" s="3">
        <v>1876738.0</v>
      </c>
      <c r="G82" s="1" t="s">
        <v>3904</v>
      </c>
      <c r="H82" s="1">
        <f t="shared" si="1"/>
        <v>515.438104</v>
      </c>
      <c r="I82" s="3" t="s">
        <v>1172</v>
      </c>
      <c r="J82" s="1">
        <v>2437.0</v>
      </c>
    </row>
    <row r="83">
      <c r="A83" s="1">
        <v>2022.0</v>
      </c>
      <c r="B83" s="1">
        <v>2.0</v>
      </c>
      <c r="C83" s="1" t="s">
        <v>68</v>
      </c>
      <c r="D83" s="1" t="s">
        <v>1851</v>
      </c>
      <c r="E83" s="1" t="s">
        <v>17</v>
      </c>
      <c r="F83" s="3">
        <v>2202810.0</v>
      </c>
      <c r="G83" s="1" t="s">
        <v>3905</v>
      </c>
      <c r="H83" s="1">
        <f t="shared" si="1"/>
        <v>192.427103</v>
      </c>
      <c r="I83" s="3" t="s">
        <v>2424</v>
      </c>
      <c r="J83" s="1">
        <v>960.0</v>
      </c>
    </row>
    <row r="84">
      <c r="A84" s="1">
        <v>2022.0</v>
      </c>
      <c r="B84" s="1">
        <v>2.0</v>
      </c>
      <c r="C84" s="1" t="s">
        <v>68</v>
      </c>
      <c r="D84" s="1" t="s">
        <v>1851</v>
      </c>
      <c r="E84" s="1" t="s">
        <v>21</v>
      </c>
      <c r="F84" s="1" t="s">
        <v>3906</v>
      </c>
      <c r="G84" s="1" t="s">
        <v>3907</v>
      </c>
      <c r="H84" s="1">
        <f t="shared" si="1"/>
        <v>21.533492</v>
      </c>
      <c r="I84" s="1" t="s">
        <v>2823</v>
      </c>
      <c r="J84" s="1">
        <v>180.0</v>
      </c>
    </row>
    <row r="85">
      <c r="A85" s="1">
        <v>2022.0</v>
      </c>
      <c r="B85" s="1">
        <v>2.0</v>
      </c>
      <c r="C85" s="1" t="s">
        <v>68</v>
      </c>
      <c r="D85" s="1" t="s">
        <v>48</v>
      </c>
      <c r="E85" s="1" t="s">
        <v>49</v>
      </c>
      <c r="F85" s="1" t="s">
        <v>1460</v>
      </c>
      <c r="G85" s="1" t="s">
        <v>3908</v>
      </c>
      <c r="H85" s="1">
        <f t="shared" si="1"/>
        <v>0.908857</v>
      </c>
      <c r="I85" s="1" t="s">
        <v>373</v>
      </c>
      <c r="J85" s="1">
        <v>0.0</v>
      </c>
    </row>
    <row r="86">
      <c r="A86" s="1">
        <v>2022.0</v>
      </c>
      <c r="B86" s="1">
        <v>2.0</v>
      </c>
      <c r="C86" s="1" t="s">
        <v>68</v>
      </c>
      <c r="D86" s="1" t="s">
        <v>48</v>
      </c>
      <c r="E86" s="1" t="s">
        <v>72</v>
      </c>
      <c r="F86" s="1" t="s">
        <v>878</v>
      </c>
      <c r="G86" s="1" t="s">
        <v>3909</v>
      </c>
      <c r="H86" s="1">
        <f t="shared" si="1"/>
        <v>1.373464</v>
      </c>
      <c r="I86" s="1" t="s">
        <v>73</v>
      </c>
      <c r="J86" s="1">
        <v>0.0</v>
      </c>
    </row>
    <row r="87">
      <c r="A87" s="1">
        <v>2022.0</v>
      </c>
      <c r="B87" s="1">
        <v>2.0</v>
      </c>
      <c r="C87" s="1" t="s">
        <v>68</v>
      </c>
      <c r="D87" s="1" t="s">
        <v>48</v>
      </c>
      <c r="E87" s="1" t="s">
        <v>21</v>
      </c>
      <c r="F87" s="3" t="s">
        <v>3911</v>
      </c>
      <c r="G87" s="1" t="s">
        <v>3912</v>
      </c>
      <c r="H87" s="1">
        <f t="shared" si="1"/>
        <v>156.258602</v>
      </c>
      <c r="I87" s="1" t="s">
        <v>3913</v>
      </c>
      <c r="J87" s="1">
        <v>0.0</v>
      </c>
    </row>
    <row r="88">
      <c r="A88" s="1">
        <v>2022.0</v>
      </c>
      <c r="B88" s="1">
        <v>2.0</v>
      </c>
      <c r="C88" s="1" t="s">
        <v>68</v>
      </c>
      <c r="D88" s="1" t="s">
        <v>1830</v>
      </c>
      <c r="E88" s="1" t="s">
        <v>72</v>
      </c>
      <c r="F88" s="3">
        <v>1512837.0</v>
      </c>
      <c r="G88" s="1" t="s">
        <v>3914</v>
      </c>
      <c r="H88" s="1">
        <f t="shared" si="1"/>
        <v>121.201788</v>
      </c>
      <c r="I88" s="1" t="s">
        <v>3915</v>
      </c>
      <c r="J88" s="1">
        <v>1290.0</v>
      </c>
    </row>
    <row r="89">
      <c r="A89" s="1">
        <v>2022.0</v>
      </c>
      <c r="B89" s="1">
        <v>2.0</v>
      </c>
      <c r="C89" s="1" t="s">
        <v>68</v>
      </c>
      <c r="D89" s="1" t="s">
        <v>2104</v>
      </c>
      <c r="E89" s="1" t="s">
        <v>17</v>
      </c>
      <c r="F89" s="3">
        <v>162566.0</v>
      </c>
      <c r="G89" s="1" t="s">
        <v>3916</v>
      </c>
      <c r="H89" s="1">
        <f t="shared" si="1"/>
        <v>106.804421</v>
      </c>
      <c r="I89" s="1" t="s">
        <v>3918</v>
      </c>
      <c r="J89" s="1">
        <v>463.0</v>
      </c>
    </row>
    <row r="90">
      <c r="A90" s="1">
        <v>2022.0</v>
      </c>
      <c r="B90" s="1">
        <v>2.0</v>
      </c>
      <c r="C90" s="1" t="s">
        <v>68</v>
      </c>
      <c r="D90" s="1" t="s">
        <v>32</v>
      </c>
      <c r="E90" s="1" t="s">
        <v>14</v>
      </c>
      <c r="F90" s="3" t="s">
        <v>3919</v>
      </c>
      <c r="G90" s="1" t="s">
        <v>3920</v>
      </c>
      <c r="H90" s="1">
        <f t="shared" si="1"/>
        <v>79.158238</v>
      </c>
      <c r="I90" s="1" t="s">
        <v>3921</v>
      </c>
      <c r="J90" s="1">
        <v>359.0</v>
      </c>
    </row>
    <row r="91">
      <c r="A91" s="1">
        <v>2022.0</v>
      </c>
      <c r="B91" s="1">
        <v>2.0</v>
      </c>
      <c r="C91" s="1" t="s">
        <v>68</v>
      </c>
      <c r="D91" s="1" t="s">
        <v>32</v>
      </c>
      <c r="E91" s="1" t="s">
        <v>21</v>
      </c>
      <c r="F91" s="1" t="s">
        <v>3922</v>
      </c>
      <c r="G91" s="1" t="s">
        <v>3924</v>
      </c>
      <c r="H91" s="1">
        <f t="shared" si="1"/>
        <v>5.084217</v>
      </c>
      <c r="I91" s="1" t="s">
        <v>3925</v>
      </c>
      <c r="J91" s="1">
        <v>52.0</v>
      </c>
    </row>
    <row r="92">
      <c r="A92" s="1">
        <v>2022.0</v>
      </c>
      <c r="B92" s="1">
        <v>2.0</v>
      </c>
      <c r="C92" s="1" t="s">
        <v>68</v>
      </c>
      <c r="D92" s="1" t="s">
        <v>42</v>
      </c>
      <c r="E92" s="1" t="s">
        <v>17</v>
      </c>
      <c r="F92" s="1" t="s">
        <v>1685</v>
      </c>
      <c r="G92" s="1" t="s">
        <v>3926</v>
      </c>
      <c r="H92" s="1">
        <f t="shared" si="1"/>
        <v>83.905488</v>
      </c>
      <c r="I92" s="1" t="s">
        <v>2233</v>
      </c>
      <c r="J92" s="1">
        <v>0.0</v>
      </c>
    </row>
    <row r="93">
      <c r="A93" s="1">
        <v>2022.0</v>
      </c>
      <c r="B93" s="1">
        <v>2.0</v>
      </c>
      <c r="C93" s="1" t="s">
        <v>116</v>
      </c>
      <c r="D93" s="1" t="s">
        <v>13</v>
      </c>
      <c r="E93" s="1" t="s">
        <v>14</v>
      </c>
      <c r="F93" s="1" t="s">
        <v>3928</v>
      </c>
      <c r="G93" s="1" t="s">
        <v>3929</v>
      </c>
      <c r="H93" s="1">
        <f t="shared" si="1"/>
        <v>11127.30868</v>
      </c>
      <c r="I93" s="1" t="s">
        <v>3930</v>
      </c>
      <c r="J93" s="1">
        <v>18131.0</v>
      </c>
    </row>
    <row r="94">
      <c r="A94" s="1">
        <v>2022.0</v>
      </c>
      <c r="B94" s="1">
        <v>2.0</v>
      </c>
      <c r="C94" s="1" t="s">
        <v>116</v>
      </c>
      <c r="D94" s="1" t="s">
        <v>13</v>
      </c>
      <c r="E94" s="1" t="s">
        <v>17</v>
      </c>
      <c r="F94" s="1" t="s">
        <v>3931</v>
      </c>
      <c r="G94" s="1" t="s">
        <v>3933</v>
      </c>
      <c r="H94" s="1">
        <f t="shared" si="1"/>
        <v>12648.51394</v>
      </c>
      <c r="I94" s="1" t="s">
        <v>3935</v>
      </c>
      <c r="J94" s="1">
        <v>16535.0</v>
      </c>
    </row>
    <row r="95">
      <c r="A95" s="1">
        <v>2022.0</v>
      </c>
      <c r="B95" s="1">
        <v>2.0</v>
      </c>
      <c r="C95" s="1" t="s">
        <v>116</v>
      </c>
      <c r="D95" s="1" t="s">
        <v>13</v>
      </c>
      <c r="E95" s="1" t="s">
        <v>21</v>
      </c>
      <c r="F95" s="3">
        <v>688666.0</v>
      </c>
      <c r="G95" s="1" t="s">
        <v>3936</v>
      </c>
      <c r="H95" s="1">
        <f t="shared" si="1"/>
        <v>1108.961017</v>
      </c>
      <c r="I95" s="3">
        <v>1823718.0</v>
      </c>
      <c r="J95" s="1">
        <v>690.0</v>
      </c>
    </row>
    <row r="96">
      <c r="A96" s="1">
        <v>2022.0</v>
      </c>
      <c r="B96" s="1">
        <v>2.0</v>
      </c>
      <c r="C96" s="1" t="s">
        <v>116</v>
      </c>
      <c r="D96" s="1" t="s">
        <v>13</v>
      </c>
      <c r="E96" s="1" t="s">
        <v>25</v>
      </c>
      <c r="F96" s="1" t="s">
        <v>3937</v>
      </c>
      <c r="G96" s="1" t="s">
        <v>3938</v>
      </c>
      <c r="H96" s="1">
        <f t="shared" si="1"/>
        <v>3.141648</v>
      </c>
      <c r="I96" s="1" t="s">
        <v>3939</v>
      </c>
      <c r="J96" s="1">
        <v>4.0</v>
      </c>
    </row>
    <row r="97">
      <c r="A97" s="1">
        <v>2022.0</v>
      </c>
      <c r="B97" s="1">
        <v>2.0</v>
      </c>
      <c r="C97" s="1" t="s">
        <v>116</v>
      </c>
      <c r="D97" s="1" t="s">
        <v>29</v>
      </c>
      <c r="E97" s="1" t="s">
        <v>14</v>
      </c>
      <c r="F97" s="1" t="s">
        <v>3940</v>
      </c>
      <c r="G97" s="1" t="s">
        <v>3941</v>
      </c>
      <c r="H97" s="1">
        <f t="shared" si="1"/>
        <v>118.79017</v>
      </c>
      <c r="I97" s="1" t="s">
        <v>3942</v>
      </c>
      <c r="J97" s="1">
        <v>276.0</v>
      </c>
    </row>
    <row r="98">
      <c r="A98" s="1">
        <v>2022.0</v>
      </c>
      <c r="B98" s="1">
        <v>2.0</v>
      </c>
      <c r="C98" s="1" t="s">
        <v>116</v>
      </c>
      <c r="D98" s="1" t="s">
        <v>29</v>
      </c>
      <c r="E98" s="1" t="s">
        <v>21</v>
      </c>
      <c r="F98" s="1" t="s">
        <v>3943</v>
      </c>
      <c r="G98" s="1" t="s">
        <v>3944</v>
      </c>
      <c r="H98" s="1">
        <f t="shared" si="1"/>
        <v>6283.969207</v>
      </c>
      <c r="I98" s="3">
        <v>2303525.0</v>
      </c>
      <c r="J98" s="1">
        <v>3996.0</v>
      </c>
    </row>
    <row r="99">
      <c r="A99" s="1">
        <v>2022.0</v>
      </c>
      <c r="B99" s="1">
        <v>2.0</v>
      </c>
      <c r="C99" s="1" t="s">
        <v>116</v>
      </c>
      <c r="D99" s="1" t="s">
        <v>45</v>
      </c>
      <c r="E99" s="1" t="s">
        <v>49</v>
      </c>
      <c r="F99" s="3">
        <v>363450.0</v>
      </c>
      <c r="G99" s="1" t="s">
        <v>3945</v>
      </c>
      <c r="H99" s="1">
        <f t="shared" si="1"/>
        <v>130.569642</v>
      </c>
      <c r="I99" s="1" t="s">
        <v>3946</v>
      </c>
      <c r="J99" s="1">
        <v>321.0</v>
      </c>
    </row>
    <row r="100">
      <c r="A100" s="1">
        <v>2022.0</v>
      </c>
      <c r="B100" s="1">
        <v>2.0</v>
      </c>
      <c r="C100" s="1" t="s">
        <v>116</v>
      </c>
      <c r="D100" s="1" t="s">
        <v>45</v>
      </c>
      <c r="E100" s="1" t="s">
        <v>17</v>
      </c>
      <c r="F100" s="1" t="s">
        <v>3947</v>
      </c>
      <c r="G100" s="1" t="s">
        <v>3948</v>
      </c>
      <c r="H100" s="1">
        <f t="shared" si="1"/>
        <v>1788.133068</v>
      </c>
      <c r="I100" s="3">
        <v>712103.0</v>
      </c>
      <c r="J100" s="1">
        <v>1739.0</v>
      </c>
    </row>
    <row r="101">
      <c r="A101" s="1">
        <v>2022.0</v>
      </c>
      <c r="B101" s="1">
        <v>2.0</v>
      </c>
      <c r="C101" s="1" t="s">
        <v>116</v>
      </c>
      <c r="D101" s="1" t="s">
        <v>38</v>
      </c>
      <c r="E101" s="1" t="s">
        <v>39</v>
      </c>
      <c r="F101" s="3" t="s">
        <v>3949</v>
      </c>
      <c r="G101" s="1" t="s">
        <v>3950</v>
      </c>
      <c r="H101" s="1">
        <f t="shared" si="1"/>
        <v>953.289157</v>
      </c>
      <c r="I101" s="3">
        <v>2238208.0</v>
      </c>
      <c r="J101" s="1">
        <v>3804.0</v>
      </c>
    </row>
    <row r="102">
      <c r="A102" s="1">
        <v>2022.0</v>
      </c>
      <c r="B102" s="1">
        <v>2.0</v>
      </c>
      <c r="C102" s="1" t="s">
        <v>116</v>
      </c>
      <c r="D102" s="1" t="s">
        <v>48</v>
      </c>
      <c r="E102" s="1" t="s">
        <v>49</v>
      </c>
      <c r="F102" s="1" t="s">
        <v>3939</v>
      </c>
      <c r="G102" s="1" t="s">
        <v>3951</v>
      </c>
      <c r="H102" s="1">
        <f t="shared" si="1"/>
        <v>4.713831</v>
      </c>
      <c r="I102" s="1" t="s">
        <v>3952</v>
      </c>
      <c r="J102" s="1">
        <v>5.0</v>
      </c>
    </row>
    <row r="103">
      <c r="A103" s="1">
        <v>2022.0</v>
      </c>
      <c r="B103" s="1">
        <v>2.0</v>
      </c>
      <c r="C103" s="1" t="s">
        <v>116</v>
      </c>
      <c r="D103" s="1" t="s">
        <v>48</v>
      </c>
      <c r="E103" s="1" t="s">
        <v>72</v>
      </c>
      <c r="F103" s="1" t="s">
        <v>3953</v>
      </c>
      <c r="G103" s="1" t="s">
        <v>3954</v>
      </c>
      <c r="H103" s="1">
        <f t="shared" si="1"/>
        <v>2.390466</v>
      </c>
      <c r="I103" s="1" t="s">
        <v>880</v>
      </c>
      <c r="J103" s="1">
        <v>7.0</v>
      </c>
    </row>
    <row r="104">
      <c r="A104" s="1">
        <v>2022.0</v>
      </c>
      <c r="B104" s="1">
        <v>2.0</v>
      </c>
      <c r="C104" s="1" t="s">
        <v>116</v>
      </c>
      <c r="D104" s="1" t="s">
        <v>48</v>
      </c>
      <c r="E104" s="1" t="s">
        <v>21</v>
      </c>
      <c r="F104" s="3">
        <v>1994651.0</v>
      </c>
      <c r="G104" s="1" t="s">
        <v>3955</v>
      </c>
      <c r="H104" s="1">
        <f t="shared" si="1"/>
        <v>756.533329</v>
      </c>
      <c r="I104" s="3">
        <v>1112166.0</v>
      </c>
      <c r="J104" s="1">
        <v>411.0</v>
      </c>
    </row>
    <row r="105">
      <c r="A105" s="1">
        <v>2022.0</v>
      </c>
      <c r="B105" s="1">
        <v>2.0</v>
      </c>
      <c r="C105" s="1" t="s">
        <v>116</v>
      </c>
      <c r="D105" s="1" t="s">
        <v>147</v>
      </c>
      <c r="E105" s="1" t="s">
        <v>39</v>
      </c>
      <c r="F105" s="3">
        <v>422953.0</v>
      </c>
      <c r="G105" s="1" t="s">
        <v>3956</v>
      </c>
      <c r="H105" s="1">
        <f t="shared" si="1"/>
        <v>401.388021</v>
      </c>
      <c r="I105" s="1" t="s">
        <v>965</v>
      </c>
      <c r="J105" s="1">
        <v>99.0</v>
      </c>
    </row>
    <row r="106">
      <c r="A106" s="1">
        <v>2022.0</v>
      </c>
      <c r="B106" s="1">
        <v>2.0</v>
      </c>
      <c r="C106" s="1" t="s">
        <v>116</v>
      </c>
      <c r="D106" s="1" t="s">
        <v>147</v>
      </c>
      <c r="E106" s="1" t="s">
        <v>17</v>
      </c>
      <c r="F106" s="1" t="s">
        <v>3957</v>
      </c>
      <c r="G106" s="1" t="s">
        <v>3958</v>
      </c>
      <c r="H106" s="1">
        <f t="shared" si="1"/>
        <v>6.543679</v>
      </c>
      <c r="I106" s="1" t="s">
        <v>3959</v>
      </c>
      <c r="J106" s="1">
        <v>3.0</v>
      </c>
    </row>
    <row r="107">
      <c r="A107" s="1">
        <v>2022.0</v>
      </c>
      <c r="B107" s="1">
        <v>2.0</v>
      </c>
      <c r="C107" s="1" t="s">
        <v>116</v>
      </c>
      <c r="D107" s="1" t="s">
        <v>147</v>
      </c>
      <c r="E107" s="1" t="s">
        <v>21</v>
      </c>
      <c r="F107" s="1" t="s">
        <v>3960</v>
      </c>
      <c r="G107" s="1" t="s">
        <v>3961</v>
      </c>
      <c r="H107" s="1">
        <f t="shared" si="1"/>
        <v>46.111162</v>
      </c>
      <c r="I107" s="1" t="s">
        <v>1775</v>
      </c>
      <c r="J107" s="1">
        <v>42.0</v>
      </c>
    </row>
    <row r="108">
      <c r="A108" s="1">
        <v>2022.0</v>
      </c>
      <c r="B108" s="1">
        <v>2.0</v>
      </c>
      <c r="C108" s="1" t="s">
        <v>116</v>
      </c>
      <c r="D108" s="1" t="s">
        <v>3962</v>
      </c>
      <c r="E108" s="1" t="s">
        <v>17</v>
      </c>
      <c r="F108" s="3">
        <v>1854064.0</v>
      </c>
      <c r="G108" s="1" t="s">
        <v>3963</v>
      </c>
      <c r="H108" s="1">
        <f t="shared" si="1"/>
        <v>410.970309</v>
      </c>
      <c r="I108" s="3">
        <v>1658569.0</v>
      </c>
      <c r="J108" s="1">
        <v>2630.0</v>
      </c>
    </row>
    <row r="109">
      <c r="A109" s="1">
        <v>2022.0</v>
      </c>
      <c r="B109" s="1">
        <v>2.0</v>
      </c>
      <c r="C109" s="1" t="s">
        <v>116</v>
      </c>
      <c r="D109" s="1" t="s">
        <v>1851</v>
      </c>
      <c r="E109" s="1" t="s">
        <v>17</v>
      </c>
      <c r="F109" s="3">
        <v>2512595.0</v>
      </c>
      <c r="G109" s="1" t="s">
        <v>3964</v>
      </c>
      <c r="H109" s="1">
        <f t="shared" si="1"/>
        <v>342.937167</v>
      </c>
      <c r="I109" s="1" t="s">
        <v>3965</v>
      </c>
      <c r="J109" s="1">
        <v>1629.0</v>
      </c>
    </row>
    <row r="110">
      <c r="A110" s="1">
        <v>2022.0</v>
      </c>
      <c r="B110" s="1">
        <v>2.0</v>
      </c>
      <c r="C110" s="1" t="s">
        <v>116</v>
      </c>
      <c r="D110" s="1" t="s">
        <v>1851</v>
      </c>
      <c r="E110" s="1" t="s">
        <v>21</v>
      </c>
      <c r="F110" s="1" t="s">
        <v>3966</v>
      </c>
      <c r="G110" s="1" t="s">
        <v>3967</v>
      </c>
      <c r="H110" s="1">
        <f t="shared" si="1"/>
        <v>28.097594</v>
      </c>
      <c r="I110" s="1" t="s">
        <v>3968</v>
      </c>
      <c r="J110" s="1">
        <v>145.0</v>
      </c>
    </row>
    <row r="111">
      <c r="A111" s="1">
        <v>2022.0</v>
      </c>
      <c r="B111" s="1">
        <v>2.0</v>
      </c>
      <c r="C111" s="1" t="s">
        <v>116</v>
      </c>
      <c r="D111" s="1" t="s">
        <v>1830</v>
      </c>
      <c r="E111" s="1" t="s">
        <v>72</v>
      </c>
      <c r="F111" s="3">
        <v>1951552.0</v>
      </c>
      <c r="G111" s="1" t="s">
        <v>3969</v>
      </c>
      <c r="H111" s="1">
        <f t="shared" si="1"/>
        <v>298.288386</v>
      </c>
      <c r="I111" s="3">
        <v>6576.0</v>
      </c>
      <c r="J111" s="1">
        <v>2653.0</v>
      </c>
    </row>
    <row r="112">
      <c r="A112" s="1">
        <v>2022.0</v>
      </c>
      <c r="B112" s="1">
        <v>2.0</v>
      </c>
      <c r="C112" s="1" t="s">
        <v>116</v>
      </c>
      <c r="D112" s="1" t="s">
        <v>42</v>
      </c>
      <c r="E112" s="1" t="s">
        <v>17</v>
      </c>
      <c r="F112" s="1" t="s">
        <v>2429</v>
      </c>
      <c r="G112" s="1" t="s">
        <v>3970</v>
      </c>
      <c r="H112" s="1">
        <f t="shared" si="1"/>
        <v>256.508867</v>
      </c>
      <c r="I112" s="1" t="s">
        <v>3971</v>
      </c>
      <c r="J112" s="1">
        <v>0.0</v>
      </c>
    </row>
    <row r="113">
      <c r="A113" s="1">
        <v>2022.0</v>
      </c>
      <c r="B113" s="1">
        <v>3.0</v>
      </c>
      <c r="C113" s="1" t="s">
        <v>12</v>
      </c>
      <c r="D113" s="1" t="s">
        <v>13</v>
      </c>
      <c r="E113" s="1" t="s">
        <v>14</v>
      </c>
      <c r="F113" s="1" t="s">
        <v>3972</v>
      </c>
      <c r="G113" s="1" t="s">
        <v>3973</v>
      </c>
      <c r="H113" s="1">
        <f t="shared" si="1"/>
        <v>1000.988615</v>
      </c>
      <c r="I113" s="3">
        <v>2825184.0</v>
      </c>
      <c r="J113" s="1">
        <v>478.0</v>
      </c>
    </row>
    <row r="114">
      <c r="A114" s="1">
        <v>2022.0</v>
      </c>
      <c r="B114" s="1">
        <v>3.0</v>
      </c>
      <c r="C114" s="1" t="s">
        <v>12</v>
      </c>
      <c r="D114" s="1" t="s">
        <v>13</v>
      </c>
      <c r="E114" s="1" t="s">
        <v>17</v>
      </c>
      <c r="F114" s="1" t="s">
        <v>3974</v>
      </c>
      <c r="G114" s="1" t="s">
        <v>3975</v>
      </c>
      <c r="H114" s="1">
        <f t="shared" si="1"/>
        <v>7356.761192</v>
      </c>
      <c r="I114" s="1" t="s">
        <v>3976</v>
      </c>
      <c r="J114" s="1">
        <v>710.0</v>
      </c>
    </row>
    <row r="115">
      <c r="A115" s="1">
        <v>2022.0</v>
      </c>
      <c r="B115" s="1">
        <v>3.0</v>
      </c>
      <c r="C115" s="1" t="s">
        <v>12</v>
      </c>
      <c r="D115" s="1" t="s">
        <v>13</v>
      </c>
      <c r="E115" s="1" t="s">
        <v>21</v>
      </c>
      <c r="F115" s="1" t="s">
        <v>3977</v>
      </c>
      <c r="G115" s="1" t="s">
        <v>3978</v>
      </c>
      <c r="H115" s="1">
        <f t="shared" si="1"/>
        <v>6568.246391</v>
      </c>
      <c r="I115" s="1" t="s">
        <v>3979</v>
      </c>
      <c r="J115" s="1">
        <v>618.0</v>
      </c>
    </row>
    <row r="116">
      <c r="A116" s="1">
        <v>2022.0</v>
      </c>
      <c r="B116" s="1">
        <v>3.0</v>
      </c>
      <c r="C116" s="1" t="s">
        <v>12</v>
      </c>
      <c r="D116" s="1" t="s">
        <v>29</v>
      </c>
      <c r="E116" s="1" t="s">
        <v>14</v>
      </c>
      <c r="F116" s="3" t="s">
        <v>3980</v>
      </c>
      <c r="G116" s="1" t="s">
        <v>3981</v>
      </c>
      <c r="H116" s="1">
        <f t="shared" si="1"/>
        <v>327.837154</v>
      </c>
      <c r="I116" s="1" t="s">
        <v>3982</v>
      </c>
      <c r="J116" s="1">
        <v>92.0</v>
      </c>
    </row>
    <row r="117">
      <c r="A117" s="1">
        <v>2022.0</v>
      </c>
      <c r="B117" s="1">
        <v>3.0</v>
      </c>
      <c r="C117" s="1" t="s">
        <v>12</v>
      </c>
      <c r="D117" s="1" t="s">
        <v>29</v>
      </c>
      <c r="E117" s="1" t="s">
        <v>21</v>
      </c>
      <c r="F117" s="1" t="s">
        <v>3983</v>
      </c>
      <c r="G117" s="1" t="s">
        <v>3984</v>
      </c>
      <c r="H117" s="1">
        <f t="shared" si="1"/>
        <v>9020.890311</v>
      </c>
      <c r="I117" s="1" t="s">
        <v>3985</v>
      </c>
      <c r="J117" s="1">
        <v>675.0</v>
      </c>
    </row>
    <row r="118">
      <c r="A118" s="1">
        <v>2022.0</v>
      </c>
      <c r="B118" s="1">
        <v>3.0</v>
      </c>
      <c r="C118" s="1" t="s">
        <v>12</v>
      </c>
      <c r="D118" s="1" t="s">
        <v>38</v>
      </c>
      <c r="E118" s="1" t="s">
        <v>39</v>
      </c>
      <c r="F118" s="3">
        <v>2251417.0</v>
      </c>
      <c r="G118" s="1" t="s">
        <v>3986</v>
      </c>
      <c r="H118" s="1">
        <f t="shared" si="1"/>
        <v>424.69898</v>
      </c>
      <c r="I118" s="1" t="s">
        <v>1690</v>
      </c>
      <c r="J118" s="1">
        <v>191.0</v>
      </c>
    </row>
    <row r="119">
      <c r="A119" s="1">
        <v>2022.0</v>
      </c>
      <c r="B119" s="1">
        <v>3.0</v>
      </c>
      <c r="C119" s="1" t="s">
        <v>12</v>
      </c>
      <c r="D119" s="1" t="s">
        <v>48</v>
      </c>
      <c r="E119" s="1" t="s">
        <v>49</v>
      </c>
      <c r="F119" s="1" t="s">
        <v>1132</v>
      </c>
      <c r="G119" s="1" t="s">
        <v>3987</v>
      </c>
      <c r="H119" s="1">
        <f t="shared" si="1"/>
        <v>4.180465</v>
      </c>
      <c r="I119" s="1" t="s">
        <v>1341</v>
      </c>
      <c r="J119" s="1">
        <v>8.0</v>
      </c>
    </row>
    <row r="120">
      <c r="A120" s="1">
        <v>2022.0</v>
      </c>
      <c r="B120" s="1">
        <v>3.0</v>
      </c>
      <c r="C120" s="1" t="s">
        <v>12</v>
      </c>
      <c r="D120" s="1" t="s">
        <v>48</v>
      </c>
      <c r="E120" s="1" t="s">
        <v>21</v>
      </c>
      <c r="F120" s="1" t="s">
        <v>3988</v>
      </c>
      <c r="G120" s="1" t="s">
        <v>3989</v>
      </c>
      <c r="H120" s="1">
        <f t="shared" si="1"/>
        <v>346.640958</v>
      </c>
      <c r="I120" s="1" t="s">
        <v>3990</v>
      </c>
      <c r="J120" s="1">
        <v>169.0</v>
      </c>
    </row>
    <row r="121">
      <c r="A121" s="1">
        <v>2022.0</v>
      </c>
      <c r="B121" s="1">
        <v>3.0</v>
      </c>
      <c r="C121" s="1" t="s">
        <v>12</v>
      </c>
      <c r="D121" s="1" t="s">
        <v>45</v>
      </c>
      <c r="E121" s="1" t="s">
        <v>49</v>
      </c>
      <c r="F121" s="1" t="s">
        <v>1341</v>
      </c>
      <c r="G121" s="1" t="s">
        <v>3991</v>
      </c>
      <c r="H121" s="1">
        <f t="shared" si="1"/>
        <v>0.209196</v>
      </c>
      <c r="I121" s="1" t="s">
        <v>1962</v>
      </c>
      <c r="J121" s="1">
        <v>2.0</v>
      </c>
    </row>
    <row r="122">
      <c r="A122" s="1">
        <v>2022.0</v>
      </c>
      <c r="B122" s="1">
        <v>3.0</v>
      </c>
      <c r="C122" s="1" t="s">
        <v>12</v>
      </c>
      <c r="D122" s="1" t="s">
        <v>45</v>
      </c>
      <c r="E122" s="1" t="s">
        <v>17</v>
      </c>
      <c r="F122" s="3">
        <v>2089951.0</v>
      </c>
      <c r="G122" s="1" t="s">
        <v>3992</v>
      </c>
      <c r="H122" s="1">
        <f t="shared" si="1"/>
        <v>225.403033</v>
      </c>
      <c r="I122" s="1" t="s">
        <v>3993</v>
      </c>
      <c r="J122" s="1">
        <v>148.0</v>
      </c>
    </row>
    <row r="123">
      <c r="A123" s="1">
        <v>2022.0</v>
      </c>
      <c r="B123" s="1">
        <v>3.0</v>
      </c>
      <c r="C123" s="1" t="s">
        <v>12</v>
      </c>
      <c r="D123" s="1" t="s">
        <v>42</v>
      </c>
      <c r="E123" s="1" t="s">
        <v>17</v>
      </c>
      <c r="F123" s="1" t="s">
        <v>3994</v>
      </c>
      <c r="G123" s="1" t="s">
        <v>3995</v>
      </c>
      <c r="H123" s="1">
        <f t="shared" si="1"/>
        <v>146.810783</v>
      </c>
      <c r="I123" s="1" t="s">
        <v>3996</v>
      </c>
      <c r="J123" s="1">
        <v>30.0</v>
      </c>
    </row>
    <row r="124">
      <c r="A124" s="1">
        <v>2022.0</v>
      </c>
      <c r="B124" s="1">
        <v>3.0</v>
      </c>
      <c r="C124" s="1" t="s">
        <v>12</v>
      </c>
      <c r="D124" s="1" t="s">
        <v>1830</v>
      </c>
      <c r="E124" s="1" t="s">
        <v>72</v>
      </c>
      <c r="F124" s="3">
        <v>217687.0</v>
      </c>
      <c r="G124" s="1" t="s">
        <v>3997</v>
      </c>
      <c r="H124" s="1">
        <f t="shared" si="1"/>
        <v>117.282172</v>
      </c>
      <c r="I124" s="1" t="s">
        <v>3998</v>
      </c>
      <c r="J124" s="1">
        <v>291.0</v>
      </c>
    </row>
    <row r="125">
      <c r="A125" s="1">
        <v>2022.0</v>
      </c>
      <c r="B125" s="1">
        <v>3.0</v>
      </c>
      <c r="C125" s="1" t="s">
        <v>12</v>
      </c>
      <c r="D125" s="1" t="s">
        <v>848</v>
      </c>
      <c r="E125" s="1" t="s">
        <v>21</v>
      </c>
      <c r="F125" s="1" t="s">
        <v>3999</v>
      </c>
      <c r="G125" s="1" t="s">
        <v>4000</v>
      </c>
      <c r="H125" s="1">
        <f t="shared" si="1"/>
        <v>82.92376</v>
      </c>
      <c r="I125" s="1" t="s">
        <v>4001</v>
      </c>
      <c r="J125" s="1">
        <v>0.0</v>
      </c>
    </row>
    <row r="126">
      <c r="A126" s="1">
        <v>2022.0</v>
      </c>
      <c r="B126" s="1">
        <v>3.0</v>
      </c>
      <c r="C126" s="1" t="s">
        <v>12</v>
      </c>
      <c r="D126" s="1" t="s">
        <v>3962</v>
      </c>
      <c r="E126" s="1" t="s">
        <v>17</v>
      </c>
      <c r="F126" s="1" t="s">
        <v>4002</v>
      </c>
      <c r="G126" s="1" t="s">
        <v>4003</v>
      </c>
      <c r="H126" s="1">
        <f t="shared" si="1"/>
        <v>75.031017</v>
      </c>
      <c r="I126" s="1" t="s">
        <v>4004</v>
      </c>
      <c r="J126" s="1">
        <v>117.0</v>
      </c>
    </row>
    <row r="127">
      <c r="A127" s="1">
        <v>2022.0</v>
      </c>
      <c r="B127" s="1">
        <v>3.0</v>
      </c>
      <c r="C127" s="1" t="s">
        <v>12</v>
      </c>
      <c r="D127" s="1" t="s">
        <v>56</v>
      </c>
      <c r="E127" s="1" t="s">
        <v>21</v>
      </c>
      <c r="F127" s="1" t="s">
        <v>4005</v>
      </c>
      <c r="G127" s="1" t="s">
        <v>4006</v>
      </c>
      <c r="H127" s="1">
        <f t="shared" si="1"/>
        <v>64.890698</v>
      </c>
      <c r="I127" s="1" t="s">
        <v>4007</v>
      </c>
      <c r="J127" s="1">
        <v>128.0</v>
      </c>
    </row>
    <row r="128">
      <c r="A128" s="1">
        <v>2022.0</v>
      </c>
      <c r="B128" s="1">
        <v>3.0</v>
      </c>
      <c r="C128" s="1" t="s">
        <v>68</v>
      </c>
      <c r="D128" s="1" t="s">
        <v>13</v>
      </c>
      <c r="E128" s="1" t="s">
        <v>14</v>
      </c>
      <c r="F128" s="1" t="s">
        <v>4008</v>
      </c>
      <c r="G128" s="1" t="s">
        <v>4009</v>
      </c>
      <c r="H128" s="1">
        <f t="shared" si="1"/>
        <v>3593.978608</v>
      </c>
      <c r="I128" s="1" t="s">
        <v>4010</v>
      </c>
      <c r="J128" s="1">
        <v>8349.0</v>
      </c>
    </row>
    <row r="129">
      <c r="A129" s="1">
        <v>2022.0</v>
      </c>
      <c r="B129" s="1">
        <v>3.0</v>
      </c>
      <c r="C129" s="1" t="s">
        <v>68</v>
      </c>
      <c r="D129" s="1" t="s">
        <v>13</v>
      </c>
      <c r="E129" s="1" t="s">
        <v>17</v>
      </c>
      <c r="F129" s="1" t="s">
        <v>4011</v>
      </c>
      <c r="G129" s="1" t="s">
        <v>4012</v>
      </c>
      <c r="H129" s="1">
        <f t="shared" si="1"/>
        <v>6762.738663</v>
      </c>
      <c r="I129" s="1" t="s">
        <v>4013</v>
      </c>
      <c r="J129" s="1">
        <v>9221.0</v>
      </c>
    </row>
    <row r="130">
      <c r="A130" s="1">
        <v>2022.0</v>
      </c>
      <c r="B130" s="1">
        <v>3.0</v>
      </c>
      <c r="C130" s="1" t="s">
        <v>68</v>
      </c>
      <c r="D130" s="1" t="s">
        <v>13</v>
      </c>
      <c r="E130" s="1" t="s">
        <v>21</v>
      </c>
      <c r="F130" s="3">
        <v>1538097.0</v>
      </c>
      <c r="G130" s="1" t="s">
        <v>4014</v>
      </c>
      <c r="H130" s="1">
        <f t="shared" si="1"/>
        <v>602.117373</v>
      </c>
      <c r="I130" s="3">
        <v>2248070.0</v>
      </c>
      <c r="J130" s="1">
        <v>786.0</v>
      </c>
    </row>
    <row r="131">
      <c r="A131" s="1">
        <v>2022.0</v>
      </c>
      <c r="B131" s="1">
        <v>3.0</v>
      </c>
      <c r="C131" s="1" t="s">
        <v>68</v>
      </c>
      <c r="D131" s="1" t="s">
        <v>13</v>
      </c>
      <c r="E131" s="1" t="s">
        <v>25</v>
      </c>
      <c r="F131" s="1" t="s">
        <v>4015</v>
      </c>
      <c r="G131" s="1" t="s">
        <v>4016</v>
      </c>
      <c r="H131" s="1">
        <f t="shared" si="1"/>
        <v>50.571637</v>
      </c>
      <c r="I131" s="1" t="s">
        <v>1463</v>
      </c>
      <c r="J131" s="1">
        <v>179.0</v>
      </c>
    </row>
    <row r="132">
      <c r="A132" s="1">
        <v>2022.0</v>
      </c>
      <c r="B132" s="1">
        <v>3.0</v>
      </c>
      <c r="C132" s="1" t="s">
        <v>68</v>
      </c>
      <c r="D132" s="1" t="s">
        <v>29</v>
      </c>
      <c r="E132" s="1" t="s">
        <v>14</v>
      </c>
      <c r="F132" s="1" t="s">
        <v>4017</v>
      </c>
      <c r="G132" s="1" t="s">
        <v>4018</v>
      </c>
      <c r="H132" s="1">
        <f t="shared" si="1"/>
        <v>67.629072</v>
      </c>
      <c r="I132" s="1" t="s">
        <v>4019</v>
      </c>
      <c r="J132" s="1">
        <v>64.0</v>
      </c>
    </row>
    <row r="133">
      <c r="A133" s="1">
        <v>2022.0</v>
      </c>
      <c r="B133" s="1">
        <v>3.0</v>
      </c>
      <c r="C133" s="1" t="s">
        <v>68</v>
      </c>
      <c r="D133" s="1" t="s">
        <v>29</v>
      </c>
      <c r="E133" s="1" t="s">
        <v>21</v>
      </c>
      <c r="F133" s="1" t="s">
        <v>4020</v>
      </c>
      <c r="G133" s="1" t="s">
        <v>4021</v>
      </c>
      <c r="H133" s="1">
        <f t="shared" si="1"/>
        <v>3567.870595</v>
      </c>
      <c r="I133" s="3">
        <v>2528027.0</v>
      </c>
      <c r="J133" s="1">
        <v>2934.0</v>
      </c>
    </row>
    <row r="134">
      <c r="A134" s="1">
        <v>2022.0</v>
      </c>
      <c r="B134" s="1">
        <v>3.0</v>
      </c>
      <c r="C134" s="1" t="s">
        <v>68</v>
      </c>
      <c r="D134" s="1" t="s">
        <v>45</v>
      </c>
      <c r="E134" s="1" t="s">
        <v>49</v>
      </c>
      <c r="F134" s="3" t="s">
        <v>4022</v>
      </c>
      <c r="G134" s="1" t="s">
        <v>4023</v>
      </c>
      <c r="H134" s="1">
        <f t="shared" si="1"/>
        <v>68.207659</v>
      </c>
      <c r="I134" s="1" t="s">
        <v>221</v>
      </c>
      <c r="J134" s="1">
        <v>136.0</v>
      </c>
    </row>
    <row r="135">
      <c r="A135" s="1">
        <v>2022.0</v>
      </c>
      <c r="B135" s="1">
        <v>3.0</v>
      </c>
      <c r="C135" s="1" t="s">
        <v>68</v>
      </c>
      <c r="D135" s="1" t="s">
        <v>45</v>
      </c>
      <c r="E135" s="1" t="s">
        <v>17</v>
      </c>
      <c r="F135" s="3">
        <v>1493783.0</v>
      </c>
      <c r="G135" s="1" t="s">
        <v>4024</v>
      </c>
      <c r="H135" s="1">
        <f t="shared" si="1"/>
        <v>762.579249</v>
      </c>
      <c r="I135" s="3" t="s">
        <v>4025</v>
      </c>
      <c r="J135" s="1">
        <v>1371.0</v>
      </c>
    </row>
    <row r="136">
      <c r="A136" s="1">
        <v>2022.0</v>
      </c>
      <c r="B136" s="1">
        <v>3.0</v>
      </c>
      <c r="C136" s="1" t="s">
        <v>68</v>
      </c>
      <c r="D136" s="1" t="s">
        <v>38</v>
      </c>
      <c r="E136" s="1" t="s">
        <v>39</v>
      </c>
      <c r="F136" s="1" t="s">
        <v>4026</v>
      </c>
      <c r="G136" s="1" t="s">
        <v>4027</v>
      </c>
      <c r="H136" s="1">
        <f t="shared" si="1"/>
        <v>517.770552</v>
      </c>
      <c r="I136" s="1" t="s">
        <v>4028</v>
      </c>
      <c r="J136" s="1">
        <v>2432.0</v>
      </c>
    </row>
    <row r="137">
      <c r="A137" s="1">
        <v>2022.0</v>
      </c>
      <c r="B137" s="1">
        <v>3.0</v>
      </c>
      <c r="C137" s="1" t="s">
        <v>68</v>
      </c>
      <c r="D137" s="1" t="s">
        <v>1851</v>
      </c>
      <c r="E137" s="1" t="s">
        <v>17</v>
      </c>
      <c r="F137" s="3">
        <v>432509.0</v>
      </c>
      <c r="G137" s="1" t="s">
        <v>4029</v>
      </c>
      <c r="H137" s="1">
        <f t="shared" si="1"/>
        <v>227.97836</v>
      </c>
      <c r="I137" s="3">
        <v>305710.0</v>
      </c>
      <c r="J137" s="1">
        <v>868.0</v>
      </c>
    </row>
    <row r="138">
      <c r="A138" s="1">
        <v>2022.0</v>
      </c>
      <c r="B138" s="1">
        <v>3.0</v>
      </c>
      <c r="C138" s="1" t="s">
        <v>68</v>
      </c>
      <c r="D138" s="1" t="s">
        <v>1851</v>
      </c>
      <c r="E138" s="1" t="s">
        <v>21</v>
      </c>
      <c r="F138" s="1" t="s">
        <v>4030</v>
      </c>
      <c r="G138" s="1" t="s">
        <v>4031</v>
      </c>
      <c r="H138" s="1">
        <f t="shared" si="1"/>
        <v>10.237458</v>
      </c>
      <c r="I138" s="1" t="s">
        <v>128</v>
      </c>
      <c r="J138" s="1">
        <v>147.0</v>
      </c>
    </row>
    <row r="139">
      <c r="A139" s="1">
        <v>2022.0</v>
      </c>
      <c r="B139" s="1">
        <v>3.0</v>
      </c>
      <c r="C139" s="1" t="s">
        <v>68</v>
      </c>
      <c r="D139" s="1" t="s">
        <v>48</v>
      </c>
      <c r="E139" s="1" t="s">
        <v>49</v>
      </c>
      <c r="F139" s="1" t="s">
        <v>73</v>
      </c>
      <c r="G139" s="1" t="s">
        <v>4032</v>
      </c>
      <c r="H139" s="1">
        <f t="shared" si="1"/>
        <v>0.489206</v>
      </c>
      <c r="I139" s="1" t="s">
        <v>75</v>
      </c>
      <c r="J139" s="1">
        <v>3.0</v>
      </c>
    </row>
    <row r="140">
      <c r="A140" s="1">
        <v>2022.0</v>
      </c>
      <c r="B140" s="1">
        <v>3.0</v>
      </c>
      <c r="C140" s="1" t="s">
        <v>68</v>
      </c>
      <c r="D140" s="1" t="s">
        <v>48</v>
      </c>
      <c r="E140" s="1" t="s">
        <v>72</v>
      </c>
      <c r="F140" s="1" t="s">
        <v>207</v>
      </c>
      <c r="G140" s="3">
        <v>2638513.0</v>
      </c>
      <c r="H140" s="1">
        <f t="shared" si="1"/>
        <v>1.9124</v>
      </c>
      <c r="I140" s="1" t="s">
        <v>52</v>
      </c>
      <c r="J140" s="1">
        <v>5.0</v>
      </c>
    </row>
    <row r="141">
      <c r="A141" s="1">
        <v>2022.0</v>
      </c>
      <c r="B141" s="1">
        <v>3.0</v>
      </c>
      <c r="C141" s="1" t="s">
        <v>68</v>
      </c>
      <c r="D141" s="1" t="s">
        <v>48</v>
      </c>
      <c r="E141" s="1" t="s">
        <v>21</v>
      </c>
      <c r="F141" s="3">
        <v>130394.0</v>
      </c>
      <c r="G141" s="1" t="s">
        <v>4033</v>
      </c>
      <c r="H141" s="1">
        <f t="shared" si="1"/>
        <v>191.383313</v>
      </c>
      <c r="I141" s="1" t="s">
        <v>4034</v>
      </c>
      <c r="J141" s="1">
        <v>385.0</v>
      </c>
    </row>
    <row r="142">
      <c r="A142" s="1">
        <v>2022.0</v>
      </c>
      <c r="B142" s="1">
        <v>3.0</v>
      </c>
      <c r="C142" s="1" t="s">
        <v>68</v>
      </c>
      <c r="D142" s="1" t="s">
        <v>1830</v>
      </c>
      <c r="E142" s="1" t="s">
        <v>72</v>
      </c>
      <c r="F142" s="3">
        <v>284557.0</v>
      </c>
      <c r="G142" s="1" t="s">
        <v>4035</v>
      </c>
      <c r="H142" s="1">
        <f t="shared" si="1"/>
        <v>163.897989</v>
      </c>
      <c r="I142" s="1" t="s">
        <v>4036</v>
      </c>
      <c r="J142" s="1">
        <v>1604.0</v>
      </c>
    </row>
    <row r="143">
      <c r="A143" s="1">
        <v>2022.0</v>
      </c>
      <c r="B143" s="1">
        <v>3.0</v>
      </c>
      <c r="C143" s="1" t="s">
        <v>68</v>
      </c>
      <c r="D143" s="1" t="s">
        <v>3962</v>
      </c>
      <c r="E143" s="1" t="s">
        <v>17</v>
      </c>
      <c r="F143" s="3">
        <v>1216990.0</v>
      </c>
      <c r="G143" s="1" t="s">
        <v>4037</v>
      </c>
      <c r="H143" s="1">
        <f t="shared" si="1"/>
        <v>136.057994</v>
      </c>
      <c r="I143" s="1" t="s">
        <v>4038</v>
      </c>
      <c r="J143" s="1">
        <v>642.0</v>
      </c>
    </row>
    <row r="144">
      <c r="A144" s="1">
        <v>2022.0</v>
      </c>
      <c r="B144" s="1">
        <v>3.0</v>
      </c>
      <c r="C144" s="1" t="s">
        <v>68</v>
      </c>
      <c r="D144" s="1" t="s">
        <v>42</v>
      </c>
      <c r="E144" s="1" t="s">
        <v>17</v>
      </c>
      <c r="F144" s="1" t="s">
        <v>4039</v>
      </c>
      <c r="G144" s="1" t="s">
        <v>4040</v>
      </c>
      <c r="H144" s="1">
        <f t="shared" si="1"/>
        <v>131.263071</v>
      </c>
      <c r="I144" s="1" t="s">
        <v>4041</v>
      </c>
      <c r="J144" s="1">
        <v>0.0</v>
      </c>
    </row>
    <row r="145">
      <c r="A145" s="1">
        <v>2022.0</v>
      </c>
      <c r="B145" s="1">
        <v>3.0</v>
      </c>
      <c r="C145" s="1" t="s">
        <v>68</v>
      </c>
      <c r="D145" s="1" t="s">
        <v>2104</v>
      </c>
      <c r="E145" s="1" t="s">
        <v>17</v>
      </c>
      <c r="F145" s="3" t="s">
        <v>4042</v>
      </c>
      <c r="G145" s="1" t="s">
        <v>4044</v>
      </c>
      <c r="H145" s="1">
        <f t="shared" si="1"/>
        <v>110.584264</v>
      </c>
      <c r="I145" s="1" t="s">
        <v>4045</v>
      </c>
      <c r="J145" s="1">
        <v>454.0</v>
      </c>
    </row>
    <row r="146">
      <c r="A146" s="1">
        <v>2022.0</v>
      </c>
      <c r="B146" s="1">
        <v>3.0</v>
      </c>
      <c r="C146" s="1" t="s">
        <v>116</v>
      </c>
      <c r="D146" s="1" t="s">
        <v>13</v>
      </c>
      <c r="E146" s="1" t="s">
        <v>14</v>
      </c>
      <c r="F146" s="1" t="s">
        <v>4046</v>
      </c>
      <c r="G146" s="1" t="s">
        <v>4047</v>
      </c>
      <c r="H146" s="1">
        <f t="shared" si="1"/>
        <v>10159.89176</v>
      </c>
      <c r="I146" s="1" t="s">
        <v>4048</v>
      </c>
      <c r="J146" s="1">
        <v>16513.0</v>
      </c>
    </row>
    <row r="147">
      <c r="A147" s="1">
        <v>2022.0</v>
      </c>
      <c r="B147" s="1">
        <v>3.0</v>
      </c>
      <c r="C147" s="1" t="s">
        <v>116</v>
      </c>
      <c r="D147" s="1" t="s">
        <v>13</v>
      </c>
      <c r="E147" s="1" t="s">
        <v>17</v>
      </c>
      <c r="F147" s="1" t="s">
        <v>4049</v>
      </c>
      <c r="G147" s="1" t="s">
        <v>4050</v>
      </c>
      <c r="H147" s="1">
        <f t="shared" si="1"/>
        <v>16676.61422</v>
      </c>
      <c r="I147" s="1" t="s">
        <v>4051</v>
      </c>
      <c r="J147" s="1">
        <v>17796.0</v>
      </c>
    </row>
    <row r="148">
      <c r="A148" s="1">
        <v>2022.0</v>
      </c>
      <c r="B148" s="1">
        <v>3.0</v>
      </c>
      <c r="C148" s="1" t="s">
        <v>116</v>
      </c>
      <c r="D148" s="1" t="s">
        <v>13</v>
      </c>
      <c r="E148" s="1" t="s">
        <v>21</v>
      </c>
      <c r="F148" s="1" t="s">
        <v>4053</v>
      </c>
      <c r="G148" s="1" t="s">
        <v>4054</v>
      </c>
      <c r="H148" s="1">
        <f t="shared" si="1"/>
        <v>3433.774729</v>
      </c>
      <c r="I148" s="1" t="s">
        <v>4055</v>
      </c>
      <c r="J148" s="1">
        <v>918.0</v>
      </c>
    </row>
    <row r="149">
      <c r="A149" s="1">
        <v>2022.0</v>
      </c>
      <c r="B149" s="1">
        <v>3.0</v>
      </c>
      <c r="C149" s="1" t="s">
        <v>116</v>
      </c>
      <c r="D149" s="1" t="s">
        <v>13</v>
      </c>
      <c r="E149" s="1" t="s">
        <v>25</v>
      </c>
      <c r="F149" s="1" t="s">
        <v>4056</v>
      </c>
      <c r="G149" s="1" t="s">
        <v>4057</v>
      </c>
      <c r="H149" s="1">
        <f t="shared" si="1"/>
        <v>3.358336</v>
      </c>
      <c r="I149" s="1" t="s">
        <v>4058</v>
      </c>
      <c r="J149" s="1">
        <v>4.0</v>
      </c>
    </row>
    <row r="150">
      <c r="A150" s="1">
        <v>2022.0</v>
      </c>
      <c r="B150" s="1">
        <v>3.0</v>
      </c>
      <c r="C150" s="1" t="s">
        <v>116</v>
      </c>
      <c r="D150" s="1" t="s">
        <v>29</v>
      </c>
      <c r="E150" s="1" t="s">
        <v>14</v>
      </c>
      <c r="F150" s="3">
        <v>995653.0</v>
      </c>
      <c r="G150" s="1" t="s">
        <v>4059</v>
      </c>
      <c r="H150" s="1">
        <f t="shared" si="1"/>
        <v>186.268794</v>
      </c>
      <c r="I150" s="1" t="s">
        <v>4060</v>
      </c>
      <c r="J150" s="1">
        <v>281.0</v>
      </c>
    </row>
    <row r="151">
      <c r="A151" s="1">
        <v>2022.0</v>
      </c>
      <c r="B151" s="1">
        <v>3.0</v>
      </c>
      <c r="C151" s="1" t="s">
        <v>116</v>
      </c>
      <c r="D151" s="1" t="s">
        <v>29</v>
      </c>
      <c r="E151" s="1" t="s">
        <v>21</v>
      </c>
      <c r="F151" s="1" t="s">
        <v>4061</v>
      </c>
      <c r="G151" s="1" t="s">
        <v>4062</v>
      </c>
      <c r="H151" s="1">
        <f t="shared" si="1"/>
        <v>14237.19253</v>
      </c>
      <c r="I151" s="1" t="s">
        <v>4063</v>
      </c>
      <c r="J151" s="1">
        <v>5015.0</v>
      </c>
    </row>
    <row r="152">
      <c r="A152" s="1">
        <v>2022.0</v>
      </c>
      <c r="B152" s="1">
        <v>3.0</v>
      </c>
      <c r="C152" s="1" t="s">
        <v>116</v>
      </c>
      <c r="D152" s="1" t="s">
        <v>45</v>
      </c>
      <c r="E152" s="1" t="s">
        <v>49</v>
      </c>
      <c r="F152" s="3">
        <v>1662617.0</v>
      </c>
      <c r="G152" s="1" t="s">
        <v>4064</v>
      </c>
      <c r="H152" s="1">
        <f t="shared" si="1"/>
        <v>160.448018</v>
      </c>
      <c r="I152" s="1" t="s">
        <v>4065</v>
      </c>
      <c r="J152" s="1">
        <v>335.0</v>
      </c>
    </row>
    <row r="153">
      <c r="A153" s="1">
        <v>2022.0</v>
      </c>
      <c r="B153" s="1">
        <v>3.0</v>
      </c>
      <c r="C153" s="1" t="s">
        <v>116</v>
      </c>
      <c r="D153" s="1" t="s">
        <v>45</v>
      </c>
      <c r="E153" s="1" t="s">
        <v>17</v>
      </c>
      <c r="F153" s="1" t="s">
        <v>4066</v>
      </c>
      <c r="G153" s="1" t="s">
        <v>4067</v>
      </c>
      <c r="H153" s="1">
        <f t="shared" si="1"/>
        <v>2284.922391</v>
      </c>
      <c r="I153" s="1" t="s">
        <v>4068</v>
      </c>
      <c r="J153" s="1">
        <v>1770.0</v>
      </c>
    </row>
    <row r="154">
      <c r="A154" s="1">
        <v>2022.0</v>
      </c>
      <c r="B154" s="1">
        <v>3.0</v>
      </c>
      <c r="C154" s="1" t="s">
        <v>116</v>
      </c>
      <c r="D154" s="1" t="s">
        <v>48</v>
      </c>
      <c r="E154" s="1" t="s">
        <v>49</v>
      </c>
      <c r="F154" s="1" t="s">
        <v>2803</v>
      </c>
      <c r="G154" s="1" t="s">
        <v>4069</v>
      </c>
      <c r="H154" s="1">
        <f t="shared" si="1"/>
        <v>3.930093</v>
      </c>
      <c r="I154" s="1" t="s">
        <v>396</v>
      </c>
      <c r="J154" s="1">
        <v>8.0</v>
      </c>
    </row>
    <row r="155">
      <c r="A155" s="1">
        <v>2022.0</v>
      </c>
      <c r="B155" s="1">
        <v>3.0</v>
      </c>
      <c r="C155" s="1" t="s">
        <v>116</v>
      </c>
      <c r="D155" s="1" t="s">
        <v>48</v>
      </c>
      <c r="E155" s="1" t="s">
        <v>72</v>
      </c>
      <c r="F155" s="1" t="s">
        <v>4070</v>
      </c>
      <c r="G155" s="1" t="s">
        <v>4071</v>
      </c>
      <c r="H155" s="1">
        <f t="shared" si="1"/>
        <v>13.459402</v>
      </c>
      <c r="I155" s="1" t="s">
        <v>3332</v>
      </c>
      <c r="J155" s="1">
        <v>15.0</v>
      </c>
    </row>
    <row r="156">
      <c r="A156" s="1">
        <v>2022.0</v>
      </c>
      <c r="B156" s="1">
        <v>3.0</v>
      </c>
      <c r="C156" s="1" t="s">
        <v>116</v>
      </c>
      <c r="D156" s="1" t="s">
        <v>48</v>
      </c>
      <c r="E156" s="1" t="s">
        <v>21</v>
      </c>
      <c r="F156" s="3">
        <v>1214524.0</v>
      </c>
      <c r="G156" s="1" t="s">
        <v>4073</v>
      </c>
      <c r="H156" s="1">
        <f t="shared" si="1"/>
        <v>1072.683641</v>
      </c>
      <c r="I156" s="1" t="s">
        <v>4074</v>
      </c>
      <c r="J156" s="1">
        <v>470.0</v>
      </c>
    </row>
    <row r="157">
      <c r="A157" s="1">
        <v>2022.0</v>
      </c>
      <c r="B157" s="1">
        <v>3.0</v>
      </c>
      <c r="C157" s="1" t="s">
        <v>116</v>
      </c>
      <c r="D157" s="1" t="s">
        <v>3962</v>
      </c>
      <c r="E157" s="1" t="s">
        <v>17</v>
      </c>
      <c r="F157" s="3">
        <v>1948114.0</v>
      </c>
      <c r="G157" s="1" t="s">
        <v>4075</v>
      </c>
      <c r="H157" s="1">
        <f t="shared" si="1"/>
        <v>982.058829</v>
      </c>
      <c r="I157" s="3">
        <v>2056741.0</v>
      </c>
      <c r="J157" s="1">
        <v>3545.0</v>
      </c>
    </row>
    <row r="158">
      <c r="A158" s="1">
        <v>2022.0</v>
      </c>
      <c r="B158" s="1">
        <v>3.0</v>
      </c>
      <c r="C158" s="1" t="s">
        <v>116</v>
      </c>
      <c r="D158" s="1" t="s">
        <v>38</v>
      </c>
      <c r="E158" s="1" t="s">
        <v>39</v>
      </c>
      <c r="F158" s="3">
        <v>674483.0</v>
      </c>
      <c r="G158" s="1" t="s">
        <v>4076</v>
      </c>
      <c r="H158" s="1">
        <f t="shared" si="1"/>
        <v>947.040142</v>
      </c>
      <c r="I158" s="3">
        <v>1816719.0</v>
      </c>
      <c r="J158" s="1">
        <v>3564.0</v>
      </c>
    </row>
    <row r="159">
      <c r="A159" s="1">
        <v>2022.0</v>
      </c>
      <c r="B159" s="1">
        <v>3.0</v>
      </c>
      <c r="C159" s="1" t="s">
        <v>116</v>
      </c>
      <c r="D159" s="1" t="s">
        <v>147</v>
      </c>
      <c r="E159" s="1" t="s">
        <v>39</v>
      </c>
      <c r="F159" s="3">
        <v>168775.0</v>
      </c>
      <c r="G159" s="1" t="s">
        <v>4077</v>
      </c>
      <c r="H159" s="1">
        <f t="shared" si="1"/>
        <v>709.715146</v>
      </c>
      <c r="I159" s="1" t="s">
        <v>4078</v>
      </c>
      <c r="J159" s="1">
        <v>116.0</v>
      </c>
    </row>
    <row r="160">
      <c r="A160" s="1">
        <v>2022.0</v>
      </c>
      <c r="B160" s="1">
        <v>3.0</v>
      </c>
      <c r="C160" s="1" t="s">
        <v>116</v>
      </c>
      <c r="D160" s="1" t="s">
        <v>147</v>
      </c>
      <c r="E160" s="1" t="s">
        <v>17</v>
      </c>
      <c r="F160" s="1" t="s">
        <v>4079</v>
      </c>
      <c r="G160" s="1" t="s">
        <v>4080</v>
      </c>
      <c r="H160" s="1">
        <f t="shared" si="1"/>
        <v>22.146691</v>
      </c>
      <c r="I160" s="1" t="s">
        <v>4081</v>
      </c>
      <c r="J160" s="1">
        <v>6.0</v>
      </c>
    </row>
    <row r="161">
      <c r="A161" s="1">
        <v>2022.0</v>
      </c>
      <c r="B161" s="1">
        <v>3.0</v>
      </c>
      <c r="C161" s="1" t="s">
        <v>116</v>
      </c>
      <c r="D161" s="1" t="s">
        <v>147</v>
      </c>
      <c r="E161" s="1" t="s">
        <v>21</v>
      </c>
      <c r="F161" s="1" t="s">
        <v>4082</v>
      </c>
      <c r="G161" s="1" t="s">
        <v>4083</v>
      </c>
      <c r="H161" s="1">
        <f t="shared" si="1"/>
        <v>88.881426</v>
      </c>
      <c r="I161" s="1" t="s">
        <v>520</v>
      </c>
      <c r="J161" s="1">
        <v>64.0</v>
      </c>
    </row>
    <row r="162">
      <c r="A162" s="1">
        <v>2022.0</v>
      </c>
      <c r="B162" s="1">
        <v>3.0</v>
      </c>
      <c r="C162" s="1" t="s">
        <v>116</v>
      </c>
      <c r="D162" s="1" t="s">
        <v>1830</v>
      </c>
      <c r="E162" s="1" t="s">
        <v>72</v>
      </c>
      <c r="F162" s="3">
        <v>2834100.0</v>
      </c>
      <c r="G162" s="1" t="s">
        <v>4084</v>
      </c>
      <c r="H162" s="1">
        <f t="shared" si="1"/>
        <v>521.416723</v>
      </c>
      <c r="I162" s="3">
        <v>1311619.0</v>
      </c>
      <c r="J162" s="1">
        <v>3499.0</v>
      </c>
    </row>
    <row r="163">
      <c r="A163" s="1">
        <v>2022.0</v>
      </c>
      <c r="B163" s="1">
        <v>3.0</v>
      </c>
      <c r="C163" s="1" t="s">
        <v>116</v>
      </c>
      <c r="D163" s="1" t="s">
        <v>158</v>
      </c>
      <c r="E163" s="1" t="s">
        <v>17</v>
      </c>
      <c r="F163" s="1" t="s">
        <v>4085</v>
      </c>
      <c r="G163" s="1" t="s">
        <v>4086</v>
      </c>
      <c r="H163" s="1">
        <f t="shared" si="1"/>
        <v>200.891934</v>
      </c>
      <c r="I163" s="1" t="s">
        <v>4087</v>
      </c>
      <c r="J163" s="1">
        <v>0.0</v>
      </c>
    </row>
    <row r="164">
      <c r="A164" s="1">
        <v>2022.0</v>
      </c>
      <c r="B164" s="1">
        <v>3.0</v>
      </c>
      <c r="C164" s="1" t="s">
        <v>116</v>
      </c>
      <c r="D164" s="1" t="s">
        <v>158</v>
      </c>
      <c r="E164" s="1" t="s">
        <v>21</v>
      </c>
      <c r="F164" s="1" t="s">
        <v>4088</v>
      </c>
      <c r="G164" s="1" t="s">
        <v>4089</v>
      </c>
      <c r="H164" s="1">
        <f t="shared" si="1"/>
        <v>290.884253</v>
      </c>
      <c r="I164" s="1" t="s">
        <v>4090</v>
      </c>
      <c r="J164" s="1">
        <v>0.0</v>
      </c>
    </row>
    <row r="165">
      <c r="A165" s="1">
        <v>2022.0</v>
      </c>
      <c r="B165" s="1">
        <v>3.0</v>
      </c>
      <c r="C165" s="1" t="s">
        <v>116</v>
      </c>
      <c r="D165" s="1" t="s">
        <v>1851</v>
      </c>
      <c r="E165" s="1" t="s">
        <v>17</v>
      </c>
      <c r="F165" s="3">
        <v>864286.0</v>
      </c>
      <c r="G165" s="1" t="s">
        <v>4092</v>
      </c>
      <c r="H165" s="1">
        <f t="shared" si="1"/>
        <v>395.156842</v>
      </c>
      <c r="I165" s="3" t="s">
        <v>4094</v>
      </c>
      <c r="J165" s="1">
        <v>1692.0</v>
      </c>
    </row>
    <row r="166">
      <c r="A166" s="1">
        <v>2022.0</v>
      </c>
      <c r="B166" s="1">
        <v>3.0</v>
      </c>
      <c r="C166" s="1" t="s">
        <v>116</v>
      </c>
      <c r="D166" s="1" t="s">
        <v>1851</v>
      </c>
      <c r="E166" s="1" t="s">
        <v>21</v>
      </c>
      <c r="F166" s="1" t="s">
        <v>4095</v>
      </c>
      <c r="G166" s="1" t="s">
        <v>4096</v>
      </c>
      <c r="H166" s="1">
        <f t="shared" si="1"/>
        <v>25.76972</v>
      </c>
      <c r="I166" s="1" t="s">
        <v>4097</v>
      </c>
      <c r="J166" s="1">
        <v>135.0</v>
      </c>
    </row>
    <row r="167">
      <c r="A167" s="1">
        <v>2022.0</v>
      </c>
      <c r="B167" s="1">
        <v>4.0</v>
      </c>
      <c r="C167" s="1" t="s">
        <v>12</v>
      </c>
      <c r="D167" s="1" t="s">
        <v>13</v>
      </c>
      <c r="E167" s="1" t="s">
        <v>14</v>
      </c>
      <c r="F167" s="3">
        <v>540500.0</v>
      </c>
      <c r="G167" s="1" t="s">
        <v>4098</v>
      </c>
      <c r="H167" s="1">
        <f t="shared" si="1"/>
        <v>820.416108</v>
      </c>
      <c r="I167" s="3">
        <v>697281.0</v>
      </c>
      <c r="J167" s="1">
        <v>442.0</v>
      </c>
    </row>
    <row r="168">
      <c r="A168" s="1">
        <v>2022.0</v>
      </c>
      <c r="B168" s="1">
        <v>4.0</v>
      </c>
      <c r="C168" s="1" t="s">
        <v>12</v>
      </c>
      <c r="D168" s="1" t="s">
        <v>13</v>
      </c>
      <c r="E168" s="1" t="s">
        <v>17</v>
      </c>
      <c r="F168" s="1" t="s">
        <v>4099</v>
      </c>
      <c r="G168" s="1" t="s">
        <v>4100</v>
      </c>
      <c r="H168" s="1">
        <f t="shared" si="1"/>
        <v>5684.181431</v>
      </c>
      <c r="I168" s="1" t="s">
        <v>4101</v>
      </c>
      <c r="J168" s="1">
        <v>679.0</v>
      </c>
    </row>
    <row r="169">
      <c r="A169" s="1">
        <v>2022.0</v>
      </c>
      <c r="B169" s="1">
        <v>4.0</v>
      </c>
      <c r="C169" s="1" t="s">
        <v>12</v>
      </c>
      <c r="D169" s="1" t="s">
        <v>13</v>
      </c>
      <c r="E169" s="1" t="s">
        <v>21</v>
      </c>
      <c r="F169" s="1" t="s">
        <v>4102</v>
      </c>
      <c r="G169" s="1" t="s">
        <v>4103</v>
      </c>
      <c r="H169" s="1">
        <f t="shared" si="1"/>
        <v>3564.350803</v>
      </c>
      <c r="I169" s="3">
        <v>2562878.0</v>
      </c>
      <c r="J169" s="1">
        <v>538.0</v>
      </c>
    </row>
    <row r="170">
      <c r="A170" s="1">
        <v>2022.0</v>
      </c>
      <c r="B170" s="1">
        <v>4.0</v>
      </c>
      <c r="C170" s="1" t="s">
        <v>12</v>
      </c>
      <c r="D170" s="1" t="s">
        <v>29</v>
      </c>
      <c r="E170" s="1" t="s">
        <v>14</v>
      </c>
      <c r="F170" s="3" t="s">
        <v>4104</v>
      </c>
      <c r="G170" s="1" t="s">
        <v>4105</v>
      </c>
      <c r="H170" s="1">
        <f t="shared" si="1"/>
        <v>318.203811</v>
      </c>
      <c r="I170" s="1" t="s">
        <v>4107</v>
      </c>
      <c r="J170" s="1">
        <v>92.0</v>
      </c>
    </row>
    <row r="171">
      <c r="A171" s="1">
        <v>2022.0</v>
      </c>
      <c r="B171" s="1">
        <v>4.0</v>
      </c>
      <c r="C171" s="1" t="s">
        <v>12</v>
      </c>
      <c r="D171" s="1" t="s">
        <v>29</v>
      </c>
      <c r="E171" s="1" t="s">
        <v>21</v>
      </c>
      <c r="F171" s="1" t="s">
        <v>4108</v>
      </c>
      <c r="G171" s="1" t="s">
        <v>4109</v>
      </c>
      <c r="H171" s="1">
        <f t="shared" si="1"/>
        <v>6304.313433</v>
      </c>
      <c r="I171" s="3">
        <v>1697223.0</v>
      </c>
      <c r="J171" s="1">
        <v>633.0</v>
      </c>
    </row>
    <row r="172">
      <c r="A172" s="1">
        <v>2022.0</v>
      </c>
      <c r="B172" s="1">
        <v>4.0</v>
      </c>
      <c r="C172" s="1" t="s">
        <v>12</v>
      </c>
      <c r="D172" s="1" t="s">
        <v>48</v>
      </c>
      <c r="E172" s="1" t="s">
        <v>49</v>
      </c>
      <c r="F172" s="1" t="s">
        <v>1523</v>
      </c>
      <c r="G172" s="1" t="s">
        <v>4110</v>
      </c>
      <c r="H172" s="1">
        <f t="shared" si="1"/>
        <v>3.818633</v>
      </c>
      <c r="I172" s="1" t="s">
        <v>1719</v>
      </c>
      <c r="J172" s="1">
        <v>7.0</v>
      </c>
    </row>
    <row r="173">
      <c r="A173" s="1">
        <v>2022.0</v>
      </c>
      <c r="B173" s="1">
        <v>4.0</v>
      </c>
      <c r="C173" s="1" t="s">
        <v>12</v>
      </c>
      <c r="D173" s="1" t="s">
        <v>48</v>
      </c>
      <c r="E173" s="1" t="s">
        <v>21</v>
      </c>
      <c r="F173" s="1" t="s">
        <v>4113</v>
      </c>
      <c r="G173" s="1" t="s">
        <v>4114</v>
      </c>
      <c r="H173" s="1">
        <f t="shared" si="1"/>
        <v>475.48094</v>
      </c>
      <c r="I173" s="3" t="s">
        <v>4115</v>
      </c>
      <c r="J173" s="1">
        <v>163.0</v>
      </c>
    </row>
    <row r="174">
      <c r="A174" s="1">
        <v>2022.0</v>
      </c>
      <c r="B174" s="1">
        <v>4.0</v>
      </c>
      <c r="C174" s="1" t="s">
        <v>12</v>
      </c>
      <c r="D174" s="1" t="s">
        <v>38</v>
      </c>
      <c r="E174" s="1" t="s">
        <v>39</v>
      </c>
      <c r="F174" s="3">
        <v>1864930.0</v>
      </c>
      <c r="G174" s="1" t="s">
        <v>4116</v>
      </c>
      <c r="H174" s="1">
        <f t="shared" si="1"/>
        <v>203.671087</v>
      </c>
      <c r="I174" s="1" t="s">
        <v>4117</v>
      </c>
      <c r="J174" s="1">
        <v>167.0</v>
      </c>
    </row>
    <row r="175">
      <c r="A175" s="1">
        <v>2022.0</v>
      </c>
      <c r="B175" s="1">
        <v>4.0</v>
      </c>
      <c r="C175" s="1" t="s">
        <v>12</v>
      </c>
      <c r="D175" s="1" t="s">
        <v>45</v>
      </c>
      <c r="E175" s="1" t="s">
        <v>49</v>
      </c>
      <c r="F175" s="1" t="s">
        <v>1717</v>
      </c>
      <c r="G175" s="1" t="s">
        <v>4118</v>
      </c>
      <c r="H175" s="1">
        <f t="shared" si="1"/>
        <v>0.27464</v>
      </c>
      <c r="I175" s="1" t="s">
        <v>1813</v>
      </c>
      <c r="J175" s="1">
        <v>1.0</v>
      </c>
    </row>
    <row r="176">
      <c r="A176" s="1">
        <v>2022.0</v>
      </c>
      <c r="B176" s="1">
        <v>4.0</v>
      </c>
      <c r="C176" s="1" t="s">
        <v>12</v>
      </c>
      <c r="D176" s="1" t="s">
        <v>45</v>
      </c>
      <c r="E176" s="1" t="s">
        <v>17</v>
      </c>
      <c r="F176" s="3">
        <v>502242.0</v>
      </c>
      <c r="G176" s="1" t="s">
        <v>4119</v>
      </c>
      <c r="H176" s="1">
        <f t="shared" si="1"/>
        <v>195.828471</v>
      </c>
      <c r="I176" s="1" t="s">
        <v>4121</v>
      </c>
      <c r="J176" s="1">
        <v>140.0</v>
      </c>
    </row>
    <row r="177">
      <c r="A177" s="1">
        <v>2022.0</v>
      </c>
      <c r="B177" s="1">
        <v>4.0</v>
      </c>
      <c r="C177" s="1" t="s">
        <v>12</v>
      </c>
      <c r="D177" s="1" t="s">
        <v>42</v>
      </c>
      <c r="E177" s="1" t="s">
        <v>17</v>
      </c>
      <c r="F177" s="1" t="s">
        <v>4122</v>
      </c>
      <c r="G177" s="1" t="s">
        <v>4123</v>
      </c>
      <c r="H177" s="1">
        <f t="shared" si="1"/>
        <v>104.952492</v>
      </c>
      <c r="I177" s="1" t="s">
        <v>4125</v>
      </c>
      <c r="J177" s="1">
        <v>0.0</v>
      </c>
    </row>
    <row r="178">
      <c r="A178" s="1">
        <v>2022.0</v>
      </c>
      <c r="B178" s="1">
        <v>4.0</v>
      </c>
      <c r="C178" s="1" t="s">
        <v>12</v>
      </c>
      <c r="D178" s="1" t="s">
        <v>4127</v>
      </c>
      <c r="E178" s="1" t="s">
        <v>17</v>
      </c>
      <c r="F178" s="3">
        <v>950728.0</v>
      </c>
      <c r="G178" s="1" t="s">
        <v>4128</v>
      </c>
      <c r="H178" s="1">
        <f t="shared" si="1"/>
        <v>92.093955</v>
      </c>
      <c r="I178" s="1" t="s">
        <v>4129</v>
      </c>
      <c r="J178" s="1">
        <v>104.0</v>
      </c>
    </row>
    <row r="179">
      <c r="A179" s="1">
        <v>2022.0</v>
      </c>
      <c r="B179" s="1">
        <v>4.0</v>
      </c>
      <c r="C179" s="1" t="s">
        <v>12</v>
      </c>
      <c r="D179" s="1" t="s">
        <v>3962</v>
      </c>
      <c r="E179" s="1" t="s">
        <v>17</v>
      </c>
      <c r="F179" s="1" t="s">
        <v>4130</v>
      </c>
      <c r="G179" s="1" t="s">
        <v>4131</v>
      </c>
      <c r="H179" s="1">
        <f t="shared" si="1"/>
        <v>73.897714</v>
      </c>
      <c r="I179" s="1" t="s">
        <v>4133</v>
      </c>
      <c r="J179" s="1">
        <v>117.0</v>
      </c>
    </row>
    <row r="180">
      <c r="A180" s="1">
        <v>2022.0</v>
      </c>
      <c r="B180" s="1">
        <v>4.0</v>
      </c>
      <c r="C180" s="1" t="s">
        <v>12</v>
      </c>
      <c r="D180" s="1" t="s">
        <v>1830</v>
      </c>
      <c r="E180" s="1" t="s">
        <v>72</v>
      </c>
      <c r="F180" s="1" t="s">
        <v>4135</v>
      </c>
      <c r="G180" s="1" t="s">
        <v>4136</v>
      </c>
      <c r="H180" s="1">
        <f t="shared" si="1"/>
        <v>55.820227</v>
      </c>
      <c r="I180" s="1" t="s">
        <v>3159</v>
      </c>
      <c r="J180" s="1">
        <v>245.0</v>
      </c>
    </row>
    <row r="181">
      <c r="A181" s="1">
        <v>2022.0</v>
      </c>
      <c r="B181" s="1">
        <v>4.0</v>
      </c>
      <c r="C181" s="1" t="s">
        <v>12</v>
      </c>
      <c r="D181" s="1" t="s">
        <v>56</v>
      </c>
      <c r="E181" s="1" t="s">
        <v>21</v>
      </c>
      <c r="F181" s="1" t="s">
        <v>4137</v>
      </c>
      <c r="G181" s="1" t="s">
        <v>4138</v>
      </c>
      <c r="H181" s="1">
        <f t="shared" si="1"/>
        <v>52.923911</v>
      </c>
      <c r="I181" s="1" t="s">
        <v>4140</v>
      </c>
      <c r="J181" s="1">
        <v>125.0</v>
      </c>
    </row>
    <row r="182">
      <c r="A182" s="1">
        <v>2022.0</v>
      </c>
      <c r="B182" s="1">
        <v>4.0</v>
      </c>
      <c r="C182" s="1" t="s">
        <v>68</v>
      </c>
      <c r="D182" s="1" t="s">
        <v>13</v>
      </c>
      <c r="E182" s="1" t="s">
        <v>14</v>
      </c>
      <c r="F182" s="1" t="s">
        <v>4141</v>
      </c>
      <c r="G182" s="1" t="s">
        <v>4142</v>
      </c>
      <c r="H182" s="1">
        <f t="shared" si="1"/>
        <v>2841.10438</v>
      </c>
      <c r="I182" s="3">
        <v>1548112.0</v>
      </c>
      <c r="J182" s="1">
        <v>7512.0</v>
      </c>
    </row>
    <row r="183">
      <c r="A183" s="1">
        <v>2022.0</v>
      </c>
      <c r="B183" s="1">
        <v>4.0</v>
      </c>
      <c r="C183" s="1" t="s">
        <v>68</v>
      </c>
      <c r="D183" s="1" t="s">
        <v>13</v>
      </c>
      <c r="E183" s="1" t="s">
        <v>17</v>
      </c>
      <c r="F183" s="1" t="s">
        <v>4144</v>
      </c>
      <c r="G183" s="1" t="s">
        <v>4145</v>
      </c>
      <c r="H183" s="1">
        <f t="shared" si="1"/>
        <v>6623.000018</v>
      </c>
      <c r="I183" s="1" t="s">
        <v>4146</v>
      </c>
      <c r="J183" s="1">
        <v>8855.0</v>
      </c>
    </row>
    <row r="184">
      <c r="A184" s="1">
        <v>2022.0</v>
      </c>
      <c r="B184" s="1">
        <v>4.0</v>
      </c>
      <c r="C184" s="1" t="s">
        <v>68</v>
      </c>
      <c r="D184" s="1" t="s">
        <v>13</v>
      </c>
      <c r="E184" s="1" t="s">
        <v>21</v>
      </c>
      <c r="F184" s="3">
        <v>2459576.0</v>
      </c>
      <c r="G184" s="1" t="s">
        <v>4148</v>
      </c>
      <c r="H184" s="1">
        <f t="shared" si="1"/>
        <v>525.96028</v>
      </c>
      <c r="I184" s="3">
        <v>882793.0</v>
      </c>
      <c r="J184" s="1">
        <v>472.0</v>
      </c>
    </row>
    <row r="185">
      <c r="A185" s="1">
        <v>2022.0</v>
      </c>
      <c r="B185" s="1">
        <v>4.0</v>
      </c>
      <c r="C185" s="1" t="s">
        <v>68</v>
      </c>
      <c r="D185" s="1" t="s">
        <v>13</v>
      </c>
      <c r="E185" s="1" t="s">
        <v>25</v>
      </c>
      <c r="F185" s="1" t="s">
        <v>4149</v>
      </c>
      <c r="G185" s="1" t="s">
        <v>4150</v>
      </c>
      <c r="H185" s="1">
        <f t="shared" si="1"/>
        <v>48.940376</v>
      </c>
      <c r="I185" s="1" t="s">
        <v>4151</v>
      </c>
      <c r="J185" s="1">
        <v>179.0</v>
      </c>
    </row>
    <row r="186">
      <c r="A186" s="1">
        <v>2022.0</v>
      </c>
      <c r="B186" s="1">
        <v>4.0</v>
      </c>
      <c r="C186" s="1" t="s">
        <v>68</v>
      </c>
      <c r="D186" s="1" t="s">
        <v>29</v>
      </c>
      <c r="E186" s="1" t="s">
        <v>14</v>
      </c>
      <c r="F186" s="3" t="s">
        <v>2314</v>
      </c>
      <c r="G186" s="1" t="s">
        <v>4152</v>
      </c>
      <c r="H186" s="1">
        <f t="shared" si="1"/>
        <v>113.266212</v>
      </c>
      <c r="I186" s="1" t="s">
        <v>4153</v>
      </c>
      <c r="J186" s="1">
        <v>73.0</v>
      </c>
    </row>
    <row r="187">
      <c r="A187" s="1">
        <v>2022.0</v>
      </c>
      <c r="B187" s="1">
        <v>4.0</v>
      </c>
      <c r="C187" s="1" t="s">
        <v>68</v>
      </c>
      <c r="D187" s="1" t="s">
        <v>29</v>
      </c>
      <c r="E187" s="1" t="s">
        <v>21</v>
      </c>
      <c r="F187" s="1" t="s">
        <v>24</v>
      </c>
      <c r="G187" s="1" t="s">
        <v>4154</v>
      </c>
      <c r="H187" s="1">
        <f t="shared" si="1"/>
        <v>3527.423164</v>
      </c>
      <c r="I187" s="3" t="s">
        <v>4155</v>
      </c>
      <c r="J187" s="1">
        <v>2396.0</v>
      </c>
    </row>
    <row r="188">
      <c r="A188" s="1">
        <v>2022.0</v>
      </c>
      <c r="B188" s="1">
        <v>4.0</v>
      </c>
      <c r="C188" s="1" t="s">
        <v>68</v>
      </c>
      <c r="D188" s="1" t="s">
        <v>45</v>
      </c>
      <c r="E188" s="1" t="s">
        <v>49</v>
      </c>
      <c r="F188" s="1" t="s">
        <v>4156</v>
      </c>
      <c r="G188" s="1" t="s">
        <v>4157</v>
      </c>
      <c r="H188" s="1">
        <f t="shared" si="1"/>
        <v>63.418239</v>
      </c>
      <c r="I188" s="1" t="s">
        <v>4159</v>
      </c>
      <c r="J188" s="1">
        <v>155.0</v>
      </c>
    </row>
    <row r="189">
      <c r="A189" s="1">
        <v>2022.0</v>
      </c>
      <c r="B189" s="1">
        <v>4.0</v>
      </c>
      <c r="C189" s="1" t="s">
        <v>68</v>
      </c>
      <c r="D189" s="1" t="s">
        <v>45</v>
      </c>
      <c r="E189" s="1" t="s">
        <v>17</v>
      </c>
      <c r="F189" s="3" t="s">
        <v>4160</v>
      </c>
      <c r="G189" s="1" t="s">
        <v>4161</v>
      </c>
      <c r="H189" s="1">
        <f t="shared" si="1"/>
        <v>634.861232</v>
      </c>
      <c r="I189" s="3">
        <v>1731676.0</v>
      </c>
      <c r="J189" s="1">
        <v>1409.0</v>
      </c>
    </row>
    <row r="190">
      <c r="A190" s="1">
        <v>2022.0</v>
      </c>
      <c r="B190" s="1">
        <v>4.0</v>
      </c>
      <c r="C190" s="1" t="s">
        <v>68</v>
      </c>
      <c r="D190" s="1" t="s">
        <v>38</v>
      </c>
      <c r="E190" s="1" t="s">
        <v>39</v>
      </c>
      <c r="F190" s="3">
        <v>958854.0</v>
      </c>
      <c r="G190" s="1" t="s">
        <v>4163</v>
      </c>
      <c r="H190" s="1">
        <f t="shared" si="1"/>
        <v>416.924196</v>
      </c>
      <c r="I190" s="1" t="s">
        <v>4164</v>
      </c>
      <c r="J190" s="1">
        <v>1675.0</v>
      </c>
    </row>
    <row r="191">
      <c r="A191" s="1">
        <v>2022.0</v>
      </c>
      <c r="B191" s="1">
        <v>4.0</v>
      </c>
      <c r="C191" s="1" t="s">
        <v>68</v>
      </c>
      <c r="D191" s="1" t="s">
        <v>1851</v>
      </c>
      <c r="E191" s="1" t="s">
        <v>17</v>
      </c>
      <c r="F191" s="1" t="s">
        <v>4165</v>
      </c>
      <c r="G191" s="1" t="s">
        <v>4166</v>
      </c>
      <c r="H191" s="1">
        <f t="shared" si="1"/>
        <v>142.501286</v>
      </c>
      <c r="I191" s="1" t="s">
        <v>4168</v>
      </c>
      <c r="J191" s="1">
        <v>883.0</v>
      </c>
    </row>
    <row r="192">
      <c r="A192" s="1">
        <v>2022.0</v>
      </c>
      <c r="B192" s="1">
        <v>4.0</v>
      </c>
      <c r="C192" s="1" t="s">
        <v>68</v>
      </c>
      <c r="D192" s="1" t="s">
        <v>1851</v>
      </c>
      <c r="E192" s="1" t="s">
        <v>21</v>
      </c>
      <c r="F192" s="3">
        <v>1850686.0</v>
      </c>
      <c r="G192" s="1" t="s">
        <v>4169</v>
      </c>
      <c r="H192" s="1">
        <f t="shared" si="1"/>
        <v>141.081872</v>
      </c>
      <c r="I192" s="1" t="s">
        <v>4170</v>
      </c>
      <c r="J192" s="1">
        <v>281.0</v>
      </c>
    </row>
    <row r="193">
      <c r="A193" s="1">
        <v>2022.0</v>
      </c>
      <c r="B193" s="1">
        <v>4.0</v>
      </c>
      <c r="C193" s="1" t="s">
        <v>68</v>
      </c>
      <c r="D193" s="1" t="s">
        <v>48</v>
      </c>
      <c r="E193" s="1" t="s">
        <v>49</v>
      </c>
      <c r="F193" s="1" t="s">
        <v>1460</v>
      </c>
      <c r="G193" s="1" t="s">
        <v>4171</v>
      </c>
      <c r="H193" s="1">
        <f t="shared" si="1"/>
        <v>0.895596</v>
      </c>
      <c r="I193" s="1" t="s">
        <v>373</v>
      </c>
      <c r="J193" s="1">
        <v>2.0</v>
      </c>
    </row>
    <row r="194">
      <c r="A194" s="1">
        <v>2022.0</v>
      </c>
      <c r="B194" s="1">
        <v>4.0</v>
      </c>
      <c r="C194" s="1" t="s">
        <v>68</v>
      </c>
      <c r="D194" s="1" t="s">
        <v>48</v>
      </c>
      <c r="E194" s="1" t="s">
        <v>72</v>
      </c>
      <c r="F194" s="1" t="s">
        <v>414</v>
      </c>
      <c r="G194" s="1" t="s">
        <v>4172</v>
      </c>
      <c r="H194" s="1">
        <f t="shared" si="1"/>
        <v>0.238702</v>
      </c>
      <c r="I194" s="1" t="s">
        <v>376</v>
      </c>
      <c r="J194" s="1">
        <v>2.0</v>
      </c>
    </row>
    <row r="195">
      <c r="A195" s="1">
        <v>2022.0</v>
      </c>
      <c r="B195" s="1">
        <v>4.0</v>
      </c>
      <c r="C195" s="1" t="s">
        <v>68</v>
      </c>
      <c r="D195" s="1" t="s">
        <v>48</v>
      </c>
      <c r="E195" s="1" t="s">
        <v>21</v>
      </c>
      <c r="F195" s="3">
        <v>357575.0</v>
      </c>
      <c r="G195" s="1" t="s">
        <v>4173</v>
      </c>
      <c r="H195" s="1">
        <f t="shared" si="1"/>
        <v>227.064729</v>
      </c>
      <c r="I195" s="1" t="s">
        <v>4174</v>
      </c>
      <c r="J195" s="1">
        <v>388.0</v>
      </c>
    </row>
    <row r="196">
      <c r="A196" s="1">
        <v>2022.0</v>
      </c>
      <c r="B196" s="1">
        <v>4.0</v>
      </c>
      <c r="C196" s="1" t="s">
        <v>68</v>
      </c>
      <c r="D196" s="1" t="s">
        <v>3962</v>
      </c>
      <c r="E196" s="1" t="s">
        <v>17</v>
      </c>
      <c r="F196" s="3">
        <v>1773254.0</v>
      </c>
      <c r="G196" s="1" t="s">
        <v>4175</v>
      </c>
      <c r="H196" s="1">
        <f t="shared" si="1"/>
        <v>152.961334</v>
      </c>
      <c r="I196" s="1" t="s">
        <v>4176</v>
      </c>
      <c r="J196" s="1">
        <v>814.0</v>
      </c>
    </row>
    <row r="197">
      <c r="A197" s="1">
        <v>2022.0</v>
      </c>
      <c r="B197" s="1">
        <v>4.0</v>
      </c>
      <c r="C197" s="1" t="s">
        <v>68</v>
      </c>
      <c r="D197" s="1" t="s">
        <v>1830</v>
      </c>
      <c r="E197" s="1" t="s">
        <v>72</v>
      </c>
      <c r="F197" s="3">
        <v>85104.0</v>
      </c>
      <c r="G197" s="1" t="s">
        <v>4177</v>
      </c>
      <c r="H197" s="1">
        <f t="shared" si="1"/>
        <v>95.999383</v>
      </c>
      <c r="I197" s="1" t="s">
        <v>1804</v>
      </c>
      <c r="J197" s="1">
        <v>1026.0</v>
      </c>
    </row>
    <row r="198">
      <c r="A198" s="1">
        <v>2022.0</v>
      </c>
      <c r="B198" s="1">
        <v>4.0</v>
      </c>
      <c r="C198" s="1" t="s">
        <v>68</v>
      </c>
      <c r="D198" s="1" t="s">
        <v>4127</v>
      </c>
      <c r="E198" s="1" t="s">
        <v>17</v>
      </c>
      <c r="F198" s="3" t="s">
        <v>4179</v>
      </c>
      <c r="G198" s="1" t="s">
        <v>4180</v>
      </c>
      <c r="H198" s="1">
        <f t="shared" si="1"/>
        <v>89.912221</v>
      </c>
      <c r="I198" s="1" t="s">
        <v>3230</v>
      </c>
      <c r="J198" s="1">
        <v>566.0</v>
      </c>
    </row>
    <row r="199">
      <c r="A199" s="1">
        <v>2022.0</v>
      </c>
      <c r="B199" s="1">
        <v>4.0</v>
      </c>
      <c r="C199" s="1" t="s">
        <v>68</v>
      </c>
      <c r="D199" s="1" t="s">
        <v>32</v>
      </c>
      <c r="E199" s="1" t="s">
        <v>14</v>
      </c>
      <c r="F199" s="3">
        <v>197599.0</v>
      </c>
      <c r="G199" s="1" t="s">
        <v>4181</v>
      </c>
      <c r="H199" s="1">
        <f t="shared" si="1"/>
        <v>83.254229</v>
      </c>
      <c r="I199" s="1" t="s">
        <v>2262</v>
      </c>
      <c r="J199" s="1">
        <v>0.0</v>
      </c>
    </row>
    <row r="200">
      <c r="A200" s="1">
        <v>2022.0</v>
      </c>
      <c r="B200" s="1">
        <v>4.0</v>
      </c>
      <c r="C200" s="1" t="s">
        <v>68</v>
      </c>
      <c r="D200" s="1" t="s">
        <v>32</v>
      </c>
      <c r="E200" s="1" t="s">
        <v>21</v>
      </c>
      <c r="F200" s="1" t="s">
        <v>1449</v>
      </c>
      <c r="G200" s="1" t="s">
        <v>4182</v>
      </c>
      <c r="H200" s="1">
        <f t="shared" si="1"/>
        <v>1.029136</v>
      </c>
      <c r="I200" s="1" t="s">
        <v>2411</v>
      </c>
      <c r="J200" s="1">
        <v>0.0</v>
      </c>
    </row>
    <row r="201">
      <c r="A201" s="1">
        <v>2022.0</v>
      </c>
      <c r="B201" s="1">
        <v>4.0</v>
      </c>
      <c r="C201" s="1" t="s">
        <v>116</v>
      </c>
      <c r="D201" s="1" t="s">
        <v>13</v>
      </c>
      <c r="E201" s="1" t="s">
        <v>14</v>
      </c>
      <c r="F201" s="1" t="s">
        <v>4183</v>
      </c>
      <c r="G201" s="1" t="s">
        <v>4184</v>
      </c>
      <c r="H201" s="1">
        <f t="shared" si="1"/>
        <v>6235.15773</v>
      </c>
      <c r="I201" s="1" t="s">
        <v>4185</v>
      </c>
      <c r="J201" s="1">
        <v>13935.0</v>
      </c>
    </row>
    <row r="202">
      <c r="A202" s="1">
        <v>2022.0</v>
      </c>
      <c r="B202" s="1">
        <v>4.0</v>
      </c>
      <c r="C202" s="1" t="s">
        <v>116</v>
      </c>
      <c r="D202" s="1" t="s">
        <v>13</v>
      </c>
      <c r="E202" s="1" t="s">
        <v>17</v>
      </c>
      <c r="F202" s="1" t="s">
        <v>4187</v>
      </c>
      <c r="G202" s="1" t="s">
        <v>4188</v>
      </c>
      <c r="H202" s="1">
        <f t="shared" si="1"/>
        <v>15700.3821</v>
      </c>
      <c r="I202" s="1" t="s">
        <v>4189</v>
      </c>
      <c r="J202" s="1">
        <v>17610.0</v>
      </c>
    </row>
    <row r="203">
      <c r="A203" s="1">
        <v>2022.0</v>
      </c>
      <c r="B203" s="1">
        <v>4.0</v>
      </c>
      <c r="C203" s="1" t="s">
        <v>116</v>
      </c>
      <c r="D203" s="1" t="s">
        <v>13</v>
      </c>
      <c r="E203" s="1" t="s">
        <v>21</v>
      </c>
      <c r="F203" s="3">
        <v>23346.0</v>
      </c>
      <c r="G203" s="1" t="s">
        <v>4190</v>
      </c>
      <c r="H203" s="1">
        <f t="shared" si="1"/>
        <v>1938.389976</v>
      </c>
      <c r="I203" s="3" t="s">
        <v>4191</v>
      </c>
      <c r="J203" s="1">
        <v>971.0</v>
      </c>
    </row>
    <row r="204">
      <c r="A204" s="1">
        <v>2022.0</v>
      </c>
      <c r="B204" s="1">
        <v>4.0</v>
      </c>
      <c r="C204" s="1" t="s">
        <v>116</v>
      </c>
      <c r="D204" s="1" t="s">
        <v>13</v>
      </c>
      <c r="E204" s="1" t="s">
        <v>25</v>
      </c>
      <c r="F204" s="1" t="s">
        <v>4193</v>
      </c>
      <c r="G204" s="1" t="s">
        <v>4194</v>
      </c>
      <c r="H204" s="1">
        <f t="shared" si="1"/>
        <v>3.249992</v>
      </c>
      <c r="I204" s="1" t="s">
        <v>287</v>
      </c>
      <c r="J204" s="1">
        <v>4.0</v>
      </c>
    </row>
    <row r="205">
      <c r="A205" s="1">
        <v>2022.0</v>
      </c>
      <c r="B205" s="1">
        <v>4.0</v>
      </c>
      <c r="C205" s="1" t="s">
        <v>116</v>
      </c>
      <c r="D205" s="1" t="s">
        <v>29</v>
      </c>
      <c r="E205" s="1" t="s">
        <v>14</v>
      </c>
      <c r="F205" s="3">
        <v>330181.0</v>
      </c>
      <c r="G205" s="1" t="s">
        <v>4195</v>
      </c>
      <c r="H205" s="1">
        <f t="shared" si="1"/>
        <v>166.170232</v>
      </c>
      <c r="I205" s="1" t="s">
        <v>4196</v>
      </c>
      <c r="J205" s="1">
        <v>230.0</v>
      </c>
    </row>
    <row r="206">
      <c r="A206" s="1">
        <v>2022.0</v>
      </c>
      <c r="B206" s="1">
        <v>4.0</v>
      </c>
      <c r="C206" s="1" t="s">
        <v>116</v>
      </c>
      <c r="D206" s="1" t="s">
        <v>29</v>
      </c>
      <c r="E206" s="1" t="s">
        <v>21</v>
      </c>
      <c r="F206" s="1" t="s">
        <v>4197</v>
      </c>
      <c r="G206" s="1" t="s">
        <v>4198</v>
      </c>
      <c r="H206" s="1">
        <f t="shared" si="1"/>
        <v>8986.126968</v>
      </c>
      <c r="I206" s="1" t="s">
        <v>4199</v>
      </c>
      <c r="J206" s="1">
        <v>4466.0</v>
      </c>
    </row>
    <row r="207">
      <c r="A207" s="1">
        <v>2022.0</v>
      </c>
      <c r="B207" s="1">
        <v>4.0</v>
      </c>
      <c r="C207" s="1" t="s">
        <v>116</v>
      </c>
      <c r="D207" s="1" t="s">
        <v>45</v>
      </c>
      <c r="E207" s="1" t="s">
        <v>49</v>
      </c>
      <c r="F207" s="3">
        <v>1668096.0</v>
      </c>
      <c r="G207" s="1" t="s">
        <v>4200</v>
      </c>
      <c r="H207" s="1">
        <f t="shared" si="1"/>
        <v>152.979037</v>
      </c>
      <c r="I207" s="1" t="s">
        <v>1928</v>
      </c>
      <c r="J207" s="1">
        <v>337.0</v>
      </c>
    </row>
    <row r="208">
      <c r="A208" s="1">
        <v>2022.0</v>
      </c>
      <c r="B208" s="1">
        <v>4.0</v>
      </c>
      <c r="C208" s="1" t="s">
        <v>116</v>
      </c>
      <c r="D208" s="1" t="s">
        <v>45</v>
      </c>
      <c r="E208" s="1" t="s">
        <v>17</v>
      </c>
      <c r="F208" s="1" t="s">
        <v>4251</v>
      </c>
      <c r="G208" s="1" t="s">
        <v>4252</v>
      </c>
      <c r="H208" s="1">
        <f t="shared" si="1"/>
        <v>2037.907029</v>
      </c>
      <c r="I208" s="3">
        <v>2055160.0</v>
      </c>
      <c r="J208" s="1">
        <v>1760.0</v>
      </c>
    </row>
    <row r="209">
      <c r="A209" s="1">
        <v>2022.0</v>
      </c>
      <c r="B209" s="1">
        <v>4.0</v>
      </c>
      <c r="C209" s="1" t="s">
        <v>116</v>
      </c>
      <c r="D209" s="1" t="s">
        <v>48</v>
      </c>
      <c r="E209" s="1" t="s">
        <v>49</v>
      </c>
      <c r="F209" s="1" t="s">
        <v>608</v>
      </c>
      <c r="G209" s="1" t="s">
        <v>4256</v>
      </c>
      <c r="H209" s="1">
        <f t="shared" si="1"/>
        <v>2.054427</v>
      </c>
      <c r="I209" s="1" t="s">
        <v>1056</v>
      </c>
      <c r="J209" s="1">
        <v>4.0</v>
      </c>
    </row>
    <row r="210">
      <c r="A210" s="1">
        <v>2022.0</v>
      </c>
      <c r="B210" s="1">
        <v>4.0</v>
      </c>
      <c r="C210" s="1" t="s">
        <v>116</v>
      </c>
      <c r="D210" s="1" t="s">
        <v>48</v>
      </c>
      <c r="E210" s="1" t="s">
        <v>72</v>
      </c>
      <c r="F210" s="1" t="s">
        <v>4257</v>
      </c>
      <c r="G210" s="1" t="s">
        <v>4258</v>
      </c>
      <c r="H210" s="1">
        <f t="shared" si="1"/>
        <v>23.693545</v>
      </c>
      <c r="I210" s="1" t="s">
        <v>782</v>
      </c>
      <c r="J210" s="1">
        <v>28.0</v>
      </c>
    </row>
    <row r="211">
      <c r="A211" s="1">
        <v>2022.0</v>
      </c>
      <c r="B211" s="1">
        <v>4.0</v>
      </c>
      <c r="C211" s="1" t="s">
        <v>116</v>
      </c>
      <c r="D211" s="1" t="s">
        <v>48</v>
      </c>
      <c r="E211" s="1" t="s">
        <v>21</v>
      </c>
      <c r="F211" s="3">
        <v>587036.0</v>
      </c>
      <c r="G211" s="1" t="s">
        <v>4259</v>
      </c>
      <c r="H211" s="1">
        <f t="shared" si="1"/>
        <v>1098.941175</v>
      </c>
      <c r="I211" s="3">
        <v>2009566.0</v>
      </c>
      <c r="J211" s="1">
        <v>426.0</v>
      </c>
    </row>
    <row r="212">
      <c r="A212" s="1">
        <v>2022.0</v>
      </c>
      <c r="B212" s="1">
        <v>4.0</v>
      </c>
      <c r="C212" s="1" t="s">
        <v>116</v>
      </c>
      <c r="D212" s="1" t="s">
        <v>3962</v>
      </c>
      <c r="E212" s="1" t="s">
        <v>17</v>
      </c>
      <c r="F212" s="3">
        <v>356753.0</v>
      </c>
      <c r="G212" s="1" t="s">
        <v>4260</v>
      </c>
      <c r="H212" s="1">
        <f t="shared" si="1"/>
        <v>955.543497</v>
      </c>
      <c r="I212" s="3">
        <v>1500112.0</v>
      </c>
      <c r="J212" s="1">
        <v>3276.0</v>
      </c>
    </row>
    <row r="213">
      <c r="A213" s="1">
        <v>2022.0</v>
      </c>
      <c r="B213" s="1">
        <v>4.0</v>
      </c>
      <c r="C213" s="1" t="s">
        <v>116</v>
      </c>
      <c r="D213" s="1" t="s">
        <v>147</v>
      </c>
      <c r="E213" s="1" t="s">
        <v>39</v>
      </c>
      <c r="F213" s="3">
        <v>364181.0</v>
      </c>
      <c r="G213" s="1" t="s">
        <v>4261</v>
      </c>
      <c r="H213" s="1">
        <f t="shared" si="1"/>
        <v>723.549708</v>
      </c>
      <c r="I213" s="1" t="s">
        <v>4262</v>
      </c>
      <c r="J213" s="1">
        <v>122.0</v>
      </c>
    </row>
    <row r="214">
      <c r="A214" s="1">
        <v>2022.0</v>
      </c>
      <c r="B214" s="1">
        <v>4.0</v>
      </c>
      <c r="C214" s="1" t="s">
        <v>116</v>
      </c>
      <c r="D214" s="1" t="s">
        <v>147</v>
      </c>
      <c r="E214" s="1" t="s">
        <v>17</v>
      </c>
      <c r="F214" s="1" t="s">
        <v>4263</v>
      </c>
      <c r="G214" s="1" t="s">
        <v>4264</v>
      </c>
      <c r="H214" s="1">
        <f t="shared" si="1"/>
        <v>10.674282</v>
      </c>
      <c r="I214" s="1" t="s">
        <v>1605</v>
      </c>
      <c r="J214" s="1">
        <v>6.0</v>
      </c>
    </row>
    <row r="215">
      <c r="A215" s="1">
        <v>2022.0</v>
      </c>
      <c r="B215" s="1">
        <v>4.0</v>
      </c>
      <c r="C215" s="1" t="s">
        <v>116</v>
      </c>
      <c r="D215" s="1" t="s">
        <v>147</v>
      </c>
      <c r="E215" s="1" t="s">
        <v>21</v>
      </c>
      <c r="F215" s="1" t="s">
        <v>4265</v>
      </c>
      <c r="G215" s="1" t="s">
        <v>4266</v>
      </c>
      <c r="H215" s="1">
        <f t="shared" si="1"/>
        <v>71.973048</v>
      </c>
      <c r="I215" s="1" t="s">
        <v>4268</v>
      </c>
      <c r="J215" s="1">
        <v>52.0</v>
      </c>
    </row>
    <row r="216">
      <c r="A216" s="1">
        <v>2022.0</v>
      </c>
      <c r="B216" s="1">
        <v>4.0</v>
      </c>
      <c r="C216" s="1" t="s">
        <v>116</v>
      </c>
      <c r="D216" s="1" t="s">
        <v>38</v>
      </c>
      <c r="E216" s="1" t="s">
        <v>39</v>
      </c>
      <c r="F216" s="3">
        <v>144790.0</v>
      </c>
      <c r="G216" s="1" t="s">
        <v>4269</v>
      </c>
      <c r="H216" s="1">
        <f t="shared" si="1"/>
        <v>631.506543</v>
      </c>
      <c r="I216" s="3" t="s">
        <v>4271</v>
      </c>
      <c r="J216" s="1">
        <v>2641.0</v>
      </c>
    </row>
    <row r="217">
      <c r="A217" s="1">
        <v>2022.0</v>
      </c>
      <c r="B217" s="1">
        <v>4.0</v>
      </c>
      <c r="C217" s="1" t="s">
        <v>116</v>
      </c>
      <c r="D217" s="1" t="s">
        <v>42</v>
      </c>
      <c r="E217" s="1" t="s">
        <v>17</v>
      </c>
      <c r="F217" s="3">
        <v>885380.0</v>
      </c>
      <c r="G217" s="1" t="s">
        <v>4272</v>
      </c>
      <c r="H217" s="1">
        <f t="shared" si="1"/>
        <v>528.577778</v>
      </c>
      <c r="I217" s="1" t="s">
        <v>4273</v>
      </c>
      <c r="J217" s="1">
        <v>0.0</v>
      </c>
    </row>
    <row r="218">
      <c r="A218" s="1">
        <v>2022.0</v>
      </c>
      <c r="B218" s="1">
        <v>4.0</v>
      </c>
      <c r="C218" s="1" t="s">
        <v>116</v>
      </c>
      <c r="D218" s="1" t="s">
        <v>158</v>
      </c>
      <c r="E218" s="1" t="s">
        <v>17</v>
      </c>
      <c r="F218" s="1" t="s">
        <v>4274</v>
      </c>
      <c r="G218" s="1" t="s">
        <v>4275</v>
      </c>
      <c r="H218" s="1">
        <f t="shared" si="1"/>
        <v>183.839274</v>
      </c>
      <c r="I218" s="1" t="s">
        <v>4276</v>
      </c>
      <c r="J218" s="1">
        <v>0.0</v>
      </c>
    </row>
    <row r="219">
      <c r="A219" s="1">
        <v>2022.0</v>
      </c>
      <c r="B219" s="1">
        <v>4.0</v>
      </c>
      <c r="C219" s="1" t="s">
        <v>116</v>
      </c>
      <c r="D219" s="1" t="s">
        <v>158</v>
      </c>
      <c r="E219" s="1" t="s">
        <v>21</v>
      </c>
      <c r="F219" s="1" t="s">
        <v>4278</v>
      </c>
      <c r="G219" s="1" t="s">
        <v>4279</v>
      </c>
      <c r="H219" s="1">
        <f t="shared" si="1"/>
        <v>288.943805</v>
      </c>
      <c r="I219" s="1" t="s">
        <v>4280</v>
      </c>
      <c r="J219" s="1">
        <v>0.0</v>
      </c>
    </row>
    <row r="220">
      <c r="A220" s="1">
        <v>2022.0</v>
      </c>
      <c r="B220" s="1">
        <v>4.0</v>
      </c>
      <c r="C220" s="1" t="s">
        <v>116</v>
      </c>
      <c r="D220" s="1" t="s">
        <v>1851</v>
      </c>
      <c r="E220" s="1" t="s">
        <v>17</v>
      </c>
      <c r="F220" s="3">
        <v>83763.0</v>
      </c>
      <c r="G220" s="1" t="s">
        <v>4281</v>
      </c>
      <c r="H220" s="1">
        <f t="shared" si="1"/>
        <v>362.237206</v>
      </c>
      <c r="I220" s="1" t="s">
        <v>4282</v>
      </c>
      <c r="J220" s="1">
        <v>1569.0</v>
      </c>
    </row>
    <row r="221">
      <c r="A221" s="1">
        <v>2022.0</v>
      </c>
      <c r="B221" s="1">
        <v>4.0</v>
      </c>
      <c r="C221" s="1" t="s">
        <v>116</v>
      </c>
      <c r="D221" s="1" t="s">
        <v>1851</v>
      </c>
      <c r="E221" s="1" t="s">
        <v>21</v>
      </c>
      <c r="F221" s="1" t="s">
        <v>4283</v>
      </c>
      <c r="G221" s="1" t="s">
        <v>4284</v>
      </c>
      <c r="H221" s="1">
        <f t="shared" si="1"/>
        <v>42.914679</v>
      </c>
      <c r="I221" s="1" t="s">
        <v>4285</v>
      </c>
      <c r="J221" s="1">
        <v>130.0</v>
      </c>
    </row>
    <row r="222">
      <c r="A222" s="1">
        <v>2022.0</v>
      </c>
      <c r="B222" s="1">
        <v>5.0</v>
      </c>
      <c r="C222" s="1" t="s">
        <v>12</v>
      </c>
      <c r="D222" s="1" t="s">
        <v>13</v>
      </c>
      <c r="E222" s="1" t="s">
        <v>14</v>
      </c>
      <c r="F222" s="3">
        <v>850194.0</v>
      </c>
      <c r="G222" s="1" t="s">
        <v>4287</v>
      </c>
      <c r="H222" s="1">
        <f t="shared" si="1"/>
        <v>773.766541</v>
      </c>
      <c r="I222" s="3" t="s">
        <v>4288</v>
      </c>
      <c r="J222" s="1">
        <v>423.0</v>
      </c>
    </row>
    <row r="223">
      <c r="A223" s="1">
        <v>2022.0</v>
      </c>
      <c r="B223" s="1">
        <v>5.0</v>
      </c>
      <c r="C223" s="1" t="s">
        <v>12</v>
      </c>
      <c r="D223" s="1" t="s">
        <v>13</v>
      </c>
      <c r="E223" s="1" t="s">
        <v>17</v>
      </c>
      <c r="F223" s="1" t="s">
        <v>4289</v>
      </c>
      <c r="G223" s="1" t="s">
        <v>4290</v>
      </c>
      <c r="H223" s="1">
        <f t="shared" si="1"/>
        <v>4568.309267</v>
      </c>
      <c r="I223" s="1" t="s">
        <v>4291</v>
      </c>
      <c r="J223" s="1">
        <v>677.0</v>
      </c>
    </row>
    <row r="224">
      <c r="A224" s="1">
        <v>2022.0</v>
      </c>
      <c r="B224" s="1">
        <v>5.0</v>
      </c>
      <c r="C224" s="1" t="s">
        <v>12</v>
      </c>
      <c r="D224" s="1" t="s">
        <v>13</v>
      </c>
      <c r="E224" s="1" t="s">
        <v>21</v>
      </c>
      <c r="F224" s="1" t="s">
        <v>4292</v>
      </c>
      <c r="G224" s="1" t="s">
        <v>4293</v>
      </c>
      <c r="H224" s="1">
        <f t="shared" si="1"/>
        <v>4738.784354</v>
      </c>
      <c r="I224" s="1" t="s">
        <v>4294</v>
      </c>
      <c r="J224" s="1">
        <v>554.0</v>
      </c>
    </row>
    <row r="225">
      <c r="A225" s="1">
        <v>2022.0</v>
      </c>
      <c r="B225" s="1">
        <v>5.0</v>
      </c>
      <c r="C225" s="1" t="s">
        <v>12</v>
      </c>
      <c r="D225" s="1" t="s">
        <v>29</v>
      </c>
      <c r="E225" s="1" t="s">
        <v>14</v>
      </c>
      <c r="F225" s="3">
        <v>636620.0</v>
      </c>
      <c r="G225" s="1" t="s">
        <v>4296</v>
      </c>
      <c r="H225" s="1">
        <f t="shared" si="1"/>
        <v>146.524473</v>
      </c>
      <c r="I225" s="1" t="s">
        <v>2391</v>
      </c>
      <c r="J225" s="1">
        <v>89.0</v>
      </c>
    </row>
    <row r="226">
      <c r="A226" s="1">
        <v>2022.0</v>
      </c>
      <c r="B226" s="1">
        <v>5.0</v>
      </c>
      <c r="C226" s="1" t="s">
        <v>12</v>
      </c>
      <c r="D226" s="1" t="s">
        <v>29</v>
      </c>
      <c r="E226" s="1" t="s">
        <v>21</v>
      </c>
      <c r="F226" s="1" t="s">
        <v>4298</v>
      </c>
      <c r="G226" s="1" t="s">
        <v>4299</v>
      </c>
      <c r="H226" s="1">
        <f t="shared" si="1"/>
        <v>6829.434676</v>
      </c>
      <c r="I226" s="1" t="s">
        <v>4300</v>
      </c>
      <c r="J226" s="1">
        <v>649.0</v>
      </c>
    </row>
    <row r="227">
      <c r="A227" s="1">
        <v>2022.0</v>
      </c>
      <c r="B227" s="1">
        <v>5.0</v>
      </c>
      <c r="C227" s="1" t="s">
        <v>12</v>
      </c>
      <c r="D227" s="1" t="s">
        <v>48</v>
      </c>
      <c r="E227" s="1" t="s">
        <v>49</v>
      </c>
      <c r="F227" s="1" t="s">
        <v>2069</v>
      </c>
      <c r="G227" s="1" t="s">
        <v>4301</v>
      </c>
      <c r="H227" s="1">
        <f t="shared" si="1"/>
        <v>3.743044</v>
      </c>
      <c r="I227" s="1" t="s">
        <v>2411</v>
      </c>
      <c r="J227" s="1">
        <v>9.0</v>
      </c>
    </row>
    <row r="228">
      <c r="A228" s="1">
        <v>2022.0</v>
      </c>
      <c r="B228" s="1">
        <v>5.0</v>
      </c>
      <c r="C228" s="1" t="s">
        <v>12</v>
      </c>
      <c r="D228" s="1" t="s">
        <v>48</v>
      </c>
      <c r="E228" s="1" t="s">
        <v>21</v>
      </c>
      <c r="F228" s="3">
        <v>453723.0</v>
      </c>
      <c r="G228" s="1" t="s">
        <v>4303</v>
      </c>
      <c r="H228" s="1">
        <f t="shared" si="1"/>
        <v>760.294077</v>
      </c>
      <c r="I228" s="3">
        <v>1956241.0</v>
      </c>
      <c r="J228" s="1">
        <v>166.0</v>
      </c>
    </row>
    <row r="229">
      <c r="A229" s="1">
        <v>2022.0</v>
      </c>
      <c r="B229" s="1">
        <v>5.0</v>
      </c>
      <c r="C229" s="1" t="s">
        <v>12</v>
      </c>
      <c r="D229" s="1" t="s">
        <v>38</v>
      </c>
      <c r="E229" s="1" t="s">
        <v>39</v>
      </c>
      <c r="F229" s="3">
        <v>1752801.0</v>
      </c>
      <c r="G229" s="1" t="s">
        <v>4305</v>
      </c>
      <c r="H229" s="1">
        <f t="shared" si="1"/>
        <v>200.276349</v>
      </c>
      <c r="I229" s="1" t="s">
        <v>4306</v>
      </c>
      <c r="J229" s="1">
        <v>159.0</v>
      </c>
    </row>
    <row r="230">
      <c r="A230" s="1">
        <v>2022.0</v>
      </c>
      <c r="B230" s="1">
        <v>5.0</v>
      </c>
      <c r="C230" s="1" t="s">
        <v>12</v>
      </c>
      <c r="D230" s="1" t="s">
        <v>45</v>
      </c>
      <c r="E230" s="1" t="s">
        <v>49</v>
      </c>
      <c r="F230" s="1" t="s">
        <v>1465</v>
      </c>
      <c r="G230" s="1" t="s">
        <v>4308</v>
      </c>
      <c r="H230" s="1">
        <f t="shared" si="1"/>
        <v>3.624223</v>
      </c>
      <c r="I230" s="1" t="s">
        <v>4309</v>
      </c>
      <c r="J230" s="1">
        <v>6.0</v>
      </c>
    </row>
    <row r="231">
      <c r="A231" s="1">
        <v>2022.0</v>
      </c>
      <c r="B231" s="1">
        <v>5.0</v>
      </c>
      <c r="C231" s="1" t="s">
        <v>12</v>
      </c>
      <c r="D231" s="1" t="s">
        <v>45</v>
      </c>
      <c r="E231" s="1" t="s">
        <v>17</v>
      </c>
      <c r="F231" s="3">
        <v>465352.0</v>
      </c>
      <c r="G231" s="1" t="s">
        <v>4310</v>
      </c>
      <c r="H231" s="1">
        <f t="shared" si="1"/>
        <v>190.920762</v>
      </c>
      <c r="I231" s="1" t="s">
        <v>4311</v>
      </c>
      <c r="J231" s="1">
        <v>151.0</v>
      </c>
    </row>
    <row r="232">
      <c r="A232" s="1">
        <v>2022.0</v>
      </c>
      <c r="B232" s="1">
        <v>5.0</v>
      </c>
      <c r="C232" s="1" t="s">
        <v>12</v>
      </c>
      <c r="D232" s="1" t="s">
        <v>4127</v>
      </c>
      <c r="E232" s="1" t="s">
        <v>17</v>
      </c>
      <c r="F232" s="3">
        <v>2280973.0</v>
      </c>
      <c r="G232" s="1" t="s">
        <v>4313</v>
      </c>
      <c r="H232" s="1">
        <f t="shared" si="1"/>
        <v>192.815258</v>
      </c>
      <c r="I232" s="1" t="s">
        <v>4315</v>
      </c>
      <c r="J232" s="1">
        <v>132.0</v>
      </c>
    </row>
    <row r="233">
      <c r="A233" s="1">
        <v>2022.0</v>
      </c>
      <c r="B233" s="1">
        <v>5.0</v>
      </c>
      <c r="C233" s="1" t="s">
        <v>12</v>
      </c>
      <c r="D233" s="1" t="s">
        <v>42</v>
      </c>
      <c r="E233" s="1" t="s">
        <v>17</v>
      </c>
      <c r="F233" s="1" t="s">
        <v>4316</v>
      </c>
      <c r="G233" s="1" t="s">
        <v>4318</v>
      </c>
      <c r="H233" s="1">
        <f t="shared" si="1"/>
        <v>88.075675</v>
      </c>
      <c r="I233" s="1" t="s">
        <v>4320</v>
      </c>
      <c r="J233" s="1">
        <v>0.0</v>
      </c>
    </row>
    <row r="234">
      <c r="A234" s="1">
        <v>2022.0</v>
      </c>
      <c r="B234" s="1">
        <v>5.0</v>
      </c>
      <c r="C234" s="1" t="s">
        <v>12</v>
      </c>
      <c r="D234" s="1" t="s">
        <v>3962</v>
      </c>
      <c r="E234" s="1" t="s">
        <v>17</v>
      </c>
      <c r="F234" s="1" t="s">
        <v>4321</v>
      </c>
      <c r="G234" s="1" t="s">
        <v>4322</v>
      </c>
      <c r="H234" s="1">
        <f t="shared" si="1"/>
        <v>74.260342</v>
      </c>
      <c r="I234" s="1" t="s">
        <v>4323</v>
      </c>
      <c r="J234" s="1">
        <v>109.0</v>
      </c>
    </row>
    <row r="235">
      <c r="A235" s="1">
        <v>2022.0</v>
      </c>
      <c r="B235" s="1">
        <v>5.0</v>
      </c>
      <c r="C235" s="1" t="s">
        <v>12</v>
      </c>
      <c r="D235" s="1" t="s">
        <v>1830</v>
      </c>
      <c r="E235" s="1" t="s">
        <v>72</v>
      </c>
      <c r="F235" s="1" t="s">
        <v>4325</v>
      </c>
      <c r="G235" s="1" t="s">
        <v>4326</v>
      </c>
      <c r="H235" s="1">
        <f t="shared" si="1"/>
        <v>52.727248</v>
      </c>
      <c r="I235" s="1" t="s">
        <v>4327</v>
      </c>
      <c r="J235" s="1">
        <v>234.0</v>
      </c>
    </row>
    <row r="236">
      <c r="A236" s="1">
        <v>2022.0</v>
      </c>
      <c r="B236" s="1">
        <v>5.0</v>
      </c>
      <c r="C236" s="1" t="s">
        <v>12</v>
      </c>
      <c r="D236" s="1" t="s">
        <v>56</v>
      </c>
      <c r="E236" s="1" t="s">
        <v>21</v>
      </c>
      <c r="F236" s="1" t="s">
        <v>4328</v>
      </c>
      <c r="G236" s="1" t="s">
        <v>4329</v>
      </c>
      <c r="H236" s="1">
        <f t="shared" si="1"/>
        <v>45.304416</v>
      </c>
      <c r="I236" s="1" t="s">
        <v>989</v>
      </c>
      <c r="J236" s="1">
        <v>117.0</v>
      </c>
    </row>
    <row r="237">
      <c r="A237" s="1">
        <v>2022.0</v>
      </c>
      <c r="B237" s="1">
        <v>5.0</v>
      </c>
      <c r="C237" s="1" t="s">
        <v>68</v>
      </c>
      <c r="D237" s="1" t="s">
        <v>13</v>
      </c>
      <c r="E237" s="1" t="s">
        <v>14</v>
      </c>
      <c r="F237" s="1" t="s">
        <v>4330</v>
      </c>
      <c r="G237" s="1" t="s">
        <v>4331</v>
      </c>
      <c r="H237" s="1">
        <f t="shared" si="1"/>
        <v>2383.271661</v>
      </c>
      <c r="I237" s="11">
        <v>46030.0</v>
      </c>
      <c r="J237" s="1">
        <v>6985.0</v>
      </c>
    </row>
    <row r="238">
      <c r="A238" s="1">
        <v>2022.0</v>
      </c>
      <c r="B238" s="1">
        <v>5.0</v>
      </c>
      <c r="C238" s="1" t="s">
        <v>68</v>
      </c>
      <c r="D238" s="1" t="s">
        <v>13</v>
      </c>
      <c r="E238" s="1" t="s">
        <v>17</v>
      </c>
      <c r="F238" s="1" t="s">
        <v>4332</v>
      </c>
      <c r="G238" s="1" t="s">
        <v>4333</v>
      </c>
      <c r="H238" s="1">
        <f t="shared" si="1"/>
        <v>6723.164019</v>
      </c>
      <c r="I238" s="1" t="s">
        <v>4335</v>
      </c>
      <c r="J238" s="1">
        <v>8839.0</v>
      </c>
    </row>
    <row r="239">
      <c r="A239" s="1">
        <v>2022.0</v>
      </c>
      <c r="B239" s="1">
        <v>5.0</v>
      </c>
      <c r="C239" s="1" t="s">
        <v>68</v>
      </c>
      <c r="D239" s="1" t="s">
        <v>13</v>
      </c>
      <c r="E239" s="1" t="s">
        <v>21</v>
      </c>
      <c r="F239" s="3">
        <v>2453001.0</v>
      </c>
      <c r="G239" s="1" t="s">
        <v>4336</v>
      </c>
      <c r="H239" s="1">
        <f t="shared" si="1"/>
        <v>523.029817</v>
      </c>
      <c r="I239" s="3">
        <v>879505.0</v>
      </c>
      <c r="J239" s="1">
        <v>438.0</v>
      </c>
    </row>
    <row r="240">
      <c r="A240" s="1">
        <v>2022.0</v>
      </c>
      <c r="B240" s="1">
        <v>5.0</v>
      </c>
      <c r="C240" s="1" t="s">
        <v>68</v>
      </c>
      <c r="D240" s="1" t="s">
        <v>13</v>
      </c>
      <c r="E240" s="1" t="s">
        <v>25</v>
      </c>
      <c r="F240" s="1" t="s">
        <v>4338</v>
      </c>
      <c r="G240" s="1" t="s">
        <v>4339</v>
      </c>
      <c r="H240" s="1">
        <f t="shared" si="1"/>
        <v>47.36375</v>
      </c>
      <c r="I240" s="1" t="s">
        <v>3128</v>
      </c>
      <c r="J240" s="1">
        <v>168.0</v>
      </c>
    </row>
    <row r="241">
      <c r="A241" s="1">
        <v>2022.0</v>
      </c>
      <c r="B241" s="1">
        <v>5.0</v>
      </c>
      <c r="C241" s="1" t="s">
        <v>68</v>
      </c>
      <c r="D241" s="1" t="s">
        <v>29</v>
      </c>
      <c r="E241" s="1" t="s">
        <v>14</v>
      </c>
      <c r="F241" s="1" t="s">
        <v>4341</v>
      </c>
      <c r="G241" s="1" t="s">
        <v>4342</v>
      </c>
      <c r="H241" s="1">
        <f t="shared" si="1"/>
        <v>72.253721</v>
      </c>
      <c r="I241" s="1" t="s">
        <v>4007</v>
      </c>
      <c r="J241" s="1">
        <v>72.0</v>
      </c>
    </row>
    <row r="242">
      <c r="A242" s="1">
        <v>2022.0</v>
      </c>
      <c r="B242" s="1">
        <v>5.0</v>
      </c>
      <c r="C242" s="1" t="s">
        <v>68</v>
      </c>
      <c r="D242" s="1" t="s">
        <v>29</v>
      </c>
      <c r="E242" s="1" t="s">
        <v>21</v>
      </c>
      <c r="F242" s="3">
        <v>543422.0</v>
      </c>
      <c r="G242" s="1" t="s">
        <v>4364</v>
      </c>
      <c r="H242" s="1">
        <f t="shared" si="1"/>
        <v>2381.702329</v>
      </c>
      <c r="I242" s="3">
        <v>1262005.0</v>
      </c>
      <c r="J242" s="1">
        <v>1918.0</v>
      </c>
    </row>
    <row r="243">
      <c r="A243" s="1">
        <v>2022.0</v>
      </c>
      <c r="B243" s="1">
        <v>5.0</v>
      </c>
      <c r="C243" s="1" t="s">
        <v>68</v>
      </c>
      <c r="D243" s="1" t="s">
        <v>45</v>
      </c>
      <c r="E243" s="1" t="s">
        <v>49</v>
      </c>
      <c r="F243" s="3" t="s">
        <v>4365</v>
      </c>
      <c r="G243" s="1" t="s">
        <v>4366</v>
      </c>
      <c r="H243" s="1">
        <f t="shared" si="1"/>
        <v>58.583002</v>
      </c>
      <c r="I243" s="1" t="s">
        <v>4367</v>
      </c>
      <c r="J243" s="1">
        <v>134.0</v>
      </c>
    </row>
    <row r="244">
      <c r="A244" s="1">
        <v>2022.0</v>
      </c>
      <c r="B244" s="1">
        <v>5.0</v>
      </c>
      <c r="C244" s="1" t="s">
        <v>68</v>
      </c>
      <c r="D244" s="1" t="s">
        <v>45</v>
      </c>
      <c r="E244" s="1" t="s">
        <v>17</v>
      </c>
      <c r="F244" s="3">
        <v>300351.0</v>
      </c>
      <c r="G244" s="1" t="s">
        <v>4368</v>
      </c>
      <c r="H244" s="1">
        <f t="shared" si="1"/>
        <v>410.251949</v>
      </c>
      <c r="I244" s="3">
        <v>2585554.0</v>
      </c>
      <c r="J244" s="1">
        <v>1380.0</v>
      </c>
    </row>
    <row r="245">
      <c r="A245" s="1">
        <v>2022.0</v>
      </c>
      <c r="B245" s="1">
        <v>5.0</v>
      </c>
      <c r="C245" s="1" t="s">
        <v>68</v>
      </c>
      <c r="D245" s="1" t="s">
        <v>4127</v>
      </c>
      <c r="E245" s="1" t="s">
        <v>17</v>
      </c>
      <c r="F245" s="3">
        <v>2082340.0</v>
      </c>
      <c r="G245" s="1" t="s">
        <v>4369</v>
      </c>
      <c r="H245" s="1">
        <f t="shared" si="1"/>
        <v>382.141359</v>
      </c>
      <c r="I245" s="3">
        <v>1738922.0</v>
      </c>
      <c r="J245" s="1">
        <v>870.0</v>
      </c>
    </row>
    <row r="246">
      <c r="A246" s="1">
        <v>2022.0</v>
      </c>
      <c r="B246" s="1">
        <v>5.0</v>
      </c>
      <c r="C246" s="1" t="s">
        <v>68</v>
      </c>
      <c r="D246" s="1" t="s">
        <v>38</v>
      </c>
      <c r="E246" s="1" t="s">
        <v>39</v>
      </c>
      <c r="F246" s="3">
        <v>2498685.0</v>
      </c>
      <c r="G246" s="1" t="s">
        <v>4370</v>
      </c>
      <c r="H246" s="1">
        <f t="shared" si="1"/>
        <v>350.53213</v>
      </c>
      <c r="I246" s="1" t="s">
        <v>4371</v>
      </c>
      <c r="J246" s="1">
        <v>1441.0</v>
      </c>
    </row>
    <row r="247">
      <c r="A247" s="1">
        <v>2022.0</v>
      </c>
      <c r="B247" s="1">
        <v>5.0</v>
      </c>
      <c r="C247" s="1" t="s">
        <v>68</v>
      </c>
      <c r="D247" s="1" t="s">
        <v>48</v>
      </c>
      <c r="E247" s="1" t="s">
        <v>49</v>
      </c>
      <c r="F247" s="1" t="s">
        <v>414</v>
      </c>
      <c r="G247" s="1" t="s">
        <v>4372</v>
      </c>
      <c r="H247" s="1">
        <f t="shared" si="1"/>
        <v>0.296985</v>
      </c>
      <c r="I247" s="1" t="s">
        <v>376</v>
      </c>
      <c r="J247" s="1">
        <v>2.0</v>
      </c>
    </row>
    <row r="248">
      <c r="A248" s="1">
        <v>2022.0</v>
      </c>
      <c r="B248" s="1">
        <v>5.0</v>
      </c>
      <c r="C248" s="1" t="s">
        <v>68</v>
      </c>
      <c r="D248" s="1" t="s">
        <v>48</v>
      </c>
      <c r="E248" s="1" t="s">
        <v>72</v>
      </c>
      <c r="F248" s="1" t="s">
        <v>4373</v>
      </c>
      <c r="G248" s="1" t="s">
        <v>4374</v>
      </c>
      <c r="H248" s="1">
        <f t="shared" si="1"/>
        <v>2.811444</v>
      </c>
      <c r="I248" s="1" t="s">
        <v>1886</v>
      </c>
      <c r="J248" s="1">
        <v>11.0</v>
      </c>
    </row>
    <row r="249">
      <c r="A249" s="1">
        <v>2022.0</v>
      </c>
      <c r="B249" s="1">
        <v>5.0</v>
      </c>
      <c r="C249" s="1" t="s">
        <v>68</v>
      </c>
      <c r="D249" s="1" t="s">
        <v>48</v>
      </c>
      <c r="E249" s="1" t="s">
        <v>21</v>
      </c>
      <c r="F249" s="3">
        <v>746923.0</v>
      </c>
      <c r="G249" s="1" t="s">
        <v>4375</v>
      </c>
      <c r="H249" s="1">
        <f t="shared" si="1"/>
        <v>246.065794</v>
      </c>
      <c r="I249" s="1" t="s">
        <v>4376</v>
      </c>
      <c r="J249" s="1">
        <v>345.0</v>
      </c>
    </row>
    <row r="250">
      <c r="A250" s="1">
        <v>2022.0</v>
      </c>
      <c r="B250" s="1">
        <v>5.0</v>
      </c>
      <c r="C250" s="1" t="s">
        <v>68</v>
      </c>
      <c r="D250" s="1" t="s">
        <v>1851</v>
      </c>
      <c r="E250" s="1" t="s">
        <v>17</v>
      </c>
      <c r="F250" s="3" t="s">
        <v>4377</v>
      </c>
      <c r="G250" s="1" t="s">
        <v>4378</v>
      </c>
      <c r="H250" s="1">
        <f t="shared" si="1"/>
        <v>174.863686</v>
      </c>
      <c r="I250" s="3" t="s">
        <v>4379</v>
      </c>
      <c r="J250" s="1">
        <v>915.0</v>
      </c>
    </row>
    <row r="251">
      <c r="A251" s="1">
        <v>2022.0</v>
      </c>
      <c r="B251" s="1">
        <v>5.0</v>
      </c>
      <c r="C251" s="1" t="s">
        <v>68</v>
      </c>
      <c r="D251" s="1" t="s">
        <v>1851</v>
      </c>
      <c r="E251" s="1" t="s">
        <v>21</v>
      </c>
      <c r="F251" s="1" t="s">
        <v>4380</v>
      </c>
      <c r="G251" s="1" t="s">
        <v>4381</v>
      </c>
      <c r="H251" s="1">
        <f t="shared" si="1"/>
        <v>24.139055</v>
      </c>
      <c r="I251" s="1" t="s">
        <v>4382</v>
      </c>
      <c r="J251" s="1">
        <v>144.0</v>
      </c>
    </row>
    <row r="252">
      <c r="A252" s="1">
        <v>2022.0</v>
      </c>
      <c r="B252" s="1">
        <v>5.0</v>
      </c>
      <c r="C252" s="1" t="s">
        <v>68</v>
      </c>
      <c r="D252" s="1" t="s">
        <v>3962</v>
      </c>
      <c r="E252" s="1" t="s">
        <v>17</v>
      </c>
      <c r="F252" s="3">
        <v>826911.0</v>
      </c>
      <c r="G252" s="1" t="s">
        <v>4383</v>
      </c>
      <c r="H252" s="1">
        <f t="shared" si="1"/>
        <v>129.822771</v>
      </c>
      <c r="I252" s="1" t="s">
        <v>4384</v>
      </c>
      <c r="J252" s="1">
        <v>529.0</v>
      </c>
    </row>
    <row r="253">
      <c r="A253" s="1">
        <v>2022.0</v>
      </c>
      <c r="B253" s="1">
        <v>5.0</v>
      </c>
      <c r="C253" s="1" t="s">
        <v>68</v>
      </c>
      <c r="D253" s="1" t="s">
        <v>1830</v>
      </c>
      <c r="E253" s="1" t="s">
        <v>72</v>
      </c>
      <c r="F253" s="3">
        <v>667665.0</v>
      </c>
      <c r="G253" s="1" t="s">
        <v>4385</v>
      </c>
      <c r="H253" s="1">
        <f t="shared" si="1"/>
        <v>107.913191</v>
      </c>
      <c r="I253" s="1" t="s">
        <v>4386</v>
      </c>
      <c r="J253" s="1">
        <v>1203.0</v>
      </c>
    </row>
    <row r="254">
      <c r="A254" s="1">
        <v>2022.0</v>
      </c>
      <c r="B254" s="1">
        <v>5.0</v>
      </c>
      <c r="C254" s="1" t="s">
        <v>68</v>
      </c>
      <c r="D254" s="1" t="s">
        <v>2104</v>
      </c>
      <c r="E254" s="1" t="s">
        <v>17</v>
      </c>
      <c r="F254" s="3">
        <v>1333867.0</v>
      </c>
      <c r="G254" s="1" t="s">
        <v>4387</v>
      </c>
      <c r="H254" s="1">
        <f t="shared" si="1"/>
        <v>76.888582</v>
      </c>
      <c r="I254" s="1" t="s">
        <v>4388</v>
      </c>
      <c r="J254" s="1">
        <v>336.0</v>
      </c>
    </row>
    <row r="255">
      <c r="A255" s="1">
        <v>2022.0</v>
      </c>
      <c r="B255" s="1">
        <v>5.0</v>
      </c>
      <c r="C255" s="1" t="s">
        <v>116</v>
      </c>
      <c r="D255" s="1" t="s">
        <v>13</v>
      </c>
      <c r="E255" s="1" t="s">
        <v>14</v>
      </c>
      <c r="F255" s="1" t="s">
        <v>4390</v>
      </c>
      <c r="G255" s="1" t="s">
        <v>4391</v>
      </c>
      <c r="H255" s="1">
        <f t="shared" si="1"/>
        <v>5184.360197</v>
      </c>
      <c r="I255" s="1" t="s">
        <v>4392</v>
      </c>
      <c r="J255" s="1">
        <v>12256.0</v>
      </c>
    </row>
    <row r="256">
      <c r="A256" s="1">
        <v>2022.0</v>
      </c>
      <c r="B256" s="1">
        <v>5.0</v>
      </c>
      <c r="C256" s="1" t="s">
        <v>116</v>
      </c>
      <c r="D256" s="1" t="s">
        <v>13</v>
      </c>
      <c r="E256" s="1" t="s">
        <v>17</v>
      </c>
      <c r="F256" s="1" t="s">
        <v>4393</v>
      </c>
      <c r="G256" s="1" t="s">
        <v>4394</v>
      </c>
      <c r="H256" s="1">
        <f t="shared" si="1"/>
        <v>14277.08856</v>
      </c>
      <c r="I256" s="1" t="s">
        <v>4395</v>
      </c>
      <c r="J256" s="1">
        <v>18024.0</v>
      </c>
    </row>
    <row r="257">
      <c r="A257" s="1">
        <v>2022.0</v>
      </c>
      <c r="B257" s="1">
        <v>5.0</v>
      </c>
      <c r="C257" s="1" t="s">
        <v>116</v>
      </c>
      <c r="D257" s="1" t="s">
        <v>13</v>
      </c>
      <c r="E257" s="1" t="s">
        <v>21</v>
      </c>
      <c r="F257" s="3">
        <v>236253.0</v>
      </c>
      <c r="G257" s="1" t="s">
        <v>4396</v>
      </c>
      <c r="H257" s="1">
        <f t="shared" si="1"/>
        <v>1644.230536</v>
      </c>
      <c r="I257" s="3">
        <v>1597328.0</v>
      </c>
      <c r="J257" s="1">
        <v>891.0</v>
      </c>
    </row>
    <row r="258">
      <c r="A258" s="1">
        <v>2022.0</v>
      </c>
      <c r="B258" s="1">
        <v>5.0</v>
      </c>
      <c r="C258" s="1" t="s">
        <v>116</v>
      </c>
      <c r="D258" s="1" t="s">
        <v>13</v>
      </c>
      <c r="E258" s="1" t="s">
        <v>25</v>
      </c>
      <c r="F258" s="1" t="s">
        <v>4398</v>
      </c>
      <c r="G258" s="1" t="s">
        <v>4399</v>
      </c>
      <c r="H258" s="1">
        <f t="shared" si="1"/>
        <v>3.582185</v>
      </c>
      <c r="I258" s="1" t="s">
        <v>2801</v>
      </c>
      <c r="J258" s="1">
        <v>5.0</v>
      </c>
    </row>
    <row r="259">
      <c r="A259" s="1">
        <v>2022.0</v>
      </c>
      <c r="B259" s="1">
        <v>5.0</v>
      </c>
      <c r="C259" s="1" t="s">
        <v>116</v>
      </c>
      <c r="D259" s="1" t="s">
        <v>29</v>
      </c>
      <c r="E259" s="1" t="s">
        <v>14</v>
      </c>
      <c r="F259" s="3">
        <v>368166.0</v>
      </c>
      <c r="G259" s="1" t="s">
        <v>4401</v>
      </c>
      <c r="H259" s="1">
        <f t="shared" si="1"/>
        <v>183.721912</v>
      </c>
      <c r="I259" s="1" t="s">
        <v>4402</v>
      </c>
      <c r="J259" s="1">
        <v>293.0</v>
      </c>
    </row>
    <row r="260">
      <c r="A260" s="1">
        <v>2022.0</v>
      </c>
      <c r="B260" s="1">
        <v>5.0</v>
      </c>
      <c r="C260" s="1" t="s">
        <v>116</v>
      </c>
      <c r="D260" s="1" t="s">
        <v>29</v>
      </c>
      <c r="E260" s="1" t="s">
        <v>21</v>
      </c>
      <c r="F260" s="1" t="s">
        <v>4403</v>
      </c>
      <c r="G260" s="1" t="s">
        <v>4405</v>
      </c>
      <c r="H260" s="1">
        <f t="shared" si="1"/>
        <v>6818.829617</v>
      </c>
      <c r="I260" s="3">
        <v>325037.0</v>
      </c>
      <c r="J260" s="1">
        <v>4051.0</v>
      </c>
    </row>
    <row r="261">
      <c r="A261" s="1">
        <v>2022.0</v>
      </c>
      <c r="B261" s="1">
        <v>5.0</v>
      </c>
      <c r="C261" s="1" t="s">
        <v>116</v>
      </c>
      <c r="D261" s="1" t="s">
        <v>45</v>
      </c>
      <c r="E261" s="1" t="s">
        <v>49</v>
      </c>
      <c r="F261" s="3">
        <v>1996449.0</v>
      </c>
      <c r="G261" s="1" t="s">
        <v>4407</v>
      </c>
      <c r="H261" s="1">
        <f t="shared" si="1"/>
        <v>157.761561</v>
      </c>
      <c r="I261" s="1" t="s">
        <v>3106</v>
      </c>
      <c r="J261" s="1">
        <v>352.0</v>
      </c>
    </row>
    <row r="262">
      <c r="A262" s="1">
        <v>2022.0</v>
      </c>
      <c r="B262" s="1">
        <v>5.0</v>
      </c>
      <c r="C262" s="1" t="s">
        <v>116</v>
      </c>
      <c r="D262" s="1" t="s">
        <v>45</v>
      </c>
      <c r="E262" s="1" t="s">
        <v>17</v>
      </c>
      <c r="F262" s="1" t="s">
        <v>4408</v>
      </c>
      <c r="G262" s="1" t="s">
        <v>4409</v>
      </c>
      <c r="H262" s="1">
        <f t="shared" si="1"/>
        <v>1670.173912</v>
      </c>
      <c r="I262" s="3">
        <v>1246422.0</v>
      </c>
      <c r="J262" s="1">
        <v>1669.0</v>
      </c>
    </row>
    <row r="263">
      <c r="A263" s="1">
        <v>2022.0</v>
      </c>
      <c r="B263" s="1">
        <v>5.0</v>
      </c>
      <c r="C263" s="1" t="s">
        <v>116</v>
      </c>
      <c r="D263" s="1" t="s">
        <v>48</v>
      </c>
      <c r="E263" s="1" t="s">
        <v>49</v>
      </c>
      <c r="F263" s="1" t="s">
        <v>142</v>
      </c>
      <c r="G263" s="1" t="s">
        <v>4410</v>
      </c>
      <c r="H263" s="1">
        <f t="shared" si="1"/>
        <v>3.545319</v>
      </c>
      <c r="I263" s="1" t="s">
        <v>426</v>
      </c>
      <c r="J263" s="1">
        <v>6.0</v>
      </c>
    </row>
    <row r="264">
      <c r="A264" s="1">
        <v>2022.0</v>
      </c>
      <c r="B264" s="1">
        <v>5.0</v>
      </c>
      <c r="C264" s="1" t="s">
        <v>116</v>
      </c>
      <c r="D264" s="1" t="s">
        <v>48</v>
      </c>
      <c r="E264" s="1" t="s">
        <v>72</v>
      </c>
      <c r="F264" s="1" t="s">
        <v>654</v>
      </c>
      <c r="G264" s="1" t="s">
        <v>4411</v>
      </c>
      <c r="H264" s="1">
        <f t="shared" si="1"/>
        <v>17.701399</v>
      </c>
      <c r="I264" s="1" t="s">
        <v>2030</v>
      </c>
      <c r="J264" s="1">
        <v>33.0</v>
      </c>
    </row>
    <row r="265">
      <c r="A265" s="1">
        <v>2022.0</v>
      </c>
      <c r="B265" s="1">
        <v>5.0</v>
      </c>
      <c r="C265" s="1" t="s">
        <v>116</v>
      </c>
      <c r="D265" s="1" t="s">
        <v>48</v>
      </c>
      <c r="E265" s="1" t="s">
        <v>21</v>
      </c>
      <c r="F265" s="3">
        <v>1721845.0</v>
      </c>
      <c r="G265" s="1" t="s">
        <v>4412</v>
      </c>
      <c r="H265" s="1">
        <f t="shared" si="1"/>
        <v>1070.070585</v>
      </c>
      <c r="I265" s="3">
        <v>2463928.0</v>
      </c>
      <c r="J265" s="1">
        <v>447.0</v>
      </c>
    </row>
    <row r="266">
      <c r="A266" s="1">
        <v>2022.0</v>
      </c>
      <c r="B266" s="1">
        <v>5.0</v>
      </c>
      <c r="C266" s="1" t="s">
        <v>116</v>
      </c>
      <c r="D266" s="1" t="s">
        <v>3962</v>
      </c>
      <c r="E266" s="1" t="s">
        <v>17</v>
      </c>
      <c r="F266" s="3">
        <v>30225.0</v>
      </c>
      <c r="G266" s="1" t="s">
        <v>4414</v>
      </c>
      <c r="H266" s="1">
        <f t="shared" si="1"/>
        <v>934.2562</v>
      </c>
      <c r="I266" s="3">
        <v>1142905.0</v>
      </c>
      <c r="J266" s="1">
        <v>3211.0</v>
      </c>
    </row>
    <row r="267">
      <c r="A267" s="1">
        <v>2022.0</v>
      </c>
      <c r="B267" s="1">
        <v>5.0</v>
      </c>
      <c r="C267" s="1" t="s">
        <v>116</v>
      </c>
      <c r="D267" s="1" t="s">
        <v>38</v>
      </c>
      <c r="E267" s="1" t="s">
        <v>39</v>
      </c>
      <c r="F267" s="3">
        <v>1107934.0</v>
      </c>
      <c r="G267" s="1" t="s">
        <v>4415</v>
      </c>
      <c r="H267" s="1">
        <f t="shared" si="1"/>
        <v>637.886115</v>
      </c>
      <c r="I267" s="3" t="s">
        <v>4416</v>
      </c>
      <c r="J267" s="1">
        <v>2563.0</v>
      </c>
    </row>
    <row r="268">
      <c r="A268" s="1">
        <v>2022.0</v>
      </c>
      <c r="B268" s="1">
        <v>5.0</v>
      </c>
      <c r="C268" s="1" t="s">
        <v>116</v>
      </c>
      <c r="D268" s="1" t="s">
        <v>147</v>
      </c>
      <c r="E268" s="1" t="s">
        <v>39</v>
      </c>
      <c r="F268" s="3">
        <v>1265933.0</v>
      </c>
      <c r="G268" s="1" t="s">
        <v>4418</v>
      </c>
      <c r="H268" s="1">
        <f t="shared" si="1"/>
        <v>489.37299</v>
      </c>
      <c r="I268" s="1" t="s">
        <v>4420</v>
      </c>
      <c r="J268" s="1">
        <v>121.0</v>
      </c>
    </row>
    <row r="269">
      <c r="A269" s="1">
        <v>2022.0</v>
      </c>
      <c r="B269" s="1">
        <v>5.0</v>
      </c>
      <c r="C269" s="1" t="s">
        <v>116</v>
      </c>
      <c r="D269" s="1" t="s">
        <v>147</v>
      </c>
      <c r="E269" s="1" t="s">
        <v>17</v>
      </c>
      <c r="F269" s="1" t="s">
        <v>4421</v>
      </c>
      <c r="G269" s="1" t="s">
        <v>4422</v>
      </c>
      <c r="H269" s="1">
        <f t="shared" si="1"/>
        <v>11.949414</v>
      </c>
      <c r="I269" s="1" t="s">
        <v>4423</v>
      </c>
      <c r="J269" s="1">
        <v>6.0</v>
      </c>
    </row>
    <row r="270">
      <c r="A270" s="1">
        <v>2022.0</v>
      </c>
      <c r="B270" s="1">
        <v>5.0</v>
      </c>
      <c r="C270" s="1" t="s">
        <v>116</v>
      </c>
      <c r="D270" s="1" t="s">
        <v>147</v>
      </c>
      <c r="E270" s="1" t="s">
        <v>21</v>
      </c>
      <c r="F270" s="1" t="s">
        <v>4424</v>
      </c>
      <c r="G270" s="1" t="s">
        <v>4425</v>
      </c>
      <c r="H270" s="1">
        <f t="shared" si="1"/>
        <v>47.841618</v>
      </c>
      <c r="I270" s="1" t="s">
        <v>889</v>
      </c>
      <c r="J270" s="1">
        <v>52.0</v>
      </c>
    </row>
    <row r="271">
      <c r="A271" s="1">
        <v>2022.0</v>
      </c>
      <c r="B271" s="1">
        <v>5.0</v>
      </c>
      <c r="C271" s="1" t="s">
        <v>116</v>
      </c>
      <c r="D271" s="1" t="s">
        <v>4127</v>
      </c>
      <c r="E271" s="1" t="s">
        <v>17</v>
      </c>
      <c r="F271" s="3" t="s">
        <v>4426</v>
      </c>
      <c r="G271" s="1" t="s">
        <v>4427</v>
      </c>
      <c r="H271" s="1">
        <f t="shared" si="1"/>
        <v>344.140954</v>
      </c>
      <c r="I271" s="3">
        <v>997479.0</v>
      </c>
      <c r="J271" s="1">
        <v>641.0</v>
      </c>
    </row>
    <row r="272">
      <c r="A272" s="1">
        <v>2022.0</v>
      </c>
      <c r="B272" s="1">
        <v>5.0</v>
      </c>
      <c r="C272" s="1" t="s">
        <v>116</v>
      </c>
      <c r="D272" s="1" t="s">
        <v>1851</v>
      </c>
      <c r="E272" s="1" t="s">
        <v>17</v>
      </c>
      <c r="F272" s="3">
        <v>1494299.0</v>
      </c>
      <c r="G272" s="1" t="s">
        <v>4429</v>
      </c>
      <c r="H272" s="1">
        <f t="shared" si="1"/>
        <v>302.883131</v>
      </c>
      <c r="I272" s="3">
        <v>2120600.0</v>
      </c>
      <c r="J272" s="1">
        <v>1506.0</v>
      </c>
    </row>
    <row r="273">
      <c r="A273" s="1">
        <v>2022.0</v>
      </c>
      <c r="B273" s="1">
        <v>5.0</v>
      </c>
      <c r="C273" s="1" t="s">
        <v>116</v>
      </c>
      <c r="D273" s="1" t="s">
        <v>1851</v>
      </c>
      <c r="E273" s="1" t="s">
        <v>21</v>
      </c>
      <c r="F273" s="1" t="s">
        <v>4436</v>
      </c>
      <c r="G273" s="1" t="s">
        <v>4437</v>
      </c>
      <c r="H273" s="1">
        <f t="shared" si="1"/>
        <v>36.618056</v>
      </c>
      <c r="I273" s="1" t="s">
        <v>4438</v>
      </c>
      <c r="J273" s="1">
        <v>125.0</v>
      </c>
    </row>
    <row r="274">
      <c r="A274" s="1">
        <v>2022.0</v>
      </c>
      <c r="B274" s="1">
        <v>5.0</v>
      </c>
      <c r="C274" s="1" t="s">
        <v>116</v>
      </c>
      <c r="D274" s="1" t="s">
        <v>158</v>
      </c>
      <c r="E274" s="1" t="s">
        <v>17</v>
      </c>
      <c r="F274" s="1" t="s">
        <v>4440</v>
      </c>
      <c r="G274" s="1" t="s">
        <v>4441</v>
      </c>
      <c r="H274" s="1">
        <f t="shared" si="1"/>
        <v>194.672956</v>
      </c>
      <c r="I274" s="1" t="s">
        <v>4442</v>
      </c>
      <c r="J274" s="1">
        <v>0.0</v>
      </c>
    </row>
    <row r="275">
      <c r="A275" s="1">
        <v>2022.0</v>
      </c>
      <c r="B275" s="1">
        <v>5.0</v>
      </c>
      <c r="C275" s="1" t="s">
        <v>116</v>
      </c>
      <c r="D275" s="1" t="s">
        <v>158</v>
      </c>
      <c r="E275" s="1" t="s">
        <v>21</v>
      </c>
      <c r="F275" s="1" t="s">
        <v>4443</v>
      </c>
      <c r="G275" s="1" t="s">
        <v>4444</v>
      </c>
      <c r="H275" s="1">
        <f t="shared" si="1"/>
        <v>100.229246</v>
      </c>
      <c r="I275" s="1" t="s">
        <v>1244</v>
      </c>
      <c r="J275" s="1">
        <v>0.0</v>
      </c>
    </row>
    <row r="276">
      <c r="A276" s="1">
        <v>2022.0</v>
      </c>
      <c r="B276" s="1">
        <v>6.0</v>
      </c>
      <c r="C276" s="1" t="s">
        <v>12</v>
      </c>
      <c r="D276" s="1" t="s">
        <v>13</v>
      </c>
      <c r="E276" s="1" t="s">
        <v>14</v>
      </c>
      <c r="F276" s="3">
        <v>1227764.0</v>
      </c>
      <c r="G276" s="1" t="s">
        <v>4445</v>
      </c>
      <c r="H276" s="1">
        <f t="shared" si="1"/>
        <v>562.876647</v>
      </c>
      <c r="I276" s="3">
        <v>1426274.0</v>
      </c>
      <c r="J276" s="1">
        <v>403.0</v>
      </c>
    </row>
    <row r="277">
      <c r="A277" s="1">
        <v>2022.0</v>
      </c>
      <c r="B277" s="1">
        <v>6.0</v>
      </c>
      <c r="C277" s="1" t="s">
        <v>12</v>
      </c>
      <c r="D277" s="1" t="s">
        <v>13</v>
      </c>
      <c r="E277" s="1" t="s">
        <v>17</v>
      </c>
      <c r="F277" s="1" t="s">
        <v>4446</v>
      </c>
      <c r="G277" s="1" t="s">
        <v>4447</v>
      </c>
      <c r="H277" s="1">
        <f t="shared" si="1"/>
        <v>5681.495903</v>
      </c>
      <c r="I277" s="1" t="s">
        <v>4448</v>
      </c>
      <c r="J277" s="1">
        <v>681.0</v>
      </c>
    </row>
    <row r="278">
      <c r="A278" s="1">
        <v>2022.0</v>
      </c>
      <c r="B278" s="1">
        <v>6.0</v>
      </c>
      <c r="C278" s="1" t="s">
        <v>12</v>
      </c>
      <c r="D278" s="1" t="s">
        <v>13</v>
      </c>
      <c r="E278" s="1" t="s">
        <v>21</v>
      </c>
      <c r="F278" s="1" t="s">
        <v>4449</v>
      </c>
      <c r="G278" s="1" t="s">
        <v>4451</v>
      </c>
      <c r="H278" s="1">
        <f t="shared" si="1"/>
        <v>2922.396679</v>
      </c>
      <c r="I278" s="3">
        <v>642768.0</v>
      </c>
      <c r="J278" s="1">
        <v>558.0</v>
      </c>
    </row>
    <row r="279">
      <c r="A279" s="1">
        <v>2022.0</v>
      </c>
      <c r="B279" s="1">
        <v>6.0</v>
      </c>
      <c r="C279" s="1" t="s">
        <v>12</v>
      </c>
      <c r="D279" s="1" t="s">
        <v>29</v>
      </c>
      <c r="E279" s="1" t="s">
        <v>14</v>
      </c>
      <c r="F279" s="3" t="s">
        <v>4452</v>
      </c>
      <c r="G279" s="1" t="s">
        <v>4453</v>
      </c>
      <c r="H279" s="1">
        <f t="shared" si="1"/>
        <v>121.087477</v>
      </c>
      <c r="I279" s="1" t="s">
        <v>4454</v>
      </c>
      <c r="J279" s="1">
        <v>85.0</v>
      </c>
    </row>
    <row r="280">
      <c r="A280" s="1">
        <v>2022.0</v>
      </c>
      <c r="B280" s="1">
        <v>6.0</v>
      </c>
      <c r="C280" s="1" t="s">
        <v>12</v>
      </c>
      <c r="D280" s="1" t="s">
        <v>29</v>
      </c>
      <c r="E280" s="1" t="s">
        <v>21</v>
      </c>
      <c r="F280" s="1" t="s">
        <v>4455</v>
      </c>
      <c r="G280" s="1" t="s">
        <v>4456</v>
      </c>
      <c r="H280" s="1">
        <f t="shared" si="1"/>
        <v>5610.048795</v>
      </c>
      <c r="I280" s="3">
        <v>2562086.0</v>
      </c>
      <c r="J280" s="1">
        <v>636.0</v>
      </c>
    </row>
    <row r="281">
      <c r="A281" s="1">
        <v>2022.0</v>
      </c>
      <c r="B281" s="1">
        <v>6.0</v>
      </c>
      <c r="C281" s="1" t="s">
        <v>12</v>
      </c>
      <c r="D281" s="1" t="s">
        <v>48</v>
      </c>
      <c r="E281" s="1" t="s">
        <v>49</v>
      </c>
      <c r="F281" s="1" t="s">
        <v>4459</v>
      </c>
      <c r="G281" s="1" t="s">
        <v>4460</v>
      </c>
      <c r="H281" s="1">
        <f t="shared" si="1"/>
        <v>2.881198</v>
      </c>
      <c r="I281" s="1" t="s">
        <v>396</v>
      </c>
      <c r="J281" s="1">
        <v>8.0</v>
      </c>
    </row>
    <row r="282">
      <c r="A282" s="1">
        <v>2022.0</v>
      </c>
      <c r="B282" s="1">
        <v>6.0</v>
      </c>
      <c r="C282" s="1" t="s">
        <v>12</v>
      </c>
      <c r="D282" s="1" t="s">
        <v>48</v>
      </c>
      <c r="E282" s="1" t="s">
        <v>21</v>
      </c>
      <c r="F282" s="3" t="s">
        <v>4461</v>
      </c>
      <c r="G282" s="1" t="s">
        <v>4463</v>
      </c>
      <c r="H282" s="1">
        <f t="shared" si="1"/>
        <v>536.896802</v>
      </c>
      <c r="I282" s="3">
        <v>211113.0</v>
      </c>
      <c r="J282" s="1">
        <v>166.0</v>
      </c>
    </row>
    <row r="283">
      <c r="A283" s="1">
        <v>2022.0</v>
      </c>
      <c r="B283" s="1">
        <v>6.0</v>
      </c>
      <c r="C283" s="1" t="s">
        <v>12</v>
      </c>
      <c r="D283" s="1" t="s">
        <v>38</v>
      </c>
      <c r="E283" s="1" t="s">
        <v>39</v>
      </c>
      <c r="F283" s="3">
        <v>2871904.0</v>
      </c>
      <c r="G283" s="1" t="s">
        <v>4465</v>
      </c>
      <c r="H283" s="1">
        <f t="shared" si="1"/>
        <v>231.508429</v>
      </c>
      <c r="I283" s="1" t="s">
        <v>4466</v>
      </c>
      <c r="J283" s="1">
        <v>189.0</v>
      </c>
    </row>
    <row r="284">
      <c r="A284" s="1">
        <v>2022.0</v>
      </c>
      <c r="B284" s="1">
        <v>6.0</v>
      </c>
      <c r="C284" s="1" t="s">
        <v>12</v>
      </c>
      <c r="D284" s="1" t="s">
        <v>45</v>
      </c>
      <c r="E284" s="1" t="s">
        <v>49</v>
      </c>
      <c r="F284" s="1" t="s">
        <v>4467</v>
      </c>
      <c r="G284" s="1" t="s">
        <v>4468</v>
      </c>
      <c r="H284" s="1">
        <f t="shared" si="1"/>
        <v>2.459027</v>
      </c>
      <c r="I284" s="1" t="s">
        <v>4469</v>
      </c>
      <c r="J284" s="1">
        <v>5.0</v>
      </c>
    </row>
    <row r="285">
      <c r="A285" s="1">
        <v>2022.0</v>
      </c>
      <c r="B285" s="1">
        <v>6.0</v>
      </c>
      <c r="C285" s="1" t="s">
        <v>12</v>
      </c>
      <c r="D285" s="1" t="s">
        <v>45</v>
      </c>
      <c r="E285" s="1" t="s">
        <v>17</v>
      </c>
      <c r="F285" s="3">
        <v>2726172.0</v>
      </c>
      <c r="G285" s="1" t="s">
        <v>4470</v>
      </c>
      <c r="H285" s="1">
        <f t="shared" si="1"/>
        <v>166.33235</v>
      </c>
      <c r="I285" s="1" t="s">
        <v>4471</v>
      </c>
      <c r="J285" s="1">
        <v>156.0</v>
      </c>
    </row>
    <row r="286">
      <c r="A286" s="1">
        <v>2022.0</v>
      </c>
      <c r="B286" s="1">
        <v>6.0</v>
      </c>
      <c r="C286" s="1" t="s">
        <v>12</v>
      </c>
      <c r="D286" s="1" t="s">
        <v>42</v>
      </c>
      <c r="E286" s="1" t="s">
        <v>17</v>
      </c>
      <c r="F286" s="1" t="s">
        <v>4472</v>
      </c>
      <c r="G286" s="1" t="s">
        <v>4473</v>
      </c>
      <c r="H286" s="1">
        <f t="shared" si="1"/>
        <v>130.466006</v>
      </c>
      <c r="I286" s="1" t="s">
        <v>4474</v>
      </c>
      <c r="J286" s="1">
        <v>0.0</v>
      </c>
    </row>
    <row r="287">
      <c r="A287" s="1">
        <v>2022.0</v>
      </c>
      <c r="B287" s="1">
        <v>6.0</v>
      </c>
      <c r="C287" s="1" t="s">
        <v>12</v>
      </c>
      <c r="D287" s="1" t="s">
        <v>4127</v>
      </c>
      <c r="E287" s="1" t="s">
        <v>17</v>
      </c>
      <c r="F287" s="3">
        <v>624202.0</v>
      </c>
      <c r="G287" s="1" t="s">
        <v>4476</v>
      </c>
      <c r="H287" s="1">
        <f t="shared" si="1"/>
        <v>99.192219</v>
      </c>
      <c r="I287" s="1" t="s">
        <v>4478</v>
      </c>
      <c r="J287" s="1">
        <v>123.0</v>
      </c>
    </row>
    <row r="288">
      <c r="A288" s="1">
        <v>2022.0</v>
      </c>
      <c r="B288" s="1">
        <v>6.0</v>
      </c>
      <c r="C288" s="1" t="s">
        <v>12</v>
      </c>
      <c r="D288" s="1" t="s">
        <v>848</v>
      </c>
      <c r="E288" s="1" t="s">
        <v>21</v>
      </c>
      <c r="F288" s="1" t="s">
        <v>4479</v>
      </c>
      <c r="G288" s="1" t="s">
        <v>4480</v>
      </c>
      <c r="H288" s="1">
        <f t="shared" si="1"/>
        <v>65.759904</v>
      </c>
      <c r="I288" s="1" t="s">
        <v>4482</v>
      </c>
      <c r="J288" s="1">
        <v>0.0</v>
      </c>
    </row>
    <row r="289">
      <c r="A289" s="1">
        <v>2022.0</v>
      </c>
      <c r="B289" s="1">
        <v>6.0</v>
      </c>
      <c r="C289" s="1" t="s">
        <v>12</v>
      </c>
      <c r="D289" s="1" t="s">
        <v>3962</v>
      </c>
      <c r="E289" s="1" t="s">
        <v>17</v>
      </c>
      <c r="F289" s="1" t="s">
        <v>4483</v>
      </c>
      <c r="G289" s="1" t="s">
        <v>4484</v>
      </c>
      <c r="H289" s="1">
        <f t="shared" si="1"/>
        <v>64.158082</v>
      </c>
      <c r="I289" s="1" t="s">
        <v>1291</v>
      </c>
      <c r="J289" s="1">
        <v>111.0</v>
      </c>
    </row>
    <row r="290">
      <c r="A290" s="1">
        <v>2022.0</v>
      </c>
      <c r="B290" s="1">
        <v>6.0</v>
      </c>
      <c r="C290" s="1" t="s">
        <v>12</v>
      </c>
      <c r="D290" s="1" t="s">
        <v>56</v>
      </c>
      <c r="E290" s="1" t="s">
        <v>21</v>
      </c>
      <c r="F290" s="1" t="s">
        <v>4486</v>
      </c>
      <c r="G290" s="1" t="s">
        <v>4487</v>
      </c>
      <c r="H290" s="1">
        <f t="shared" si="1"/>
        <v>47.942005</v>
      </c>
      <c r="I290" s="1" t="s">
        <v>568</v>
      </c>
      <c r="J290" s="1">
        <v>129.0</v>
      </c>
    </row>
    <row r="291">
      <c r="A291" s="1">
        <v>2022.0</v>
      </c>
      <c r="B291" s="1">
        <v>6.0</v>
      </c>
      <c r="C291" s="1" t="s">
        <v>68</v>
      </c>
      <c r="D291" s="1" t="s">
        <v>13</v>
      </c>
      <c r="E291" s="1" t="s">
        <v>14</v>
      </c>
      <c r="F291" s="1" t="s">
        <v>4489</v>
      </c>
      <c r="G291" s="1" t="s">
        <v>4490</v>
      </c>
      <c r="H291" s="1">
        <f t="shared" si="1"/>
        <v>1685.635691</v>
      </c>
      <c r="I291" s="3">
        <v>2344218.0</v>
      </c>
      <c r="J291" s="1">
        <v>5156.0</v>
      </c>
    </row>
    <row r="292">
      <c r="A292" s="1">
        <v>2022.0</v>
      </c>
      <c r="B292" s="1">
        <v>6.0</v>
      </c>
      <c r="C292" s="1" t="s">
        <v>68</v>
      </c>
      <c r="D292" s="1" t="s">
        <v>13</v>
      </c>
      <c r="E292" s="1" t="s">
        <v>17</v>
      </c>
      <c r="F292" s="1" t="s">
        <v>4492</v>
      </c>
      <c r="G292" s="1" t="s">
        <v>4493</v>
      </c>
      <c r="H292" s="1">
        <f t="shared" si="1"/>
        <v>5592.503082</v>
      </c>
      <c r="I292" s="1" t="s">
        <v>4494</v>
      </c>
      <c r="J292" s="1">
        <v>9047.0</v>
      </c>
    </row>
    <row r="293">
      <c r="A293" s="1">
        <v>2022.0</v>
      </c>
      <c r="B293" s="1">
        <v>6.0</v>
      </c>
      <c r="C293" s="1" t="s">
        <v>68</v>
      </c>
      <c r="D293" s="1" t="s">
        <v>13</v>
      </c>
      <c r="E293" s="1" t="s">
        <v>21</v>
      </c>
      <c r="F293" s="3">
        <v>1805396.0</v>
      </c>
      <c r="G293" s="1" t="s">
        <v>4495</v>
      </c>
      <c r="H293" s="1">
        <f t="shared" si="1"/>
        <v>272.150799</v>
      </c>
      <c r="I293" s="1" t="s">
        <v>4496</v>
      </c>
      <c r="J293" s="1">
        <v>405.0</v>
      </c>
    </row>
    <row r="294">
      <c r="A294" s="1">
        <v>2022.0</v>
      </c>
      <c r="B294" s="1">
        <v>6.0</v>
      </c>
      <c r="C294" s="1" t="s">
        <v>68</v>
      </c>
      <c r="D294" s="1" t="s">
        <v>13</v>
      </c>
      <c r="E294" s="1" t="s">
        <v>25</v>
      </c>
      <c r="F294" s="1" t="s">
        <v>4497</v>
      </c>
      <c r="G294" s="1" t="s">
        <v>4498</v>
      </c>
      <c r="H294" s="1">
        <f t="shared" si="1"/>
        <v>45.835925</v>
      </c>
      <c r="I294" s="1" t="s">
        <v>4499</v>
      </c>
      <c r="J294" s="1">
        <v>168.0</v>
      </c>
    </row>
    <row r="295">
      <c r="A295" s="1">
        <v>2022.0</v>
      </c>
      <c r="B295" s="1">
        <v>6.0</v>
      </c>
      <c r="C295" s="1" t="s">
        <v>68</v>
      </c>
      <c r="D295" s="1" t="s">
        <v>29</v>
      </c>
      <c r="E295" s="1" t="s">
        <v>14</v>
      </c>
      <c r="F295" s="1" t="s">
        <v>4501</v>
      </c>
      <c r="G295" s="1" t="s">
        <v>4502</v>
      </c>
      <c r="H295" s="1">
        <f t="shared" si="1"/>
        <v>55.049286</v>
      </c>
      <c r="I295" s="1" t="s">
        <v>3058</v>
      </c>
      <c r="J295" s="1">
        <v>79.0</v>
      </c>
    </row>
    <row r="296">
      <c r="A296" s="1">
        <v>2022.0</v>
      </c>
      <c r="B296" s="1">
        <v>6.0</v>
      </c>
      <c r="C296" s="1" t="s">
        <v>68</v>
      </c>
      <c r="D296" s="1" t="s">
        <v>29</v>
      </c>
      <c r="E296" s="1" t="s">
        <v>21</v>
      </c>
      <c r="F296" s="3" t="s">
        <v>4503</v>
      </c>
      <c r="G296" s="1" t="s">
        <v>4504</v>
      </c>
      <c r="H296" s="1">
        <f t="shared" si="1"/>
        <v>1936.799692</v>
      </c>
      <c r="I296" s="3" t="s">
        <v>4505</v>
      </c>
      <c r="J296" s="1">
        <v>1724.0</v>
      </c>
    </row>
    <row r="297">
      <c r="A297" s="1">
        <v>2022.0</v>
      </c>
      <c r="B297" s="1">
        <v>6.0</v>
      </c>
      <c r="C297" s="1" t="s">
        <v>68</v>
      </c>
      <c r="D297" s="1" t="s">
        <v>45</v>
      </c>
      <c r="E297" s="1" t="s">
        <v>49</v>
      </c>
      <c r="F297" s="1" t="s">
        <v>4506</v>
      </c>
      <c r="G297" s="1" t="s">
        <v>4507</v>
      </c>
      <c r="H297" s="1">
        <f t="shared" si="1"/>
        <v>47.310042</v>
      </c>
      <c r="I297" s="1" t="s">
        <v>4509</v>
      </c>
      <c r="J297" s="1">
        <v>132.0</v>
      </c>
    </row>
    <row r="298">
      <c r="A298" s="1">
        <v>2022.0</v>
      </c>
      <c r="B298" s="1">
        <v>6.0</v>
      </c>
      <c r="C298" s="1" t="s">
        <v>68</v>
      </c>
      <c r="D298" s="1" t="s">
        <v>45</v>
      </c>
      <c r="E298" s="1" t="s">
        <v>17</v>
      </c>
      <c r="F298" s="3">
        <v>1522789.0</v>
      </c>
      <c r="G298" s="1" t="s">
        <v>4510</v>
      </c>
      <c r="H298" s="1">
        <f t="shared" si="1"/>
        <v>358.479509</v>
      </c>
      <c r="I298" s="3">
        <v>1710798.0</v>
      </c>
      <c r="J298" s="1">
        <v>1378.0</v>
      </c>
    </row>
    <row r="299">
      <c r="A299" s="1">
        <v>2022.0</v>
      </c>
      <c r="B299" s="1">
        <v>6.0</v>
      </c>
      <c r="C299" s="1" t="s">
        <v>68</v>
      </c>
      <c r="D299" s="1" t="s">
        <v>38</v>
      </c>
      <c r="E299" s="1" t="s">
        <v>39</v>
      </c>
      <c r="F299" s="3">
        <v>2018756.0</v>
      </c>
      <c r="G299" s="1" t="s">
        <v>4511</v>
      </c>
      <c r="H299" s="1">
        <f t="shared" si="1"/>
        <v>338.563089</v>
      </c>
      <c r="I299" s="1" t="s">
        <v>4513</v>
      </c>
      <c r="J299" s="1">
        <v>1548.0</v>
      </c>
    </row>
    <row r="300">
      <c r="A300" s="1">
        <v>2022.0</v>
      </c>
      <c r="B300" s="1">
        <v>6.0</v>
      </c>
      <c r="C300" s="1" t="s">
        <v>68</v>
      </c>
      <c r="D300" s="1" t="s">
        <v>4127</v>
      </c>
      <c r="E300" s="1" t="s">
        <v>17</v>
      </c>
      <c r="F300" s="3">
        <v>413122.0</v>
      </c>
      <c r="G300" s="1" t="s">
        <v>4514</v>
      </c>
      <c r="H300" s="1">
        <f t="shared" si="1"/>
        <v>185.188337</v>
      </c>
      <c r="I300" s="1" t="s">
        <v>4515</v>
      </c>
      <c r="J300" s="1">
        <v>800.0</v>
      </c>
    </row>
    <row r="301">
      <c r="A301" s="1">
        <v>2022.0</v>
      </c>
      <c r="B301" s="1">
        <v>6.0</v>
      </c>
      <c r="C301" s="1" t="s">
        <v>68</v>
      </c>
      <c r="D301" s="1" t="s">
        <v>1851</v>
      </c>
      <c r="E301" s="1" t="s">
        <v>17</v>
      </c>
      <c r="F301" s="3">
        <v>736361.0</v>
      </c>
      <c r="G301" s="1" t="s">
        <v>4516</v>
      </c>
      <c r="H301" s="1">
        <f t="shared" si="1"/>
        <v>125.774255</v>
      </c>
      <c r="I301" s="1" t="s">
        <v>4517</v>
      </c>
      <c r="J301" s="1">
        <v>735.0</v>
      </c>
    </row>
    <row r="302">
      <c r="A302" s="1">
        <v>2022.0</v>
      </c>
      <c r="B302" s="1">
        <v>6.0</v>
      </c>
      <c r="C302" s="1" t="s">
        <v>68</v>
      </c>
      <c r="D302" s="1" t="s">
        <v>1851</v>
      </c>
      <c r="E302" s="1" t="s">
        <v>21</v>
      </c>
      <c r="F302" s="1" t="s">
        <v>4519</v>
      </c>
      <c r="G302" s="1" t="s">
        <v>4520</v>
      </c>
      <c r="H302" s="1">
        <f t="shared" si="1"/>
        <v>24.544915</v>
      </c>
      <c r="I302" s="1" t="s">
        <v>4521</v>
      </c>
      <c r="J302" s="1">
        <v>139.0</v>
      </c>
    </row>
    <row r="303">
      <c r="A303" s="1">
        <v>2022.0</v>
      </c>
      <c r="B303" s="1">
        <v>6.0</v>
      </c>
      <c r="C303" s="1" t="s">
        <v>68</v>
      </c>
      <c r="D303" s="1" t="s">
        <v>48</v>
      </c>
      <c r="E303" s="1" t="s">
        <v>49</v>
      </c>
      <c r="F303" s="1" t="s">
        <v>73</v>
      </c>
      <c r="G303" s="1" t="s">
        <v>4522</v>
      </c>
      <c r="H303" s="1">
        <f t="shared" si="1"/>
        <v>0.436692</v>
      </c>
      <c r="I303" s="1" t="s">
        <v>75</v>
      </c>
      <c r="J303" s="1">
        <v>0.0</v>
      </c>
    </row>
    <row r="304">
      <c r="A304" s="1">
        <v>2022.0</v>
      </c>
      <c r="B304" s="1">
        <v>6.0</v>
      </c>
      <c r="C304" s="1" t="s">
        <v>68</v>
      </c>
      <c r="D304" s="1" t="s">
        <v>48</v>
      </c>
      <c r="E304" s="1" t="s">
        <v>72</v>
      </c>
      <c r="F304" s="1" t="s">
        <v>1279</v>
      </c>
      <c r="G304" s="1" t="s">
        <v>4523</v>
      </c>
      <c r="H304" s="1">
        <f t="shared" si="1"/>
        <v>1.798287</v>
      </c>
      <c r="I304" s="1" t="s">
        <v>144</v>
      </c>
      <c r="J304" s="1">
        <v>0.0</v>
      </c>
    </row>
    <row r="305">
      <c r="A305" s="1">
        <v>2022.0</v>
      </c>
      <c r="B305" s="1">
        <v>6.0</v>
      </c>
      <c r="C305" s="1" t="s">
        <v>68</v>
      </c>
      <c r="D305" s="1" t="s">
        <v>48</v>
      </c>
      <c r="E305" s="1" t="s">
        <v>21</v>
      </c>
      <c r="F305" s="1" t="s">
        <v>4633</v>
      </c>
      <c r="G305" s="1" t="s">
        <v>4634</v>
      </c>
      <c r="H305" s="1">
        <f t="shared" si="1"/>
        <v>130.889304</v>
      </c>
      <c r="I305" s="1" t="s">
        <v>1842</v>
      </c>
      <c r="J305" s="1">
        <v>0.0</v>
      </c>
    </row>
    <row r="306">
      <c r="A306" s="1">
        <v>2022.0</v>
      </c>
      <c r="B306" s="1">
        <v>6.0</v>
      </c>
      <c r="C306" s="1" t="s">
        <v>68</v>
      </c>
      <c r="D306" s="1" t="s">
        <v>3962</v>
      </c>
      <c r="E306" s="1" t="s">
        <v>17</v>
      </c>
      <c r="F306" s="3">
        <v>590233.0</v>
      </c>
      <c r="G306" s="1" t="s">
        <v>4636</v>
      </c>
      <c r="H306" s="1">
        <f t="shared" si="1"/>
        <v>123.076725</v>
      </c>
      <c r="I306" s="1" t="s">
        <v>4637</v>
      </c>
      <c r="J306" s="1">
        <v>569.0</v>
      </c>
    </row>
    <row r="307">
      <c r="A307" s="1">
        <v>2022.0</v>
      </c>
      <c r="B307" s="1">
        <v>6.0</v>
      </c>
      <c r="C307" s="1" t="s">
        <v>68</v>
      </c>
      <c r="D307" s="1" t="s">
        <v>1830</v>
      </c>
      <c r="E307" s="1" t="s">
        <v>72</v>
      </c>
      <c r="F307" s="1" t="s">
        <v>4638</v>
      </c>
      <c r="G307" s="1" t="s">
        <v>4639</v>
      </c>
      <c r="H307" s="1">
        <f t="shared" si="1"/>
        <v>77.288938</v>
      </c>
      <c r="I307" s="1" t="s">
        <v>4640</v>
      </c>
      <c r="J307" s="1">
        <v>548.0</v>
      </c>
    </row>
    <row r="308">
      <c r="A308" s="1">
        <v>2022.0</v>
      </c>
      <c r="B308" s="1">
        <v>6.0</v>
      </c>
      <c r="C308" s="1" t="s">
        <v>68</v>
      </c>
      <c r="D308" s="1" t="s">
        <v>32</v>
      </c>
      <c r="E308" s="1" t="s">
        <v>14</v>
      </c>
      <c r="F308" s="3" t="s">
        <v>4641</v>
      </c>
      <c r="G308" s="1" t="s">
        <v>4642</v>
      </c>
      <c r="H308" s="1">
        <f t="shared" si="1"/>
        <v>73.262568</v>
      </c>
      <c r="I308" s="1" t="s">
        <v>4643</v>
      </c>
      <c r="J308" s="1">
        <v>0.0</v>
      </c>
    </row>
    <row r="309">
      <c r="A309" s="1">
        <v>2022.0</v>
      </c>
      <c r="B309" s="1">
        <v>6.0</v>
      </c>
      <c r="C309" s="1" t="s">
        <v>68</v>
      </c>
      <c r="D309" s="1" t="s">
        <v>32</v>
      </c>
      <c r="E309" s="1" t="s">
        <v>21</v>
      </c>
      <c r="F309" s="1" t="s">
        <v>396</v>
      </c>
      <c r="G309" s="1" t="s">
        <v>4644</v>
      </c>
      <c r="H309" s="1">
        <f t="shared" si="1"/>
        <v>0.424094</v>
      </c>
      <c r="I309" s="1" t="s">
        <v>1813</v>
      </c>
      <c r="J309" s="1">
        <v>0.0</v>
      </c>
    </row>
    <row r="310">
      <c r="A310" s="1">
        <v>2022.0</v>
      </c>
      <c r="B310" s="1">
        <v>6.0</v>
      </c>
      <c r="C310" s="1" t="s">
        <v>116</v>
      </c>
      <c r="D310" s="1" t="s">
        <v>13</v>
      </c>
      <c r="E310" s="1" t="s">
        <v>14</v>
      </c>
      <c r="F310" s="1" t="s">
        <v>4645</v>
      </c>
      <c r="G310" s="1" t="s">
        <v>4646</v>
      </c>
      <c r="H310" s="1">
        <f t="shared" si="1"/>
        <v>3597.991186</v>
      </c>
      <c r="I310" s="3">
        <v>1915607.0</v>
      </c>
      <c r="J310" s="1">
        <v>9488.0</v>
      </c>
    </row>
    <row r="311">
      <c r="A311" s="1">
        <v>2022.0</v>
      </c>
      <c r="B311" s="1">
        <v>6.0</v>
      </c>
      <c r="C311" s="1" t="s">
        <v>116</v>
      </c>
      <c r="D311" s="1" t="s">
        <v>13</v>
      </c>
      <c r="E311" s="1" t="s">
        <v>17</v>
      </c>
      <c r="F311" s="1" t="s">
        <v>4647</v>
      </c>
      <c r="G311" s="1" t="s">
        <v>4648</v>
      </c>
      <c r="H311" s="1">
        <f t="shared" si="1"/>
        <v>12022.1688</v>
      </c>
      <c r="I311" s="1" t="s">
        <v>4649</v>
      </c>
      <c r="J311" s="1">
        <v>17303.0</v>
      </c>
    </row>
    <row r="312">
      <c r="A312" s="1">
        <v>2022.0</v>
      </c>
      <c r="B312" s="1">
        <v>6.0</v>
      </c>
      <c r="C312" s="1" t="s">
        <v>116</v>
      </c>
      <c r="D312" s="1" t="s">
        <v>13</v>
      </c>
      <c r="E312" s="1" t="s">
        <v>21</v>
      </c>
      <c r="F312" s="3" t="s">
        <v>4650</v>
      </c>
      <c r="G312" s="1" t="s">
        <v>4651</v>
      </c>
      <c r="H312" s="1">
        <f t="shared" si="1"/>
        <v>1132.86316</v>
      </c>
      <c r="I312" s="3">
        <v>1249556.0</v>
      </c>
      <c r="J312" s="1">
        <v>824.0</v>
      </c>
    </row>
    <row r="313">
      <c r="A313" s="1">
        <v>2022.0</v>
      </c>
      <c r="B313" s="1">
        <v>6.0</v>
      </c>
      <c r="C313" s="1" t="s">
        <v>116</v>
      </c>
      <c r="D313" s="1" t="s">
        <v>13</v>
      </c>
      <c r="E313" s="1" t="s">
        <v>25</v>
      </c>
      <c r="F313" s="1" t="s">
        <v>1418</v>
      </c>
      <c r="G313" s="1" t="s">
        <v>4652</v>
      </c>
      <c r="H313" s="1">
        <f t="shared" si="1"/>
        <v>3.46668</v>
      </c>
      <c r="I313" s="1" t="s">
        <v>1523</v>
      </c>
      <c r="J313" s="1">
        <v>5.0</v>
      </c>
    </row>
    <row r="314">
      <c r="A314" s="1">
        <v>2022.0</v>
      </c>
      <c r="B314" s="1">
        <v>6.0</v>
      </c>
      <c r="C314" s="1" t="s">
        <v>116</v>
      </c>
      <c r="D314" s="1" t="s">
        <v>29</v>
      </c>
      <c r="E314" s="1" t="s">
        <v>14</v>
      </c>
      <c r="F314" s="3">
        <v>1326562.0</v>
      </c>
      <c r="G314" s="1" t="s">
        <v>4653</v>
      </c>
      <c r="H314" s="1">
        <f t="shared" si="1"/>
        <v>186.218269</v>
      </c>
      <c r="I314" s="1" t="s">
        <v>4654</v>
      </c>
      <c r="J314" s="1">
        <v>276.0</v>
      </c>
    </row>
    <row r="315">
      <c r="A315" s="1">
        <v>2022.0</v>
      </c>
      <c r="B315" s="1">
        <v>6.0</v>
      </c>
      <c r="C315" s="1" t="s">
        <v>116</v>
      </c>
      <c r="D315" s="1" t="s">
        <v>29</v>
      </c>
      <c r="E315" s="1" t="s">
        <v>21</v>
      </c>
      <c r="F315" s="1" t="s">
        <v>4656</v>
      </c>
      <c r="G315" s="1" t="s">
        <v>4657</v>
      </c>
      <c r="H315" s="1">
        <f t="shared" si="1"/>
        <v>6132.884335</v>
      </c>
      <c r="I315" s="3">
        <v>2272845.0</v>
      </c>
      <c r="J315" s="1">
        <v>4155.0</v>
      </c>
    </row>
    <row r="316">
      <c r="A316" s="1">
        <v>2022.0</v>
      </c>
      <c r="B316" s="1">
        <v>6.0</v>
      </c>
      <c r="C316" s="1" t="s">
        <v>116</v>
      </c>
      <c r="D316" s="1" t="s">
        <v>45</v>
      </c>
      <c r="E316" s="1" t="s">
        <v>49</v>
      </c>
      <c r="F316" s="3">
        <v>42767.0</v>
      </c>
      <c r="G316" s="1" t="s">
        <v>4658</v>
      </c>
      <c r="H316" s="1">
        <f t="shared" si="1"/>
        <v>135.541072</v>
      </c>
      <c r="I316" s="1" t="s">
        <v>4659</v>
      </c>
      <c r="J316" s="1">
        <v>359.0</v>
      </c>
    </row>
    <row r="317">
      <c r="A317" s="1">
        <v>2022.0</v>
      </c>
      <c r="B317" s="1">
        <v>6.0</v>
      </c>
      <c r="C317" s="1" t="s">
        <v>116</v>
      </c>
      <c r="D317" s="1" t="s">
        <v>45</v>
      </c>
      <c r="E317" s="1" t="s">
        <v>17</v>
      </c>
      <c r="F317" s="3">
        <v>2382053.0</v>
      </c>
      <c r="G317" s="1" t="s">
        <v>4660</v>
      </c>
      <c r="H317" s="1">
        <f t="shared" si="1"/>
        <v>998.023275</v>
      </c>
      <c r="I317" s="3">
        <v>267084.0</v>
      </c>
      <c r="J317" s="1">
        <v>1694.0</v>
      </c>
    </row>
    <row r="318">
      <c r="A318" s="1">
        <v>2022.0</v>
      </c>
      <c r="B318" s="1">
        <v>6.0</v>
      </c>
      <c r="C318" s="1" t="s">
        <v>116</v>
      </c>
      <c r="D318" s="1" t="s">
        <v>3962</v>
      </c>
      <c r="E318" s="1" t="s">
        <v>17</v>
      </c>
      <c r="F318" s="1" t="s">
        <v>4662</v>
      </c>
      <c r="G318" s="1" t="s">
        <v>4663</v>
      </c>
      <c r="H318" s="1">
        <f t="shared" si="1"/>
        <v>763.411125</v>
      </c>
      <c r="I318" s="3">
        <v>2476012.0</v>
      </c>
      <c r="J318" s="1">
        <v>2990.0</v>
      </c>
    </row>
    <row r="319">
      <c r="A319" s="1">
        <v>2022.0</v>
      </c>
      <c r="B319" s="1">
        <v>6.0</v>
      </c>
      <c r="C319" s="1" t="s">
        <v>116</v>
      </c>
      <c r="D319" s="1" t="s">
        <v>48</v>
      </c>
      <c r="E319" s="1" t="s">
        <v>49</v>
      </c>
      <c r="F319" s="1" t="s">
        <v>1331</v>
      </c>
      <c r="G319" s="1" t="s">
        <v>4664</v>
      </c>
      <c r="H319" s="1">
        <f t="shared" si="1"/>
        <v>1.783766</v>
      </c>
      <c r="I319" s="1" t="s">
        <v>479</v>
      </c>
      <c r="J319" s="1">
        <v>3.0</v>
      </c>
    </row>
    <row r="320">
      <c r="A320" s="1">
        <v>2022.0</v>
      </c>
      <c r="B320" s="1">
        <v>6.0</v>
      </c>
      <c r="C320" s="1" t="s">
        <v>116</v>
      </c>
      <c r="D320" s="1" t="s">
        <v>48</v>
      </c>
      <c r="E320" s="1" t="s">
        <v>72</v>
      </c>
      <c r="F320" s="1" t="s">
        <v>4665</v>
      </c>
      <c r="G320" s="1" t="s">
        <v>4666</v>
      </c>
      <c r="H320" s="1">
        <f t="shared" si="1"/>
        <v>12.487819</v>
      </c>
      <c r="I320" s="1" t="s">
        <v>4667</v>
      </c>
      <c r="J320" s="1">
        <v>31.0</v>
      </c>
    </row>
    <row r="321">
      <c r="A321" s="1">
        <v>2022.0</v>
      </c>
      <c r="B321" s="1">
        <v>6.0</v>
      </c>
      <c r="C321" s="1" t="s">
        <v>116</v>
      </c>
      <c r="D321" s="1" t="s">
        <v>48</v>
      </c>
      <c r="E321" s="1" t="s">
        <v>21</v>
      </c>
      <c r="F321" s="3" t="s">
        <v>4668</v>
      </c>
      <c r="G321" s="1" t="s">
        <v>4669</v>
      </c>
      <c r="H321" s="1">
        <f t="shared" si="1"/>
        <v>570.032862</v>
      </c>
      <c r="I321" s="1" t="s">
        <v>4670</v>
      </c>
      <c r="J321" s="1">
        <v>353.0</v>
      </c>
    </row>
    <row r="322">
      <c r="A322" s="1">
        <v>2022.0</v>
      </c>
      <c r="B322" s="1">
        <v>6.0</v>
      </c>
      <c r="C322" s="1" t="s">
        <v>116</v>
      </c>
      <c r="D322" s="1" t="s">
        <v>38</v>
      </c>
      <c r="E322" s="1" t="s">
        <v>39</v>
      </c>
      <c r="F322" s="3">
        <v>994677.0</v>
      </c>
      <c r="G322" s="1" t="s">
        <v>4672</v>
      </c>
      <c r="H322" s="1">
        <f t="shared" si="1"/>
        <v>528.67611</v>
      </c>
      <c r="I322" s="1" t="s">
        <v>4673</v>
      </c>
      <c r="J322" s="1">
        <v>2267.0</v>
      </c>
    </row>
    <row r="323">
      <c r="A323" s="1">
        <v>2022.0</v>
      </c>
      <c r="B323" s="1">
        <v>6.0</v>
      </c>
      <c r="C323" s="1" t="s">
        <v>116</v>
      </c>
      <c r="D323" s="1" t="s">
        <v>1851</v>
      </c>
      <c r="E323" s="1" t="s">
        <v>17</v>
      </c>
      <c r="F323" s="3">
        <v>1451262.0</v>
      </c>
      <c r="G323" s="1" t="s">
        <v>4674</v>
      </c>
      <c r="H323" s="1">
        <f t="shared" si="1"/>
        <v>378.791908</v>
      </c>
      <c r="I323" s="3">
        <v>1264138.0</v>
      </c>
      <c r="J323" s="1">
        <v>1670.0</v>
      </c>
    </row>
    <row r="324">
      <c r="A324" s="1">
        <v>2022.0</v>
      </c>
      <c r="B324" s="1">
        <v>6.0</v>
      </c>
      <c r="C324" s="1" t="s">
        <v>116</v>
      </c>
      <c r="D324" s="1" t="s">
        <v>1851</v>
      </c>
      <c r="E324" s="1" t="s">
        <v>21</v>
      </c>
      <c r="F324" s="1" t="s">
        <v>4676</v>
      </c>
      <c r="G324" s="1" t="s">
        <v>4677</v>
      </c>
      <c r="H324" s="1">
        <f t="shared" si="1"/>
        <v>31.427352</v>
      </c>
      <c r="I324" s="1" t="s">
        <v>4678</v>
      </c>
      <c r="J324" s="1">
        <v>112.0</v>
      </c>
    </row>
    <row r="325">
      <c r="A325" s="1">
        <v>2022.0</v>
      </c>
      <c r="B325" s="1">
        <v>6.0</v>
      </c>
      <c r="C325" s="1" t="s">
        <v>116</v>
      </c>
      <c r="D325" s="1" t="s">
        <v>147</v>
      </c>
      <c r="E325" s="1" t="s">
        <v>39</v>
      </c>
      <c r="F325" s="3" t="s">
        <v>4679</v>
      </c>
      <c r="G325" s="1" t="s">
        <v>4680</v>
      </c>
      <c r="H325" s="1">
        <f t="shared" si="1"/>
        <v>383.185945</v>
      </c>
      <c r="I325" s="1" t="s">
        <v>684</v>
      </c>
      <c r="J325" s="1">
        <v>106.0</v>
      </c>
    </row>
    <row r="326">
      <c r="A326" s="1">
        <v>2022.0</v>
      </c>
      <c r="B326" s="1">
        <v>6.0</v>
      </c>
      <c r="C326" s="1" t="s">
        <v>116</v>
      </c>
      <c r="D326" s="1" t="s">
        <v>147</v>
      </c>
      <c r="E326" s="1" t="s">
        <v>17</v>
      </c>
      <c r="F326" s="1" t="s">
        <v>4681</v>
      </c>
      <c r="G326" s="1" t="s">
        <v>4682</v>
      </c>
      <c r="H326" s="1">
        <f t="shared" si="1"/>
        <v>6.649438</v>
      </c>
      <c r="I326" s="1" t="s">
        <v>4684</v>
      </c>
      <c r="J326" s="1">
        <v>4.0</v>
      </c>
    </row>
    <row r="327">
      <c r="A327" s="1">
        <v>2022.0</v>
      </c>
      <c r="B327" s="1">
        <v>6.0</v>
      </c>
      <c r="C327" s="1" t="s">
        <v>116</v>
      </c>
      <c r="D327" s="1" t="s">
        <v>147</v>
      </c>
      <c r="E327" s="1" t="s">
        <v>21</v>
      </c>
      <c r="F327" s="1" t="s">
        <v>4685</v>
      </c>
      <c r="G327" s="1" t="s">
        <v>4686</v>
      </c>
      <c r="H327" s="1">
        <f t="shared" si="1"/>
        <v>24.763261</v>
      </c>
      <c r="I327" s="1" t="s">
        <v>782</v>
      </c>
      <c r="J327" s="1">
        <v>37.0</v>
      </c>
    </row>
    <row r="328">
      <c r="A328" s="1">
        <v>2022.0</v>
      </c>
      <c r="B328" s="1">
        <v>6.0</v>
      </c>
      <c r="C328" s="1" t="s">
        <v>116</v>
      </c>
      <c r="D328" s="1" t="s">
        <v>42</v>
      </c>
      <c r="E328" s="1" t="s">
        <v>17</v>
      </c>
      <c r="F328" s="3">
        <v>89852.0</v>
      </c>
      <c r="G328" s="1" t="s">
        <v>4687</v>
      </c>
      <c r="H328" s="1">
        <f t="shared" si="1"/>
        <v>247.163292</v>
      </c>
      <c r="I328" s="1" t="s">
        <v>4688</v>
      </c>
      <c r="J328" s="1">
        <v>0.0</v>
      </c>
    </row>
    <row r="329">
      <c r="A329" s="1">
        <v>2022.0</v>
      </c>
      <c r="B329" s="1">
        <v>6.0</v>
      </c>
      <c r="C329" s="1" t="s">
        <v>116</v>
      </c>
      <c r="D329" s="1" t="s">
        <v>158</v>
      </c>
      <c r="E329" s="1" t="s">
        <v>17</v>
      </c>
      <c r="F329" s="1" t="s">
        <v>4689</v>
      </c>
      <c r="G329" s="1" t="s">
        <v>4690</v>
      </c>
      <c r="H329" s="1">
        <f t="shared" si="1"/>
        <v>122.495486</v>
      </c>
      <c r="I329" s="1" t="s">
        <v>4691</v>
      </c>
      <c r="J329" s="1">
        <v>0.0</v>
      </c>
    </row>
    <row r="330">
      <c r="A330" s="1">
        <v>2022.0</v>
      </c>
      <c r="B330" s="1">
        <v>6.0</v>
      </c>
      <c r="C330" s="1" t="s">
        <v>116</v>
      </c>
      <c r="D330" s="1" t="s">
        <v>158</v>
      </c>
      <c r="E330" s="1" t="s">
        <v>21</v>
      </c>
      <c r="F330" s="1" t="s">
        <v>4692</v>
      </c>
      <c r="G330" s="1" t="s">
        <v>4693</v>
      </c>
      <c r="H330" s="1">
        <f t="shared" si="1"/>
        <v>74.971474</v>
      </c>
      <c r="I330" s="1" t="s">
        <v>4695</v>
      </c>
      <c r="J330" s="1">
        <v>0.0</v>
      </c>
    </row>
    <row r="331">
      <c r="A331" s="1">
        <v>2022.0</v>
      </c>
      <c r="B331" s="1">
        <v>7.0</v>
      </c>
      <c r="C331" s="1" t="s">
        <v>12</v>
      </c>
      <c r="D331" s="1" t="s">
        <v>13</v>
      </c>
      <c r="E331" s="1" t="s">
        <v>14</v>
      </c>
      <c r="F331" s="3">
        <v>2780409.0</v>
      </c>
      <c r="G331" s="1" t="s">
        <v>4696</v>
      </c>
      <c r="H331" s="1">
        <f t="shared" si="1"/>
        <v>593.09146</v>
      </c>
      <c r="I331" s="3">
        <v>1752436.0</v>
      </c>
      <c r="J331" s="1">
        <v>431.0</v>
      </c>
    </row>
    <row r="332">
      <c r="A332" s="1">
        <v>2022.0</v>
      </c>
      <c r="B332" s="1">
        <v>7.0</v>
      </c>
      <c r="C332" s="1" t="s">
        <v>12</v>
      </c>
      <c r="D332" s="1" t="s">
        <v>13</v>
      </c>
      <c r="E332" s="1" t="s">
        <v>17</v>
      </c>
      <c r="F332" s="1" t="s">
        <v>4697</v>
      </c>
      <c r="G332" s="1" t="s">
        <v>4698</v>
      </c>
      <c r="H332" s="1">
        <f t="shared" si="1"/>
        <v>4003.448941</v>
      </c>
      <c r="I332" s="1" t="s">
        <v>4699</v>
      </c>
      <c r="J332" s="1">
        <v>654.0</v>
      </c>
    </row>
    <row r="333">
      <c r="A333" s="1">
        <v>2022.0</v>
      </c>
      <c r="B333" s="1">
        <v>7.0</v>
      </c>
      <c r="C333" s="1" t="s">
        <v>12</v>
      </c>
      <c r="D333" s="1" t="s">
        <v>13</v>
      </c>
      <c r="E333" s="1" t="s">
        <v>21</v>
      </c>
      <c r="F333" s="1" t="s">
        <v>4700</v>
      </c>
      <c r="G333" s="1" t="s">
        <v>4701</v>
      </c>
      <c r="H333" s="1">
        <f t="shared" si="1"/>
        <v>3206.174313</v>
      </c>
      <c r="I333" s="3" t="s">
        <v>4702</v>
      </c>
      <c r="J333" s="1">
        <v>540.0</v>
      </c>
    </row>
    <row r="334">
      <c r="A334" s="1">
        <v>2022.0</v>
      </c>
      <c r="B334" s="1">
        <v>7.0</v>
      </c>
      <c r="C334" s="1" t="s">
        <v>12</v>
      </c>
      <c r="D334" s="1" t="s">
        <v>29</v>
      </c>
      <c r="E334" s="1" t="s">
        <v>14</v>
      </c>
      <c r="F334" s="1" t="s">
        <v>4703</v>
      </c>
      <c r="G334" s="1" t="s">
        <v>4705</v>
      </c>
      <c r="H334" s="1">
        <f t="shared" si="1"/>
        <v>121.739067</v>
      </c>
      <c r="I334" s="1" t="s">
        <v>2562</v>
      </c>
      <c r="J334" s="1">
        <v>81.0</v>
      </c>
    </row>
    <row r="335">
      <c r="A335" s="1">
        <v>2022.0</v>
      </c>
      <c r="B335" s="1">
        <v>7.0</v>
      </c>
      <c r="C335" s="1" t="s">
        <v>12</v>
      </c>
      <c r="D335" s="1" t="s">
        <v>29</v>
      </c>
      <c r="E335" s="1" t="s">
        <v>21</v>
      </c>
      <c r="F335" s="1" t="s">
        <v>4706</v>
      </c>
      <c r="G335" s="1" t="s">
        <v>4707</v>
      </c>
      <c r="H335" s="1">
        <f t="shared" si="1"/>
        <v>7236.981536</v>
      </c>
      <c r="I335" s="1" t="s">
        <v>4709</v>
      </c>
      <c r="J335" s="1">
        <v>627.0</v>
      </c>
    </row>
    <row r="336">
      <c r="A336" s="1">
        <v>2022.0</v>
      </c>
      <c r="B336" s="1">
        <v>7.0</v>
      </c>
      <c r="C336" s="1" t="s">
        <v>12</v>
      </c>
      <c r="D336" s="1" t="s">
        <v>48</v>
      </c>
      <c r="E336" s="1" t="s">
        <v>49</v>
      </c>
      <c r="F336" s="1" t="s">
        <v>4684</v>
      </c>
      <c r="G336" s="1" t="s">
        <v>4710</v>
      </c>
      <c r="H336" s="1">
        <f t="shared" si="1"/>
        <v>1.591611</v>
      </c>
      <c r="I336" s="1" t="s">
        <v>1056</v>
      </c>
      <c r="J336" s="1">
        <v>6.0</v>
      </c>
    </row>
    <row r="337">
      <c r="A337" s="1">
        <v>2022.0</v>
      </c>
      <c r="B337" s="1">
        <v>7.0</v>
      </c>
      <c r="C337" s="1" t="s">
        <v>12</v>
      </c>
      <c r="D337" s="1" t="s">
        <v>48</v>
      </c>
      <c r="E337" s="1" t="s">
        <v>21</v>
      </c>
      <c r="F337" s="3">
        <v>1152373.0</v>
      </c>
      <c r="G337" s="1" t="s">
        <v>4711</v>
      </c>
      <c r="H337" s="1">
        <f t="shared" si="1"/>
        <v>410.215547</v>
      </c>
      <c r="I337" s="3">
        <v>44197.0</v>
      </c>
      <c r="J337" s="1">
        <v>168.0</v>
      </c>
    </row>
    <row r="338">
      <c r="A338" s="1">
        <v>2022.0</v>
      </c>
      <c r="B338" s="1">
        <v>7.0</v>
      </c>
      <c r="C338" s="1" t="s">
        <v>12</v>
      </c>
      <c r="D338" s="1" t="s">
        <v>38</v>
      </c>
      <c r="E338" s="1" t="s">
        <v>39</v>
      </c>
      <c r="F338" s="1" t="s">
        <v>4712</v>
      </c>
      <c r="G338" s="1" t="s">
        <v>4713</v>
      </c>
      <c r="H338" s="1">
        <f t="shared" si="1"/>
        <v>263.524314</v>
      </c>
      <c r="I338" s="1" t="s">
        <v>4714</v>
      </c>
      <c r="J338" s="1">
        <v>176.0</v>
      </c>
    </row>
    <row r="339">
      <c r="A339" s="1">
        <v>2022.0</v>
      </c>
      <c r="B339" s="1">
        <v>7.0</v>
      </c>
      <c r="C339" s="1" t="s">
        <v>12</v>
      </c>
      <c r="D339" s="1" t="s">
        <v>45</v>
      </c>
      <c r="E339" s="1" t="s">
        <v>49</v>
      </c>
      <c r="F339" s="1" t="s">
        <v>128</v>
      </c>
      <c r="G339" s="1" t="s">
        <v>4715</v>
      </c>
      <c r="H339" s="1">
        <f t="shared" si="1"/>
        <v>3.309734</v>
      </c>
      <c r="I339" s="1" t="s">
        <v>4193</v>
      </c>
      <c r="J339" s="1">
        <v>6.0</v>
      </c>
    </row>
    <row r="340">
      <c r="A340" s="1">
        <v>2022.0</v>
      </c>
      <c r="B340" s="1">
        <v>7.0</v>
      </c>
      <c r="C340" s="1" t="s">
        <v>12</v>
      </c>
      <c r="D340" s="1" t="s">
        <v>45</v>
      </c>
      <c r="E340" s="1" t="s">
        <v>17</v>
      </c>
      <c r="F340" s="3">
        <v>1749180.0</v>
      </c>
      <c r="G340" s="1" t="s">
        <v>4828</v>
      </c>
      <c r="H340" s="1">
        <f t="shared" si="1"/>
        <v>170.500217</v>
      </c>
      <c r="I340" s="1" t="s">
        <v>4829</v>
      </c>
      <c r="J340" s="1">
        <v>157.0</v>
      </c>
    </row>
    <row r="341">
      <c r="A341" s="1">
        <v>2022.0</v>
      </c>
      <c r="B341" s="1">
        <v>7.0</v>
      </c>
      <c r="C341" s="1" t="s">
        <v>12</v>
      </c>
      <c r="D341" s="1" t="s">
        <v>4127</v>
      </c>
      <c r="E341" s="1" t="s">
        <v>17</v>
      </c>
      <c r="F341" s="3">
        <v>1357243.0</v>
      </c>
      <c r="G341" s="1" t="s">
        <v>4830</v>
      </c>
      <c r="H341" s="1">
        <f t="shared" si="1"/>
        <v>116.544716</v>
      </c>
      <c r="I341" s="1" t="s">
        <v>4831</v>
      </c>
      <c r="J341" s="1">
        <v>107.0</v>
      </c>
    </row>
    <row r="342">
      <c r="A342" s="1">
        <v>2022.0</v>
      </c>
      <c r="B342" s="1">
        <v>7.0</v>
      </c>
      <c r="C342" s="1" t="s">
        <v>12</v>
      </c>
      <c r="D342" s="1" t="s">
        <v>42</v>
      </c>
      <c r="E342" s="1" t="s">
        <v>17</v>
      </c>
      <c r="F342" s="1" t="s">
        <v>4832</v>
      </c>
      <c r="G342" s="1" t="s">
        <v>4833</v>
      </c>
      <c r="H342" s="1">
        <f t="shared" si="1"/>
        <v>116.102321</v>
      </c>
      <c r="I342" s="1" t="s">
        <v>4834</v>
      </c>
      <c r="J342" s="1">
        <v>0.0</v>
      </c>
    </row>
    <row r="343">
      <c r="A343" s="1">
        <v>2022.0</v>
      </c>
      <c r="B343" s="1">
        <v>7.0</v>
      </c>
      <c r="C343" s="1" t="s">
        <v>12</v>
      </c>
      <c r="D343" s="1" t="s">
        <v>56</v>
      </c>
      <c r="E343" s="1" t="s">
        <v>21</v>
      </c>
      <c r="F343" s="1" t="s">
        <v>4835</v>
      </c>
      <c r="G343" s="1" t="s">
        <v>4837</v>
      </c>
      <c r="H343" s="1">
        <f t="shared" si="1"/>
        <v>74.509653</v>
      </c>
      <c r="I343" s="1" t="s">
        <v>4838</v>
      </c>
      <c r="J343" s="1">
        <v>146.0</v>
      </c>
    </row>
    <row r="344">
      <c r="A344" s="1">
        <v>2022.0</v>
      </c>
      <c r="B344" s="1">
        <v>7.0</v>
      </c>
      <c r="C344" s="1" t="s">
        <v>12</v>
      </c>
      <c r="D344" s="1" t="s">
        <v>3962</v>
      </c>
      <c r="E344" s="1" t="s">
        <v>17</v>
      </c>
      <c r="F344" s="1" t="s">
        <v>4839</v>
      </c>
      <c r="G344" s="1" t="s">
        <v>4840</v>
      </c>
      <c r="H344" s="1">
        <f t="shared" si="1"/>
        <v>70.919378</v>
      </c>
      <c r="I344" s="1" t="s">
        <v>4841</v>
      </c>
      <c r="J344" s="1">
        <v>114.0</v>
      </c>
    </row>
    <row r="345">
      <c r="A345" s="1">
        <v>2022.0</v>
      </c>
      <c r="B345" s="1">
        <v>7.0</v>
      </c>
      <c r="C345" s="1" t="s">
        <v>12</v>
      </c>
      <c r="D345" s="1" t="s">
        <v>4842</v>
      </c>
      <c r="E345" s="1" t="s">
        <v>17</v>
      </c>
      <c r="F345" s="1" t="s">
        <v>4843</v>
      </c>
      <c r="G345" s="1" t="s">
        <v>4844</v>
      </c>
      <c r="H345" s="1">
        <f t="shared" si="1"/>
        <v>36.580792</v>
      </c>
      <c r="I345" s="1" t="s">
        <v>4846</v>
      </c>
      <c r="J345" s="1">
        <v>0.0</v>
      </c>
    </row>
    <row r="346">
      <c r="A346" s="1">
        <v>2022.0</v>
      </c>
      <c r="B346" s="1">
        <v>7.0</v>
      </c>
      <c r="C346" s="1" t="s">
        <v>68</v>
      </c>
      <c r="D346" s="1" t="s">
        <v>13</v>
      </c>
      <c r="E346" s="1" t="s">
        <v>14</v>
      </c>
      <c r="F346" s="1" t="s">
        <v>4847</v>
      </c>
      <c r="G346" s="1" t="s">
        <v>4848</v>
      </c>
      <c r="H346" s="1">
        <f t="shared" si="1"/>
        <v>1619.21498</v>
      </c>
      <c r="I346" s="3">
        <v>1298529.0</v>
      </c>
      <c r="J346" s="1">
        <v>4711.0</v>
      </c>
    </row>
    <row r="347">
      <c r="A347" s="1">
        <v>2022.0</v>
      </c>
      <c r="B347" s="1">
        <v>7.0</v>
      </c>
      <c r="C347" s="1" t="s">
        <v>68</v>
      </c>
      <c r="D347" s="1" t="s">
        <v>13</v>
      </c>
      <c r="E347" s="1" t="s">
        <v>17</v>
      </c>
      <c r="F347" s="1" t="s">
        <v>4849</v>
      </c>
      <c r="G347" s="1" t="s">
        <v>4850</v>
      </c>
      <c r="H347" s="1">
        <f t="shared" si="1"/>
        <v>6284.66363</v>
      </c>
      <c r="I347" s="1" t="s">
        <v>4851</v>
      </c>
      <c r="J347" s="1">
        <v>9650.0</v>
      </c>
    </row>
    <row r="348">
      <c r="A348" s="1">
        <v>2022.0</v>
      </c>
      <c r="B348" s="1">
        <v>7.0</v>
      </c>
      <c r="C348" s="1" t="s">
        <v>68</v>
      </c>
      <c r="D348" s="1" t="s">
        <v>13</v>
      </c>
      <c r="E348" s="1" t="s">
        <v>21</v>
      </c>
      <c r="F348" s="3">
        <v>2194744.0</v>
      </c>
      <c r="G348" s="1" t="s">
        <v>4852</v>
      </c>
      <c r="H348" s="1">
        <f t="shared" si="1"/>
        <v>304.384897</v>
      </c>
      <c r="I348" s="1" t="s">
        <v>4853</v>
      </c>
      <c r="J348" s="1">
        <v>432.0</v>
      </c>
    </row>
    <row r="349">
      <c r="A349" s="1">
        <v>2022.0</v>
      </c>
      <c r="B349" s="1">
        <v>7.0</v>
      </c>
      <c r="C349" s="1" t="s">
        <v>68</v>
      </c>
      <c r="D349" s="1" t="s">
        <v>13</v>
      </c>
      <c r="E349" s="1" t="s">
        <v>25</v>
      </c>
      <c r="F349" s="1" t="s">
        <v>4338</v>
      </c>
      <c r="G349" s="1" t="s">
        <v>4339</v>
      </c>
      <c r="H349" s="1">
        <f t="shared" si="1"/>
        <v>47.36375</v>
      </c>
      <c r="I349" s="1" t="s">
        <v>3128</v>
      </c>
      <c r="J349" s="1">
        <v>168.0</v>
      </c>
    </row>
    <row r="350">
      <c r="A350" s="1">
        <v>2022.0</v>
      </c>
      <c r="B350" s="1">
        <v>7.0</v>
      </c>
      <c r="C350" s="1" t="s">
        <v>68</v>
      </c>
      <c r="D350" s="1" t="s">
        <v>29</v>
      </c>
      <c r="E350" s="1" t="s">
        <v>14</v>
      </c>
      <c r="F350" s="1" t="s">
        <v>4854</v>
      </c>
      <c r="G350" s="1" t="s">
        <v>4855</v>
      </c>
      <c r="H350" s="1">
        <f t="shared" si="1"/>
        <v>65.735039</v>
      </c>
      <c r="I350" s="1" t="s">
        <v>4856</v>
      </c>
      <c r="J350" s="1">
        <v>83.0</v>
      </c>
    </row>
    <row r="351">
      <c r="A351" s="1">
        <v>2022.0</v>
      </c>
      <c r="B351" s="1">
        <v>7.0</v>
      </c>
      <c r="C351" s="1" t="s">
        <v>68</v>
      </c>
      <c r="D351" s="1" t="s">
        <v>29</v>
      </c>
      <c r="E351" s="1" t="s">
        <v>21</v>
      </c>
      <c r="F351" s="3">
        <v>381223.0</v>
      </c>
      <c r="G351" s="1" t="s">
        <v>4857</v>
      </c>
      <c r="H351" s="1">
        <f t="shared" si="1"/>
        <v>1980.956217</v>
      </c>
      <c r="I351" s="3" t="s">
        <v>4858</v>
      </c>
      <c r="J351" s="1">
        <v>1693.0</v>
      </c>
    </row>
    <row r="352">
      <c r="A352" s="1">
        <v>2022.0</v>
      </c>
      <c r="B352" s="1">
        <v>7.0</v>
      </c>
      <c r="C352" s="1" t="s">
        <v>68</v>
      </c>
      <c r="D352" s="1" t="s">
        <v>45</v>
      </c>
      <c r="E352" s="1" t="s">
        <v>49</v>
      </c>
      <c r="F352" s="3" t="s">
        <v>4860</v>
      </c>
      <c r="G352" s="1" t="s">
        <v>4861</v>
      </c>
      <c r="H352" s="1">
        <f t="shared" si="1"/>
        <v>59.966876</v>
      </c>
      <c r="I352" s="1" t="s">
        <v>4862</v>
      </c>
      <c r="J352" s="1">
        <v>133.0</v>
      </c>
    </row>
    <row r="353">
      <c r="A353" s="1">
        <v>2022.0</v>
      </c>
      <c r="B353" s="1">
        <v>7.0</v>
      </c>
      <c r="C353" s="1" t="s">
        <v>68</v>
      </c>
      <c r="D353" s="1" t="s">
        <v>45</v>
      </c>
      <c r="E353" s="1" t="s">
        <v>17</v>
      </c>
      <c r="F353" s="3">
        <v>1596994.0</v>
      </c>
      <c r="G353" s="1" t="s">
        <v>4863</v>
      </c>
      <c r="H353" s="1">
        <f t="shared" si="1"/>
        <v>438.452184</v>
      </c>
      <c r="I353" s="3">
        <v>715178.0</v>
      </c>
      <c r="J353" s="1">
        <v>1430.0</v>
      </c>
    </row>
    <row r="354">
      <c r="A354" s="1">
        <v>2022.0</v>
      </c>
      <c r="B354" s="1">
        <v>7.0</v>
      </c>
      <c r="C354" s="1" t="s">
        <v>68</v>
      </c>
      <c r="D354" s="1" t="s">
        <v>38</v>
      </c>
      <c r="E354" s="1" t="s">
        <v>39</v>
      </c>
      <c r="F354" s="3">
        <v>2221831.0</v>
      </c>
      <c r="G354" s="1" t="s">
        <v>4864</v>
      </c>
      <c r="H354" s="1">
        <f t="shared" si="1"/>
        <v>348.845767</v>
      </c>
      <c r="I354" s="1" t="s">
        <v>4866</v>
      </c>
      <c r="J354" s="1">
        <v>1365.0</v>
      </c>
    </row>
    <row r="355">
      <c r="A355" s="1">
        <v>2022.0</v>
      </c>
      <c r="B355" s="1">
        <v>7.0</v>
      </c>
      <c r="C355" s="1" t="s">
        <v>68</v>
      </c>
      <c r="D355" s="1" t="s">
        <v>1851</v>
      </c>
      <c r="E355" s="1" t="s">
        <v>17</v>
      </c>
      <c r="F355" s="1" t="s">
        <v>2101</v>
      </c>
      <c r="G355" s="1" t="s">
        <v>4868</v>
      </c>
      <c r="H355" s="1">
        <f t="shared" si="1"/>
        <v>157.555681</v>
      </c>
      <c r="I355" s="3" t="s">
        <v>1172</v>
      </c>
      <c r="J355" s="1">
        <v>780.0</v>
      </c>
    </row>
    <row r="356">
      <c r="A356" s="1">
        <v>2022.0</v>
      </c>
      <c r="B356" s="1">
        <v>7.0</v>
      </c>
      <c r="C356" s="1" t="s">
        <v>68</v>
      </c>
      <c r="D356" s="1" t="s">
        <v>1851</v>
      </c>
      <c r="E356" s="1" t="s">
        <v>21</v>
      </c>
      <c r="F356" s="1" t="s">
        <v>4870</v>
      </c>
      <c r="G356" s="1" t="s">
        <v>4871</v>
      </c>
      <c r="H356" s="1">
        <f t="shared" si="1"/>
        <v>22.29946</v>
      </c>
      <c r="I356" s="1" t="s">
        <v>4872</v>
      </c>
      <c r="J356" s="1">
        <v>146.0</v>
      </c>
    </row>
    <row r="357">
      <c r="A357" s="1">
        <v>2022.0</v>
      </c>
      <c r="B357" s="1">
        <v>7.0</v>
      </c>
      <c r="C357" s="1" t="s">
        <v>68</v>
      </c>
      <c r="D357" s="1" t="s">
        <v>42</v>
      </c>
      <c r="E357" s="1" t="s">
        <v>17</v>
      </c>
      <c r="F357" s="1" t="s">
        <v>4873</v>
      </c>
      <c r="G357" s="1" t="s">
        <v>4874</v>
      </c>
      <c r="H357" s="1">
        <f t="shared" si="1"/>
        <v>148.367583</v>
      </c>
      <c r="I357" s="1" t="s">
        <v>3921</v>
      </c>
      <c r="J357" s="1">
        <v>0.0</v>
      </c>
    </row>
    <row r="358">
      <c r="A358" s="1">
        <v>2022.0</v>
      </c>
      <c r="B358" s="1">
        <v>7.0</v>
      </c>
      <c r="C358" s="1" t="s">
        <v>68</v>
      </c>
      <c r="D358" s="1" t="s">
        <v>3962</v>
      </c>
      <c r="E358" s="1" t="s">
        <v>17</v>
      </c>
      <c r="F358" s="3">
        <v>239601.0</v>
      </c>
      <c r="G358" s="1" t="s">
        <v>4875</v>
      </c>
      <c r="H358" s="1">
        <f t="shared" si="1"/>
        <v>115.030749</v>
      </c>
      <c r="I358" s="1" t="s">
        <v>4876</v>
      </c>
      <c r="J358" s="1">
        <v>554.0</v>
      </c>
    </row>
    <row r="359">
      <c r="A359" s="1">
        <v>2022.0</v>
      </c>
      <c r="B359" s="1">
        <v>7.0</v>
      </c>
      <c r="C359" s="1" t="s">
        <v>68</v>
      </c>
      <c r="D359" s="1" t="s">
        <v>4127</v>
      </c>
      <c r="E359" s="1" t="s">
        <v>17</v>
      </c>
      <c r="F359" s="3" t="s">
        <v>4877</v>
      </c>
      <c r="G359" s="1" t="s">
        <v>4878</v>
      </c>
      <c r="H359" s="1">
        <f t="shared" si="1"/>
        <v>87.554178</v>
      </c>
      <c r="I359" s="1" t="s">
        <v>4879</v>
      </c>
      <c r="J359" s="1">
        <v>525.0</v>
      </c>
    </row>
    <row r="360">
      <c r="A360" s="1">
        <v>2022.0</v>
      </c>
      <c r="B360" s="1">
        <v>7.0</v>
      </c>
      <c r="C360" s="1" t="s">
        <v>68</v>
      </c>
      <c r="D360" s="1" t="s">
        <v>48</v>
      </c>
      <c r="E360" s="1" t="s">
        <v>49</v>
      </c>
      <c r="F360" s="1" t="s">
        <v>414</v>
      </c>
      <c r="G360" s="1" t="s">
        <v>4880</v>
      </c>
      <c r="H360" s="1">
        <f t="shared" si="1"/>
        <v>0.279082</v>
      </c>
      <c r="I360" s="1" t="s">
        <v>376</v>
      </c>
      <c r="J360" s="1">
        <v>0.0</v>
      </c>
    </row>
    <row r="361">
      <c r="A361" s="1">
        <v>2022.0</v>
      </c>
      <c r="B361" s="1">
        <v>7.0</v>
      </c>
      <c r="C361" s="1" t="s">
        <v>68</v>
      </c>
      <c r="D361" s="1" t="s">
        <v>48</v>
      </c>
      <c r="E361" s="1" t="s">
        <v>72</v>
      </c>
      <c r="F361" s="1" t="s">
        <v>3855</v>
      </c>
      <c r="G361" s="1" t="s">
        <v>4881</v>
      </c>
      <c r="H361" s="1">
        <f t="shared" si="1"/>
        <v>1.31538</v>
      </c>
      <c r="I361" s="1" t="s">
        <v>1813</v>
      </c>
      <c r="J361" s="1">
        <v>0.0</v>
      </c>
    </row>
    <row r="362">
      <c r="A362" s="1">
        <v>2022.0</v>
      </c>
      <c r="B362" s="1">
        <v>7.0</v>
      </c>
      <c r="C362" s="1" t="s">
        <v>68</v>
      </c>
      <c r="D362" s="1" t="s">
        <v>48</v>
      </c>
      <c r="E362" s="1" t="s">
        <v>21</v>
      </c>
      <c r="F362" s="1" t="s">
        <v>4882</v>
      </c>
      <c r="G362" s="1" t="s">
        <v>4883</v>
      </c>
      <c r="H362" s="1">
        <f t="shared" si="1"/>
        <v>82.367585</v>
      </c>
      <c r="I362" s="1" t="s">
        <v>4885</v>
      </c>
      <c r="J362" s="1">
        <v>0.0</v>
      </c>
    </row>
    <row r="363">
      <c r="A363" s="1">
        <v>2022.0</v>
      </c>
      <c r="B363" s="1">
        <v>7.0</v>
      </c>
      <c r="C363" s="1" t="s">
        <v>68</v>
      </c>
      <c r="D363" s="1" t="s">
        <v>32</v>
      </c>
      <c r="E363" s="1" t="s">
        <v>14</v>
      </c>
      <c r="F363" s="3">
        <v>88756.0</v>
      </c>
      <c r="G363" s="1" t="s">
        <v>4887</v>
      </c>
      <c r="H363" s="1">
        <f t="shared" si="1"/>
        <v>80.504517</v>
      </c>
      <c r="I363" s="1" t="s">
        <v>4888</v>
      </c>
      <c r="J363" s="1">
        <v>0.0</v>
      </c>
    </row>
    <row r="364">
      <c r="A364" s="1">
        <v>2022.0</v>
      </c>
      <c r="B364" s="1">
        <v>7.0</v>
      </c>
      <c r="C364" s="1" t="s">
        <v>68</v>
      </c>
      <c r="D364" s="1" t="s">
        <v>32</v>
      </c>
      <c r="E364" s="1" t="s">
        <v>21</v>
      </c>
      <c r="F364" s="1" t="s">
        <v>414</v>
      </c>
      <c r="G364" s="1" t="s">
        <v>4890</v>
      </c>
      <c r="H364" s="1">
        <f t="shared" si="1"/>
        <v>0.106023</v>
      </c>
      <c r="I364" s="1" t="s">
        <v>333</v>
      </c>
      <c r="J364" s="1">
        <v>0.0</v>
      </c>
    </row>
    <row r="365">
      <c r="A365" s="1">
        <v>2022.0</v>
      </c>
      <c r="B365" s="1">
        <v>7.0</v>
      </c>
      <c r="C365" s="1" t="s">
        <v>116</v>
      </c>
      <c r="D365" s="1" t="s">
        <v>13</v>
      </c>
      <c r="E365" s="1" t="s">
        <v>14</v>
      </c>
      <c r="F365" s="1" t="s">
        <v>4892</v>
      </c>
      <c r="G365" s="1" t="s">
        <v>4893</v>
      </c>
      <c r="H365" s="1">
        <f t="shared" si="1"/>
        <v>2873.741751</v>
      </c>
      <c r="I365" s="3">
        <v>836255.0</v>
      </c>
      <c r="J365" s="1">
        <v>7904.0</v>
      </c>
    </row>
    <row r="366">
      <c r="A366" s="1">
        <v>2022.0</v>
      </c>
      <c r="B366" s="1">
        <v>7.0</v>
      </c>
      <c r="C366" s="1" t="s">
        <v>116</v>
      </c>
      <c r="D366" s="1" t="s">
        <v>13</v>
      </c>
      <c r="E366" s="1" t="s">
        <v>17</v>
      </c>
      <c r="F366" s="1" t="s">
        <v>4894</v>
      </c>
      <c r="G366" s="1" t="s">
        <v>4895</v>
      </c>
      <c r="H366" s="1">
        <f t="shared" si="1"/>
        <v>15221.22025</v>
      </c>
      <c r="I366" s="1" t="s">
        <v>4896</v>
      </c>
      <c r="J366" s="1">
        <v>18868.0</v>
      </c>
    </row>
    <row r="367">
      <c r="A367" s="1">
        <v>2022.0</v>
      </c>
      <c r="B367" s="1">
        <v>7.0</v>
      </c>
      <c r="C367" s="1" t="s">
        <v>116</v>
      </c>
      <c r="D367" s="1" t="s">
        <v>13</v>
      </c>
      <c r="E367" s="1" t="s">
        <v>21</v>
      </c>
      <c r="F367" s="3">
        <v>2743550.0</v>
      </c>
      <c r="G367" s="1" t="s">
        <v>4897</v>
      </c>
      <c r="H367" s="1">
        <f t="shared" si="1"/>
        <v>1254.763085</v>
      </c>
      <c r="I367" s="3">
        <v>1024232.0</v>
      </c>
      <c r="J367" s="1">
        <v>724.0</v>
      </c>
    </row>
    <row r="368">
      <c r="A368" s="1">
        <v>2022.0</v>
      </c>
      <c r="B368" s="1">
        <v>7.0</v>
      </c>
      <c r="C368" s="1" t="s">
        <v>116</v>
      </c>
      <c r="D368" s="1" t="s">
        <v>13</v>
      </c>
      <c r="E368" s="1" t="s">
        <v>25</v>
      </c>
      <c r="F368" s="1" t="s">
        <v>4398</v>
      </c>
      <c r="G368" s="1" t="s">
        <v>4399</v>
      </c>
      <c r="H368" s="1">
        <f t="shared" si="1"/>
        <v>3.582185</v>
      </c>
      <c r="I368" s="1" t="s">
        <v>2801</v>
      </c>
      <c r="J368" s="1">
        <v>5.0</v>
      </c>
    </row>
    <row r="369">
      <c r="A369" s="1">
        <v>2022.0</v>
      </c>
      <c r="B369" s="1">
        <v>7.0</v>
      </c>
      <c r="C369" s="1" t="s">
        <v>116</v>
      </c>
      <c r="D369" s="1" t="s">
        <v>29</v>
      </c>
      <c r="E369" s="1" t="s">
        <v>14</v>
      </c>
      <c r="F369" s="3">
        <v>22282.0</v>
      </c>
      <c r="G369" s="1" t="s">
        <v>4898</v>
      </c>
      <c r="H369" s="1">
        <f t="shared" si="1"/>
        <v>141.818135</v>
      </c>
      <c r="I369" s="1" t="s">
        <v>4899</v>
      </c>
      <c r="J369" s="1">
        <v>224.0</v>
      </c>
    </row>
    <row r="370">
      <c r="A370" s="1">
        <v>2022.0</v>
      </c>
      <c r="B370" s="1">
        <v>7.0</v>
      </c>
      <c r="C370" s="1" t="s">
        <v>116</v>
      </c>
      <c r="D370" s="1" t="s">
        <v>29</v>
      </c>
      <c r="E370" s="1" t="s">
        <v>21</v>
      </c>
      <c r="F370" s="1" t="s">
        <v>4900</v>
      </c>
      <c r="G370" s="1" t="s">
        <v>4901</v>
      </c>
      <c r="H370" s="1">
        <f t="shared" si="1"/>
        <v>7831.706976</v>
      </c>
      <c r="I370" s="1" t="s">
        <v>4902</v>
      </c>
      <c r="J370" s="1">
        <v>3981.0</v>
      </c>
    </row>
    <row r="371">
      <c r="A371" s="1">
        <v>2022.0</v>
      </c>
      <c r="B371" s="1">
        <v>7.0</v>
      </c>
      <c r="C371" s="1" t="s">
        <v>116</v>
      </c>
      <c r="D371" s="1" t="s">
        <v>45</v>
      </c>
      <c r="E371" s="1" t="s">
        <v>49</v>
      </c>
      <c r="F371" s="3">
        <v>2377031.0</v>
      </c>
      <c r="G371" s="1" t="s">
        <v>4903</v>
      </c>
      <c r="H371" s="1">
        <f t="shared" si="1"/>
        <v>162.031473</v>
      </c>
      <c r="I371" s="1" t="s">
        <v>4904</v>
      </c>
      <c r="J371" s="1">
        <v>357.0</v>
      </c>
    </row>
    <row r="372">
      <c r="A372" s="1">
        <v>2022.0</v>
      </c>
      <c r="B372" s="1">
        <v>7.0</v>
      </c>
      <c r="C372" s="1" t="s">
        <v>116</v>
      </c>
      <c r="D372" s="1" t="s">
        <v>45</v>
      </c>
      <c r="E372" s="1" t="s">
        <v>17</v>
      </c>
      <c r="F372" s="1" t="s">
        <v>4905</v>
      </c>
      <c r="G372" s="1" t="s">
        <v>4906</v>
      </c>
      <c r="H372" s="1">
        <f t="shared" si="1"/>
        <v>1649.091699</v>
      </c>
      <c r="I372" s="3">
        <v>1540807.0</v>
      </c>
      <c r="J372" s="1">
        <v>1727.0</v>
      </c>
    </row>
    <row r="373">
      <c r="A373" s="1">
        <v>2022.0</v>
      </c>
      <c r="B373" s="1">
        <v>7.0</v>
      </c>
      <c r="C373" s="1" t="s">
        <v>116</v>
      </c>
      <c r="D373" s="1" t="s">
        <v>3962</v>
      </c>
      <c r="E373" s="1" t="s">
        <v>17</v>
      </c>
      <c r="F373" s="3" t="s">
        <v>4907</v>
      </c>
      <c r="G373" s="1" t="s">
        <v>4908</v>
      </c>
      <c r="H373" s="1">
        <f t="shared" si="1"/>
        <v>848.269895</v>
      </c>
      <c r="I373" s="3">
        <v>72745.0</v>
      </c>
      <c r="J373" s="1">
        <v>3168.0</v>
      </c>
    </row>
    <row r="374">
      <c r="A374" s="1">
        <v>2022.0</v>
      </c>
      <c r="B374" s="1">
        <v>7.0</v>
      </c>
      <c r="C374" s="1" t="s">
        <v>116</v>
      </c>
      <c r="D374" s="1" t="s">
        <v>48</v>
      </c>
      <c r="E374" s="1" t="s">
        <v>49</v>
      </c>
      <c r="F374" s="1" t="s">
        <v>1056</v>
      </c>
      <c r="G374" s="1" t="s">
        <v>4909</v>
      </c>
      <c r="H374" s="1">
        <f t="shared" si="1"/>
        <v>0.525873</v>
      </c>
      <c r="I374" s="1" t="s">
        <v>75</v>
      </c>
      <c r="J374" s="1">
        <v>2.0</v>
      </c>
    </row>
    <row r="375">
      <c r="A375" s="1">
        <v>2022.0</v>
      </c>
      <c r="B375" s="1">
        <v>7.0</v>
      </c>
      <c r="C375" s="1" t="s">
        <v>116</v>
      </c>
      <c r="D375" s="1" t="s">
        <v>48</v>
      </c>
      <c r="E375" s="1" t="s">
        <v>72</v>
      </c>
      <c r="F375" s="1" t="s">
        <v>4910</v>
      </c>
      <c r="G375" s="1" t="s">
        <v>4911</v>
      </c>
      <c r="H375" s="1">
        <f t="shared" si="1"/>
        <v>7.314819</v>
      </c>
      <c r="I375" s="1" t="s">
        <v>1777</v>
      </c>
      <c r="J375" s="1">
        <v>29.0</v>
      </c>
    </row>
    <row r="376">
      <c r="A376" s="1">
        <v>2022.0</v>
      </c>
      <c r="B376" s="1">
        <v>7.0</v>
      </c>
      <c r="C376" s="1" t="s">
        <v>116</v>
      </c>
      <c r="D376" s="1" t="s">
        <v>48</v>
      </c>
      <c r="E376" s="1" t="s">
        <v>21</v>
      </c>
      <c r="F376" s="3">
        <v>627520.0</v>
      </c>
      <c r="G376" s="1" t="s">
        <v>4912</v>
      </c>
      <c r="H376" s="1">
        <f t="shared" si="1"/>
        <v>597.382523</v>
      </c>
      <c r="I376" s="1" t="s">
        <v>4913</v>
      </c>
      <c r="J376" s="1">
        <v>406.0</v>
      </c>
    </row>
    <row r="377">
      <c r="A377" s="1">
        <v>2022.0</v>
      </c>
      <c r="B377" s="1">
        <v>7.0</v>
      </c>
      <c r="C377" s="1" t="s">
        <v>116</v>
      </c>
      <c r="D377" s="1" t="s">
        <v>38</v>
      </c>
      <c r="E377" s="1" t="s">
        <v>39</v>
      </c>
      <c r="F377" s="1" t="s">
        <v>4914</v>
      </c>
      <c r="G377" s="1" t="s">
        <v>4915</v>
      </c>
      <c r="H377" s="1">
        <f t="shared" si="1"/>
        <v>520.676349</v>
      </c>
      <c r="I377" s="1" t="s">
        <v>4916</v>
      </c>
      <c r="J377" s="1">
        <v>2169.0</v>
      </c>
    </row>
    <row r="378">
      <c r="A378" s="1">
        <v>2022.0</v>
      </c>
      <c r="B378" s="1">
        <v>7.0</v>
      </c>
      <c r="C378" s="1" t="s">
        <v>116</v>
      </c>
      <c r="D378" s="1" t="s">
        <v>1851</v>
      </c>
      <c r="E378" s="1" t="s">
        <v>17</v>
      </c>
      <c r="F378" s="3">
        <v>2187560.0</v>
      </c>
      <c r="G378" s="1" t="s">
        <v>4917</v>
      </c>
      <c r="H378" s="1">
        <f t="shared" si="1"/>
        <v>309.182473</v>
      </c>
      <c r="I378" s="3">
        <v>141382.0</v>
      </c>
      <c r="J378" s="1">
        <v>1453.0</v>
      </c>
    </row>
    <row r="379">
      <c r="A379" s="1">
        <v>2022.0</v>
      </c>
      <c r="B379" s="1">
        <v>7.0</v>
      </c>
      <c r="C379" s="1" t="s">
        <v>116</v>
      </c>
      <c r="D379" s="1" t="s">
        <v>1851</v>
      </c>
      <c r="E379" s="1" t="s">
        <v>21</v>
      </c>
      <c r="F379" s="1" t="s">
        <v>4918</v>
      </c>
      <c r="G379" s="1" t="s">
        <v>4919</v>
      </c>
      <c r="H379" s="1">
        <f t="shared" si="1"/>
        <v>36.390825</v>
      </c>
      <c r="I379" s="1" t="s">
        <v>4920</v>
      </c>
      <c r="J379" s="1">
        <v>109.0</v>
      </c>
    </row>
    <row r="380">
      <c r="A380" s="1">
        <v>2022.0</v>
      </c>
      <c r="B380" s="1">
        <v>7.0</v>
      </c>
      <c r="C380" s="1" t="s">
        <v>116</v>
      </c>
      <c r="D380" s="1" t="s">
        <v>147</v>
      </c>
      <c r="E380" s="1" t="s">
        <v>39</v>
      </c>
      <c r="F380" s="1" t="s">
        <v>4921</v>
      </c>
      <c r="G380" s="1" t="s">
        <v>4922</v>
      </c>
      <c r="H380" s="1">
        <f t="shared" si="1"/>
        <v>318.702764</v>
      </c>
      <c r="I380" s="1" t="s">
        <v>4923</v>
      </c>
      <c r="J380" s="1">
        <v>99.0</v>
      </c>
    </row>
    <row r="381">
      <c r="A381" s="1">
        <v>2022.0</v>
      </c>
      <c r="B381" s="1">
        <v>7.0</v>
      </c>
      <c r="C381" s="1" t="s">
        <v>116</v>
      </c>
      <c r="D381" s="1" t="s">
        <v>147</v>
      </c>
      <c r="E381" s="1" t="s">
        <v>17</v>
      </c>
      <c r="F381" s="1" t="s">
        <v>3953</v>
      </c>
      <c r="G381" s="1" t="s">
        <v>4924</v>
      </c>
      <c r="H381" s="1">
        <f t="shared" si="1"/>
        <v>3.731573</v>
      </c>
      <c r="I381" s="1" t="s">
        <v>396</v>
      </c>
      <c r="J381" s="1">
        <v>3.0</v>
      </c>
    </row>
    <row r="382">
      <c r="A382" s="1">
        <v>2022.0</v>
      </c>
      <c r="B382" s="1">
        <v>7.0</v>
      </c>
      <c r="C382" s="1" t="s">
        <v>116</v>
      </c>
      <c r="D382" s="1" t="s">
        <v>147</v>
      </c>
      <c r="E382" s="1" t="s">
        <v>21</v>
      </c>
      <c r="F382" s="1" t="s">
        <v>4925</v>
      </c>
      <c r="G382" s="1" t="s">
        <v>4926</v>
      </c>
      <c r="H382" s="1">
        <f t="shared" si="1"/>
        <v>22.339708</v>
      </c>
      <c r="I382" s="1" t="s">
        <v>4927</v>
      </c>
      <c r="J382" s="1">
        <v>36.0</v>
      </c>
    </row>
    <row r="383">
      <c r="A383" s="1">
        <v>2022.0</v>
      </c>
      <c r="B383" s="1">
        <v>7.0</v>
      </c>
      <c r="C383" s="1" t="s">
        <v>116</v>
      </c>
      <c r="D383" s="1" t="s">
        <v>4842</v>
      </c>
      <c r="E383" s="1" t="s">
        <v>17</v>
      </c>
      <c r="F383" s="3">
        <v>2537401.0</v>
      </c>
      <c r="G383" s="1" t="s">
        <v>4928</v>
      </c>
      <c r="H383" s="1">
        <f t="shared" si="1"/>
        <v>224.618831</v>
      </c>
      <c r="I383" s="3">
        <v>619819.0</v>
      </c>
      <c r="J383" s="1">
        <v>0.0</v>
      </c>
    </row>
    <row r="384">
      <c r="A384" s="1">
        <v>2022.0</v>
      </c>
      <c r="B384" s="1">
        <v>7.0</v>
      </c>
      <c r="C384" s="1" t="s">
        <v>116</v>
      </c>
      <c r="D384" s="1" t="s">
        <v>4929</v>
      </c>
      <c r="E384" s="1" t="s">
        <v>21</v>
      </c>
      <c r="F384" s="3" t="s">
        <v>4930</v>
      </c>
      <c r="G384" s="1" t="s">
        <v>4931</v>
      </c>
      <c r="H384" s="1">
        <f t="shared" si="1"/>
        <v>198.984905</v>
      </c>
      <c r="I384" s="1" t="s">
        <v>4932</v>
      </c>
      <c r="J384" s="1">
        <v>0.0</v>
      </c>
    </row>
    <row r="385">
      <c r="A385" s="1">
        <v>2022.0</v>
      </c>
      <c r="B385" s="1">
        <v>8.0</v>
      </c>
      <c r="C385" s="1" t="s">
        <v>12</v>
      </c>
      <c r="D385" s="1" t="s">
        <v>13</v>
      </c>
      <c r="E385" s="1" t="s">
        <v>14</v>
      </c>
      <c r="F385" s="3" t="s">
        <v>4933</v>
      </c>
      <c r="G385" s="1" t="s">
        <v>4934</v>
      </c>
      <c r="H385" s="1">
        <f t="shared" si="1"/>
        <v>594.588783</v>
      </c>
      <c r="I385" s="3">
        <v>1858356.0</v>
      </c>
      <c r="J385" s="1">
        <v>408.0</v>
      </c>
    </row>
    <row r="386">
      <c r="A386" s="1">
        <v>2022.0</v>
      </c>
      <c r="B386" s="1">
        <v>8.0</v>
      </c>
      <c r="C386" s="1" t="s">
        <v>12</v>
      </c>
      <c r="D386" s="1" t="s">
        <v>13</v>
      </c>
      <c r="E386" s="1" t="s">
        <v>17</v>
      </c>
      <c r="F386" s="1" t="s">
        <v>4935</v>
      </c>
      <c r="G386" s="1" t="s">
        <v>4936</v>
      </c>
      <c r="H386" s="1">
        <f t="shared" si="1"/>
        <v>3368.865598</v>
      </c>
      <c r="I386" s="3">
        <v>1927295.0</v>
      </c>
      <c r="J386" s="1">
        <v>636.0</v>
      </c>
    </row>
    <row r="387">
      <c r="A387" s="1">
        <v>2022.0</v>
      </c>
      <c r="B387" s="1">
        <v>8.0</v>
      </c>
      <c r="C387" s="1" t="s">
        <v>12</v>
      </c>
      <c r="D387" s="1" t="s">
        <v>13</v>
      </c>
      <c r="E387" s="1" t="s">
        <v>21</v>
      </c>
      <c r="F387" s="1" t="s">
        <v>4937</v>
      </c>
      <c r="G387" s="1" t="s">
        <v>4938</v>
      </c>
      <c r="H387" s="1">
        <f t="shared" si="1"/>
        <v>3372.173873</v>
      </c>
      <c r="I387" s="1" t="s">
        <v>4939</v>
      </c>
      <c r="J387" s="1">
        <v>490.0</v>
      </c>
    </row>
    <row r="388">
      <c r="A388" s="1">
        <v>2022.0</v>
      </c>
      <c r="B388" s="1">
        <v>8.0</v>
      </c>
      <c r="C388" s="1" t="s">
        <v>12</v>
      </c>
      <c r="D388" s="1" t="s">
        <v>29</v>
      </c>
      <c r="E388" s="1" t="s">
        <v>14</v>
      </c>
      <c r="F388" s="1" t="s">
        <v>4940</v>
      </c>
      <c r="G388" s="1" t="s">
        <v>4941</v>
      </c>
      <c r="H388" s="1">
        <f t="shared" si="1"/>
        <v>39.605675</v>
      </c>
      <c r="I388" s="1" t="s">
        <v>4942</v>
      </c>
      <c r="J388" s="1">
        <v>65.0</v>
      </c>
    </row>
    <row r="389">
      <c r="A389" s="1">
        <v>2022.0</v>
      </c>
      <c r="B389" s="1">
        <v>8.0</v>
      </c>
      <c r="C389" s="1" t="s">
        <v>12</v>
      </c>
      <c r="D389" s="1" t="s">
        <v>29</v>
      </c>
      <c r="E389" s="1" t="s">
        <v>21</v>
      </c>
      <c r="F389" s="1" t="s">
        <v>4943</v>
      </c>
      <c r="G389" s="1" t="s">
        <v>4944</v>
      </c>
      <c r="H389" s="1">
        <f t="shared" si="1"/>
        <v>5767.139737</v>
      </c>
      <c r="I389" s="3">
        <v>149325.0</v>
      </c>
      <c r="J389" s="1">
        <v>620.0</v>
      </c>
    </row>
    <row r="390">
      <c r="A390" s="1">
        <v>2022.0</v>
      </c>
      <c r="B390" s="1">
        <v>8.0</v>
      </c>
      <c r="C390" s="1" t="s">
        <v>12</v>
      </c>
      <c r="D390" s="1" t="s">
        <v>48</v>
      </c>
      <c r="E390" s="1" t="s">
        <v>49</v>
      </c>
      <c r="F390" s="1" t="s">
        <v>396</v>
      </c>
      <c r="G390" s="1" t="s">
        <v>4945</v>
      </c>
      <c r="H390" s="1">
        <f t="shared" si="1"/>
        <v>0.850839</v>
      </c>
      <c r="I390" s="1" t="s">
        <v>414</v>
      </c>
      <c r="J390" s="1">
        <v>4.0</v>
      </c>
    </row>
    <row r="391">
      <c r="A391" s="1">
        <v>2022.0</v>
      </c>
      <c r="B391" s="1">
        <v>8.0</v>
      </c>
      <c r="C391" s="1" t="s">
        <v>12</v>
      </c>
      <c r="D391" s="1" t="s">
        <v>48</v>
      </c>
      <c r="E391" s="1" t="s">
        <v>21</v>
      </c>
      <c r="F391" s="3">
        <v>621311.0</v>
      </c>
      <c r="G391" s="1" t="s">
        <v>4946</v>
      </c>
      <c r="H391" s="1">
        <f t="shared" si="1"/>
        <v>370.523807</v>
      </c>
      <c r="I391" s="1" t="s">
        <v>4947</v>
      </c>
      <c r="J391" s="1">
        <v>168.0</v>
      </c>
    </row>
    <row r="392">
      <c r="A392" s="1">
        <v>2022.0</v>
      </c>
      <c r="B392" s="1">
        <v>8.0</v>
      </c>
      <c r="C392" s="1" t="s">
        <v>12</v>
      </c>
      <c r="D392" s="1" t="s">
        <v>38</v>
      </c>
      <c r="E392" s="1" t="s">
        <v>39</v>
      </c>
      <c r="F392" s="3">
        <v>473781.0</v>
      </c>
      <c r="G392" s="1" t="s">
        <v>4948</v>
      </c>
      <c r="H392" s="1">
        <f t="shared" si="1"/>
        <v>345.179241</v>
      </c>
      <c r="I392" s="1" t="s">
        <v>4949</v>
      </c>
      <c r="J392" s="1">
        <v>166.0</v>
      </c>
    </row>
    <row r="393">
      <c r="A393" s="1">
        <v>2022.0</v>
      </c>
      <c r="B393" s="1">
        <v>8.0</v>
      </c>
      <c r="C393" s="1" t="s">
        <v>12</v>
      </c>
      <c r="D393" s="1" t="s">
        <v>45</v>
      </c>
      <c r="E393" s="1" t="s">
        <v>49</v>
      </c>
      <c r="F393" s="1" t="s">
        <v>4950</v>
      </c>
      <c r="G393" s="1" t="s">
        <v>4951</v>
      </c>
      <c r="H393" s="1">
        <f t="shared" si="1"/>
        <v>2.198378</v>
      </c>
      <c r="I393" s="1" t="s">
        <v>4952</v>
      </c>
      <c r="J393" s="1">
        <v>4.0</v>
      </c>
    </row>
    <row r="394">
      <c r="A394" s="1">
        <v>2022.0</v>
      </c>
      <c r="B394" s="1">
        <v>8.0</v>
      </c>
      <c r="C394" s="1" t="s">
        <v>12</v>
      </c>
      <c r="D394" s="1" t="s">
        <v>45</v>
      </c>
      <c r="E394" s="1" t="s">
        <v>17</v>
      </c>
      <c r="F394" s="3">
        <v>817081.0</v>
      </c>
      <c r="G394" s="1" t="s">
        <v>4953</v>
      </c>
      <c r="H394" s="1">
        <f t="shared" si="1"/>
        <v>161.854701</v>
      </c>
      <c r="I394" s="1" t="s">
        <v>4954</v>
      </c>
      <c r="J394" s="1">
        <v>156.0</v>
      </c>
    </row>
    <row r="395">
      <c r="A395" s="1">
        <v>2022.0</v>
      </c>
      <c r="B395" s="1">
        <v>8.0</v>
      </c>
      <c r="C395" s="1" t="s">
        <v>12</v>
      </c>
      <c r="D395" s="1" t="s">
        <v>4955</v>
      </c>
      <c r="E395" s="1" t="s">
        <v>49</v>
      </c>
      <c r="F395" s="1" t="s">
        <v>4956</v>
      </c>
      <c r="G395" s="1" t="s">
        <v>4957</v>
      </c>
      <c r="H395" s="1">
        <f t="shared" si="1"/>
        <v>145.440369</v>
      </c>
      <c r="I395" s="1" t="s">
        <v>4958</v>
      </c>
      <c r="J395" s="1">
        <v>0.0</v>
      </c>
    </row>
    <row r="396">
      <c r="A396" s="1">
        <v>2022.0</v>
      </c>
      <c r="B396" s="1">
        <v>8.0</v>
      </c>
      <c r="C396" s="1" t="s">
        <v>12</v>
      </c>
      <c r="D396" s="1" t="s">
        <v>4842</v>
      </c>
      <c r="E396" s="1" t="s">
        <v>17</v>
      </c>
      <c r="F396" s="3" t="s">
        <v>4959</v>
      </c>
      <c r="G396" s="1" t="s">
        <v>4960</v>
      </c>
      <c r="H396" s="1">
        <f t="shared" si="1"/>
        <v>109.779905</v>
      </c>
      <c r="I396" s="1" t="s">
        <v>4961</v>
      </c>
      <c r="J396" s="1">
        <v>0.0</v>
      </c>
    </row>
    <row r="397">
      <c r="A397" s="1">
        <v>2022.0</v>
      </c>
      <c r="B397" s="1">
        <v>8.0</v>
      </c>
      <c r="C397" s="1" t="s">
        <v>12</v>
      </c>
      <c r="D397" s="1" t="s">
        <v>4127</v>
      </c>
      <c r="E397" s="1" t="s">
        <v>17</v>
      </c>
      <c r="F397" s="3" t="s">
        <v>4962</v>
      </c>
      <c r="G397" s="1" t="s">
        <v>4963</v>
      </c>
      <c r="H397" s="1">
        <f t="shared" si="1"/>
        <v>91.105465</v>
      </c>
      <c r="I397" s="1" t="s">
        <v>4964</v>
      </c>
      <c r="J397" s="1">
        <v>85.0</v>
      </c>
    </row>
    <row r="398">
      <c r="A398" s="1">
        <v>2022.0</v>
      </c>
      <c r="B398" s="1">
        <v>8.0</v>
      </c>
      <c r="C398" s="1" t="s">
        <v>12</v>
      </c>
      <c r="D398" s="1" t="s">
        <v>3962</v>
      </c>
      <c r="E398" s="1" t="s">
        <v>17</v>
      </c>
      <c r="F398" s="1" t="s">
        <v>4965</v>
      </c>
      <c r="G398" s="1" t="s">
        <v>4966</v>
      </c>
      <c r="H398" s="1">
        <f t="shared" si="1"/>
        <v>82.145393</v>
      </c>
      <c r="I398" s="1" t="s">
        <v>4967</v>
      </c>
      <c r="J398" s="1">
        <v>115.0</v>
      </c>
    </row>
    <row r="399">
      <c r="A399" s="1">
        <v>2022.0</v>
      </c>
      <c r="B399" s="1">
        <v>8.0</v>
      </c>
      <c r="C399" s="1" t="s">
        <v>12</v>
      </c>
      <c r="D399" s="1" t="s">
        <v>56</v>
      </c>
      <c r="E399" s="1" t="s">
        <v>21</v>
      </c>
      <c r="F399" s="1" t="s">
        <v>4968</v>
      </c>
      <c r="G399" s="1" t="s">
        <v>4969</v>
      </c>
      <c r="H399" s="1">
        <f t="shared" si="1"/>
        <v>67.406085</v>
      </c>
      <c r="I399" s="1" t="s">
        <v>4970</v>
      </c>
      <c r="J399" s="1">
        <v>147.0</v>
      </c>
    </row>
    <row r="400">
      <c r="A400" s="1">
        <v>2022.0</v>
      </c>
      <c r="B400" s="1">
        <v>8.0</v>
      </c>
      <c r="C400" s="1" t="s">
        <v>68</v>
      </c>
      <c r="D400" s="1" t="s">
        <v>13</v>
      </c>
      <c r="E400" s="1" t="s">
        <v>14</v>
      </c>
      <c r="F400" s="1" t="s">
        <v>4971</v>
      </c>
      <c r="G400" s="1" t="s">
        <v>4972</v>
      </c>
      <c r="H400" s="1">
        <f t="shared" si="1"/>
        <v>1345.404076</v>
      </c>
      <c r="I400" s="3">
        <v>1824083.0</v>
      </c>
      <c r="J400" s="1">
        <v>3957.0</v>
      </c>
    </row>
    <row r="401">
      <c r="A401" s="1">
        <v>2022.0</v>
      </c>
      <c r="B401" s="1">
        <v>8.0</v>
      </c>
      <c r="C401" s="1" t="s">
        <v>68</v>
      </c>
      <c r="D401" s="1" t="s">
        <v>13</v>
      </c>
      <c r="E401" s="1" t="s">
        <v>17</v>
      </c>
      <c r="F401" s="1" t="s">
        <v>4973</v>
      </c>
      <c r="G401" s="1" t="s">
        <v>4974</v>
      </c>
      <c r="H401" s="1">
        <f t="shared" si="1"/>
        <v>6175.532397</v>
      </c>
      <c r="I401" s="1" t="s">
        <v>4975</v>
      </c>
      <c r="J401" s="1">
        <v>9622.0</v>
      </c>
    </row>
    <row r="402">
      <c r="A402" s="1">
        <v>2022.0</v>
      </c>
      <c r="B402" s="1">
        <v>8.0</v>
      </c>
      <c r="C402" s="1" t="s">
        <v>68</v>
      </c>
      <c r="D402" s="1" t="s">
        <v>13</v>
      </c>
      <c r="E402" s="1" t="s">
        <v>21</v>
      </c>
      <c r="F402" s="3">
        <v>1597604.0</v>
      </c>
      <c r="G402" s="1" t="s">
        <v>4976</v>
      </c>
      <c r="H402" s="1">
        <f t="shared" si="1"/>
        <v>400.438319</v>
      </c>
      <c r="I402" s="3">
        <v>425144.0</v>
      </c>
      <c r="J402" s="1">
        <v>873.0</v>
      </c>
    </row>
    <row r="403">
      <c r="A403" s="1">
        <v>2022.0</v>
      </c>
      <c r="B403" s="1">
        <v>8.0</v>
      </c>
      <c r="C403" s="1" t="s">
        <v>68</v>
      </c>
      <c r="D403" s="1" t="s">
        <v>13</v>
      </c>
      <c r="E403" s="1" t="s">
        <v>25</v>
      </c>
      <c r="F403" s="1" t="s">
        <v>4338</v>
      </c>
      <c r="G403" s="1" t="s">
        <v>4977</v>
      </c>
      <c r="H403" s="1">
        <f t="shared" si="1"/>
        <v>47.36375</v>
      </c>
      <c r="I403" s="1" t="s">
        <v>3128</v>
      </c>
      <c r="J403" s="1">
        <v>168.0</v>
      </c>
    </row>
    <row r="404">
      <c r="A404" s="1">
        <v>2022.0</v>
      </c>
      <c r="B404" s="1">
        <v>8.0</v>
      </c>
      <c r="C404" s="1" t="s">
        <v>68</v>
      </c>
      <c r="D404" s="1" t="s">
        <v>29</v>
      </c>
      <c r="E404" s="1" t="s">
        <v>14</v>
      </c>
      <c r="F404" s="1" t="s">
        <v>4978</v>
      </c>
      <c r="G404" s="1" t="s">
        <v>4979</v>
      </c>
      <c r="H404" s="1">
        <f t="shared" si="1"/>
        <v>79.544737</v>
      </c>
      <c r="I404" s="1" t="s">
        <v>4980</v>
      </c>
      <c r="J404" s="1">
        <v>163.0</v>
      </c>
    </row>
    <row r="405">
      <c r="A405" s="1">
        <v>2022.0</v>
      </c>
      <c r="B405" s="1">
        <v>8.0</v>
      </c>
      <c r="C405" s="1" t="s">
        <v>68</v>
      </c>
      <c r="D405" s="1" t="s">
        <v>29</v>
      </c>
      <c r="E405" s="1" t="s">
        <v>21</v>
      </c>
      <c r="F405" s="3">
        <v>1957215.0</v>
      </c>
      <c r="G405" s="1" t="s">
        <v>4981</v>
      </c>
      <c r="H405" s="1">
        <f t="shared" si="1"/>
        <v>1693.249683</v>
      </c>
      <c r="I405" s="3">
        <v>2558220.0</v>
      </c>
      <c r="J405" s="1">
        <v>1743.0</v>
      </c>
    </row>
    <row r="406">
      <c r="A406" s="1">
        <v>2022.0</v>
      </c>
      <c r="B406" s="1">
        <v>8.0</v>
      </c>
      <c r="C406" s="1" t="s">
        <v>68</v>
      </c>
      <c r="D406" s="1" t="s">
        <v>45</v>
      </c>
      <c r="E406" s="1" t="s">
        <v>49</v>
      </c>
      <c r="F406" s="3" t="s">
        <v>4982</v>
      </c>
      <c r="G406" s="1" t="s">
        <v>4983</v>
      </c>
      <c r="H406" s="1">
        <f t="shared" si="1"/>
        <v>61.849902</v>
      </c>
      <c r="I406" s="1" t="s">
        <v>4984</v>
      </c>
      <c r="J406" s="1">
        <v>200.0</v>
      </c>
    </row>
    <row r="407">
      <c r="A407" s="1">
        <v>2022.0</v>
      </c>
      <c r="B407" s="1">
        <v>8.0</v>
      </c>
      <c r="C407" s="1" t="s">
        <v>68</v>
      </c>
      <c r="D407" s="1" t="s">
        <v>45</v>
      </c>
      <c r="E407" s="1" t="s">
        <v>17</v>
      </c>
      <c r="F407" s="3">
        <v>2064138.0</v>
      </c>
      <c r="G407" s="1" t="s">
        <v>4985</v>
      </c>
      <c r="H407" s="1">
        <f t="shared" si="1"/>
        <v>479.086731</v>
      </c>
      <c r="I407" s="3">
        <v>883189.0</v>
      </c>
      <c r="J407" s="1">
        <v>1405.0</v>
      </c>
    </row>
    <row r="408">
      <c r="A408" s="1">
        <v>2022.0</v>
      </c>
      <c r="B408" s="1">
        <v>8.0</v>
      </c>
      <c r="C408" s="1" t="s">
        <v>68</v>
      </c>
      <c r="D408" s="1" t="s">
        <v>38</v>
      </c>
      <c r="E408" s="1" t="s">
        <v>39</v>
      </c>
      <c r="F408" s="3" t="s">
        <v>4986</v>
      </c>
      <c r="G408" s="1" t="s">
        <v>4987</v>
      </c>
      <c r="H408" s="1">
        <f t="shared" si="1"/>
        <v>357.342625</v>
      </c>
      <c r="I408" s="1" t="s">
        <v>92</v>
      </c>
      <c r="J408" s="1">
        <v>1354.0</v>
      </c>
    </row>
    <row r="409">
      <c r="A409" s="1">
        <v>2022.0</v>
      </c>
      <c r="B409" s="1">
        <v>8.0</v>
      </c>
      <c r="C409" s="1" t="s">
        <v>68</v>
      </c>
      <c r="D409" s="1" t="s">
        <v>42</v>
      </c>
      <c r="E409" s="1" t="s">
        <v>17</v>
      </c>
      <c r="F409" s="1" t="s">
        <v>4988</v>
      </c>
      <c r="G409" s="1" t="s">
        <v>4989</v>
      </c>
      <c r="H409" s="1">
        <f t="shared" si="1"/>
        <v>200.051505</v>
      </c>
      <c r="I409" s="1" t="s">
        <v>4990</v>
      </c>
      <c r="J409" s="1">
        <v>0.0</v>
      </c>
    </row>
    <row r="410">
      <c r="A410" s="1">
        <v>2022.0</v>
      </c>
      <c r="B410" s="1">
        <v>8.0</v>
      </c>
      <c r="C410" s="1" t="s">
        <v>68</v>
      </c>
      <c r="D410" s="1" t="s">
        <v>3962</v>
      </c>
      <c r="E410" s="1" t="s">
        <v>17</v>
      </c>
      <c r="F410" s="3">
        <v>2629018.0</v>
      </c>
      <c r="G410" s="1" t="s">
        <v>4991</v>
      </c>
      <c r="H410" s="1">
        <f t="shared" si="1"/>
        <v>164.086365</v>
      </c>
      <c r="I410" s="1" t="s">
        <v>4992</v>
      </c>
      <c r="J410" s="1">
        <v>856.0</v>
      </c>
    </row>
    <row r="411">
      <c r="A411" s="1">
        <v>2022.0</v>
      </c>
      <c r="B411" s="1">
        <v>8.0</v>
      </c>
      <c r="C411" s="1" t="s">
        <v>68</v>
      </c>
      <c r="D411" s="1" t="s">
        <v>48</v>
      </c>
      <c r="E411" s="1" t="s">
        <v>49</v>
      </c>
      <c r="F411" s="1" t="s">
        <v>847</v>
      </c>
      <c r="G411" s="1" t="s">
        <v>4993</v>
      </c>
      <c r="H411" s="1">
        <f t="shared" si="1"/>
        <v>1.334542</v>
      </c>
      <c r="I411" s="1" t="s">
        <v>1813</v>
      </c>
      <c r="J411" s="1">
        <v>3.0</v>
      </c>
    </row>
    <row r="412">
      <c r="A412" s="1">
        <v>2022.0</v>
      </c>
      <c r="B412" s="1">
        <v>8.0</v>
      </c>
      <c r="C412" s="1" t="s">
        <v>68</v>
      </c>
      <c r="D412" s="1" t="s">
        <v>48</v>
      </c>
      <c r="E412" s="1" t="s">
        <v>72</v>
      </c>
      <c r="F412" s="1" t="s">
        <v>1758</v>
      </c>
      <c r="G412" s="1" t="s">
        <v>4994</v>
      </c>
      <c r="H412" s="1">
        <f t="shared" si="1"/>
        <v>0.80237</v>
      </c>
      <c r="I412" s="1" t="s">
        <v>414</v>
      </c>
      <c r="J412" s="1">
        <v>6.0</v>
      </c>
    </row>
    <row r="413">
      <c r="A413" s="1">
        <v>2022.0</v>
      </c>
      <c r="B413" s="1">
        <v>8.0</v>
      </c>
      <c r="C413" s="1" t="s">
        <v>68</v>
      </c>
      <c r="D413" s="1" t="s">
        <v>48</v>
      </c>
      <c r="E413" s="1" t="s">
        <v>21</v>
      </c>
      <c r="F413" s="1" t="s">
        <v>4995</v>
      </c>
      <c r="G413" s="1" t="s">
        <v>4996</v>
      </c>
      <c r="H413" s="1">
        <f t="shared" si="1"/>
        <v>114.579603</v>
      </c>
      <c r="I413" s="1" t="s">
        <v>4997</v>
      </c>
      <c r="J413" s="1">
        <v>254.0</v>
      </c>
    </row>
    <row r="414">
      <c r="A414" s="1">
        <v>2022.0</v>
      </c>
      <c r="B414" s="1">
        <v>8.0</v>
      </c>
      <c r="C414" s="1" t="s">
        <v>68</v>
      </c>
      <c r="D414" s="1" t="s">
        <v>1851</v>
      </c>
      <c r="E414" s="1" t="s">
        <v>17</v>
      </c>
      <c r="F414" s="3" t="s">
        <v>4998</v>
      </c>
      <c r="G414" s="1" t="s">
        <v>4999</v>
      </c>
      <c r="H414" s="1">
        <f t="shared" si="1"/>
        <v>81.085424</v>
      </c>
      <c r="I414" s="1" t="s">
        <v>5000</v>
      </c>
      <c r="J414" s="1">
        <v>676.0</v>
      </c>
    </row>
    <row r="415">
      <c r="A415" s="1">
        <v>2022.0</v>
      </c>
      <c r="B415" s="1">
        <v>8.0</v>
      </c>
      <c r="C415" s="1" t="s">
        <v>68</v>
      </c>
      <c r="D415" s="1" t="s">
        <v>1851</v>
      </c>
      <c r="E415" s="1" t="s">
        <v>21</v>
      </c>
      <c r="F415" s="1" t="s">
        <v>5001</v>
      </c>
      <c r="G415" s="1" t="s">
        <v>5002</v>
      </c>
      <c r="H415" s="1">
        <f t="shared" si="1"/>
        <v>13.757581</v>
      </c>
      <c r="I415" s="1" t="s">
        <v>5003</v>
      </c>
      <c r="J415" s="1">
        <v>101.0</v>
      </c>
    </row>
    <row r="416">
      <c r="A416" s="1">
        <v>2022.0</v>
      </c>
      <c r="B416" s="1">
        <v>8.0</v>
      </c>
      <c r="C416" s="1" t="s">
        <v>68</v>
      </c>
      <c r="D416" s="1" t="s">
        <v>2088</v>
      </c>
      <c r="E416" s="1" t="s">
        <v>21</v>
      </c>
      <c r="F416" s="1" t="s">
        <v>5004</v>
      </c>
      <c r="G416" s="1" t="s">
        <v>5005</v>
      </c>
      <c r="H416" s="1">
        <f t="shared" si="1"/>
        <v>56.659264</v>
      </c>
      <c r="I416" s="1" t="s">
        <v>5006</v>
      </c>
      <c r="J416" s="1">
        <v>0.0</v>
      </c>
    </row>
    <row r="417">
      <c r="A417" s="1">
        <v>2022.0</v>
      </c>
      <c r="B417" s="1">
        <v>8.0</v>
      </c>
      <c r="C417" s="1" t="s">
        <v>68</v>
      </c>
      <c r="D417" s="1" t="s">
        <v>1830</v>
      </c>
      <c r="E417" s="1" t="s">
        <v>72</v>
      </c>
      <c r="F417" s="1" t="s">
        <v>5007</v>
      </c>
      <c r="G417" s="1" t="s">
        <v>5008</v>
      </c>
      <c r="H417" s="1">
        <f t="shared" si="1"/>
        <v>52.392999</v>
      </c>
      <c r="I417" s="1" t="s">
        <v>5009</v>
      </c>
      <c r="J417" s="1">
        <v>424.0</v>
      </c>
    </row>
    <row r="418">
      <c r="A418" s="1">
        <v>2022.0</v>
      </c>
      <c r="B418" s="1">
        <v>8.0</v>
      </c>
      <c r="C418" s="1" t="s">
        <v>116</v>
      </c>
      <c r="D418" s="1" t="s">
        <v>13</v>
      </c>
      <c r="E418" s="1" t="s">
        <v>14</v>
      </c>
      <c r="F418" s="1" t="s">
        <v>5011</v>
      </c>
      <c r="G418" s="1" t="s">
        <v>5012</v>
      </c>
      <c r="H418" s="1">
        <f t="shared" si="1"/>
        <v>3039.610091</v>
      </c>
      <c r="I418" s="3">
        <v>128445.0</v>
      </c>
      <c r="J418" s="1">
        <v>7021.0</v>
      </c>
    </row>
    <row r="419">
      <c r="A419" s="1">
        <v>2022.0</v>
      </c>
      <c r="B419" s="1">
        <v>8.0</v>
      </c>
      <c r="C419" s="1" t="s">
        <v>116</v>
      </c>
      <c r="D419" s="1" t="s">
        <v>13</v>
      </c>
      <c r="E419" s="1" t="s">
        <v>72</v>
      </c>
      <c r="F419" s="1" t="s">
        <v>414</v>
      </c>
      <c r="G419" s="1" t="s">
        <v>5013</v>
      </c>
      <c r="H419" s="1">
        <f t="shared" si="1"/>
        <v>0.046414</v>
      </c>
      <c r="I419" s="1" t="s">
        <v>376</v>
      </c>
      <c r="J419" s="1">
        <v>1.0</v>
      </c>
    </row>
    <row r="420">
      <c r="A420" s="1">
        <v>2022.0</v>
      </c>
      <c r="B420" s="1">
        <v>8.0</v>
      </c>
      <c r="C420" s="1" t="s">
        <v>116</v>
      </c>
      <c r="D420" s="1" t="s">
        <v>13</v>
      </c>
      <c r="E420" s="1" t="s">
        <v>17</v>
      </c>
      <c r="F420" s="1" t="s">
        <v>5014</v>
      </c>
      <c r="G420" s="1" t="s">
        <v>5015</v>
      </c>
      <c r="H420" s="1">
        <f t="shared" si="1"/>
        <v>13934.44473</v>
      </c>
      <c r="I420" s="1" t="s">
        <v>5016</v>
      </c>
      <c r="J420" s="1">
        <v>19290.0</v>
      </c>
    </row>
    <row r="421">
      <c r="A421" s="1">
        <v>2022.0</v>
      </c>
      <c r="B421" s="1">
        <v>8.0</v>
      </c>
      <c r="C421" s="1" t="s">
        <v>116</v>
      </c>
      <c r="D421" s="1" t="s">
        <v>13</v>
      </c>
      <c r="E421" s="1" t="s">
        <v>21</v>
      </c>
      <c r="F421" s="3">
        <v>2125560.0</v>
      </c>
      <c r="G421" s="1" t="s">
        <v>5017</v>
      </c>
      <c r="H421" s="1">
        <f t="shared" si="1"/>
        <v>1290.311691</v>
      </c>
      <c r="I421" s="1" t="s">
        <v>5018</v>
      </c>
      <c r="J421" s="1">
        <v>2403.0</v>
      </c>
    </row>
    <row r="422">
      <c r="A422" s="1">
        <v>2022.0</v>
      </c>
      <c r="B422" s="1">
        <v>8.0</v>
      </c>
      <c r="C422" s="1" t="s">
        <v>116</v>
      </c>
      <c r="D422" s="1" t="s">
        <v>13</v>
      </c>
      <c r="E422" s="1" t="s">
        <v>25</v>
      </c>
      <c r="F422" s="1" t="s">
        <v>4398</v>
      </c>
      <c r="G422" s="1" t="s">
        <v>5019</v>
      </c>
      <c r="H422" s="1">
        <f t="shared" si="1"/>
        <v>3.582185</v>
      </c>
      <c r="I422" s="1" t="s">
        <v>2801</v>
      </c>
      <c r="J422" s="1">
        <v>5.0</v>
      </c>
    </row>
    <row r="423">
      <c r="A423" s="1">
        <v>2022.0</v>
      </c>
      <c r="B423" s="1">
        <v>8.0</v>
      </c>
      <c r="C423" s="1" t="s">
        <v>116</v>
      </c>
      <c r="D423" s="1" t="s">
        <v>29</v>
      </c>
      <c r="E423" s="1" t="s">
        <v>14</v>
      </c>
      <c r="F423" s="3">
        <v>1577484.0</v>
      </c>
      <c r="G423" s="1" t="s">
        <v>5020</v>
      </c>
      <c r="H423" s="1">
        <f t="shared" si="1"/>
        <v>225.965176</v>
      </c>
      <c r="I423" s="1" t="s">
        <v>5021</v>
      </c>
      <c r="J423" s="1">
        <v>262.0</v>
      </c>
    </row>
    <row r="424">
      <c r="A424" s="1">
        <v>2022.0</v>
      </c>
      <c r="B424" s="1">
        <v>8.0</v>
      </c>
      <c r="C424" s="1" t="s">
        <v>116</v>
      </c>
      <c r="D424" s="1" t="s">
        <v>29</v>
      </c>
      <c r="E424" s="1" t="s">
        <v>21</v>
      </c>
      <c r="F424" s="1" t="s">
        <v>5023</v>
      </c>
      <c r="G424" s="1" t="s">
        <v>5024</v>
      </c>
      <c r="H424" s="1">
        <f t="shared" si="1"/>
        <v>7079.594405</v>
      </c>
      <c r="I424" s="1" t="s">
        <v>5025</v>
      </c>
      <c r="J424" s="1">
        <v>3846.0</v>
      </c>
    </row>
    <row r="425">
      <c r="A425" s="1">
        <v>2022.0</v>
      </c>
      <c r="B425" s="1">
        <v>8.0</v>
      </c>
      <c r="C425" s="1" t="s">
        <v>116</v>
      </c>
      <c r="D425" s="1" t="s">
        <v>45</v>
      </c>
      <c r="E425" s="1" t="s">
        <v>49</v>
      </c>
      <c r="F425" s="3">
        <v>2260520.0</v>
      </c>
      <c r="G425" s="1" t="s">
        <v>5026</v>
      </c>
      <c r="H425" s="1">
        <f t="shared" si="1"/>
        <v>160.881395</v>
      </c>
      <c r="I425" s="1" t="s">
        <v>5027</v>
      </c>
      <c r="J425" s="1">
        <v>350.0</v>
      </c>
    </row>
    <row r="426">
      <c r="A426" s="1">
        <v>2022.0</v>
      </c>
      <c r="B426" s="1">
        <v>8.0</v>
      </c>
      <c r="C426" s="1" t="s">
        <v>116</v>
      </c>
      <c r="D426" s="1" t="s">
        <v>45</v>
      </c>
      <c r="E426" s="1" t="s">
        <v>17</v>
      </c>
      <c r="F426" s="1" t="s">
        <v>5028</v>
      </c>
      <c r="G426" s="1" t="s">
        <v>5029</v>
      </c>
      <c r="H426" s="1">
        <f t="shared" si="1"/>
        <v>1101.436074</v>
      </c>
      <c r="I426" s="3">
        <v>2546564.0</v>
      </c>
      <c r="J426" s="1">
        <v>1795.0</v>
      </c>
    </row>
    <row r="427">
      <c r="A427" s="1">
        <v>2022.0</v>
      </c>
      <c r="B427" s="1">
        <v>8.0</v>
      </c>
      <c r="C427" s="1" t="s">
        <v>116</v>
      </c>
      <c r="D427" s="1" t="s">
        <v>3962</v>
      </c>
      <c r="E427" s="1" t="s">
        <v>17</v>
      </c>
      <c r="F427" s="3">
        <v>516059.0</v>
      </c>
      <c r="G427" s="1" t="s">
        <v>5030</v>
      </c>
      <c r="H427" s="1">
        <f t="shared" si="1"/>
        <v>1072.241114</v>
      </c>
      <c r="I427" s="3">
        <v>459932.0</v>
      </c>
      <c r="J427" s="1">
        <v>3741.0</v>
      </c>
    </row>
    <row r="428">
      <c r="A428" s="1">
        <v>2022.0</v>
      </c>
      <c r="B428" s="1">
        <v>8.0</v>
      </c>
      <c r="C428" s="1" t="s">
        <v>116</v>
      </c>
      <c r="D428" s="1" t="s">
        <v>48</v>
      </c>
      <c r="E428" s="1" t="s">
        <v>49</v>
      </c>
      <c r="F428" s="1" t="s">
        <v>3855</v>
      </c>
      <c r="G428" s="1" t="s">
        <v>5031</v>
      </c>
      <c r="H428" s="1">
        <f t="shared" si="1"/>
        <v>1.720908</v>
      </c>
      <c r="I428" s="1" t="s">
        <v>479</v>
      </c>
      <c r="J428" s="1">
        <v>5.0</v>
      </c>
    </row>
    <row r="429">
      <c r="A429" s="1">
        <v>2022.0</v>
      </c>
      <c r="B429" s="1">
        <v>8.0</v>
      </c>
      <c r="C429" s="1" t="s">
        <v>116</v>
      </c>
      <c r="D429" s="1" t="s">
        <v>48</v>
      </c>
      <c r="E429" s="1" t="s">
        <v>72</v>
      </c>
      <c r="F429" s="1" t="s">
        <v>1024</v>
      </c>
      <c r="G429" s="1" t="s">
        <v>5033</v>
      </c>
      <c r="H429" s="1">
        <f t="shared" si="1"/>
        <v>7.527529</v>
      </c>
      <c r="I429" s="1" t="s">
        <v>5034</v>
      </c>
      <c r="J429" s="1">
        <v>20.0</v>
      </c>
    </row>
    <row r="430">
      <c r="A430" s="1">
        <v>2022.0</v>
      </c>
      <c r="B430" s="1">
        <v>8.0</v>
      </c>
      <c r="C430" s="1" t="s">
        <v>116</v>
      </c>
      <c r="D430" s="1" t="s">
        <v>48</v>
      </c>
      <c r="E430" s="1" t="s">
        <v>21</v>
      </c>
      <c r="F430" s="3">
        <v>2844877.0</v>
      </c>
      <c r="G430" s="1" t="s">
        <v>5035</v>
      </c>
      <c r="H430" s="1">
        <f t="shared" si="1"/>
        <v>514.083471</v>
      </c>
      <c r="I430" s="1" t="s">
        <v>5036</v>
      </c>
      <c r="J430" s="1">
        <v>413.0</v>
      </c>
    </row>
    <row r="431">
      <c r="A431" s="1">
        <v>2022.0</v>
      </c>
      <c r="B431" s="1">
        <v>8.0</v>
      </c>
      <c r="C431" s="1" t="s">
        <v>116</v>
      </c>
      <c r="D431" s="1" t="s">
        <v>38</v>
      </c>
      <c r="E431" s="1" t="s">
        <v>39</v>
      </c>
      <c r="F431" s="1" t="s">
        <v>5037</v>
      </c>
      <c r="G431" s="1" t="s">
        <v>5038</v>
      </c>
      <c r="H431" s="1">
        <f t="shared" si="1"/>
        <v>506.792389</v>
      </c>
      <c r="I431" s="3">
        <v>14246.0</v>
      </c>
      <c r="J431" s="1">
        <v>2265.0</v>
      </c>
    </row>
    <row r="432">
      <c r="A432" s="1">
        <v>2022.0</v>
      </c>
      <c r="B432" s="1">
        <v>8.0</v>
      </c>
      <c r="C432" s="1" t="s">
        <v>116</v>
      </c>
      <c r="D432" s="1" t="s">
        <v>147</v>
      </c>
      <c r="E432" s="1" t="s">
        <v>39</v>
      </c>
      <c r="F432" s="3" t="s">
        <v>5039</v>
      </c>
      <c r="G432" s="1" t="s">
        <v>5040</v>
      </c>
      <c r="H432" s="1">
        <f t="shared" si="1"/>
        <v>345.818365</v>
      </c>
      <c r="I432" s="1" t="s">
        <v>5041</v>
      </c>
      <c r="J432" s="1">
        <v>106.0</v>
      </c>
    </row>
    <row r="433">
      <c r="A433" s="1">
        <v>2022.0</v>
      </c>
      <c r="B433" s="1">
        <v>8.0</v>
      </c>
      <c r="C433" s="1" t="s">
        <v>116</v>
      </c>
      <c r="D433" s="1" t="s">
        <v>147</v>
      </c>
      <c r="E433" s="1" t="s">
        <v>17</v>
      </c>
      <c r="F433" s="1" t="s">
        <v>585</v>
      </c>
      <c r="G433" s="1" t="s">
        <v>5042</v>
      </c>
      <c r="H433" s="1">
        <f t="shared" si="1"/>
        <v>9.199635</v>
      </c>
      <c r="I433" s="1" t="s">
        <v>3388</v>
      </c>
      <c r="J433" s="1">
        <v>7.0</v>
      </c>
    </row>
    <row r="434">
      <c r="A434" s="1">
        <v>2022.0</v>
      </c>
      <c r="B434" s="1">
        <v>8.0</v>
      </c>
      <c r="C434" s="1" t="s">
        <v>116</v>
      </c>
      <c r="D434" s="1" t="s">
        <v>147</v>
      </c>
      <c r="E434" s="1" t="s">
        <v>21</v>
      </c>
      <c r="F434" s="1" t="s">
        <v>5044</v>
      </c>
      <c r="G434" s="1" t="s">
        <v>5045</v>
      </c>
      <c r="H434" s="1">
        <f t="shared" si="1"/>
        <v>20.010375</v>
      </c>
      <c r="I434" s="1" t="s">
        <v>5046</v>
      </c>
      <c r="J434" s="1">
        <v>35.0</v>
      </c>
    </row>
    <row r="435">
      <c r="A435" s="1">
        <v>2022.0</v>
      </c>
      <c r="B435" s="1">
        <v>8.0</v>
      </c>
      <c r="C435" s="1" t="s">
        <v>116</v>
      </c>
      <c r="D435" s="1" t="s">
        <v>4842</v>
      </c>
      <c r="E435" s="1" t="s">
        <v>17</v>
      </c>
      <c r="F435" s="3">
        <v>1520262.0</v>
      </c>
      <c r="G435" s="1" t="s">
        <v>5048</v>
      </c>
      <c r="H435" s="1">
        <f t="shared" si="1"/>
        <v>313.649181</v>
      </c>
      <c r="I435" s="3">
        <v>2820405.0</v>
      </c>
      <c r="J435" s="1">
        <v>131.0</v>
      </c>
    </row>
    <row r="436">
      <c r="A436" s="1">
        <v>2022.0</v>
      </c>
      <c r="B436" s="1">
        <v>8.0</v>
      </c>
      <c r="C436" s="1" t="s">
        <v>116</v>
      </c>
      <c r="D436" s="1" t="s">
        <v>1851</v>
      </c>
      <c r="E436" s="1" t="s">
        <v>17</v>
      </c>
      <c r="F436" s="3" t="s">
        <v>703</v>
      </c>
      <c r="G436" s="1" t="s">
        <v>5049</v>
      </c>
      <c r="H436" s="1">
        <f t="shared" si="1"/>
        <v>202.807384</v>
      </c>
      <c r="I436" s="3">
        <v>6941.0</v>
      </c>
      <c r="J436" s="1">
        <v>1758.0</v>
      </c>
    </row>
    <row r="437">
      <c r="A437" s="1">
        <v>2022.0</v>
      </c>
      <c r="B437" s="1">
        <v>8.0</v>
      </c>
      <c r="C437" s="1" t="s">
        <v>116</v>
      </c>
      <c r="D437" s="1" t="s">
        <v>1851</v>
      </c>
      <c r="E437" s="1" t="s">
        <v>21</v>
      </c>
      <c r="F437" s="1" t="s">
        <v>5050</v>
      </c>
      <c r="G437" s="1" t="s">
        <v>5051</v>
      </c>
      <c r="H437" s="1">
        <f t="shared" si="1"/>
        <v>33.449024</v>
      </c>
      <c r="I437" s="1" t="s">
        <v>4001</v>
      </c>
      <c r="J437" s="1">
        <v>120.0</v>
      </c>
    </row>
    <row r="438">
      <c r="A438" s="1">
        <v>2022.0</v>
      </c>
      <c r="B438" s="1">
        <v>8.0</v>
      </c>
      <c r="C438" s="1" t="s">
        <v>116</v>
      </c>
      <c r="D438" s="1" t="s">
        <v>165</v>
      </c>
      <c r="E438" s="1" t="s">
        <v>39</v>
      </c>
      <c r="F438" s="1" t="s">
        <v>5053</v>
      </c>
      <c r="G438" s="1" t="s">
        <v>5054</v>
      </c>
      <c r="H438" s="1">
        <f t="shared" si="1"/>
        <v>83.087602</v>
      </c>
      <c r="I438" s="1" t="s">
        <v>5055</v>
      </c>
      <c r="J438" s="1">
        <v>0.0</v>
      </c>
    </row>
    <row r="439">
      <c r="A439" s="1">
        <v>2022.0</v>
      </c>
      <c r="B439" s="1">
        <v>8.0</v>
      </c>
      <c r="C439" s="1" t="s">
        <v>116</v>
      </c>
      <c r="D439" s="1" t="s">
        <v>165</v>
      </c>
      <c r="E439" s="1" t="s">
        <v>17</v>
      </c>
      <c r="F439" s="1" t="s">
        <v>5057</v>
      </c>
      <c r="G439" s="1" t="s">
        <v>5058</v>
      </c>
      <c r="H439" s="1">
        <f t="shared" si="1"/>
        <v>98.935482</v>
      </c>
      <c r="I439" s="1" t="s">
        <v>5060</v>
      </c>
      <c r="J439" s="1">
        <v>0.0</v>
      </c>
    </row>
    <row r="440">
      <c r="A440" s="1">
        <v>2022.0</v>
      </c>
      <c r="B440" s="1">
        <v>9.0</v>
      </c>
      <c r="C440" s="1" t="s">
        <v>12</v>
      </c>
      <c r="D440" s="1" t="s">
        <v>29</v>
      </c>
      <c r="E440" s="1" t="s">
        <v>14</v>
      </c>
      <c r="F440" s="1" t="s">
        <v>5062</v>
      </c>
      <c r="G440" s="1" t="s">
        <v>5063</v>
      </c>
      <c r="H440" s="1">
        <f t="shared" si="1"/>
        <v>21.931859</v>
      </c>
      <c r="I440" s="1" t="s">
        <v>5065</v>
      </c>
      <c r="J440" s="1">
        <v>32.0</v>
      </c>
    </row>
    <row r="441">
      <c r="A441" s="1">
        <v>2022.0</v>
      </c>
      <c r="B441" s="1">
        <v>9.0</v>
      </c>
      <c r="C441" s="1" t="s">
        <v>12</v>
      </c>
      <c r="D441" s="1" t="s">
        <v>29</v>
      </c>
      <c r="E441" s="1" t="s">
        <v>21</v>
      </c>
      <c r="F441" s="1" t="s">
        <v>5066</v>
      </c>
      <c r="G441" s="1" t="s">
        <v>5067</v>
      </c>
      <c r="H441" s="1">
        <f t="shared" si="1"/>
        <v>7477.973324</v>
      </c>
      <c r="I441" s="1" t="s">
        <v>5069</v>
      </c>
      <c r="J441" s="1">
        <v>622.0</v>
      </c>
    </row>
    <row r="442">
      <c r="A442" s="1">
        <v>2022.0</v>
      </c>
      <c r="B442" s="1">
        <v>9.0</v>
      </c>
      <c r="C442" s="1" t="s">
        <v>12</v>
      </c>
      <c r="D442" s="1" t="s">
        <v>13</v>
      </c>
      <c r="E442" s="1" t="s">
        <v>14</v>
      </c>
      <c r="F442" s="3">
        <v>1031537.0</v>
      </c>
      <c r="G442" s="1" t="s">
        <v>5070</v>
      </c>
      <c r="H442" s="1">
        <f t="shared" si="1"/>
        <v>372.448738</v>
      </c>
      <c r="I442" s="1" t="s">
        <v>5071</v>
      </c>
      <c r="J442" s="1">
        <v>337.0</v>
      </c>
    </row>
    <row r="443">
      <c r="A443" s="1">
        <v>2022.0</v>
      </c>
      <c r="B443" s="1">
        <v>9.0</v>
      </c>
      <c r="C443" s="1" t="s">
        <v>12</v>
      </c>
      <c r="D443" s="1" t="s">
        <v>13</v>
      </c>
      <c r="E443" s="1" t="s">
        <v>17</v>
      </c>
      <c r="F443" s="1" t="s">
        <v>5073</v>
      </c>
      <c r="G443" s="1" t="s">
        <v>5074</v>
      </c>
      <c r="H443" s="1">
        <f t="shared" si="1"/>
        <v>3683.346589</v>
      </c>
      <c r="I443" s="3">
        <v>2583697.0</v>
      </c>
      <c r="J443" s="1">
        <v>561.0</v>
      </c>
    </row>
    <row r="444">
      <c r="A444" s="1">
        <v>2022.0</v>
      </c>
      <c r="B444" s="1">
        <v>9.0</v>
      </c>
      <c r="C444" s="1" t="s">
        <v>12</v>
      </c>
      <c r="D444" s="1" t="s">
        <v>13</v>
      </c>
      <c r="E444" s="1" t="s">
        <v>21</v>
      </c>
      <c r="F444" s="1" t="s">
        <v>5076</v>
      </c>
      <c r="G444" s="1" t="s">
        <v>5077</v>
      </c>
      <c r="H444" s="1">
        <f t="shared" si="1"/>
        <v>2658.162426</v>
      </c>
      <c r="I444" s="3" t="s">
        <v>5079</v>
      </c>
      <c r="J444" s="1">
        <v>459.0</v>
      </c>
    </row>
    <row r="445">
      <c r="A445" s="1">
        <v>2022.0</v>
      </c>
      <c r="B445" s="1">
        <v>9.0</v>
      </c>
      <c r="C445" s="1" t="s">
        <v>12</v>
      </c>
      <c r="D445" s="1" t="s">
        <v>48</v>
      </c>
      <c r="E445" s="1" t="s">
        <v>49</v>
      </c>
      <c r="F445" s="1" t="s">
        <v>1968</v>
      </c>
      <c r="G445" s="1" t="s">
        <v>5080</v>
      </c>
      <c r="H445" s="1">
        <f t="shared" si="1"/>
        <v>1.191653</v>
      </c>
      <c r="I445" s="1" t="s">
        <v>693</v>
      </c>
      <c r="J445" s="1">
        <v>2.0</v>
      </c>
    </row>
    <row r="446">
      <c r="A446" s="1">
        <v>2022.0</v>
      </c>
      <c r="B446" s="1">
        <v>9.0</v>
      </c>
      <c r="C446" s="1" t="s">
        <v>12</v>
      </c>
      <c r="D446" s="1" t="s">
        <v>48</v>
      </c>
      <c r="E446" s="1" t="s">
        <v>21</v>
      </c>
      <c r="F446" s="3">
        <v>2076830.0</v>
      </c>
      <c r="G446" s="1" t="s">
        <v>5082</v>
      </c>
      <c r="H446" s="1">
        <f t="shared" si="1"/>
        <v>578.319131</v>
      </c>
      <c r="I446" s="3">
        <v>1144672.0</v>
      </c>
      <c r="J446" s="1">
        <v>164.0</v>
      </c>
    </row>
    <row r="447">
      <c r="A447" s="1">
        <v>2022.0</v>
      </c>
      <c r="B447" s="1">
        <v>9.0</v>
      </c>
      <c r="C447" s="1" t="s">
        <v>12</v>
      </c>
      <c r="D447" s="1" t="s">
        <v>38</v>
      </c>
      <c r="E447" s="1" t="s">
        <v>39</v>
      </c>
      <c r="F447" s="3">
        <v>2581567.0</v>
      </c>
      <c r="G447" s="1" t="s">
        <v>5084</v>
      </c>
      <c r="H447" s="1">
        <f t="shared" si="1"/>
        <v>309.261377</v>
      </c>
      <c r="I447" s="1" t="s">
        <v>5085</v>
      </c>
      <c r="J447" s="1">
        <v>156.0</v>
      </c>
    </row>
    <row r="448">
      <c r="A448" s="1">
        <v>2022.0</v>
      </c>
      <c r="B448" s="1">
        <v>9.0</v>
      </c>
      <c r="C448" s="1" t="s">
        <v>12</v>
      </c>
      <c r="D448" s="1" t="s">
        <v>45</v>
      </c>
      <c r="E448" s="1" t="s">
        <v>49</v>
      </c>
      <c r="F448" s="1" t="s">
        <v>5086</v>
      </c>
      <c r="G448" s="1" t="s">
        <v>5087</v>
      </c>
      <c r="H448" s="1">
        <f t="shared" si="1"/>
        <v>3.210473</v>
      </c>
      <c r="I448" s="1" t="s">
        <v>325</v>
      </c>
      <c r="J448" s="1">
        <v>4.0</v>
      </c>
    </row>
    <row r="449">
      <c r="A449" s="1">
        <v>2022.0</v>
      </c>
      <c r="B449" s="1">
        <v>9.0</v>
      </c>
      <c r="C449" s="1" t="s">
        <v>12</v>
      </c>
      <c r="D449" s="1" t="s">
        <v>45</v>
      </c>
      <c r="E449" s="1" t="s">
        <v>17</v>
      </c>
      <c r="F449" s="3">
        <v>881363.0</v>
      </c>
      <c r="G449" s="1" t="s">
        <v>5089</v>
      </c>
      <c r="H449" s="1">
        <f t="shared" si="1"/>
        <v>168.272134</v>
      </c>
      <c r="I449" s="1" t="s">
        <v>5090</v>
      </c>
      <c r="J449" s="1">
        <v>159.0</v>
      </c>
    </row>
    <row r="450">
      <c r="A450" s="1">
        <v>2022.0</v>
      </c>
      <c r="B450" s="1">
        <v>9.0</v>
      </c>
      <c r="C450" s="1" t="s">
        <v>12</v>
      </c>
      <c r="D450" s="1" t="s">
        <v>4127</v>
      </c>
      <c r="E450" s="1" t="s">
        <v>17</v>
      </c>
      <c r="F450" s="1" t="s">
        <v>5091</v>
      </c>
      <c r="G450" s="1" t="s">
        <v>5092</v>
      </c>
      <c r="H450" s="1">
        <f t="shared" si="1"/>
        <v>88.223206</v>
      </c>
      <c r="I450" s="1" t="s">
        <v>5093</v>
      </c>
      <c r="J450" s="1">
        <v>81.0</v>
      </c>
    </row>
    <row r="451">
      <c r="A451" s="1">
        <v>2022.0</v>
      </c>
      <c r="B451" s="1">
        <v>9.0</v>
      </c>
      <c r="C451" s="1" t="s">
        <v>12</v>
      </c>
      <c r="D451" s="1" t="s">
        <v>3962</v>
      </c>
      <c r="E451" s="1" t="s">
        <v>17</v>
      </c>
      <c r="F451" s="1" t="s">
        <v>5094</v>
      </c>
      <c r="G451" s="1" t="s">
        <v>5095</v>
      </c>
      <c r="H451" s="1">
        <f t="shared" si="1"/>
        <v>78.136528</v>
      </c>
      <c r="I451" s="1" t="s">
        <v>5097</v>
      </c>
      <c r="J451" s="1">
        <v>114.0</v>
      </c>
    </row>
    <row r="452">
      <c r="A452" s="1">
        <v>2022.0</v>
      </c>
      <c r="B452" s="1">
        <v>9.0</v>
      </c>
      <c r="C452" s="1" t="s">
        <v>12</v>
      </c>
      <c r="D452" s="1" t="s">
        <v>4955</v>
      </c>
      <c r="E452" s="1" t="s">
        <v>49</v>
      </c>
      <c r="F452" s="3" t="s">
        <v>5098</v>
      </c>
      <c r="G452" s="1" t="s">
        <v>5099</v>
      </c>
      <c r="H452" s="1">
        <f t="shared" si="1"/>
        <v>75.358835</v>
      </c>
      <c r="I452" s="1" t="s">
        <v>5100</v>
      </c>
      <c r="J452" s="1">
        <v>0.0</v>
      </c>
    </row>
    <row r="453">
      <c r="A453" s="1">
        <v>2022.0</v>
      </c>
      <c r="B453" s="1">
        <v>9.0</v>
      </c>
      <c r="C453" s="1" t="s">
        <v>12</v>
      </c>
      <c r="D453" s="1" t="s">
        <v>4842</v>
      </c>
      <c r="E453" s="1" t="s">
        <v>17</v>
      </c>
      <c r="F453" s="3" t="s">
        <v>5101</v>
      </c>
      <c r="G453" s="1" t="s">
        <v>5102</v>
      </c>
      <c r="H453" s="1">
        <f t="shared" si="1"/>
        <v>56.502914</v>
      </c>
      <c r="I453" s="1" t="s">
        <v>5103</v>
      </c>
      <c r="J453" s="1">
        <v>0.0</v>
      </c>
    </row>
    <row r="454">
      <c r="A454" s="1">
        <v>2022.0</v>
      </c>
      <c r="B454" s="1">
        <v>9.0</v>
      </c>
      <c r="C454" s="1" t="s">
        <v>12</v>
      </c>
      <c r="D454" s="1" t="s">
        <v>42</v>
      </c>
      <c r="E454" s="1" t="s">
        <v>17</v>
      </c>
      <c r="F454" s="1" t="s">
        <v>5104</v>
      </c>
      <c r="G454" s="1" t="s">
        <v>5105</v>
      </c>
      <c r="H454" s="1">
        <f t="shared" si="1"/>
        <v>47.686528</v>
      </c>
      <c r="I454" s="1" t="s">
        <v>5107</v>
      </c>
      <c r="J454" s="1">
        <v>0.0</v>
      </c>
    </row>
    <row r="455">
      <c r="A455" s="1">
        <v>2022.0</v>
      </c>
      <c r="B455" s="1">
        <v>9.0</v>
      </c>
      <c r="C455" s="1" t="s">
        <v>68</v>
      </c>
      <c r="D455" s="1" t="s">
        <v>13</v>
      </c>
      <c r="E455" s="1" t="s">
        <v>14</v>
      </c>
      <c r="F455" s="1" t="s">
        <v>5108</v>
      </c>
      <c r="G455" s="1" t="s">
        <v>5109</v>
      </c>
      <c r="H455" s="1">
        <f t="shared" si="1"/>
        <v>1019.348168</v>
      </c>
      <c r="I455" s="3">
        <v>2442045.0</v>
      </c>
      <c r="J455" s="1">
        <v>3207.0</v>
      </c>
    </row>
    <row r="456">
      <c r="A456" s="1">
        <v>2022.0</v>
      </c>
      <c r="B456" s="1">
        <v>9.0</v>
      </c>
      <c r="C456" s="1" t="s">
        <v>68</v>
      </c>
      <c r="D456" s="1" t="s">
        <v>13</v>
      </c>
      <c r="E456" s="1" t="s">
        <v>17</v>
      </c>
      <c r="F456" s="1" t="s">
        <v>5111</v>
      </c>
      <c r="G456" s="1" t="s">
        <v>5112</v>
      </c>
      <c r="H456" s="1">
        <f t="shared" si="1"/>
        <v>5939.74968</v>
      </c>
      <c r="I456" s="1" t="s">
        <v>5113</v>
      </c>
      <c r="J456" s="1">
        <v>8071.0</v>
      </c>
    </row>
    <row r="457">
      <c r="A457" s="1">
        <v>2022.0</v>
      </c>
      <c r="B457" s="1">
        <v>9.0</v>
      </c>
      <c r="C457" s="1" t="s">
        <v>68</v>
      </c>
      <c r="D457" s="1" t="s">
        <v>13</v>
      </c>
      <c r="E457" s="1" t="s">
        <v>21</v>
      </c>
      <c r="F457" s="3">
        <v>27546.0</v>
      </c>
      <c r="G457" s="1" t="s">
        <v>5114</v>
      </c>
      <c r="H457" s="1">
        <f t="shared" si="1"/>
        <v>813.651829</v>
      </c>
      <c r="I457" s="3" t="s">
        <v>5115</v>
      </c>
      <c r="J457" s="1">
        <v>1798.0</v>
      </c>
    </row>
    <row r="458">
      <c r="A458" s="1">
        <v>2022.0</v>
      </c>
      <c r="B458" s="1">
        <v>9.0</v>
      </c>
      <c r="C458" s="1" t="s">
        <v>68</v>
      </c>
      <c r="D458" s="1" t="s">
        <v>13</v>
      </c>
      <c r="E458" s="1" t="s">
        <v>25</v>
      </c>
      <c r="F458" s="1" t="s">
        <v>4497</v>
      </c>
      <c r="G458" s="1" t="s">
        <v>5117</v>
      </c>
      <c r="H458" s="1">
        <f t="shared" si="1"/>
        <v>45.835925</v>
      </c>
      <c r="I458" s="1" t="s">
        <v>4499</v>
      </c>
      <c r="J458" s="1">
        <v>168.0</v>
      </c>
    </row>
    <row r="459">
      <c r="A459" s="1">
        <v>2022.0</v>
      </c>
      <c r="B459" s="1">
        <v>9.0</v>
      </c>
      <c r="C459" s="1" t="s">
        <v>68</v>
      </c>
      <c r="D459" s="1" t="s">
        <v>29</v>
      </c>
      <c r="E459" s="1" t="s">
        <v>14</v>
      </c>
      <c r="F459" s="1" t="s">
        <v>5118</v>
      </c>
      <c r="G459" s="1" t="s">
        <v>5119</v>
      </c>
      <c r="H459" s="1">
        <f t="shared" si="1"/>
        <v>83.168761</v>
      </c>
      <c r="I459" s="1" t="s">
        <v>5120</v>
      </c>
      <c r="J459" s="1">
        <v>202.0</v>
      </c>
    </row>
    <row r="460">
      <c r="A460" s="1">
        <v>2022.0</v>
      </c>
      <c r="B460" s="1">
        <v>9.0</v>
      </c>
      <c r="C460" s="1" t="s">
        <v>68</v>
      </c>
      <c r="D460" s="1" t="s">
        <v>29</v>
      </c>
      <c r="E460" s="1" t="s">
        <v>21</v>
      </c>
      <c r="F460" s="3">
        <v>11994.0</v>
      </c>
      <c r="G460" s="1" t="s">
        <v>5121</v>
      </c>
      <c r="H460" s="1">
        <f t="shared" si="1"/>
        <v>2009.118857</v>
      </c>
      <c r="I460" s="3">
        <v>771850.0</v>
      </c>
      <c r="J460" s="1">
        <v>1621.0</v>
      </c>
    </row>
    <row r="461">
      <c r="A461" s="1">
        <v>2022.0</v>
      </c>
      <c r="B461" s="1">
        <v>9.0</v>
      </c>
      <c r="C461" s="1" t="s">
        <v>68</v>
      </c>
      <c r="D461" s="1" t="s">
        <v>45</v>
      </c>
      <c r="E461" s="1" t="s">
        <v>49</v>
      </c>
      <c r="F461" s="1" t="s">
        <v>5123</v>
      </c>
      <c r="G461" s="1" t="s">
        <v>5124</v>
      </c>
      <c r="H461" s="1">
        <f t="shared" si="1"/>
        <v>48.973263</v>
      </c>
      <c r="I461" s="1" t="s">
        <v>5125</v>
      </c>
      <c r="J461" s="1">
        <v>191.0</v>
      </c>
    </row>
    <row r="462">
      <c r="A462" s="1">
        <v>2022.0</v>
      </c>
      <c r="B462" s="1">
        <v>9.0</v>
      </c>
      <c r="C462" s="1" t="s">
        <v>68</v>
      </c>
      <c r="D462" s="1" t="s">
        <v>45</v>
      </c>
      <c r="E462" s="1" t="s">
        <v>17</v>
      </c>
      <c r="F462" s="1" t="s">
        <v>5127</v>
      </c>
      <c r="G462" s="1" t="s">
        <v>5128</v>
      </c>
      <c r="H462" s="1">
        <f t="shared" si="1"/>
        <v>770.718584</v>
      </c>
      <c r="I462" s="3" t="s">
        <v>5130</v>
      </c>
      <c r="J462" s="1">
        <v>1386.0</v>
      </c>
    </row>
    <row r="463">
      <c r="A463" s="1">
        <v>2022.0</v>
      </c>
      <c r="B463" s="1">
        <v>9.0</v>
      </c>
      <c r="C463" s="1" t="s">
        <v>68</v>
      </c>
      <c r="D463" s="1" t="s">
        <v>38</v>
      </c>
      <c r="E463" s="1" t="s">
        <v>39</v>
      </c>
      <c r="F463" s="3">
        <v>2255069.0</v>
      </c>
      <c r="G463" s="1" t="s">
        <v>5132</v>
      </c>
      <c r="H463" s="1">
        <f t="shared" si="1"/>
        <v>297.966205</v>
      </c>
      <c r="I463" s="1" t="s">
        <v>5133</v>
      </c>
      <c r="J463" s="1">
        <v>1396.0</v>
      </c>
    </row>
    <row r="464">
      <c r="A464" s="1">
        <v>2022.0</v>
      </c>
      <c r="B464" s="1">
        <v>9.0</v>
      </c>
      <c r="C464" s="1" t="s">
        <v>68</v>
      </c>
      <c r="D464" s="1" t="s">
        <v>3962</v>
      </c>
      <c r="E464" s="1" t="s">
        <v>17</v>
      </c>
      <c r="F464" s="3">
        <v>2594684.0</v>
      </c>
      <c r="G464" s="1" t="s">
        <v>5134</v>
      </c>
      <c r="H464" s="1">
        <f t="shared" si="1"/>
        <v>167.379323</v>
      </c>
      <c r="I464" s="1" t="s">
        <v>5135</v>
      </c>
      <c r="J464" s="1">
        <v>984.0</v>
      </c>
    </row>
    <row r="465">
      <c r="A465" s="1">
        <v>2022.0</v>
      </c>
      <c r="B465" s="1">
        <v>9.0</v>
      </c>
      <c r="C465" s="1" t="s">
        <v>68</v>
      </c>
      <c r="D465" s="1" t="s">
        <v>4955</v>
      </c>
      <c r="E465" s="1" t="s">
        <v>49</v>
      </c>
      <c r="F465" s="3">
        <v>552979.0</v>
      </c>
      <c r="G465" s="1" t="s">
        <v>5136</v>
      </c>
      <c r="H465" s="1">
        <f t="shared" si="1"/>
        <v>127.422027</v>
      </c>
      <c r="I465" s="1" t="s">
        <v>5137</v>
      </c>
      <c r="J465" s="1">
        <v>825.0</v>
      </c>
    </row>
    <row r="466">
      <c r="A466" s="1">
        <v>2022.0</v>
      </c>
      <c r="B466" s="1">
        <v>9.0</v>
      </c>
      <c r="C466" s="1" t="s">
        <v>68</v>
      </c>
      <c r="D466" s="1" t="s">
        <v>48</v>
      </c>
      <c r="E466" s="1" t="s">
        <v>49</v>
      </c>
      <c r="F466" s="1" t="s">
        <v>878</v>
      </c>
      <c r="G466" s="1" t="s">
        <v>5138</v>
      </c>
      <c r="H466" s="1">
        <f t="shared" si="1"/>
        <v>1.132441</v>
      </c>
      <c r="I466" s="1" t="s">
        <v>1813</v>
      </c>
      <c r="J466" s="1">
        <v>1.0</v>
      </c>
    </row>
    <row r="467">
      <c r="A467" s="1">
        <v>2022.0</v>
      </c>
      <c r="B467" s="1">
        <v>9.0</v>
      </c>
      <c r="C467" s="1" t="s">
        <v>68</v>
      </c>
      <c r="D467" s="1" t="s">
        <v>48</v>
      </c>
      <c r="E467" s="1" t="s">
        <v>72</v>
      </c>
      <c r="F467" s="1" t="s">
        <v>1460</v>
      </c>
      <c r="G467" s="1" t="s">
        <v>5139</v>
      </c>
      <c r="H467" s="1">
        <f t="shared" si="1"/>
        <v>0.674333</v>
      </c>
      <c r="I467" s="1" t="s">
        <v>373</v>
      </c>
      <c r="J467" s="1">
        <v>3.0</v>
      </c>
    </row>
    <row r="468">
      <c r="A468" s="1">
        <v>2022.0</v>
      </c>
      <c r="B468" s="1">
        <v>9.0</v>
      </c>
      <c r="C468" s="1" t="s">
        <v>68</v>
      </c>
      <c r="D468" s="1" t="s">
        <v>48</v>
      </c>
      <c r="E468" s="1" t="s">
        <v>21</v>
      </c>
      <c r="F468" s="1" t="s">
        <v>5141</v>
      </c>
      <c r="G468" s="1" t="s">
        <v>5142</v>
      </c>
      <c r="H468" s="1">
        <f t="shared" si="1"/>
        <v>100.602947</v>
      </c>
      <c r="I468" s="1" t="s">
        <v>5143</v>
      </c>
      <c r="J468" s="1">
        <v>322.0</v>
      </c>
    </row>
    <row r="469">
      <c r="A469" s="1">
        <v>2022.0</v>
      </c>
      <c r="B469" s="1">
        <v>9.0</v>
      </c>
      <c r="C469" s="1" t="s">
        <v>68</v>
      </c>
      <c r="D469" s="1" t="s">
        <v>42</v>
      </c>
      <c r="E469" s="1" t="s">
        <v>17</v>
      </c>
      <c r="F469" s="1" t="s">
        <v>5144</v>
      </c>
      <c r="G469" s="1" t="s">
        <v>5146</v>
      </c>
      <c r="H469" s="1">
        <f t="shared" si="1"/>
        <v>90.136534</v>
      </c>
      <c r="I469" s="1" t="s">
        <v>5148</v>
      </c>
      <c r="J469" s="1">
        <v>0.0</v>
      </c>
    </row>
    <row r="470">
      <c r="A470" s="1">
        <v>2022.0</v>
      </c>
      <c r="B470" s="1">
        <v>9.0</v>
      </c>
      <c r="C470" s="1" t="s">
        <v>68</v>
      </c>
      <c r="D470" s="1" t="s">
        <v>1851</v>
      </c>
      <c r="E470" s="1" t="s">
        <v>17</v>
      </c>
      <c r="F470" s="3" t="s">
        <v>5150</v>
      </c>
      <c r="G470" s="1" t="s">
        <v>5151</v>
      </c>
      <c r="H470" s="1">
        <f t="shared" si="1"/>
        <v>72.697707</v>
      </c>
      <c r="I470" s="1" t="s">
        <v>5152</v>
      </c>
      <c r="J470" s="1">
        <v>487.0</v>
      </c>
    </row>
    <row r="471">
      <c r="A471" s="1">
        <v>2022.0</v>
      </c>
      <c r="B471" s="1">
        <v>9.0</v>
      </c>
      <c r="C471" s="1" t="s">
        <v>68</v>
      </c>
      <c r="D471" s="1" t="s">
        <v>1851</v>
      </c>
      <c r="E471" s="1" t="s">
        <v>21</v>
      </c>
      <c r="F471" s="1" t="s">
        <v>5153</v>
      </c>
      <c r="G471" s="1" t="s">
        <v>5154</v>
      </c>
      <c r="H471" s="1">
        <f t="shared" si="1"/>
        <v>14.157008</v>
      </c>
      <c r="I471" s="1" t="s">
        <v>2724</v>
      </c>
      <c r="J471" s="1">
        <v>110.0</v>
      </c>
    </row>
    <row r="472">
      <c r="A472" s="1">
        <v>2022.0</v>
      </c>
      <c r="B472" s="1">
        <v>9.0</v>
      </c>
      <c r="C472" s="1" t="s">
        <v>68</v>
      </c>
      <c r="D472" s="1" t="s">
        <v>1830</v>
      </c>
      <c r="E472" s="1" t="s">
        <v>72</v>
      </c>
      <c r="F472" s="1" t="s">
        <v>5156</v>
      </c>
      <c r="G472" s="1" t="s">
        <v>5157</v>
      </c>
      <c r="H472" s="1">
        <f t="shared" si="1"/>
        <v>63.000511</v>
      </c>
      <c r="I472" s="1" t="s">
        <v>5158</v>
      </c>
      <c r="J472" s="1">
        <v>426.0</v>
      </c>
    </row>
    <row r="473">
      <c r="A473" s="1">
        <v>2022.0</v>
      </c>
      <c r="B473" s="1">
        <v>9.0</v>
      </c>
      <c r="C473" s="1" t="s">
        <v>116</v>
      </c>
      <c r="D473" s="1" t="s">
        <v>13</v>
      </c>
      <c r="E473" s="1" t="s">
        <v>14</v>
      </c>
      <c r="F473" s="1" t="s">
        <v>5159</v>
      </c>
      <c r="G473" s="1" t="s">
        <v>5161</v>
      </c>
      <c r="H473" s="1">
        <f t="shared" si="1"/>
        <v>2550.810119</v>
      </c>
      <c r="I473" s="1" t="s">
        <v>5162</v>
      </c>
      <c r="J473" s="1">
        <v>5417.0</v>
      </c>
    </row>
    <row r="474">
      <c r="A474" s="1">
        <v>2022.0</v>
      </c>
      <c r="B474" s="1">
        <v>9.0</v>
      </c>
      <c r="C474" s="1" t="s">
        <v>116</v>
      </c>
      <c r="D474" s="1" t="s">
        <v>13</v>
      </c>
      <c r="E474" s="1" t="s">
        <v>17</v>
      </c>
      <c r="F474" s="1" t="s">
        <v>5163</v>
      </c>
      <c r="G474" s="1" t="s">
        <v>5164</v>
      </c>
      <c r="H474" s="1">
        <f t="shared" si="1"/>
        <v>12097.78742</v>
      </c>
      <c r="I474" s="1" t="s">
        <v>5166</v>
      </c>
      <c r="J474" s="1">
        <v>16888.0</v>
      </c>
    </row>
    <row r="475">
      <c r="A475" s="1">
        <v>2022.0</v>
      </c>
      <c r="B475" s="1">
        <v>9.0</v>
      </c>
      <c r="C475" s="1" t="s">
        <v>116</v>
      </c>
      <c r="D475" s="1" t="s">
        <v>13</v>
      </c>
      <c r="E475" s="1" t="s">
        <v>21</v>
      </c>
      <c r="F475" s="1" t="s">
        <v>5167</v>
      </c>
      <c r="G475" s="1" t="s">
        <v>5168</v>
      </c>
      <c r="H475" s="1">
        <f t="shared" si="1"/>
        <v>2737.040323</v>
      </c>
      <c r="I475" s="3">
        <v>13424.0</v>
      </c>
      <c r="J475" s="1">
        <v>4012.0</v>
      </c>
    </row>
    <row r="476">
      <c r="A476" s="1">
        <v>2022.0</v>
      </c>
      <c r="B476" s="1">
        <v>9.0</v>
      </c>
      <c r="C476" s="1" t="s">
        <v>116</v>
      </c>
      <c r="D476" s="1" t="s">
        <v>13</v>
      </c>
      <c r="E476" s="1" t="s">
        <v>25</v>
      </c>
      <c r="F476" s="1" t="s">
        <v>1418</v>
      </c>
      <c r="G476" s="1" t="s">
        <v>5171</v>
      </c>
      <c r="H476" s="1">
        <f t="shared" si="1"/>
        <v>3.46668</v>
      </c>
      <c r="I476" s="1" t="s">
        <v>1523</v>
      </c>
      <c r="J476" s="1">
        <v>5.0</v>
      </c>
    </row>
    <row r="477">
      <c r="A477" s="1">
        <v>2022.0</v>
      </c>
      <c r="B477" s="1">
        <v>9.0</v>
      </c>
      <c r="C477" s="1" t="s">
        <v>116</v>
      </c>
      <c r="D477" s="1" t="s">
        <v>29</v>
      </c>
      <c r="E477" s="1" t="s">
        <v>14</v>
      </c>
      <c r="F477" s="3" t="s">
        <v>5172</v>
      </c>
      <c r="G477" s="1" t="s">
        <v>5173</v>
      </c>
      <c r="H477" s="1">
        <f t="shared" si="1"/>
        <v>141.04063</v>
      </c>
      <c r="I477" s="1" t="s">
        <v>5174</v>
      </c>
      <c r="J477" s="1">
        <v>251.0</v>
      </c>
    </row>
    <row r="478">
      <c r="A478" s="1">
        <v>2022.0</v>
      </c>
      <c r="B478" s="1">
        <v>9.0</v>
      </c>
      <c r="C478" s="1" t="s">
        <v>116</v>
      </c>
      <c r="D478" s="1" t="s">
        <v>29</v>
      </c>
      <c r="E478" s="1" t="s">
        <v>21</v>
      </c>
      <c r="F478" s="1" t="s">
        <v>5177</v>
      </c>
      <c r="G478" s="1" t="s">
        <v>5178</v>
      </c>
      <c r="H478" s="1">
        <f t="shared" si="1"/>
        <v>6399.18243</v>
      </c>
      <c r="I478" s="3">
        <v>806061.0</v>
      </c>
      <c r="J478" s="1">
        <v>3549.0</v>
      </c>
    </row>
    <row r="479">
      <c r="A479" s="1">
        <v>2022.0</v>
      </c>
      <c r="B479" s="1">
        <v>9.0</v>
      </c>
      <c r="C479" s="1" t="s">
        <v>116</v>
      </c>
      <c r="D479" s="1" t="s">
        <v>45</v>
      </c>
      <c r="E479" s="1" t="s">
        <v>49</v>
      </c>
      <c r="F479" s="3">
        <v>1019790.0</v>
      </c>
      <c r="G479" s="1" t="s">
        <v>5180</v>
      </c>
      <c r="H479" s="1">
        <f t="shared" si="1"/>
        <v>153.160915</v>
      </c>
      <c r="I479" s="1" t="s">
        <v>5181</v>
      </c>
      <c r="J479" s="1">
        <v>338.0</v>
      </c>
    </row>
    <row r="480">
      <c r="A480" s="1">
        <v>2022.0</v>
      </c>
      <c r="B480" s="1">
        <v>9.0</v>
      </c>
      <c r="C480" s="1" t="s">
        <v>116</v>
      </c>
      <c r="D480" s="1" t="s">
        <v>45</v>
      </c>
      <c r="E480" s="1" t="s">
        <v>17</v>
      </c>
      <c r="F480" s="1" t="s">
        <v>5183</v>
      </c>
      <c r="G480" s="1" t="s">
        <v>5184</v>
      </c>
      <c r="H480" s="1">
        <f t="shared" si="1"/>
        <v>1815.597704</v>
      </c>
      <c r="I480" s="3">
        <v>855278.0</v>
      </c>
      <c r="J480" s="1">
        <v>1827.0</v>
      </c>
    </row>
    <row r="481">
      <c r="A481" s="1">
        <v>2022.0</v>
      </c>
      <c r="B481" s="1">
        <v>9.0</v>
      </c>
      <c r="C481" s="1" t="s">
        <v>116</v>
      </c>
      <c r="D481" s="1" t="s">
        <v>3962</v>
      </c>
      <c r="E481" s="1" t="s">
        <v>17</v>
      </c>
      <c r="F481" s="3">
        <v>2255679.0</v>
      </c>
      <c r="G481" s="1" t="s">
        <v>5186</v>
      </c>
      <c r="H481" s="1">
        <f t="shared" si="1"/>
        <v>1071.843543</v>
      </c>
      <c r="I481" s="3" t="s">
        <v>5188</v>
      </c>
      <c r="J481" s="1">
        <v>3759.0</v>
      </c>
    </row>
    <row r="482">
      <c r="A482" s="1">
        <v>2022.0</v>
      </c>
      <c r="B482" s="1">
        <v>9.0</v>
      </c>
      <c r="C482" s="1" t="s">
        <v>116</v>
      </c>
      <c r="D482" s="1" t="s">
        <v>38</v>
      </c>
      <c r="E482" s="1" t="s">
        <v>39</v>
      </c>
      <c r="F482" s="3">
        <v>2132439.0</v>
      </c>
      <c r="G482" s="1" t="s">
        <v>5189</v>
      </c>
      <c r="H482" s="1">
        <f t="shared" si="1"/>
        <v>517.055043</v>
      </c>
      <c r="I482" s="3">
        <v>106653.0</v>
      </c>
      <c r="J482" s="1">
        <v>2145.0</v>
      </c>
    </row>
    <row r="483">
      <c r="A483" s="1">
        <v>2022.0</v>
      </c>
      <c r="B483" s="1">
        <v>9.0</v>
      </c>
      <c r="C483" s="1" t="s">
        <v>116</v>
      </c>
      <c r="D483" s="1" t="s">
        <v>48</v>
      </c>
      <c r="E483" s="1" t="s">
        <v>49</v>
      </c>
      <c r="F483" s="1" t="s">
        <v>73</v>
      </c>
      <c r="G483" s="1" t="s">
        <v>5193</v>
      </c>
      <c r="H483" s="1">
        <f t="shared" si="1"/>
        <v>0.686201</v>
      </c>
      <c r="I483" s="1" t="s">
        <v>75</v>
      </c>
      <c r="J483" s="1">
        <v>2.0</v>
      </c>
    </row>
    <row r="484">
      <c r="A484" s="1">
        <v>2022.0</v>
      </c>
      <c r="B484" s="1">
        <v>9.0</v>
      </c>
      <c r="C484" s="1" t="s">
        <v>116</v>
      </c>
      <c r="D484" s="1" t="s">
        <v>48</v>
      </c>
      <c r="E484" s="1" t="s">
        <v>72</v>
      </c>
      <c r="F484" s="1" t="s">
        <v>5196</v>
      </c>
      <c r="G484" s="1" t="s">
        <v>5197</v>
      </c>
      <c r="H484" s="1">
        <f t="shared" si="1"/>
        <v>3.466083</v>
      </c>
      <c r="I484" s="1" t="s">
        <v>666</v>
      </c>
      <c r="J484" s="1">
        <v>12.0</v>
      </c>
    </row>
    <row r="485">
      <c r="A485" s="1">
        <v>2022.0</v>
      </c>
      <c r="B485" s="1">
        <v>9.0</v>
      </c>
      <c r="C485" s="1" t="s">
        <v>116</v>
      </c>
      <c r="D485" s="1" t="s">
        <v>48</v>
      </c>
      <c r="E485" s="1" t="s">
        <v>21</v>
      </c>
      <c r="F485" s="3">
        <v>2056682.0</v>
      </c>
      <c r="G485" s="1" t="s">
        <v>5199</v>
      </c>
      <c r="H485" s="1">
        <f t="shared" si="1"/>
        <v>477.699541</v>
      </c>
      <c r="I485" s="1" t="s">
        <v>5200</v>
      </c>
      <c r="J485" s="1">
        <v>375.0</v>
      </c>
    </row>
    <row r="486">
      <c r="A486" s="1">
        <v>2022.0</v>
      </c>
      <c r="B486" s="1">
        <v>9.0</v>
      </c>
      <c r="C486" s="1" t="s">
        <v>116</v>
      </c>
      <c r="D486" s="1" t="s">
        <v>147</v>
      </c>
      <c r="E486" s="1" t="s">
        <v>39</v>
      </c>
      <c r="F486" s="3" t="s">
        <v>5203</v>
      </c>
      <c r="G486" s="1" t="s">
        <v>5204</v>
      </c>
      <c r="H486" s="1">
        <f t="shared" si="1"/>
        <v>382.119876</v>
      </c>
      <c r="I486" s="1" t="s">
        <v>5205</v>
      </c>
      <c r="J486" s="1">
        <v>101.0</v>
      </c>
    </row>
    <row r="487">
      <c r="A487" s="1">
        <v>2022.0</v>
      </c>
      <c r="B487" s="1">
        <v>9.0</v>
      </c>
      <c r="C487" s="1" t="s">
        <v>116</v>
      </c>
      <c r="D487" s="1" t="s">
        <v>147</v>
      </c>
      <c r="E487" s="1" t="s">
        <v>17</v>
      </c>
      <c r="F487" s="1" t="s">
        <v>4681</v>
      </c>
      <c r="G487" s="1" t="s">
        <v>5207</v>
      </c>
      <c r="H487" s="1">
        <f t="shared" si="1"/>
        <v>6.924144</v>
      </c>
      <c r="I487" s="1" t="s">
        <v>2134</v>
      </c>
      <c r="J487" s="1">
        <v>6.0</v>
      </c>
    </row>
    <row r="488">
      <c r="A488" s="1">
        <v>2022.0</v>
      </c>
      <c r="B488" s="1">
        <v>9.0</v>
      </c>
      <c r="C488" s="1" t="s">
        <v>116</v>
      </c>
      <c r="D488" s="1" t="s">
        <v>147</v>
      </c>
      <c r="E488" s="1" t="s">
        <v>21</v>
      </c>
      <c r="F488" s="1" t="s">
        <v>947</v>
      </c>
      <c r="G488" s="1" t="s">
        <v>5208</v>
      </c>
      <c r="H488" s="1">
        <f t="shared" si="1"/>
        <v>20.303316</v>
      </c>
      <c r="I488" s="1" t="s">
        <v>1434</v>
      </c>
      <c r="J488" s="1">
        <v>28.0</v>
      </c>
    </row>
    <row r="489">
      <c r="A489" s="1">
        <v>2022.0</v>
      </c>
      <c r="B489" s="1">
        <v>9.0</v>
      </c>
      <c r="C489" s="1" t="s">
        <v>116</v>
      </c>
      <c r="D489" s="1" t="s">
        <v>1851</v>
      </c>
      <c r="E489" s="1" t="s">
        <v>17</v>
      </c>
      <c r="F489" s="3" t="s">
        <v>5209</v>
      </c>
      <c r="G489" s="1" t="s">
        <v>5210</v>
      </c>
      <c r="H489" s="1">
        <f t="shared" si="1"/>
        <v>357.791053</v>
      </c>
      <c r="I489" s="3">
        <v>520869.0</v>
      </c>
      <c r="J489" s="1">
        <v>1472.0</v>
      </c>
    </row>
    <row r="490">
      <c r="A490" s="1">
        <v>2022.0</v>
      </c>
      <c r="B490" s="1">
        <v>9.0</v>
      </c>
      <c r="C490" s="1" t="s">
        <v>116</v>
      </c>
      <c r="D490" s="1" t="s">
        <v>1851</v>
      </c>
      <c r="E490" s="1" t="s">
        <v>21</v>
      </c>
      <c r="F490" s="1" t="s">
        <v>5211</v>
      </c>
      <c r="G490" s="1" t="s">
        <v>5212</v>
      </c>
      <c r="H490" s="1">
        <f t="shared" si="1"/>
        <v>19.158144</v>
      </c>
      <c r="I490" s="1" t="s">
        <v>853</v>
      </c>
      <c r="J490" s="1">
        <v>78.0</v>
      </c>
    </row>
    <row r="491">
      <c r="A491" s="1">
        <v>2022.0</v>
      </c>
      <c r="B491" s="1">
        <v>9.0</v>
      </c>
      <c r="C491" s="1" t="s">
        <v>116</v>
      </c>
      <c r="D491" s="1" t="s">
        <v>42</v>
      </c>
      <c r="E491" s="1" t="s">
        <v>17</v>
      </c>
      <c r="F491" s="3" t="s">
        <v>5213</v>
      </c>
      <c r="G491" s="1" t="s">
        <v>5214</v>
      </c>
      <c r="H491" s="1">
        <f t="shared" si="1"/>
        <v>220.256091</v>
      </c>
      <c r="I491" s="1" t="s">
        <v>5215</v>
      </c>
      <c r="J491" s="1">
        <v>0.0</v>
      </c>
    </row>
    <row r="492">
      <c r="A492" s="1">
        <v>2022.0</v>
      </c>
      <c r="B492" s="1">
        <v>9.0</v>
      </c>
      <c r="C492" s="1" t="s">
        <v>116</v>
      </c>
      <c r="D492" s="1" t="s">
        <v>165</v>
      </c>
      <c r="E492" s="1" t="s">
        <v>39</v>
      </c>
      <c r="F492" s="1" t="s">
        <v>5216</v>
      </c>
      <c r="G492" s="1" t="s">
        <v>5217</v>
      </c>
      <c r="H492" s="1">
        <f t="shared" si="1"/>
        <v>62.670108</v>
      </c>
      <c r="I492" s="1" t="s">
        <v>4467</v>
      </c>
      <c r="J492" s="1">
        <v>0.0</v>
      </c>
    </row>
    <row r="493">
      <c r="A493" s="1">
        <v>2022.0</v>
      </c>
      <c r="B493" s="1">
        <v>9.0</v>
      </c>
      <c r="C493" s="1" t="s">
        <v>116</v>
      </c>
      <c r="D493" s="1" t="s">
        <v>165</v>
      </c>
      <c r="E493" s="1" t="s">
        <v>17</v>
      </c>
      <c r="F493" s="1" t="s">
        <v>5219</v>
      </c>
      <c r="G493" s="1" t="s">
        <v>5220</v>
      </c>
      <c r="H493" s="1">
        <f t="shared" si="1"/>
        <v>128.904763</v>
      </c>
      <c r="I493" s="1" t="s">
        <v>2233</v>
      </c>
      <c r="J493" s="1">
        <v>0.0</v>
      </c>
    </row>
    <row r="494">
      <c r="A494" s="1">
        <v>2022.0</v>
      </c>
      <c r="B494" s="1">
        <v>10.0</v>
      </c>
      <c r="C494" s="1" t="s">
        <v>12</v>
      </c>
      <c r="D494" s="1" t="s">
        <v>13</v>
      </c>
      <c r="E494" s="1" t="s">
        <v>14</v>
      </c>
      <c r="F494" s="3" t="s">
        <v>5221</v>
      </c>
      <c r="G494" s="1" t="s">
        <v>5222</v>
      </c>
      <c r="H494" s="1">
        <f t="shared" si="1"/>
        <v>618.481777</v>
      </c>
      <c r="I494" s="3">
        <v>1871504.0</v>
      </c>
      <c r="J494" s="1">
        <v>392.0</v>
      </c>
    </row>
    <row r="495">
      <c r="A495" s="1">
        <v>2022.0</v>
      </c>
      <c r="B495" s="1">
        <v>10.0</v>
      </c>
      <c r="C495" s="1" t="s">
        <v>12</v>
      </c>
      <c r="D495" s="1" t="s">
        <v>13</v>
      </c>
      <c r="E495" s="1" t="s">
        <v>17</v>
      </c>
      <c r="F495" s="1" t="s">
        <v>5223</v>
      </c>
      <c r="G495" s="1" t="s">
        <v>5224</v>
      </c>
      <c r="H495" s="1">
        <f t="shared" si="1"/>
        <v>5995.710542</v>
      </c>
      <c r="I495" s="1" t="s">
        <v>5226</v>
      </c>
      <c r="J495" s="1">
        <v>624.0</v>
      </c>
    </row>
    <row r="496">
      <c r="A496" s="1">
        <v>2022.0</v>
      </c>
      <c r="B496" s="1">
        <v>10.0</v>
      </c>
      <c r="C496" s="1" t="s">
        <v>12</v>
      </c>
      <c r="D496" s="1" t="s">
        <v>13</v>
      </c>
      <c r="E496" s="1" t="s">
        <v>21</v>
      </c>
      <c r="F496" s="1" t="s">
        <v>5227</v>
      </c>
      <c r="G496" s="1" t="s">
        <v>5228</v>
      </c>
      <c r="H496" s="1">
        <f t="shared" si="1"/>
        <v>4346.872331</v>
      </c>
      <c r="I496" s="1" t="s">
        <v>5229</v>
      </c>
      <c r="J496" s="1">
        <v>522.0</v>
      </c>
    </row>
    <row r="497">
      <c r="A497" s="1">
        <v>2022.0</v>
      </c>
      <c r="B497" s="1">
        <v>10.0</v>
      </c>
      <c r="C497" s="1" t="s">
        <v>12</v>
      </c>
      <c r="D497" s="1" t="s">
        <v>29</v>
      </c>
      <c r="E497" s="1" t="s">
        <v>14</v>
      </c>
      <c r="F497" s="1" t="s">
        <v>481</v>
      </c>
      <c r="G497" s="1" t="s">
        <v>5230</v>
      </c>
      <c r="H497" s="1">
        <f t="shared" si="1"/>
        <v>17.551945</v>
      </c>
      <c r="I497" s="1" t="s">
        <v>5231</v>
      </c>
      <c r="J497" s="1">
        <v>20.0</v>
      </c>
    </row>
    <row r="498">
      <c r="A498" s="1">
        <v>2022.0</v>
      </c>
      <c r="B498" s="1">
        <v>10.0</v>
      </c>
      <c r="C498" s="1" t="s">
        <v>12</v>
      </c>
      <c r="D498" s="1" t="s">
        <v>29</v>
      </c>
      <c r="E498" s="1" t="s">
        <v>21</v>
      </c>
      <c r="F498" s="1" t="s">
        <v>5232</v>
      </c>
      <c r="G498" s="1" t="s">
        <v>5233</v>
      </c>
      <c r="H498" s="1">
        <f t="shared" si="1"/>
        <v>6797.677053</v>
      </c>
      <c r="I498" s="1" t="s">
        <v>5234</v>
      </c>
      <c r="J498" s="1">
        <v>629.0</v>
      </c>
    </row>
    <row r="499">
      <c r="A499" s="1">
        <v>2022.0</v>
      </c>
      <c r="B499" s="1">
        <v>10.0</v>
      </c>
      <c r="C499" s="1" t="s">
        <v>12</v>
      </c>
      <c r="D499" s="1" t="s">
        <v>48</v>
      </c>
      <c r="E499" s="1" t="s">
        <v>49</v>
      </c>
      <c r="F499" s="1" t="s">
        <v>1460</v>
      </c>
      <c r="G499" s="1" t="s">
        <v>5236</v>
      </c>
      <c r="H499" s="1">
        <f t="shared" si="1"/>
        <v>0.475945</v>
      </c>
      <c r="I499" s="1" t="s">
        <v>674</v>
      </c>
      <c r="J499" s="1">
        <v>1.0</v>
      </c>
    </row>
    <row r="500">
      <c r="A500" s="1">
        <v>2022.0</v>
      </c>
      <c r="B500" s="1">
        <v>10.0</v>
      </c>
      <c r="C500" s="1" t="s">
        <v>12</v>
      </c>
      <c r="D500" s="1" t="s">
        <v>48</v>
      </c>
      <c r="E500" s="1" t="s">
        <v>21</v>
      </c>
      <c r="F500" s="3">
        <v>2536277.0</v>
      </c>
      <c r="G500" s="1" t="s">
        <v>5237</v>
      </c>
      <c r="H500" s="1">
        <f t="shared" si="1"/>
        <v>443.897371</v>
      </c>
      <c r="I500" s="3" t="s">
        <v>5238</v>
      </c>
      <c r="J500" s="1">
        <v>162.0</v>
      </c>
    </row>
    <row r="501">
      <c r="A501" s="1">
        <v>2022.0</v>
      </c>
      <c r="B501" s="1">
        <v>10.0</v>
      </c>
      <c r="C501" s="1" t="s">
        <v>12</v>
      </c>
      <c r="D501" s="1" t="s">
        <v>38</v>
      </c>
      <c r="E501" s="1" t="s">
        <v>39</v>
      </c>
      <c r="F501" s="3">
        <v>744397.0</v>
      </c>
      <c r="G501" s="1" t="s">
        <v>5240</v>
      </c>
      <c r="H501" s="1">
        <f t="shared" si="1"/>
        <v>280.43919</v>
      </c>
      <c r="I501" s="1" t="s">
        <v>5241</v>
      </c>
      <c r="J501" s="1">
        <v>135.0</v>
      </c>
    </row>
    <row r="502">
      <c r="A502" s="1">
        <v>2022.0</v>
      </c>
      <c r="B502" s="1">
        <v>10.0</v>
      </c>
      <c r="C502" s="1" t="s">
        <v>12</v>
      </c>
      <c r="D502" s="1" t="s">
        <v>45</v>
      </c>
      <c r="E502" s="1" t="s">
        <v>49</v>
      </c>
      <c r="F502" s="1" t="s">
        <v>5242</v>
      </c>
      <c r="G502" s="1" t="s">
        <v>5243</v>
      </c>
      <c r="H502" s="1">
        <f t="shared" si="1"/>
        <v>2.333112</v>
      </c>
      <c r="I502" s="1" t="s">
        <v>5244</v>
      </c>
      <c r="J502" s="1">
        <v>4.0</v>
      </c>
    </row>
    <row r="503">
      <c r="A503" s="1">
        <v>2022.0</v>
      </c>
      <c r="B503" s="1">
        <v>10.0</v>
      </c>
      <c r="C503" s="1" t="s">
        <v>12</v>
      </c>
      <c r="D503" s="1" t="s">
        <v>45</v>
      </c>
      <c r="E503" s="1" t="s">
        <v>17</v>
      </c>
      <c r="F503" s="3">
        <v>520504.0</v>
      </c>
      <c r="G503" s="1" t="s">
        <v>5245</v>
      </c>
      <c r="H503" s="1">
        <f t="shared" si="1"/>
        <v>168.957275</v>
      </c>
      <c r="I503" s="1" t="s">
        <v>5247</v>
      </c>
      <c r="J503" s="1">
        <v>157.0</v>
      </c>
    </row>
    <row r="504">
      <c r="A504" s="1">
        <v>2022.0</v>
      </c>
      <c r="B504" s="1">
        <v>10.0</v>
      </c>
      <c r="C504" s="1" t="s">
        <v>12</v>
      </c>
      <c r="D504" s="1" t="s">
        <v>3962</v>
      </c>
      <c r="E504" s="1" t="s">
        <v>17</v>
      </c>
      <c r="F504" s="3" t="s">
        <v>5248</v>
      </c>
      <c r="G504" s="1" t="s">
        <v>5249</v>
      </c>
      <c r="H504" s="1">
        <f t="shared" si="1"/>
        <v>99.10065</v>
      </c>
      <c r="I504" s="1" t="s">
        <v>5251</v>
      </c>
      <c r="J504" s="1">
        <v>113.0</v>
      </c>
    </row>
    <row r="505">
      <c r="A505" s="1">
        <v>2022.0</v>
      </c>
      <c r="B505" s="1">
        <v>10.0</v>
      </c>
      <c r="C505" s="1" t="s">
        <v>12</v>
      </c>
      <c r="D505" s="1" t="s">
        <v>4127</v>
      </c>
      <c r="E505" s="1" t="s">
        <v>17</v>
      </c>
      <c r="F505" s="1" t="s">
        <v>5252</v>
      </c>
      <c r="G505" s="1" t="s">
        <v>5254</v>
      </c>
      <c r="H505" s="1">
        <f t="shared" si="1"/>
        <v>68.122721</v>
      </c>
      <c r="I505" s="1" t="s">
        <v>5256</v>
      </c>
      <c r="J505" s="1">
        <v>80.0</v>
      </c>
    </row>
    <row r="506">
      <c r="A506" s="1">
        <v>2022.0</v>
      </c>
      <c r="B506" s="1">
        <v>10.0</v>
      </c>
      <c r="C506" s="1" t="s">
        <v>12</v>
      </c>
      <c r="D506" s="1" t="s">
        <v>4955</v>
      </c>
      <c r="E506" s="1" t="s">
        <v>49</v>
      </c>
      <c r="F506" s="3">
        <v>632968.0</v>
      </c>
      <c r="G506" s="1" t="s">
        <v>5257</v>
      </c>
      <c r="H506" s="1">
        <f t="shared" si="1"/>
        <v>66.180682</v>
      </c>
      <c r="I506" s="1" t="s">
        <v>5258</v>
      </c>
      <c r="J506" s="1">
        <v>67.0</v>
      </c>
    </row>
    <row r="507">
      <c r="A507" s="1">
        <v>2022.0</v>
      </c>
      <c r="B507" s="1">
        <v>10.0</v>
      </c>
      <c r="C507" s="1" t="s">
        <v>12</v>
      </c>
      <c r="D507" s="1" t="s">
        <v>42</v>
      </c>
      <c r="E507" s="1" t="s">
        <v>17</v>
      </c>
      <c r="F507" s="1" t="s">
        <v>5259</v>
      </c>
      <c r="G507" s="1" t="s">
        <v>5260</v>
      </c>
      <c r="H507" s="1">
        <f t="shared" si="1"/>
        <v>51.100826</v>
      </c>
      <c r="I507" s="1" t="s">
        <v>5261</v>
      </c>
      <c r="J507" s="1">
        <v>0.0</v>
      </c>
    </row>
    <row r="508">
      <c r="A508" s="1">
        <v>2022.0</v>
      </c>
      <c r="B508" s="1">
        <v>10.0</v>
      </c>
      <c r="C508" s="1" t="s">
        <v>12</v>
      </c>
      <c r="D508" s="1" t="s">
        <v>1851</v>
      </c>
      <c r="E508" s="1" t="s">
        <v>17</v>
      </c>
      <c r="F508" s="1" t="s">
        <v>5262</v>
      </c>
      <c r="G508" s="1" t="s">
        <v>5263</v>
      </c>
      <c r="H508" s="1">
        <f t="shared" si="1"/>
        <v>47.016439</v>
      </c>
      <c r="I508" s="1" t="s">
        <v>5265</v>
      </c>
      <c r="J508" s="1">
        <v>137.0</v>
      </c>
    </row>
    <row r="509">
      <c r="A509" s="1">
        <v>2022.0</v>
      </c>
      <c r="B509" s="1">
        <v>10.0</v>
      </c>
      <c r="C509" s="1" t="s">
        <v>68</v>
      </c>
      <c r="D509" s="1" t="s">
        <v>13</v>
      </c>
      <c r="E509" s="1" t="s">
        <v>14</v>
      </c>
      <c r="F509" s="1" t="s">
        <v>5266</v>
      </c>
      <c r="G509" s="1" t="s">
        <v>5267</v>
      </c>
      <c r="H509" s="1">
        <f t="shared" si="1"/>
        <v>1104.70914</v>
      </c>
      <c r="I509" s="3">
        <v>2795234.0</v>
      </c>
      <c r="J509" s="1">
        <v>2918.0</v>
      </c>
    </row>
    <row r="510">
      <c r="A510" s="1">
        <v>2022.0</v>
      </c>
      <c r="B510" s="1">
        <v>10.0</v>
      </c>
      <c r="C510" s="1" t="s">
        <v>68</v>
      </c>
      <c r="D510" s="1" t="s">
        <v>13</v>
      </c>
      <c r="E510" s="1" t="s">
        <v>17</v>
      </c>
      <c r="F510" s="1" t="s">
        <v>5269</v>
      </c>
      <c r="G510" s="1" t="s">
        <v>5270</v>
      </c>
      <c r="H510" s="1">
        <f t="shared" si="1"/>
        <v>5945.933384</v>
      </c>
      <c r="I510" s="1" t="s">
        <v>5271</v>
      </c>
      <c r="J510" s="1">
        <v>8665.0</v>
      </c>
    </row>
    <row r="511">
      <c r="A511" s="1">
        <v>2022.0</v>
      </c>
      <c r="B511" s="1">
        <v>10.0</v>
      </c>
      <c r="C511" s="1" t="s">
        <v>68</v>
      </c>
      <c r="D511" s="1" t="s">
        <v>13</v>
      </c>
      <c r="E511" s="1" t="s">
        <v>21</v>
      </c>
      <c r="F511" s="3">
        <v>2530615.0</v>
      </c>
      <c r="G511" s="1" t="s">
        <v>5272</v>
      </c>
      <c r="H511" s="1">
        <f t="shared" si="1"/>
        <v>1161.74794</v>
      </c>
      <c r="I511" s="3">
        <v>654242.0</v>
      </c>
      <c r="J511" s="1">
        <v>2423.0</v>
      </c>
    </row>
    <row r="512">
      <c r="A512" s="1">
        <v>2022.0</v>
      </c>
      <c r="B512" s="1">
        <v>10.0</v>
      </c>
      <c r="C512" s="1" t="s">
        <v>68</v>
      </c>
      <c r="D512" s="1" t="s">
        <v>13</v>
      </c>
      <c r="E512" s="1" t="s">
        <v>25</v>
      </c>
      <c r="F512" s="1" t="s">
        <v>2131</v>
      </c>
      <c r="G512" s="1" t="s">
        <v>5274</v>
      </c>
      <c r="H512" s="1">
        <f t="shared" si="1"/>
        <v>47.929871</v>
      </c>
      <c r="I512" s="1" t="s">
        <v>3088</v>
      </c>
      <c r="J512" s="1">
        <v>170.0</v>
      </c>
    </row>
    <row r="513">
      <c r="A513" s="1">
        <v>2022.0</v>
      </c>
      <c r="B513" s="1">
        <v>10.0</v>
      </c>
      <c r="C513" s="1" t="s">
        <v>68</v>
      </c>
      <c r="D513" s="1" t="s">
        <v>29</v>
      </c>
      <c r="E513" s="1" t="s">
        <v>14</v>
      </c>
      <c r="F513" s="1" t="s">
        <v>5275</v>
      </c>
      <c r="G513" s="1" t="s">
        <v>5276</v>
      </c>
      <c r="H513" s="1">
        <f t="shared" si="1"/>
        <v>87.049257</v>
      </c>
      <c r="I513" s="1" t="s">
        <v>5278</v>
      </c>
      <c r="J513" s="1">
        <v>209.0</v>
      </c>
    </row>
    <row r="514">
      <c r="A514" s="1">
        <v>2022.0</v>
      </c>
      <c r="B514" s="1">
        <v>10.0</v>
      </c>
      <c r="C514" s="1" t="s">
        <v>68</v>
      </c>
      <c r="D514" s="1" t="s">
        <v>29</v>
      </c>
      <c r="E514" s="1" t="s">
        <v>21</v>
      </c>
      <c r="F514" s="3">
        <v>849160.0</v>
      </c>
      <c r="G514" s="1" t="s">
        <v>5279</v>
      </c>
      <c r="H514" s="1">
        <f t="shared" si="1"/>
        <v>2134.394888</v>
      </c>
      <c r="I514" s="1" t="s">
        <v>5280</v>
      </c>
      <c r="J514" s="1">
        <v>1809.0</v>
      </c>
    </row>
    <row r="515">
      <c r="A515" s="1">
        <v>2022.0</v>
      </c>
      <c r="B515" s="1">
        <v>10.0</v>
      </c>
      <c r="C515" s="1" t="s">
        <v>68</v>
      </c>
      <c r="D515" s="1" t="s">
        <v>45</v>
      </c>
      <c r="E515" s="1" t="s">
        <v>49</v>
      </c>
      <c r="F515" s="1" t="s">
        <v>5282</v>
      </c>
      <c r="G515" s="1" t="s">
        <v>5283</v>
      </c>
      <c r="H515" s="1">
        <f t="shared" si="1"/>
        <v>53.446204</v>
      </c>
      <c r="I515" s="1" t="s">
        <v>5284</v>
      </c>
      <c r="J515" s="1">
        <v>193.0</v>
      </c>
    </row>
    <row r="516">
      <c r="A516" s="1">
        <v>2022.0</v>
      </c>
      <c r="B516" s="1">
        <v>10.0</v>
      </c>
      <c r="C516" s="1" t="s">
        <v>68</v>
      </c>
      <c r="D516" s="1" t="s">
        <v>45</v>
      </c>
      <c r="E516" s="1" t="s">
        <v>17</v>
      </c>
      <c r="F516" s="3">
        <v>731855.0</v>
      </c>
      <c r="G516" s="1" t="s">
        <v>5285</v>
      </c>
      <c r="H516" s="1">
        <f t="shared" si="1"/>
        <v>648.876279</v>
      </c>
      <c r="I516" s="3">
        <v>2010721.0</v>
      </c>
      <c r="J516" s="1">
        <v>1361.0</v>
      </c>
    </row>
    <row r="517">
      <c r="A517" s="1">
        <v>2022.0</v>
      </c>
      <c r="B517" s="1">
        <v>10.0</v>
      </c>
      <c r="C517" s="1" t="s">
        <v>68</v>
      </c>
      <c r="D517" s="1" t="s">
        <v>38</v>
      </c>
      <c r="E517" s="1" t="s">
        <v>39</v>
      </c>
      <c r="F517" s="1" t="s">
        <v>5352</v>
      </c>
      <c r="G517" s="1" t="s">
        <v>5353</v>
      </c>
      <c r="H517" s="1">
        <f t="shared" si="1"/>
        <v>285.062911</v>
      </c>
      <c r="I517" s="1" t="s">
        <v>5354</v>
      </c>
      <c r="J517" s="1">
        <v>1455.0</v>
      </c>
    </row>
    <row r="518">
      <c r="A518" s="1">
        <v>2022.0</v>
      </c>
      <c r="B518" s="1">
        <v>10.0</v>
      </c>
      <c r="C518" s="1" t="s">
        <v>68</v>
      </c>
      <c r="D518" s="1" t="s">
        <v>3962</v>
      </c>
      <c r="E518" s="1" t="s">
        <v>17</v>
      </c>
      <c r="F518" s="3">
        <v>771060.0</v>
      </c>
      <c r="G518" s="1" t="s">
        <v>5355</v>
      </c>
      <c r="H518" s="1">
        <f t="shared" si="1"/>
        <v>208.763393</v>
      </c>
      <c r="I518" s="1" t="s">
        <v>5356</v>
      </c>
      <c r="J518" s="1">
        <v>1064.0</v>
      </c>
    </row>
    <row r="519">
      <c r="A519" s="1">
        <v>2022.0</v>
      </c>
      <c r="B519" s="1">
        <v>10.0</v>
      </c>
      <c r="C519" s="1" t="s">
        <v>68</v>
      </c>
      <c r="D519" s="1" t="s">
        <v>42</v>
      </c>
      <c r="E519" s="1" t="s">
        <v>17</v>
      </c>
      <c r="F519" s="1" t="s">
        <v>5357</v>
      </c>
      <c r="G519" s="1" t="s">
        <v>5358</v>
      </c>
      <c r="H519" s="1">
        <f t="shared" si="1"/>
        <v>160.901353</v>
      </c>
      <c r="I519" s="1" t="s">
        <v>5359</v>
      </c>
      <c r="J519" s="1">
        <v>0.0</v>
      </c>
    </row>
    <row r="520">
      <c r="A520" s="1">
        <v>2022.0</v>
      </c>
      <c r="B520" s="1">
        <v>10.0</v>
      </c>
      <c r="C520" s="1" t="s">
        <v>68</v>
      </c>
      <c r="D520" s="1" t="s">
        <v>48</v>
      </c>
      <c r="E520" s="1" t="s">
        <v>49</v>
      </c>
      <c r="F520" s="1" t="s">
        <v>1411</v>
      </c>
      <c r="G520" s="1" t="s">
        <v>5360</v>
      </c>
      <c r="H520" s="1">
        <f t="shared" si="1"/>
        <v>2.637589</v>
      </c>
      <c r="I520" s="1" t="s">
        <v>880</v>
      </c>
      <c r="J520" s="1">
        <v>2.0</v>
      </c>
    </row>
    <row r="521">
      <c r="A521" s="1">
        <v>2022.0</v>
      </c>
      <c r="B521" s="1">
        <v>10.0</v>
      </c>
      <c r="C521" s="1" t="s">
        <v>68</v>
      </c>
      <c r="D521" s="1" t="s">
        <v>48</v>
      </c>
      <c r="E521" s="1" t="s">
        <v>72</v>
      </c>
      <c r="F521" s="1" t="s">
        <v>1460</v>
      </c>
      <c r="G521" s="1" t="s">
        <v>5361</v>
      </c>
      <c r="H521" s="1">
        <f t="shared" si="1"/>
        <v>0.673736</v>
      </c>
      <c r="I521" s="1" t="s">
        <v>373</v>
      </c>
      <c r="J521" s="1">
        <v>3.0</v>
      </c>
    </row>
    <row r="522">
      <c r="A522" s="1">
        <v>2022.0</v>
      </c>
      <c r="B522" s="1">
        <v>10.0</v>
      </c>
      <c r="C522" s="1" t="s">
        <v>68</v>
      </c>
      <c r="D522" s="1" t="s">
        <v>48</v>
      </c>
      <c r="E522" s="1" t="s">
        <v>21</v>
      </c>
      <c r="F522" s="1" t="s">
        <v>5362</v>
      </c>
      <c r="G522" s="1" t="s">
        <v>5363</v>
      </c>
      <c r="H522" s="1">
        <f t="shared" si="1"/>
        <v>142.366486</v>
      </c>
      <c r="I522" s="1" t="s">
        <v>5365</v>
      </c>
      <c r="J522" s="1">
        <v>312.0</v>
      </c>
    </row>
    <row r="523">
      <c r="A523" s="1">
        <v>2022.0</v>
      </c>
      <c r="B523" s="1">
        <v>10.0</v>
      </c>
      <c r="C523" s="1" t="s">
        <v>68</v>
      </c>
      <c r="D523" s="1" t="s">
        <v>5366</v>
      </c>
      <c r="E523" s="1" t="s">
        <v>17</v>
      </c>
      <c r="F523" s="1" t="s">
        <v>5367</v>
      </c>
      <c r="G523" s="1" t="s">
        <v>5368</v>
      </c>
      <c r="H523" s="1">
        <f t="shared" si="1"/>
        <v>68.042955</v>
      </c>
      <c r="I523" s="1" t="s">
        <v>5369</v>
      </c>
      <c r="J523" s="1">
        <v>341.0</v>
      </c>
    </row>
    <row r="524">
      <c r="A524" s="1">
        <v>2022.0</v>
      </c>
      <c r="B524" s="1">
        <v>10.0</v>
      </c>
      <c r="C524" s="1" t="s">
        <v>68</v>
      </c>
      <c r="D524" s="1" t="s">
        <v>2104</v>
      </c>
      <c r="E524" s="1" t="s">
        <v>17</v>
      </c>
      <c r="F524" s="3">
        <v>501846.0</v>
      </c>
      <c r="G524" s="1" t="s">
        <v>5371</v>
      </c>
      <c r="H524" s="1">
        <f t="shared" si="1"/>
        <v>51.798101</v>
      </c>
      <c r="I524" s="1" t="s">
        <v>5372</v>
      </c>
      <c r="J524" s="1">
        <v>435.0</v>
      </c>
    </row>
    <row r="525">
      <c r="A525" s="1">
        <v>2022.0</v>
      </c>
      <c r="B525" s="1">
        <v>10.0</v>
      </c>
      <c r="C525" s="1" t="s">
        <v>68</v>
      </c>
      <c r="D525" s="1" t="s">
        <v>1851</v>
      </c>
      <c r="E525" s="1" t="s">
        <v>17</v>
      </c>
      <c r="F525" s="1" t="s">
        <v>5374</v>
      </c>
      <c r="G525" s="1" t="s">
        <v>5375</v>
      </c>
      <c r="H525" s="1">
        <f t="shared" si="1"/>
        <v>38.340356</v>
      </c>
      <c r="I525" s="1" t="s">
        <v>5377</v>
      </c>
      <c r="J525" s="1">
        <v>441.0</v>
      </c>
    </row>
    <row r="526">
      <c r="A526" s="1">
        <v>2022.0</v>
      </c>
      <c r="B526" s="1">
        <v>10.0</v>
      </c>
      <c r="C526" s="1" t="s">
        <v>68</v>
      </c>
      <c r="D526" s="1" t="s">
        <v>1851</v>
      </c>
      <c r="E526" s="1" t="s">
        <v>21</v>
      </c>
      <c r="F526" s="1" t="s">
        <v>5378</v>
      </c>
      <c r="G526" s="1" t="s">
        <v>5379</v>
      </c>
      <c r="H526" s="1">
        <f t="shared" si="1"/>
        <v>13.15267</v>
      </c>
      <c r="I526" s="1" t="s">
        <v>5380</v>
      </c>
      <c r="J526" s="1">
        <v>103.0</v>
      </c>
    </row>
    <row r="527">
      <c r="A527" s="1">
        <v>2022.0</v>
      </c>
      <c r="B527" s="1">
        <v>10.0</v>
      </c>
      <c r="C527" s="1" t="s">
        <v>116</v>
      </c>
      <c r="D527" s="1" t="s">
        <v>13</v>
      </c>
      <c r="E527" s="1" t="s">
        <v>14</v>
      </c>
      <c r="F527" s="1" t="s">
        <v>5382</v>
      </c>
      <c r="G527" s="1" t="s">
        <v>5383</v>
      </c>
      <c r="H527" s="1">
        <f t="shared" si="1"/>
        <v>2955.440042</v>
      </c>
      <c r="I527" s="3">
        <v>2152224.0</v>
      </c>
      <c r="J527" s="1">
        <v>4562.0</v>
      </c>
    </row>
    <row r="528">
      <c r="A528" s="1">
        <v>2022.0</v>
      </c>
      <c r="B528" s="1">
        <v>10.0</v>
      </c>
      <c r="C528" s="1" t="s">
        <v>116</v>
      </c>
      <c r="D528" s="1" t="s">
        <v>13</v>
      </c>
      <c r="E528" s="1" t="s">
        <v>17</v>
      </c>
      <c r="F528" s="1" t="s">
        <v>5386</v>
      </c>
      <c r="G528" s="1" t="s">
        <v>5387</v>
      </c>
      <c r="H528" s="1">
        <f t="shared" si="1"/>
        <v>18673.78943</v>
      </c>
      <c r="I528" s="1" t="s">
        <v>5388</v>
      </c>
      <c r="J528" s="1">
        <v>18126.0</v>
      </c>
    </row>
    <row r="529">
      <c r="A529" s="1">
        <v>2022.0</v>
      </c>
      <c r="B529" s="1">
        <v>10.0</v>
      </c>
      <c r="C529" s="1" t="s">
        <v>116</v>
      </c>
      <c r="D529" s="1" t="s">
        <v>13</v>
      </c>
      <c r="E529" s="1" t="s">
        <v>21</v>
      </c>
      <c r="F529" s="1" t="s">
        <v>5389</v>
      </c>
      <c r="G529" s="1" t="s">
        <v>5390</v>
      </c>
      <c r="H529" s="1">
        <f t="shared" si="1"/>
        <v>3245.029801</v>
      </c>
      <c r="I529" s="3">
        <v>2364886.0</v>
      </c>
      <c r="J529" s="1">
        <v>4735.0</v>
      </c>
    </row>
    <row r="530">
      <c r="A530" s="1">
        <v>2022.0</v>
      </c>
      <c r="B530" s="1">
        <v>10.0</v>
      </c>
      <c r="C530" s="1" t="s">
        <v>116</v>
      </c>
      <c r="D530" s="1" t="s">
        <v>13</v>
      </c>
      <c r="E530" s="1" t="s">
        <v>25</v>
      </c>
      <c r="F530" s="1" t="s">
        <v>2091</v>
      </c>
      <c r="G530" s="1" t="s">
        <v>5392</v>
      </c>
      <c r="H530" s="1">
        <f t="shared" si="1"/>
        <v>5.149395</v>
      </c>
      <c r="I530" s="1" t="s">
        <v>5393</v>
      </c>
      <c r="J530" s="1">
        <v>6.0</v>
      </c>
    </row>
    <row r="531">
      <c r="A531" s="1">
        <v>2022.0</v>
      </c>
      <c r="B531" s="1">
        <v>10.0</v>
      </c>
      <c r="C531" s="1" t="s">
        <v>116</v>
      </c>
      <c r="D531" s="1" t="s">
        <v>29</v>
      </c>
      <c r="E531" s="1" t="s">
        <v>14</v>
      </c>
      <c r="F531" s="3">
        <v>101905.0</v>
      </c>
      <c r="G531" s="1" t="s">
        <v>5394</v>
      </c>
      <c r="H531" s="1">
        <f t="shared" si="1"/>
        <v>171.423595</v>
      </c>
      <c r="I531" s="1" t="s">
        <v>5395</v>
      </c>
      <c r="J531" s="1">
        <v>317.0</v>
      </c>
    </row>
    <row r="532">
      <c r="A532" s="1">
        <v>2022.0</v>
      </c>
      <c r="B532" s="1">
        <v>10.0</v>
      </c>
      <c r="C532" s="1" t="s">
        <v>116</v>
      </c>
      <c r="D532" s="1" t="s">
        <v>29</v>
      </c>
      <c r="E532" s="1" t="s">
        <v>21</v>
      </c>
      <c r="F532" s="1" t="s">
        <v>5396</v>
      </c>
      <c r="G532" s="1" t="s">
        <v>5397</v>
      </c>
      <c r="H532" s="1">
        <f t="shared" si="1"/>
        <v>9478.159229</v>
      </c>
      <c r="I532" s="1" t="s">
        <v>5398</v>
      </c>
      <c r="J532" s="1">
        <v>3575.0</v>
      </c>
    </row>
    <row r="533">
      <c r="A533" s="1">
        <v>2022.0</v>
      </c>
      <c r="B533" s="1">
        <v>10.0</v>
      </c>
      <c r="C533" s="1" t="s">
        <v>116</v>
      </c>
      <c r="D533" s="1" t="s">
        <v>45</v>
      </c>
      <c r="E533" s="1" t="s">
        <v>49</v>
      </c>
      <c r="F533" s="3">
        <v>2043565.0</v>
      </c>
      <c r="G533" s="1" t="s">
        <v>5399</v>
      </c>
      <c r="H533" s="1">
        <f t="shared" si="1"/>
        <v>170.628453</v>
      </c>
      <c r="I533" s="1" t="s">
        <v>5400</v>
      </c>
      <c r="J533" s="1">
        <v>340.0</v>
      </c>
    </row>
    <row r="534">
      <c r="A534" s="1">
        <v>2022.0</v>
      </c>
      <c r="B534" s="1">
        <v>10.0</v>
      </c>
      <c r="C534" s="1" t="s">
        <v>116</v>
      </c>
      <c r="D534" s="1" t="s">
        <v>45</v>
      </c>
      <c r="E534" s="1" t="s">
        <v>17</v>
      </c>
      <c r="F534" s="1" t="s">
        <v>5401</v>
      </c>
      <c r="G534" s="1" t="s">
        <v>5402</v>
      </c>
      <c r="H534" s="1">
        <f t="shared" si="1"/>
        <v>1233.112563</v>
      </c>
      <c r="I534" s="3">
        <v>2238694.0</v>
      </c>
      <c r="J534" s="1">
        <v>1747.0</v>
      </c>
    </row>
    <row r="535">
      <c r="A535" s="1">
        <v>2022.0</v>
      </c>
      <c r="B535" s="1">
        <v>10.0</v>
      </c>
      <c r="C535" s="1" t="s">
        <v>116</v>
      </c>
      <c r="D535" s="1" t="s">
        <v>3962</v>
      </c>
      <c r="E535" s="1" t="s">
        <v>17</v>
      </c>
      <c r="F535" s="1" t="s">
        <v>5403</v>
      </c>
      <c r="G535" s="1" t="s">
        <v>5404</v>
      </c>
      <c r="H535" s="1">
        <f t="shared" si="1"/>
        <v>1298.676268</v>
      </c>
      <c r="I535" s="3" t="s">
        <v>5405</v>
      </c>
      <c r="J535" s="1">
        <v>3925.0</v>
      </c>
    </row>
    <row r="536">
      <c r="A536" s="1">
        <v>2022.0</v>
      </c>
      <c r="B536" s="1">
        <v>10.0</v>
      </c>
      <c r="C536" s="1" t="s">
        <v>116</v>
      </c>
      <c r="D536" s="1" t="s">
        <v>48</v>
      </c>
      <c r="E536" s="1" t="s">
        <v>49</v>
      </c>
      <c r="F536" s="1" t="s">
        <v>5406</v>
      </c>
      <c r="G536" s="1" t="s">
        <v>5407</v>
      </c>
      <c r="H536" s="1">
        <f t="shared" si="1"/>
        <v>3.019777</v>
      </c>
      <c r="I536" s="1" t="s">
        <v>5408</v>
      </c>
      <c r="J536" s="1">
        <v>2.0</v>
      </c>
    </row>
    <row r="537">
      <c r="A537" s="1">
        <v>2022.0</v>
      </c>
      <c r="B537" s="1">
        <v>10.0</v>
      </c>
      <c r="C537" s="1" t="s">
        <v>116</v>
      </c>
      <c r="D537" s="1" t="s">
        <v>48</v>
      </c>
      <c r="E537" s="1" t="s">
        <v>72</v>
      </c>
      <c r="F537" s="1" t="s">
        <v>2368</v>
      </c>
      <c r="G537" s="1" t="s">
        <v>5409</v>
      </c>
      <c r="H537" s="1">
        <f t="shared" si="1"/>
        <v>5.180294</v>
      </c>
      <c r="I537" s="1" t="s">
        <v>3959</v>
      </c>
      <c r="J537" s="1">
        <v>13.0</v>
      </c>
    </row>
    <row r="538">
      <c r="A538" s="1">
        <v>2022.0</v>
      </c>
      <c r="B538" s="1">
        <v>10.0</v>
      </c>
      <c r="C538" s="1" t="s">
        <v>116</v>
      </c>
      <c r="D538" s="1" t="s">
        <v>48</v>
      </c>
      <c r="E538" s="1" t="s">
        <v>21</v>
      </c>
      <c r="F538" s="3">
        <v>2757249.0</v>
      </c>
      <c r="G538" s="1" t="s">
        <v>5410</v>
      </c>
      <c r="H538" s="1">
        <f t="shared" si="1"/>
        <v>724.666235</v>
      </c>
      <c r="I538" s="3" t="s">
        <v>5411</v>
      </c>
      <c r="J538" s="1">
        <v>459.0</v>
      </c>
    </row>
    <row r="539">
      <c r="A539" s="1">
        <v>2022.0</v>
      </c>
      <c r="B539" s="1">
        <v>10.0</v>
      </c>
      <c r="C539" s="1" t="s">
        <v>116</v>
      </c>
      <c r="D539" s="1" t="s">
        <v>38</v>
      </c>
      <c r="E539" s="1" t="s">
        <v>39</v>
      </c>
      <c r="F539" s="1" t="s">
        <v>5412</v>
      </c>
      <c r="G539" s="1" t="s">
        <v>5413</v>
      </c>
      <c r="H539" s="1">
        <f t="shared" si="1"/>
        <v>475.925125</v>
      </c>
      <c r="I539" s="3" t="s">
        <v>5414</v>
      </c>
      <c r="J539" s="1">
        <v>1957.0</v>
      </c>
    </row>
    <row r="540">
      <c r="A540" s="1">
        <v>2022.0</v>
      </c>
      <c r="B540" s="1">
        <v>10.0</v>
      </c>
      <c r="C540" s="1" t="s">
        <v>116</v>
      </c>
      <c r="D540" s="1" t="s">
        <v>147</v>
      </c>
      <c r="E540" s="1" t="s">
        <v>39</v>
      </c>
      <c r="F540" s="3" t="s">
        <v>5415</v>
      </c>
      <c r="G540" s="1" t="s">
        <v>5416</v>
      </c>
      <c r="H540" s="1">
        <f t="shared" si="1"/>
        <v>357.692522</v>
      </c>
      <c r="I540" s="1" t="s">
        <v>2583</v>
      </c>
      <c r="J540" s="1">
        <v>103.0</v>
      </c>
    </row>
    <row r="541">
      <c r="A541" s="1">
        <v>2022.0</v>
      </c>
      <c r="B541" s="1">
        <v>10.0</v>
      </c>
      <c r="C541" s="1" t="s">
        <v>116</v>
      </c>
      <c r="D541" s="1" t="s">
        <v>147</v>
      </c>
      <c r="E541" s="1" t="s">
        <v>17</v>
      </c>
      <c r="F541" s="1" t="s">
        <v>560</v>
      </c>
      <c r="G541" s="1" t="s">
        <v>5417</v>
      </c>
      <c r="H541" s="1">
        <f t="shared" si="1"/>
        <v>6.70971</v>
      </c>
      <c r="I541" s="1" t="s">
        <v>608</v>
      </c>
      <c r="J541" s="1">
        <v>5.0</v>
      </c>
    </row>
    <row r="542">
      <c r="A542" s="1">
        <v>2022.0</v>
      </c>
      <c r="B542" s="1">
        <v>10.0</v>
      </c>
      <c r="C542" s="1" t="s">
        <v>116</v>
      </c>
      <c r="D542" s="1" t="s">
        <v>147</v>
      </c>
      <c r="E542" s="1" t="s">
        <v>21</v>
      </c>
      <c r="F542" s="1" t="s">
        <v>5418</v>
      </c>
      <c r="G542" s="1" t="s">
        <v>5419</v>
      </c>
      <c r="H542" s="1">
        <f t="shared" si="1"/>
        <v>27.388981</v>
      </c>
      <c r="I542" s="1" t="s">
        <v>5420</v>
      </c>
      <c r="J542" s="1">
        <v>39.0</v>
      </c>
    </row>
    <row r="543">
      <c r="A543" s="1">
        <v>2022.0</v>
      </c>
      <c r="B543" s="1">
        <v>10.0</v>
      </c>
      <c r="C543" s="1" t="s">
        <v>116</v>
      </c>
      <c r="D543" s="1" t="s">
        <v>1851</v>
      </c>
      <c r="E543" s="1" t="s">
        <v>17</v>
      </c>
      <c r="F543" s="3">
        <v>278772.0</v>
      </c>
      <c r="G543" s="1" t="s">
        <v>5421</v>
      </c>
      <c r="H543" s="1">
        <f t="shared" si="1"/>
        <v>271.082675</v>
      </c>
      <c r="I543" s="3">
        <v>1652725.0</v>
      </c>
      <c r="J543" s="1">
        <v>1321.0</v>
      </c>
    </row>
    <row r="544">
      <c r="A544" s="1">
        <v>2022.0</v>
      </c>
      <c r="B544" s="1">
        <v>10.0</v>
      </c>
      <c r="C544" s="1" t="s">
        <v>116</v>
      </c>
      <c r="D544" s="1" t="s">
        <v>1851</v>
      </c>
      <c r="E544" s="1" t="s">
        <v>21</v>
      </c>
      <c r="F544" s="1" t="s">
        <v>5261</v>
      </c>
      <c r="G544" s="1" t="s">
        <v>5422</v>
      </c>
      <c r="H544" s="1">
        <f t="shared" si="1"/>
        <v>13.200875</v>
      </c>
      <c r="I544" s="1" t="s">
        <v>5423</v>
      </c>
      <c r="J544" s="1">
        <v>69.0</v>
      </c>
    </row>
    <row r="545">
      <c r="A545" s="1">
        <v>2022.0</v>
      </c>
      <c r="B545" s="1">
        <v>10.0</v>
      </c>
      <c r="C545" s="1" t="s">
        <v>116</v>
      </c>
      <c r="D545" s="1" t="s">
        <v>42</v>
      </c>
      <c r="E545" s="1" t="s">
        <v>17</v>
      </c>
      <c r="F545" s="3">
        <v>107019.0</v>
      </c>
      <c r="G545" s="1" t="s">
        <v>5424</v>
      </c>
      <c r="H545" s="1">
        <f t="shared" si="1"/>
        <v>243.123197</v>
      </c>
      <c r="I545" s="1" t="s">
        <v>3999</v>
      </c>
      <c r="J545" s="1">
        <v>0.0</v>
      </c>
    </row>
    <row r="546">
      <c r="A546" s="1">
        <v>2022.0</v>
      </c>
      <c r="B546" s="1">
        <v>10.0</v>
      </c>
      <c r="C546" s="1" t="s">
        <v>116</v>
      </c>
      <c r="D546" s="1" t="s">
        <v>165</v>
      </c>
      <c r="E546" s="1" t="s">
        <v>39</v>
      </c>
      <c r="F546" s="1" t="s">
        <v>5425</v>
      </c>
      <c r="G546" s="1" t="s">
        <v>5426</v>
      </c>
      <c r="H546" s="1">
        <f t="shared" si="1"/>
        <v>60.715272</v>
      </c>
      <c r="I546" s="1" t="s">
        <v>5427</v>
      </c>
      <c r="J546" s="1">
        <v>0.0</v>
      </c>
    </row>
    <row r="547">
      <c r="A547" s="1">
        <v>2022.0</v>
      </c>
      <c r="B547" s="1">
        <v>10.0</v>
      </c>
      <c r="C547" s="1" t="s">
        <v>116</v>
      </c>
      <c r="D547" s="1" t="s">
        <v>165</v>
      </c>
      <c r="E547" s="1" t="s">
        <v>17</v>
      </c>
      <c r="F547" s="1" t="s">
        <v>5428</v>
      </c>
      <c r="G547" s="1" t="s">
        <v>5429</v>
      </c>
      <c r="H547" s="1">
        <f t="shared" si="1"/>
        <v>143.892056</v>
      </c>
      <c r="I547" s="1" t="s">
        <v>5430</v>
      </c>
      <c r="J547" s="1">
        <v>0.0</v>
      </c>
    </row>
    <row r="548">
      <c r="A548" s="1">
        <v>2022.0</v>
      </c>
      <c r="B548" s="1">
        <v>11.0</v>
      </c>
      <c r="C548" s="1" t="s">
        <v>12</v>
      </c>
      <c r="D548" s="1" t="s">
        <v>29</v>
      </c>
      <c r="E548" s="1" t="s">
        <v>14</v>
      </c>
      <c r="F548" s="1" t="s">
        <v>5431</v>
      </c>
      <c r="G548" s="1" t="s">
        <v>5432</v>
      </c>
      <c r="H548" s="1">
        <f t="shared" si="1"/>
        <v>16.871048</v>
      </c>
      <c r="I548" s="1" t="s">
        <v>5433</v>
      </c>
      <c r="J548" s="1">
        <v>15.0</v>
      </c>
    </row>
    <row r="549">
      <c r="A549" s="1">
        <v>2022.0</v>
      </c>
      <c r="B549" s="1">
        <v>11.0</v>
      </c>
      <c r="C549" s="1" t="s">
        <v>12</v>
      </c>
      <c r="D549" s="1" t="s">
        <v>29</v>
      </c>
      <c r="E549" s="1" t="s">
        <v>21</v>
      </c>
      <c r="F549" s="1" t="s">
        <v>5434</v>
      </c>
      <c r="G549" s="1" t="s">
        <v>5435</v>
      </c>
      <c r="H549" s="1">
        <f t="shared" si="1"/>
        <v>9408.441847</v>
      </c>
      <c r="I549" s="1" t="s">
        <v>5436</v>
      </c>
      <c r="J549" s="1">
        <v>641.0</v>
      </c>
    </row>
    <row r="550">
      <c r="A550" s="1">
        <v>2022.0</v>
      </c>
      <c r="B550" s="1">
        <v>11.0</v>
      </c>
      <c r="C550" s="1" t="s">
        <v>12</v>
      </c>
      <c r="D550" s="1" t="s">
        <v>13</v>
      </c>
      <c r="E550" s="1" t="s">
        <v>14</v>
      </c>
      <c r="F550" s="3" t="s">
        <v>5437</v>
      </c>
      <c r="G550" s="1" t="s">
        <v>5438</v>
      </c>
      <c r="H550" s="1">
        <f t="shared" si="1"/>
        <v>496.745959</v>
      </c>
      <c r="I550" s="3">
        <v>304979.0</v>
      </c>
      <c r="J550" s="1">
        <v>408.0</v>
      </c>
    </row>
    <row r="551">
      <c r="A551" s="1">
        <v>2022.0</v>
      </c>
      <c r="B551" s="1">
        <v>11.0</v>
      </c>
      <c r="C551" s="1" t="s">
        <v>12</v>
      </c>
      <c r="D551" s="1" t="s">
        <v>13</v>
      </c>
      <c r="E551" s="1" t="s">
        <v>17</v>
      </c>
      <c r="F551" s="1" t="s">
        <v>5439</v>
      </c>
      <c r="G551" s="1" t="s">
        <v>5440</v>
      </c>
      <c r="H551" s="1">
        <f t="shared" si="1"/>
        <v>4540.566278</v>
      </c>
      <c r="I551" s="1" t="s">
        <v>5442</v>
      </c>
      <c r="J551" s="1">
        <v>623.0</v>
      </c>
    </row>
    <row r="552">
      <c r="A552" s="1">
        <v>2022.0</v>
      </c>
      <c r="B552" s="1">
        <v>11.0</v>
      </c>
      <c r="C552" s="1" t="s">
        <v>12</v>
      </c>
      <c r="D552" s="1" t="s">
        <v>13</v>
      </c>
      <c r="E552" s="1" t="s">
        <v>21</v>
      </c>
      <c r="F552" s="1" t="s">
        <v>5443</v>
      </c>
      <c r="G552" s="1" t="s">
        <v>5444</v>
      </c>
      <c r="H552" s="1">
        <f t="shared" si="1"/>
        <v>3393.635887</v>
      </c>
      <c r="I552" s="1" t="s">
        <v>5445</v>
      </c>
      <c r="J552" s="1">
        <v>530.0</v>
      </c>
    </row>
    <row r="553">
      <c r="A553" s="1">
        <v>2022.0</v>
      </c>
      <c r="B553" s="1">
        <v>11.0</v>
      </c>
      <c r="C553" s="1" t="s">
        <v>12</v>
      </c>
      <c r="D553" s="1" t="s">
        <v>48</v>
      </c>
      <c r="E553" s="1" t="s">
        <v>49</v>
      </c>
      <c r="F553" s="1" t="s">
        <v>396</v>
      </c>
      <c r="G553" s="1" t="s">
        <v>5447</v>
      </c>
      <c r="H553" s="1">
        <f t="shared" si="1"/>
        <v>0.748993</v>
      </c>
      <c r="I553" s="1" t="s">
        <v>414</v>
      </c>
      <c r="J553" s="1">
        <v>3.0</v>
      </c>
    </row>
    <row r="554">
      <c r="A554" s="1">
        <v>2022.0</v>
      </c>
      <c r="B554" s="1">
        <v>11.0</v>
      </c>
      <c r="C554" s="1" t="s">
        <v>12</v>
      </c>
      <c r="D554" s="1" t="s">
        <v>48</v>
      </c>
      <c r="E554" s="1" t="s">
        <v>21</v>
      </c>
      <c r="F554" s="3">
        <v>2707179.0</v>
      </c>
      <c r="G554" s="1" t="s">
        <v>5448</v>
      </c>
      <c r="H554" s="1">
        <f t="shared" si="1"/>
        <v>324.043187</v>
      </c>
      <c r="I554" s="1" t="s">
        <v>5450</v>
      </c>
      <c r="J554" s="1">
        <v>163.0</v>
      </c>
    </row>
    <row r="555">
      <c r="A555" s="1">
        <v>2022.0</v>
      </c>
      <c r="B555" s="1">
        <v>11.0</v>
      </c>
      <c r="C555" s="1" t="s">
        <v>12</v>
      </c>
      <c r="D555" s="1" t="s">
        <v>38</v>
      </c>
      <c r="E555" s="1" t="s">
        <v>39</v>
      </c>
      <c r="F555" s="3">
        <v>274330.0</v>
      </c>
      <c r="G555" s="1" t="s">
        <v>5451</v>
      </c>
      <c r="H555" s="1">
        <f t="shared" si="1"/>
        <v>272.690067</v>
      </c>
      <c r="I555" s="1" t="s">
        <v>5452</v>
      </c>
      <c r="J555" s="1">
        <v>134.0</v>
      </c>
    </row>
    <row r="556">
      <c r="A556" s="1">
        <v>2022.0</v>
      </c>
      <c r="B556" s="1">
        <v>11.0</v>
      </c>
      <c r="C556" s="1" t="s">
        <v>12</v>
      </c>
      <c r="D556" s="1" t="s">
        <v>45</v>
      </c>
      <c r="E556" s="1" t="s">
        <v>49</v>
      </c>
      <c r="F556" s="1" t="s">
        <v>5453</v>
      </c>
      <c r="G556" s="1" t="s">
        <v>5454</v>
      </c>
      <c r="H556" s="1">
        <f t="shared" si="1"/>
        <v>2.105549</v>
      </c>
      <c r="I556" s="1" t="s">
        <v>4423</v>
      </c>
      <c r="J556" s="1">
        <v>5.0</v>
      </c>
    </row>
    <row r="557">
      <c r="A557" s="1">
        <v>2022.0</v>
      </c>
      <c r="B557" s="1">
        <v>11.0</v>
      </c>
      <c r="C557" s="1" t="s">
        <v>12</v>
      </c>
      <c r="D557" s="1" t="s">
        <v>45</v>
      </c>
      <c r="E557" s="1" t="s">
        <v>17</v>
      </c>
      <c r="F557" s="3">
        <v>2887609.0</v>
      </c>
      <c r="G557" s="1" t="s">
        <v>5455</v>
      </c>
      <c r="H557" s="1">
        <f t="shared" si="1"/>
        <v>150.151548</v>
      </c>
      <c r="I557" s="1" t="s">
        <v>5457</v>
      </c>
      <c r="J557" s="1">
        <v>158.0</v>
      </c>
    </row>
    <row r="558">
      <c r="A558" s="1">
        <v>2022.0</v>
      </c>
      <c r="B558" s="1">
        <v>11.0</v>
      </c>
      <c r="C558" s="1" t="s">
        <v>12</v>
      </c>
      <c r="D558" s="1" t="s">
        <v>3962</v>
      </c>
      <c r="E558" s="1" t="s">
        <v>17</v>
      </c>
      <c r="F558" s="3" t="s">
        <v>5458</v>
      </c>
      <c r="G558" s="1" t="s">
        <v>5459</v>
      </c>
      <c r="H558" s="1">
        <f t="shared" si="1"/>
        <v>106.11928</v>
      </c>
      <c r="I558" s="1" t="s">
        <v>5460</v>
      </c>
      <c r="J558" s="1">
        <v>114.0</v>
      </c>
    </row>
    <row r="559">
      <c r="A559" s="1">
        <v>2022.0</v>
      </c>
      <c r="B559" s="1">
        <v>11.0</v>
      </c>
      <c r="C559" s="1" t="s">
        <v>12</v>
      </c>
      <c r="D559" s="1" t="s">
        <v>4127</v>
      </c>
      <c r="E559" s="1" t="s">
        <v>17</v>
      </c>
      <c r="F559" s="3" t="s">
        <v>5461</v>
      </c>
      <c r="G559" s="1" t="s">
        <v>5462</v>
      </c>
      <c r="H559" s="1">
        <f t="shared" si="1"/>
        <v>88.332611</v>
      </c>
      <c r="I559" s="1" t="s">
        <v>5463</v>
      </c>
      <c r="J559" s="1">
        <v>76.0</v>
      </c>
    </row>
    <row r="560">
      <c r="A560" s="1">
        <v>2022.0</v>
      </c>
      <c r="B560" s="1">
        <v>11.0</v>
      </c>
      <c r="C560" s="1" t="s">
        <v>12</v>
      </c>
      <c r="D560" s="1" t="s">
        <v>42</v>
      </c>
      <c r="E560" s="1" t="s">
        <v>17</v>
      </c>
      <c r="F560" s="1" t="s">
        <v>2884</v>
      </c>
      <c r="G560" s="1" t="s">
        <v>5465</v>
      </c>
      <c r="H560" s="1">
        <f t="shared" si="1"/>
        <v>64.83573</v>
      </c>
      <c r="I560" s="1" t="s">
        <v>5466</v>
      </c>
      <c r="J560" s="1">
        <v>22.0</v>
      </c>
    </row>
    <row r="561">
      <c r="A561" s="1">
        <v>2022.0</v>
      </c>
      <c r="B561" s="1">
        <v>11.0</v>
      </c>
      <c r="C561" s="1" t="s">
        <v>12</v>
      </c>
      <c r="D561" s="1" t="s">
        <v>1851</v>
      </c>
      <c r="E561" s="1" t="s">
        <v>17</v>
      </c>
      <c r="F561" s="1" t="s">
        <v>5467</v>
      </c>
      <c r="G561" s="1" t="s">
        <v>5468</v>
      </c>
      <c r="H561" s="1">
        <f t="shared" si="1"/>
        <v>49.349484</v>
      </c>
      <c r="I561" s="1" t="s">
        <v>5469</v>
      </c>
      <c r="J561" s="1">
        <v>139.0</v>
      </c>
    </row>
    <row r="562">
      <c r="A562" s="1">
        <v>2022.0</v>
      </c>
      <c r="B562" s="1">
        <v>11.0</v>
      </c>
      <c r="C562" s="1" t="s">
        <v>12</v>
      </c>
      <c r="D562" s="1" t="s">
        <v>4955</v>
      </c>
      <c r="E562" s="1" t="s">
        <v>49</v>
      </c>
      <c r="F562" s="3">
        <v>604478.0</v>
      </c>
      <c r="G562" s="1" t="s">
        <v>5470</v>
      </c>
      <c r="H562" s="1">
        <f t="shared" si="1"/>
        <v>43.21783</v>
      </c>
      <c r="I562" s="1" t="s">
        <v>5471</v>
      </c>
      <c r="J562" s="1">
        <v>0.0</v>
      </c>
    </row>
    <row r="563">
      <c r="A563" s="1">
        <v>2022.0</v>
      </c>
      <c r="B563" s="1">
        <v>11.0</v>
      </c>
      <c r="C563" s="1" t="s">
        <v>68</v>
      </c>
      <c r="D563" s="1" t="s">
        <v>13</v>
      </c>
      <c r="E563" s="1" t="s">
        <v>14</v>
      </c>
      <c r="F563" s="1" t="s">
        <v>5473</v>
      </c>
      <c r="G563" s="1" t="s">
        <v>5474</v>
      </c>
      <c r="H563" s="1">
        <f t="shared" si="1"/>
        <v>1228.08464</v>
      </c>
      <c r="I563" s="3">
        <v>88450.0</v>
      </c>
      <c r="J563" s="1">
        <v>2865.0</v>
      </c>
    </row>
    <row r="564">
      <c r="A564" s="1">
        <v>2022.0</v>
      </c>
      <c r="B564" s="1">
        <v>11.0</v>
      </c>
      <c r="C564" s="1" t="s">
        <v>68</v>
      </c>
      <c r="D564" s="1" t="s">
        <v>13</v>
      </c>
      <c r="E564" s="1" t="s">
        <v>17</v>
      </c>
      <c r="F564" s="1" t="s">
        <v>5475</v>
      </c>
      <c r="G564" s="1" t="s">
        <v>5476</v>
      </c>
      <c r="H564" s="1">
        <f t="shared" si="1"/>
        <v>4286.652432</v>
      </c>
      <c r="I564" s="3">
        <v>1953989.0</v>
      </c>
      <c r="J564" s="1">
        <v>8472.0</v>
      </c>
    </row>
    <row r="565">
      <c r="A565" s="1">
        <v>2022.0</v>
      </c>
      <c r="B565" s="1">
        <v>11.0</v>
      </c>
      <c r="C565" s="1" t="s">
        <v>68</v>
      </c>
      <c r="D565" s="1" t="s">
        <v>13</v>
      </c>
      <c r="E565" s="1" t="s">
        <v>21</v>
      </c>
      <c r="F565" s="1">
        <v>8.0</v>
      </c>
      <c r="G565" s="1" t="s">
        <v>5477</v>
      </c>
      <c r="H565" s="1">
        <f t="shared" si="1"/>
        <v>1120.362013</v>
      </c>
      <c r="I565" s="1" t="s">
        <v>5478</v>
      </c>
      <c r="J565" s="1">
        <v>3215.0</v>
      </c>
    </row>
    <row r="566">
      <c r="A566" s="1">
        <v>2022.0</v>
      </c>
      <c r="B566" s="1">
        <v>11.0</v>
      </c>
      <c r="C566" s="1" t="s">
        <v>68</v>
      </c>
      <c r="D566" s="1" t="s">
        <v>29</v>
      </c>
      <c r="E566" s="1" t="s">
        <v>14</v>
      </c>
      <c r="F566" s="1" t="s">
        <v>4036</v>
      </c>
      <c r="G566" s="1" t="s">
        <v>5479</v>
      </c>
      <c r="H566" s="1">
        <f t="shared" si="1"/>
        <v>88.458725</v>
      </c>
      <c r="I566" s="1" t="s">
        <v>5480</v>
      </c>
      <c r="J566" s="1">
        <v>211.0</v>
      </c>
    </row>
    <row r="567">
      <c r="A567" s="1">
        <v>2022.0</v>
      </c>
      <c r="B567" s="1">
        <v>11.0</v>
      </c>
      <c r="C567" s="1" t="s">
        <v>68</v>
      </c>
      <c r="D567" s="1" t="s">
        <v>29</v>
      </c>
      <c r="E567" s="1" t="s">
        <v>21</v>
      </c>
      <c r="F567" s="1" t="s">
        <v>5481</v>
      </c>
      <c r="G567" s="1" t="s">
        <v>5482</v>
      </c>
      <c r="H567" s="1">
        <f t="shared" si="1"/>
        <v>2785.755125</v>
      </c>
      <c r="I567" s="3">
        <v>1835862.0</v>
      </c>
      <c r="J567" s="1">
        <v>2672.0</v>
      </c>
    </row>
    <row r="568">
      <c r="A568" s="1">
        <v>2022.0</v>
      </c>
      <c r="B568" s="1">
        <v>11.0</v>
      </c>
      <c r="C568" s="1" t="s">
        <v>68</v>
      </c>
      <c r="D568" s="1" t="s">
        <v>45</v>
      </c>
      <c r="E568" s="1" t="s">
        <v>49</v>
      </c>
      <c r="F568" s="1" t="s">
        <v>5483</v>
      </c>
      <c r="G568" s="1" t="s">
        <v>5484</v>
      </c>
      <c r="H568" s="1">
        <f t="shared" si="1"/>
        <v>61.275691</v>
      </c>
      <c r="I568" s="1" t="s">
        <v>953</v>
      </c>
      <c r="J568" s="1">
        <v>143.0</v>
      </c>
    </row>
    <row r="569">
      <c r="A569" s="1">
        <v>2022.0</v>
      </c>
      <c r="B569" s="1">
        <v>11.0</v>
      </c>
      <c r="C569" s="1" t="s">
        <v>68</v>
      </c>
      <c r="D569" s="1" t="s">
        <v>45</v>
      </c>
      <c r="E569" s="1" t="s">
        <v>17</v>
      </c>
      <c r="F569" s="3">
        <v>928722.0</v>
      </c>
      <c r="G569" s="1" t="s">
        <v>5486</v>
      </c>
      <c r="H569" s="1">
        <f t="shared" si="1"/>
        <v>688.064093</v>
      </c>
      <c r="I569" s="1" t="s">
        <v>5487</v>
      </c>
      <c r="J569" s="1">
        <v>1374.0</v>
      </c>
    </row>
    <row r="570">
      <c r="A570" s="1">
        <v>2022.0</v>
      </c>
      <c r="B570" s="1">
        <v>11.0</v>
      </c>
      <c r="C570" s="1" t="s">
        <v>68</v>
      </c>
      <c r="D570" s="1" t="s">
        <v>3962</v>
      </c>
      <c r="E570" s="1" t="s">
        <v>17</v>
      </c>
      <c r="F570" s="3">
        <v>1901850.0</v>
      </c>
      <c r="G570" s="1" t="s">
        <v>5489</v>
      </c>
      <c r="H570" s="1">
        <f t="shared" si="1"/>
        <v>224.938493</v>
      </c>
      <c r="I570" s="1" t="s">
        <v>5490</v>
      </c>
      <c r="J570" s="1">
        <v>820.0</v>
      </c>
    </row>
    <row r="571">
      <c r="A571" s="1">
        <v>2022.0</v>
      </c>
      <c r="B571" s="1">
        <v>11.0</v>
      </c>
      <c r="C571" s="1" t="s">
        <v>68</v>
      </c>
      <c r="D571" s="1" t="s">
        <v>38</v>
      </c>
      <c r="E571" s="1" t="s">
        <v>39</v>
      </c>
      <c r="F571" s="3">
        <v>1061428.0</v>
      </c>
      <c r="G571" s="1" t="s">
        <v>5491</v>
      </c>
      <c r="H571" s="1">
        <f t="shared" si="1"/>
        <v>168.139456</v>
      </c>
      <c r="I571" s="1" t="s">
        <v>5492</v>
      </c>
      <c r="J571" s="1">
        <v>1008.0</v>
      </c>
    </row>
    <row r="572">
      <c r="A572" s="1">
        <v>2022.0</v>
      </c>
      <c r="B572" s="1">
        <v>11.0</v>
      </c>
      <c r="C572" s="1" t="s">
        <v>68</v>
      </c>
      <c r="D572" s="1" t="s">
        <v>42</v>
      </c>
      <c r="E572" s="1" t="s">
        <v>17</v>
      </c>
      <c r="F572" s="1" t="s">
        <v>5493</v>
      </c>
      <c r="G572" s="1" t="s">
        <v>5494</v>
      </c>
      <c r="H572" s="1">
        <f t="shared" si="1"/>
        <v>138.358881</v>
      </c>
      <c r="I572" s="1" t="s">
        <v>5496</v>
      </c>
      <c r="J572" s="1">
        <v>0.0</v>
      </c>
    </row>
    <row r="573">
      <c r="A573" s="1">
        <v>2022.0</v>
      </c>
      <c r="B573" s="1">
        <v>11.0</v>
      </c>
      <c r="C573" s="1" t="s">
        <v>68</v>
      </c>
      <c r="D573" s="1" t="s">
        <v>48</v>
      </c>
      <c r="E573" s="1" t="s">
        <v>49</v>
      </c>
      <c r="F573" s="1" t="s">
        <v>1056</v>
      </c>
      <c r="G573" s="1" t="s">
        <v>5497</v>
      </c>
      <c r="H573" s="1">
        <f t="shared" si="1"/>
        <v>0.849911</v>
      </c>
      <c r="I573" s="1" t="s">
        <v>75</v>
      </c>
      <c r="J573" s="1">
        <v>2.0</v>
      </c>
    </row>
    <row r="574">
      <c r="A574" s="1">
        <v>2022.0</v>
      </c>
      <c r="B574" s="1">
        <v>11.0</v>
      </c>
      <c r="C574" s="1" t="s">
        <v>68</v>
      </c>
      <c r="D574" s="1" t="s">
        <v>48</v>
      </c>
      <c r="E574" s="1" t="s">
        <v>72</v>
      </c>
      <c r="F574" s="1" t="s">
        <v>414</v>
      </c>
      <c r="G574" s="1" t="s">
        <v>5498</v>
      </c>
      <c r="H574" s="1">
        <f t="shared" si="1"/>
        <v>0.229419</v>
      </c>
      <c r="I574" s="1" t="s">
        <v>376</v>
      </c>
      <c r="J574" s="1">
        <v>1.0</v>
      </c>
    </row>
    <row r="575">
      <c r="A575" s="1">
        <v>2022.0</v>
      </c>
      <c r="B575" s="1">
        <v>11.0</v>
      </c>
      <c r="C575" s="1" t="s">
        <v>68</v>
      </c>
      <c r="D575" s="1" t="s">
        <v>48</v>
      </c>
      <c r="E575" s="1" t="s">
        <v>21</v>
      </c>
      <c r="F575" s="1" t="s">
        <v>4274</v>
      </c>
      <c r="G575" s="1" t="s">
        <v>5499</v>
      </c>
      <c r="H575" s="1">
        <f t="shared" si="1"/>
        <v>106.645087</v>
      </c>
      <c r="I575" s="1" t="s">
        <v>5500</v>
      </c>
      <c r="J575" s="1">
        <v>174.0</v>
      </c>
    </row>
    <row r="576">
      <c r="A576" s="1">
        <v>2022.0</v>
      </c>
      <c r="B576" s="1">
        <v>11.0</v>
      </c>
      <c r="C576" s="1" t="s">
        <v>68</v>
      </c>
      <c r="D576" s="1" t="s">
        <v>5366</v>
      </c>
      <c r="E576" s="1" t="s">
        <v>17</v>
      </c>
      <c r="F576" s="3">
        <v>596077.0</v>
      </c>
      <c r="G576" s="1" t="s">
        <v>5501</v>
      </c>
      <c r="H576" s="1">
        <f t="shared" si="1"/>
        <v>95.727793</v>
      </c>
      <c r="I576" s="1" t="s">
        <v>5502</v>
      </c>
      <c r="J576" s="1">
        <v>382.0</v>
      </c>
    </row>
    <row r="577">
      <c r="A577" s="1">
        <v>2022.0</v>
      </c>
      <c r="B577" s="1">
        <v>11.0</v>
      </c>
      <c r="C577" s="1" t="s">
        <v>68</v>
      </c>
      <c r="D577" s="1" t="s">
        <v>4955</v>
      </c>
      <c r="E577" s="1" t="s">
        <v>49</v>
      </c>
      <c r="F577" s="3" t="s">
        <v>5504</v>
      </c>
      <c r="G577" s="1" t="s">
        <v>5505</v>
      </c>
      <c r="H577" s="1">
        <f t="shared" si="1"/>
        <v>94.908582</v>
      </c>
      <c r="I577" s="1" t="s">
        <v>5506</v>
      </c>
      <c r="J577" s="1">
        <v>624.0</v>
      </c>
    </row>
    <row r="578">
      <c r="A578" s="1">
        <v>2022.0</v>
      </c>
      <c r="B578" s="1">
        <v>11.0</v>
      </c>
      <c r="C578" s="1" t="s">
        <v>68</v>
      </c>
      <c r="D578" s="1" t="s">
        <v>2104</v>
      </c>
      <c r="E578" s="1" t="s">
        <v>17</v>
      </c>
      <c r="F578" s="3">
        <v>1483982.0</v>
      </c>
      <c r="G578" s="1" t="s">
        <v>5507</v>
      </c>
      <c r="H578" s="1">
        <f t="shared" si="1"/>
        <v>91.942844</v>
      </c>
      <c r="I578" s="1" t="s">
        <v>5508</v>
      </c>
      <c r="J578" s="1">
        <v>782.0</v>
      </c>
    </row>
    <row r="579">
      <c r="A579" s="1">
        <v>2022.0</v>
      </c>
      <c r="B579" s="1">
        <v>11.0</v>
      </c>
      <c r="C579" s="1" t="s">
        <v>116</v>
      </c>
      <c r="D579" s="1" t="s">
        <v>13</v>
      </c>
      <c r="E579" s="1" t="s">
        <v>14</v>
      </c>
      <c r="F579" s="1" t="s">
        <v>5509</v>
      </c>
      <c r="G579" s="1" t="s">
        <v>5510</v>
      </c>
      <c r="H579" s="1">
        <f t="shared" si="1"/>
        <v>2573.47519</v>
      </c>
      <c r="I579" s="3">
        <v>2645970.0</v>
      </c>
      <c r="J579" s="1">
        <v>4883.0</v>
      </c>
    </row>
    <row r="580">
      <c r="A580" s="1">
        <v>2022.0</v>
      </c>
      <c r="B580" s="1">
        <v>11.0</v>
      </c>
      <c r="C580" s="1" t="s">
        <v>116</v>
      </c>
      <c r="D580" s="1" t="s">
        <v>13</v>
      </c>
      <c r="E580" s="1" t="s">
        <v>17</v>
      </c>
      <c r="F580" s="1" t="s">
        <v>5511</v>
      </c>
      <c r="G580" s="1" t="s">
        <v>5512</v>
      </c>
      <c r="H580" s="1">
        <f t="shared" si="1"/>
        <v>12847.27447</v>
      </c>
      <c r="I580" s="1" t="s">
        <v>5513</v>
      </c>
      <c r="J580" s="1">
        <v>17478.0</v>
      </c>
    </row>
    <row r="581">
      <c r="A581" s="1">
        <v>2022.0</v>
      </c>
      <c r="B581" s="1">
        <v>11.0</v>
      </c>
      <c r="C581" s="1" t="s">
        <v>116</v>
      </c>
      <c r="D581" s="1" t="s">
        <v>13</v>
      </c>
      <c r="E581" s="1" t="s">
        <v>21</v>
      </c>
      <c r="F581" s="1" t="s">
        <v>5514</v>
      </c>
      <c r="G581" s="1" t="s">
        <v>5515</v>
      </c>
      <c r="H581" s="1">
        <f t="shared" si="1"/>
        <v>3373.018281</v>
      </c>
      <c r="I581" s="3">
        <v>714751.0</v>
      </c>
      <c r="J581" s="1">
        <v>5795.0</v>
      </c>
    </row>
    <row r="582">
      <c r="A582" s="1">
        <v>2022.0</v>
      </c>
      <c r="B582" s="1">
        <v>11.0</v>
      </c>
      <c r="C582" s="1" t="s">
        <v>116</v>
      </c>
      <c r="D582" s="1" t="s">
        <v>13</v>
      </c>
      <c r="E582" s="1" t="s">
        <v>25</v>
      </c>
      <c r="F582" s="1" t="s">
        <v>3141</v>
      </c>
      <c r="G582" s="1" t="s">
        <v>5516</v>
      </c>
      <c r="H582" s="1">
        <f t="shared" si="1"/>
        <v>4.983299</v>
      </c>
      <c r="I582" s="1" t="s">
        <v>4081</v>
      </c>
      <c r="J582" s="1">
        <v>6.0</v>
      </c>
    </row>
    <row r="583">
      <c r="A583" s="1">
        <v>2022.0</v>
      </c>
      <c r="B583" s="1">
        <v>11.0</v>
      </c>
      <c r="C583" s="1" t="s">
        <v>116</v>
      </c>
      <c r="D583" s="1" t="s">
        <v>29</v>
      </c>
      <c r="E583" s="1" t="s">
        <v>14</v>
      </c>
      <c r="F583" s="3">
        <v>540196.0</v>
      </c>
      <c r="G583" s="1" t="s">
        <v>5517</v>
      </c>
      <c r="H583" s="1">
        <f t="shared" si="1"/>
        <v>183.446344</v>
      </c>
      <c r="I583" s="1" t="s">
        <v>5518</v>
      </c>
      <c r="J583" s="1">
        <v>343.0</v>
      </c>
    </row>
    <row r="584">
      <c r="A584" s="1">
        <v>2022.0</v>
      </c>
      <c r="B584" s="1">
        <v>11.0</v>
      </c>
      <c r="C584" s="1" t="s">
        <v>116</v>
      </c>
      <c r="D584" s="1" t="s">
        <v>29</v>
      </c>
      <c r="E584" s="1" t="s">
        <v>21</v>
      </c>
      <c r="F584" s="1" t="s">
        <v>5519</v>
      </c>
      <c r="G584" s="1" t="s">
        <v>5520</v>
      </c>
      <c r="H584" s="1">
        <f t="shared" si="1"/>
        <v>11510.50218</v>
      </c>
      <c r="I584" s="1" t="s">
        <v>5521</v>
      </c>
      <c r="J584" s="1">
        <v>8509.0</v>
      </c>
    </row>
    <row r="585">
      <c r="A585" s="1">
        <v>2022.0</v>
      </c>
      <c r="B585" s="1">
        <v>11.0</v>
      </c>
      <c r="C585" s="1" t="s">
        <v>116</v>
      </c>
      <c r="D585" s="1" t="s">
        <v>45</v>
      </c>
      <c r="E585" s="1" t="s">
        <v>49</v>
      </c>
      <c r="F585" s="3">
        <v>2357673.0</v>
      </c>
      <c r="G585" s="1" t="s">
        <v>5522</v>
      </c>
      <c r="H585" s="1">
        <f t="shared" si="1"/>
        <v>186.037718</v>
      </c>
      <c r="I585" s="1" t="s">
        <v>5524</v>
      </c>
      <c r="J585" s="1">
        <v>357.0</v>
      </c>
    </row>
    <row r="586">
      <c r="A586" s="1">
        <v>2022.0</v>
      </c>
      <c r="B586" s="1">
        <v>11.0</v>
      </c>
      <c r="C586" s="1" t="s">
        <v>116</v>
      </c>
      <c r="D586" s="1" t="s">
        <v>45</v>
      </c>
      <c r="E586" s="1" t="s">
        <v>17</v>
      </c>
      <c r="F586" s="1" t="s">
        <v>5525</v>
      </c>
      <c r="G586" s="1" t="s">
        <v>5526</v>
      </c>
      <c r="H586" s="1">
        <f t="shared" si="1"/>
        <v>1613.689563</v>
      </c>
      <c r="I586" s="3">
        <v>1625147.0</v>
      </c>
      <c r="J586" s="1">
        <v>1850.0</v>
      </c>
    </row>
    <row r="587">
      <c r="A587" s="1">
        <v>2022.0</v>
      </c>
      <c r="B587" s="1">
        <v>11.0</v>
      </c>
      <c r="C587" s="1" t="s">
        <v>116</v>
      </c>
      <c r="D587" s="1" t="s">
        <v>3962</v>
      </c>
      <c r="E587" s="1" t="s">
        <v>17</v>
      </c>
      <c r="F587" s="1" t="s">
        <v>5527</v>
      </c>
      <c r="G587" s="1" t="s">
        <v>5528</v>
      </c>
      <c r="H587" s="1">
        <f t="shared" si="1"/>
        <v>1377.68061</v>
      </c>
      <c r="I587" s="3">
        <v>1514783.0</v>
      </c>
      <c r="J587" s="1">
        <v>4305.0</v>
      </c>
    </row>
    <row r="588">
      <c r="A588" s="1">
        <v>2022.0</v>
      </c>
      <c r="B588" s="1">
        <v>11.0</v>
      </c>
      <c r="C588" s="1" t="s">
        <v>116</v>
      </c>
      <c r="D588" s="1" t="s">
        <v>48</v>
      </c>
      <c r="E588" s="1" t="s">
        <v>49</v>
      </c>
      <c r="F588" s="1" t="s">
        <v>1413</v>
      </c>
      <c r="G588" s="1" t="s">
        <v>5529</v>
      </c>
      <c r="H588" s="1">
        <f t="shared" si="1"/>
        <v>1.13821</v>
      </c>
      <c r="I588" s="1" t="s">
        <v>144</v>
      </c>
      <c r="J588" s="1">
        <v>2.0</v>
      </c>
    </row>
    <row r="589">
      <c r="A589" s="1">
        <v>2022.0</v>
      </c>
      <c r="B589" s="1">
        <v>11.0</v>
      </c>
      <c r="C589" s="1" t="s">
        <v>116</v>
      </c>
      <c r="D589" s="1" t="s">
        <v>48</v>
      </c>
      <c r="E589" s="1" t="s">
        <v>72</v>
      </c>
      <c r="F589" s="1" t="s">
        <v>5530</v>
      </c>
      <c r="G589" s="1" t="s">
        <v>5531</v>
      </c>
      <c r="H589" s="1">
        <f t="shared" si="1"/>
        <v>3.815782</v>
      </c>
      <c r="I589" s="1" t="s">
        <v>1331</v>
      </c>
      <c r="J589" s="1">
        <v>18.0</v>
      </c>
    </row>
    <row r="590">
      <c r="A590" s="1">
        <v>2022.0</v>
      </c>
      <c r="B590" s="1">
        <v>11.0</v>
      </c>
      <c r="C590" s="1" t="s">
        <v>116</v>
      </c>
      <c r="D590" s="1" t="s">
        <v>48</v>
      </c>
      <c r="E590" s="1" t="s">
        <v>21</v>
      </c>
      <c r="F590" s="3">
        <v>1558888.0</v>
      </c>
      <c r="G590" s="1" t="s">
        <v>5532</v>
      </c>
      <c r="H590" s="1">
        <f t="shared" si="1"/>
        <v>672.520492</v>
      </c>
      <c r="I590" s="3" t="s">
        <v>5533</v>
      </c>
      <c r="J590" s="1">
        <v>564.0</v>
      </c>
    </row>
    <row r="591">
      <c r="A591" s="1">
        <v>2022.0</v>
      </c>
      <c r="B591" s="1">
        <v>11.0</v>
      </c>
      <c r="C591" s="1" t="s">
        <v>116</v>
      </c>
      <c r="D591" s="1" t="s">
        <v>147</v>
      </c>
      <c r="E591" s="1" t="s">
        <v>39</v>
      </c>
      <c r="F591" s="3">
        <v>325798.0</v>
      </c>
      <c r="G591" s="1" t="s">
        <v>5534</v>
      </c>
      <c r="H591" s="1">
        <f t="shared" si="1"/>
        <v>430.258213</v>
      </c>
      <c r="I591" s="1" t="s">
        <v>5535</v>
      </c>
      <c r="J591" s="1">
        <v>102.0</v>
      </c>
    </row>
    <row r="592">
      <c r="A592" s="1">
        <v>2022.0</v>
      </c>
      <c r="B592" s="1">
        <v>11.0</v>
      </c>
      <c r="C592" s="1" t="s">
        <v>116</v>
      </c>
      <c r="D592" s="1" t="s">
        <v>147</v>
      </c>
      <c r="E592" s="1" t="s">
        <v>17</v>
      </c>
      <c r="F592" s="1" t="s">
        <v>796</v>
      </c>
      <c r="G592" s="1" t="s">
        <v>5536</v>
      </c>
      <c r="H592" s="1">
        <f t="shared" si="1"/>
        <v>7.83141</v>
      </c>
      <c r="I592" s="1" t="s">
        <v>487</v>
      </c>
      <c r="J592" s="1">
        <v>6.0</v>
      </c>
    </row>
    <row r="593">
      <c r="A593" s="1">
        <v>2022.0</v>
      </c>
      <c r="B593" s="1">
        <v>11.0</v>
      </c>
      <c r="C593" s="1" t="s">
        <v>116</v>
      </c>
      <c r="D593" s="1" t="s">
        <v>147</v>
      </c>
      <c r="E593" s="1" t="s">
        <v>21</v>
      </c>
      <c r="F593" s="1" t="s">
        <v>5537</v>
      </c>
      <c r="G593" s="1" t="s">
        <v>5538</v>
      </c>
      <c r="H593" s="1">
        <f t="shared" si="1"/>
        <v>29.143439</v>
      </c>
      <c r="I593" s="1" t="s">
        <v>5540</v>
      </c>
      <c r="J593" s="1">
        <v>42.0</v>
      </c>
    </row>
    <row r="594">
      <c r="A594" s="1">
        <v>2022.0</v>
      </c>
      <c r="B594" s="1">
        <v>11.0</v>
      </c>
      <c r="C594" s="1" t="s">
        <v>116</v>
      </c>
      <c r="D594" s="1" t="s">
        <v>38</v>
      </c>
      <c r="E594" s="1" t="s">
        <v>39</v>
      </c>
      <c r="F594" s="3" t="s">
        <v>5541</v>
      </c>
      <c r="G594" s="1" t="s">
        <v>5542</v>
      </c>
      <c r="H594" s="1">
        <f t="shared" si="1"/>
        <v>460.246591</v>
      </c>
      <c r="I594" s="3" t="s">
        <v>5543</v>
      </c>
      <c r="J594" s="1">
        <v>2059.0</v>
      </c>
    </row>
    <row r="595">
      <c r="A595" s="1">
        <v>2022.0</v>
      </c>
      <c r="B595" s="1">
        <v>11.0</v>
      </c>
      <c r="C595" s="1" t="s">
        <v>116</v>
      </c>
      <c r="D595" s="1" t="s">
        <v>165</v>
      </c>
      <c r="E595" s="1" t="s">
        <v>39</v>
      </c>
      <c r="F595" s="1" t="s">
        <v>5544</v>
      </c>
      <c r="G595" s="1" t="s">
        <v>5545</v>
      </c>
      <c r="H595" s="1">
        <f t="shared" si="1"/>
        <v>68.187833</v>
      </c>
      <c r="I595" s="1" t="s">
        <v>5546</v>
      </c>
      <c r="J595" s="1">
        <v>0.0</v>
      </c>
    </row>
    <row r="596">
      <c r="A596" s="1">
        <v>2022.0</v>
      </c>
      <c r="B596" s="1">
        <v>11.0</v>
      </c>
      <c r="C596" s="1" t="s">
        <v>116</v>
      </c>
      <c r="D596" s="1" t="s">
        <v>165</v>
      </c>
      <c r="E596" s="1" t="s">
        <v>17</v>
      </c>
      <c r="F596" s="1" t="s">
        <v>5548</v>
      </c>
      <c r="G596" s="1" t="s">
        <v>5549</v>
      </c>
      <c r="H596" s="1">
        <f t="shared" si="1"/>
        <v>148.325346</v>
      </c>
      <c r="I596" s="1" t="s">
        <v>1631</v>
      </c>
      <c r="J596" s="1">
        <v>0.0</v>
      </c>
    </row>
    <row r="597">
      <c r="A597" s="1">
        <v>2022.0</v>
      </c>
      <c r="B597" s="1">
        <v>11.0</v>
      </c>
      <c r="C597" s="1" t="s">
        <v>116</v>
      </c>
      <c r="D597" s="1" t="s">
        <v>42</v>
      </c>
      <c r="E597" s="1" t="s">
        <v>17</v>
      </c>
      <c r="F597" s="1" t="s">
        <v>5551</v>
      </c>
      <c r="G597" s="1" t="s">
        <v>5552</v>
      </c>
      <c r="H597" s="1">
        <f t="shared" si="1"/>
        <v>209.659188</v>
      </c>
      <c r="I597" s="1" t="s">
        <v>1998</v>
      </c>
      <c r="J597" s="1">
        <v>0.0</v>
      </c>
    </row>
    <row r="598">
      <c r="A598" s="1">
        <v>2022.0</v>
      </c>
      <c r="B598" s="1">
        <v>11.0</v>
      </c>
      <c r="C598" s="1" t="s">
        <v>116</v>
      </c>
      <c r="D598" s="1" t="s">
        <v>1851</v>
      </c>
      <c r="E598" s="1" t="s">
        <v>17</v>
      </c>
      <c r="F598" s="3">
        <v>220274.0</v>
      </c>
      <c r="G598" s="1" t="s">
        <v>5553</v>
      </c>
      <c r="H598" s="1">
        <f t="shared" si="1"/>
        <v>177.459237</v>
      </c>
      <c r="I598" s="1" t="s">
        <v>5554</v>
      </c>
      <c r="J598" s="1">
        <v>1080.0</v>
      </c>
    </row>
    <row r="599">
      <c r="A599" s="1">
        <v>2022.0</v>
      </c>
      <c r="B599" s="1">
        <v>11.0</v>
      </c>
      <c r="C599" s="1" t="s">
        <v>116</v>
      </c>
      <c r="D599" s="1" t="s">
        <v>1851</v>
      </c>
      <c r="E599" s="1" t="s">
        <v>21</v>
      </c>
      <c r="F599" s="1" t="s">
        <v>420</v>
      </c>
      <c r="G599" s="1" t="s">
        <v>5556</v>
      </c>
      <c r="H599" s="1">
        <f t="shared" si="1"/>
        <v>16.475533</v>
      </c>
      <c r="I599" s="1" t="s">
        <v>2133</v>
      </c>
      <c r="J599" s="1">
        <v>74.0</v>
      </c>
    </row>
    <row r="600">
      <c r="A600" s="1">
        <v>2022.0</v>
      </c>
      <c r="B600" s="1">
        <v>12.0</v>
      </c>
      <c r="C600" s="1" t="s">
        <v>12</v>
      </c>
      <c r="D600" s="1" t="s">
        <v>29</v>
      </c>
      <c r="E600" s="1" t="s">
        <v>14</v>
      </c>
      <c r="F600" s="1" t="s">
        <v>4856</v>
      </c>
      <c r="G600" s="1" t="s">
        <v>5558</v>
      </c>
      <c r="H600" s="1">
        <f t="shared" si="1"/>
        <v>12.649938</v>
      </c>
      <c r="I600" s="1" t="s">
        <v>161</v>
      </c>
      <c r="J600" s="1">
        <v>14.0</v>
      </c>
    </row>
    <row r="601">
      <c r="A601" s="1">
        <v>2022.0</v>
      </c>
      <c r="B601" s="1">
        <v>12.0</v>
      </c>
      <c r="C601" s="1" t="s">
        <v>12</v>
      </c>
      <c r="D601" s="1" t="s">
        <v>29</v>
      </c>
      <c r="E601" s="1" t="s">
        <v>21</v>
      </c>
      <c r="F601" s="1" t="s">
        <v>5559</v>
      </c>
      <c r="G601" s="1" t="s">
        <v>5560</v>
      </c>
      <c r="H601" s="1">
        <f t="shared" si="1"/>
        <v>7988.045344</v>
      </c>
      <c r="I601" s="1" t="s">
        <v>5561</v>
      </c>
      <c r="J601" s="1">
        <v>615.0</v>
      </c>
    </row>
    <row r="602">
      <c r="A602" s="1">
        <v>2022.0</v>
      </c>
      <c r="B602" s="1">
        <v>12.0</v>
      </c>
      <c r="C602" s="1" t="s">
        <v>12</v>
      </c>
      <c r="D602" s="1" t="s">
        <v>13</v>
      </c>
      <c r="E602" s="1" t="s">
        <v>14</v>
      </c>
      <c r="F602" s="3">
        <v>2148844.0</v>
      </c>
      <c r="G602" s="1" t="s">
        <v>5562</v>
      </c>
      <c r="H602" s="1">
        <f t="shared" si="1"/>
        <v>479.591585</v>
      </c>
      <c r="I602" s="3">
        <v>85834.0</v>
      </c>
      <c r="J602" s="1">
        <v>389.0</v>
      </c>
    </row>
    <row r="603">
      <c r="A603" s="1">
        <v>2022.0</v>
      </c>
      <c r="B603" s="1">
        <v>12.0</v>
      </c>
      <c r="C603" s="1" t="s">
        <v>12</v>
      </c>
      <c r="D603" s="1" t="s">
        <v>13</v>
      </c>
      <c r="E603" s="1" t="s">
        <v>17</v>
      </c>
      <c r="F603" s="1" t="s">
        <v>5563</v>
      </c>
      <c r="G603" s="1" t="s">
        <v>5564</v>
      </c>
      <c r="H603" s="1">
        <f t="shared" si="1"/>
        <v>3098.274716</v>
      </c>
      <c r="I603" s="3">
        <v>180310.0</v>
      </c>
      <c r="J603" s="1">
        <v>596.0</v>
      </c>
    </row>
    <row r="604">
      <c r="A604" s="1">
        <v>2022.0</v>
      </c>
      <c r="B604" s="1">
        <v>12.0</v>
      </c>
      <c r="C604" s="1" t="s">
        <v>12</v>
      </c>
      <c r="D604" s="1" t="s">
        <v>13</v>
      </c>
      <c r="E604" s="1" t="s">
        <v>21</v>
      </c>
      <c r="F604" s="1" t="s">
        <v>5565</v>
      </c>
      <c r="G604" s="1" t="s">
        <v>5566</v>
      </c>
      <c r="H604" s="1">
        <f t="shared" si="1"/>
        <v>3720.114364</v>
      </c>
      <c r="I604" s="1" t="s">
        <v>5567</v>
      </c>
      <c r="J604" s="1">
        <v>501.0</v>
      </c>
    </row>
    <row r="605">
      <c r="A605" s="1">
        <v>2022.0</v>
      </c>
      <c r="B605" s="1">
        <v>12.0</v>
      </c>
      <c r="C605" s="1" t="s">
        <v>12</v>
      </c>
      <c r="D605" s="1" t="s">
        <v>38</v>
      </c>
      <c r="E605" s="1" t="s">
        <v>39</v>
      </c>
      <c r="F605" s="3">
        <v>787131.0</v>
      </c>
      <c r="G605" s="1" t="s">
        <v>5568</v>
      </c>
      <c r="H605" s="1">
        <f t="shared" si="1"/>
        <v>288.650467</v>
      </c>
      <c r="I605" s="1" t="s">
        <v>5569</v>
      </c>
      <c r="J605" s="1">
        <v>119.0</v>
      </c>
    </row>
    <row r="606">
      <c r="A606" s="1">
        <v>2022.0</v>
      </c>
      <c r="B606" s="1">
        <v>12.0</v>
      </c>
      <c r="C606" s="1" t="s">
        <v>12</v>
      </c>
      <c r="D606" s="1" t="s">
        <v>48</v>
      </c>
      <c r="E606" s="1" t="s">
        <v>21</v>
      </c>
      <c r="F606" s="3">
        <v>1027429.0</v>
      </c>
      <c r="G606" s="1" t="s">
        <v>5571</v>
      </c>
      <c r="H606" s="1">
        <f t="shared" si="1"/>
        <v>268.38488</v>
      </c>
      <c r="I606" s="1" t="s">
        <v>5572</v>
      </c>
      <c r="J606" s="1">
        <v>113.0</v>
      </c>
    </row>
    <row r="607">
      <c r="A607" s="1">
        <v>2022.0</v>
      </c>
      <c r="B607" s="1">
        <v>12.0</v>
      </c>
      <c r="C607" s="1" t="s">
        <v>12</v>
      </c>
      <c r="D607" s="1" t="s">
        <v>45</v>
      </c>
      <c r="E607" s="1" t="s">
        <v>49</v>
      </c>
      <c r="F607" s="1" t="s">
        <v>5573</v>
      </c>
      <c r="G607" s="1" t="s">
        <v>5574</v>
      </c>
      <c r="H607" s="1">
        <f t="shared" si="1"/>
        <v>2.076109</v>
      </c>
      <c r="I607" s="1" t="s">
        <v>4373</v>
      </c>
      <c r="J607" s="1">
        <v>5.0</v>
      </c>
    </row>
    <row r="608">
      <c r="A608" s="1">
        <v>2022.0</v>
      </c>
      <c r="B608" s="1">
        <v>12.0</v>
      </c>
      <c r="C608" s="1" t="s">
        <v>12</v>
      </c>
      <c r="D608" s="1" t="s">
        <v>45</v>
      </c>
      <c r="E608" s="1" t="s">
        <v>17</v>
      </c>
      <c r="F608" s="3">
        <v>820733.0</v>
      </c>
      <c r="G608" s="1" t="s">
        <v>5577</v>
      </c>
      <c r="H608" s="1">
        <f t="shared" si="1"/>
        <v>179.241611</v>
      </c>
      <c r="I608" s="1" t="s">
        <v>5578</v>
      </c>
      <c r="J608" s="1">
        <v>151.0</v>
      </c>
    </row>
    <row r="609">
      <c r="A609" s="1">
        <v>2022.0</v>
      </c>
      <c r="B609" s="1">
        <v>12.0</v>
      </c>
      <c r="C609" s="1" t="s">
        <v>12</v>
      </c>
      <c r="D609" s="1" t="s">
        <v>3962</v>
      </c>
      <c r="E609" s="1" t="s">
        <v>17</v>
      </c>
      <c r="F609" s="3" t="s">
        <v>5581</v>
      </c>
      <c r="G609" s="1" t="s">
        <v>5582</v>
      </c>
      <c r="H609" s="1">
        <f t="shared" si="1"/>
        <v>98.254187</v>
      </c>
      <c r="I609" s="1" t="s">
        <v>5583</v>
      </c>
      <c r="J609" s="1">
        <v>109.0</v>
      </c>
    </row>
    <row r="610">
      <c r="A610" s="1">
        <v>2022.0</v>
      </c>
      <c r="B610" s="1">
        <v>12.0</v>
      </c>
      <c r="C610" s="1" t="s">
        <v>12</v>
      </c>
      <c r="D610" s="1" t="s">
        <v>4127</v>
      </c>
      <c r="E610" s="1" t="s">
        <v>17</v>
      </c>
      <c r="F610" s="1" t="s">
        <v>5584</v>
      </c>
      <c r="G610" s="1" t="s">
        <v>5585</v>
      </c>
      <c r="H610" s="1">
        <f t="shared" si="1"/>
        <v>81.820759</v>
      </c>
      <c r="I610" s="1" t="s">
        <v>1764</v>
      </c>
      <c r="J610" s="1">
        <v>69.0</v>
      </c>
    </row>
    <row r="611">
      <c r="A611" s="1">
        <v>2022.0</v>
      </c>
      <c r="B611" s="1">
        <v>12.0</v>
      </c>
      <c r="C611" s="1" t="s">
        <v>12</v>
      </c>
      <c r="D611" s="1" t="s">
        <v>42</v>
      </c>
      <c r="E611" s="1" t="s">
        <v>17</v>
      </c>
      <c r="F611" s="1" t="s">
        <v>1198</v>
      </c>
      <c r="G611" s="1" t="s">
        <v>5586</v>
      </c>
      <c r="H611" s="1">
        <f t="shared" si="1"/>
        <v>53.44269</v>
      </c>
      <c r="I611" s="1" t="s">
        <v>5587</v>
      </c>
      <c r="J611" s="1">
        <v>0.0</v>
      </c>
    </row>
    <row r="612">
      <c r="A612" s="1">
        <v>2022.0</v>
      </c>
      <c r="B612" s="1">
        <v>12.0</v>
      </c>
      <c r="C612" s="1" t="s">
        <v>12</v>
      </c>
      <c r="D612" s="1" t="s">
        <v>1851</v>
      </c>
      <c r="E612" s="1" t="s">
        <v>17</v>
      </c>
      <c r="F612" s="1" t="s">
        <v>2128</v>
      </c>
      <c r="G612" s="1" t="s">
        <v>5589</v>
      </c>
      <c r="H612" s="1">
        <f t="shared" si="1"/>
        <v>44.385878</v>
      </c>
      <c r="I612" s="1" t="s">
        <v>2233</v>
      </c>
      <c r="J612" s="1">
        <v>131.0</v>
      </c>
    </row>
    <row r="613">
      <c r="A613" s="1">
        <v>2022.0</v>
      </c>
      <c r="B613" s="1">
        <v>12.0</v>
      </c>
      <c r="C613" s="1" t="s">
        <v>12</v>
      </c>
      <c r="D613" s="1" t="s">
        <v>5590</v>
      </c>
      <c r="E613" s="1" t="s">
        <v>39</v>
      </c>
      <c r="F613" s="1" t="s">
        <v>5591</v>
      </c>
      <c r="G613" s="1" t="s">
        <v>5592</v>
      </c>
      <c r="H613" s="1">
        <f t="shared" si="1"/>
        <v>34.264124</v>
      </c>
      <c r="I613" s="1" t="s">
        <v>1633</v>
      </c>
      <c r="J613" s="1">
        <v>75.0</v>
      </c>
    </row>
    <row r="614">
      <c r="A614" s="1">
        <v>2022.0</v>
      </c>
      <c r="B614" s="1">
        <v>12.0</v>
      </c>
      <c r="C614" s="1" t="s">
        <v>68</v>
      </c>
      <c r="D614" s="1" t="s">
        <v>13</v>
      </c>
      <c r="E614" s="1" t="s">
        <v>14</v>
      </c>
      <c r="F614" s="1" t="s">
        <v>5593</v>
      </c>
      <c r="G614" s="1" t="s">
        <v>5594</v>
      </c>
      <c r="H614" s="1">
        <f t="shared" si="1"/>
        <v>1104.694685</v>
      </c>
      <c r="I614" s="3">
        <v>2758710.0</v>
      </c>
      <c r="J614" s="1">
        <v>2688.0</v>
      </c>
    </row>
    <row r="615">
      <c r="A615" s="1">
        <v>2022.0</v>
      </c>
      <c r="B615" s="1">
        <v>12.0</v>
      </c>
      <c r="C615" s="1" t="s">
        <v>68</v>
      </c>
      <c r="D615" s="1" t="s">
        <v>13</v>
      </c>
      <c r="E615" s="1" t="s">
        <v>17</v>
      </c>
      <c r="F615" s="1" t="s">
        <v>5596</v>
      </c>
      <c r="G615" s="1" t="s">
        <v>5597</v>
      </c>
      <c r="H615" s="1">
        <f t="shared" si="1"/>
        <v>5315.236504</v>
      </c>
      <c r="I615" s="1" t="s">
        <v>5598</v>
      </c>
      <c r="J615" s="1">
        <v>7912.0</v>
      </c>
    </row>
    <row r="616">
      <c r="A616" s="1">
        <v>2022.0</v>
      </c>
      <c r="B616" s="1">
        <v>12.0</v>
      </c>
      <c r="C616" s="1" t="s">
        <v>68</v>
      </c>
      <c r="D616" s="1" t="s">
        <v>13</v>
      </c>
      <c r="E616" s="1" t="s">
        <v>21</v>
      </c>
      <c r="F616" s="3">
        <v>2291746.0</v>
      </c>
      <c r="G616" s="1" t="s">
        <v>5600</v>
      </c>
      <c r="H616" s="1">
        <f t="shared" si="1"/>
        <v>1180.550683</v>
      </c>
      <c r="I616" s="1" t="s">
        <v>5602</v>
      </c>
      <c r="J616" s="1">
        <v>3076.0</v>
      </c>
    </row>
    <row r="617">
      <c r="A617" s="1">
        <v>2022.0</v>
      </c>
      <c r="B617" s="1">
        <v>12.0</v>
      </c>
      <c r="C617" s="1" t="s">
        <v>68</v>
      </c>
      <c r="D617" s="1" t="s">
        <v>29</v>
      </c>
      <c r="E617" s="1" t="s">
        <v>14</v>
      </c>
      <c r="F617" s="1" t="s">
        <v>5605</v>
      </c>
      <c r="G617" s="1" t="s">
        <v>5606</v>
      </c>
      <c r="H617" s="1">
        <f t="shared" si="1"/>
        <v>70.359689</v>
      </c>
      <c r="I617" s="1" t="s">
        <v>5607</v>
      </c>
      <c r="J617" s="1">
        <v>229.0</v>
      </c>
    </row>
    <row r="618">
      <c r="A618" s="1">
        <v>2022.0</v>
      </c>
      <c r="B618" s="1">
        <v>12.0</v>
      </c>
      <c r="C618" s="1" t="s">
        <v>68</v>
      </c>
      <c r="D618" s="1" t="s">
        <v>29</v>
      </c>
      <c r="E618" s="1" t="s">
        <v>21</v>
      </c>
      <c r="F618" s="1" t="s">
        <v>5608</v>
      </c>
      <c r="G618" s="1" t="s">
        <v>5609</v>
      </c>
      <c r="H618" s="1">
        <f t="shared" si="1"/>
        <v>2332.304375</v>
      </c>
      <c r="I618" s="3">
        <v>184205.0</v>
      </c>
      <c r="J618" s="1">
        <v>2389.0</v>
      </c>
    </row>
    <row r="619">
      <c r="A619" s="1">
        <v>2022.0</v>
      </c>
      <c r="B619" s="1">
        <v>12.0</v>
      </c>
      <c r="C619" s="1" t="s">
        <v>68</v>
      </c>
      <c r="D619" s="1" t="s">
        <v>45</v>
      </c>
      <c r="E619" s="1" t="s">
        <v>49</v>
      </c>
      <c r="F619" s="3" t="s">
        <v>5613</v>
      </c>
      <c r="G619" s="1" t="s">
        <v>5615</v>
      </c>
      <c r="H619" s="1">
        <f t="shared" si="1"/>
        <v>74.095638</v>
      </c>
      <c r="I619" s="1" t="s">
        <v>5616</v>
      </c>
      <c r="J619" s="1">
        <v>120.0</v>
      </c>
    </row>
    <row r="620">
      <c r="A620" s="1">
        <v>2022.0</v>
      </c>
      <c r="B620" s="1">
        <v>12.0</v>
      </c>
      <c r="C620" s="1" t="s">
        <v>68</v>
      </c>
      <c r="D620" s="1" t="s">
        <v>45</v>
      </c>
      <c r="E620" s="1" t="s">
        <v>17</v>
      </c>
      <c r="F620" s="3">
        <v>2183665.0</v>
      </c>
      <c r="G620" s="1" t="s">
        <v>5617</v>
      </c>
      <c r="H620" s="1">
        <f t="shared" si="1"/>
        <v>674.819854</v>
      </c>
      <c r="I620" s="3">
        <v>1218511.0</v>
      </c>
      <c r="J620" s="1">
        <v>1357.0</v>
      </c>
    </row>
    <row r="621">
      <c r="A621" s="1">
        <v>2022.0</v>
      </c>
      <c r="B621" s="1">
        <v>12.0</v>
      </c>
      <c r="C621" s="1" t="s">
        <v>68</v>
      </c>
      <c r="D621" s="1" t="s">
        <v>2104</v>
      </c>
      <c r="E621" s="1" t="s">
        <v>17</v>
      </c>
      <c r="F621" s="3">
        <v>2703252.0</v>
      </c>
      <c r="G621" s="1" t="s">
        <v>5619</v>
      </c>
      <c r="H621" s="1">
        <f t="shared" si="1"/>
        <v>253.993082</v>
      </c>
      <c r="I621" s="3">
        <v>1955876.0</v>
      </c>
      <c r="J621" s="1">
        <v>686.0</v>
      </c>
    </row>
    <row r="622">
      <c r="A622" s="1">
        <v>2022.0</v>
      </c>
      <c r="B622" s="1">
        <v>12.0</v>
      </c>
      <c r="C622" s="1" t="s">
        <v>68</v>
      </c>
      <c r="D622" s="1" t="s">
        <v>3962</v>
      </c>
      <c r="E622" s="1" t="s">
        <v>17</v>
      </c>
      <c r="F622" s="3">
        <v>687785.0</v>
      </c>
      <c r="G622" s="1" t="s">
        <v>5622</v>
      </c>
      <c r="H622" s="1">
        <f t="shared" si="1"/>
        <v>211.175607</v>
      </c>
      <c r="I622" s="1" t="s">
        <v>5623</v>
      </c>
      <c r="J622" s="1">
        <v>1073.0</v>
      </c>
    </row>
    <row r="623">
      <c r="A623" s="1">
        <v>2022.0</v>
      </c>
      <c r="B623" s="1">
        <v>12.0</v>
      </c>
      <c r="C623" s="1" t="s">
        <v>68</v>
      </c>
      <c r="D623" s="1" t="s">
        <v>42</v>
      </c>
      <c r="E623" s="1" t="s">
        <v>17</v>
      </c>
      <c r="F623" s="1" t="s">
        <v>5624</v>
      </c>
      <c r="G623" s="1" t="s">
        <v>5625</v>
      </c>
      <c r="H623" s="1">
        <f t="shared" si="1"/>
        <v>140.682445</v>
      </c>
      <c r="I623" s="1" t="s">
        <v>1463</v>
      </c>
      <c r="J623" s="1">
        <v>0.0</v>
      </c>
    </row>
    <row r="624">
      <c r="A624" s="1">
        <v>2022.0</v>
      </c>
      <c r="B624" s="1">
        <v>12.0</v>
      </c>
      <c r="C624" s="1" t="s">
        <v>68</v>
      </c>
      <c r="D624" s="1" t="s">
        <v>38</v>
      </c>
      <c r="E624" s="1" t="s">
        <v>39</v>
      </c>
      <c r="F624" s="3">
        <v>2653854.0</v>
      </c>
      <c r="G624" s="1" t="s">
        <v>5626</v>
      </c>
      <c r="H624" s="1">
        <f t="shared" si="1"/>
        <v>127.604833</v>
      </c>
      <c r="I624" s="1" t="s">
        <v>454</v>
      </c>
      <c r="J624" s="1">
        <v>946.0</v>
      </c>
    </row>
    <row r="625">
      <c r="A625" s="1">
        <v>2022.0</v>
      </c>
      <c r="B625" s="1">
        <v>12.0</v>
      </c>
      <c r="C625" s="1" t="s">
        <v>68</v>
      </c>
      <c r="D625" s="1" t="s">
        <v>48</v>
      </c>
      <c r="E625" s="1" t="s">
        <v>21</v>
      </c>
      <c r="F625" s="1" t="s">
        <v>5628</v>
      </c>
      <c r="G625" s="1" t="s">
        <v>5629</v>
      </c>
      <c r="H625" s="1">
        <f t="shared" si="1"/>
        <v>100.668722</v>
      </c>
      <c r="I625" s="1" t="s">
        <v>5630</v>
      </c>
      <c r="J625" s="1">
        <v>244.0</v>
      </c>
    </row>
    <row r="626">
      <c r="A626" s="1">
        <v>2022.0</v>
      </c>
      <c r="B626" s="1">
        <v>12.0</v>
      </c>
      <c r="C626" s="1" t="s">
        <v>68</v>
      </c>
      <c r="D626" s="1" t="s">
        <v>4955</v>
      </c>
      <c r="E626" s="1" t="s">
        <v>49</v>
      </c>
      <c r="F626" s="1" t="s">
        <v>5632</v>
      </c>
      <c r="G626" s="1" t="s">
        <v>5634</v>
      </c>
      <c r="H626" s="1">
        <f t="shared" si="1"/>
        <v>92.915289</v>
      </c>
      <c r="I626" s="1" t="s">
        <v>5635</v>
      </c>
      <c r="J626" s="1">
        <v>547.0</v>
      </c>
    </row>
    <row r="627">
      <c r="A627" s="1">
        <v>2022.0</v>
      </c>
      <c r="B627" s="1">
        <v>12.0</v>
      </c>
      <c r="C627" s="1" t="s">
        <v>68</v>
      </c>
      <c r="D627" s="1" t="s">
        <v>4929</v>
      </c>
      <c r="E627" s="1" t="s">
        <v>21</v>
      </c>
      <c r="F627" s="1" t="s">
        <v>5158</v>
      </c>
      <c r="G627" s="1" t="s">
        <v>5638</v>
      </c>
      <c r="H627" s="1">
        <f t="shared" si="1"/>
        <v>41.641205</v>
      </c>
      <c r="I627" s="1" t="s">
        <v>5640</v>
      </c>
      <c r="J627" s="1">
        <v>0.0</v>
      </c>
    </row>
    <row r="628">
      <c r="A628" s="1">
        <v>2022.0</v>
      </c>
      <c r="B628" s="1">
        <v>12.0</v>
      </c>
      <c r="C628" s="1" t="s">
        <v>116</v>
      </c>
      <c r="D628" s="1" t="s">
        <v>13</v>
      </c>
      <c r="E628" s="1" t="s">
        <v>14</v>
      </c>
      <c r="F628" s="1" t="s">
        <v>5641</v>
      </c>
      <c r="G628" s="1" t="s">
        <v>5642</v>
      </c>
      <c r="H628" s="1">
        <f t="shared" si="1"/>
        <v>2257.732329</v>
      </c>
      <c r="I628" s="3">
        <v>2165280.0</v>
      </c>
      <c r="J628" s="1">
        <v>4364.0</v>
      </c>
    </row>
    <row r="629">
      <c r="A629" s="1">
        <v>2022.0</v>
      </c>
      <c r="B629" s="1">
        <v>12.0</v>
      </c>
      <c r="C629" s="1" t="s">
        <v>116</v>
      </c>
      <c r="D629" s="1" t="s">
        <v>13</v>
      </c>
      <c r="E629" s="1" t="s">
        <v>17</v>
      </c>
      <c r="F629" s="1" t="s">
        <v>5644</v>
      </c>
      <c r="G629" s="1" t="s">
        <v>5645</v>
      </c>
      <c r="H629" s="1">
        <f t="shared" si="1"/>
        <v>14747.01497</v>
      </c>
      <c r="I629" s="1" t="s">
        <v>5647</v>
      </c>
      <c r="J629" s="1">
        <v>16029.0</v>
      </c>
    </row>
    <row r="630">
      <c r="A630" s="1">
        <v>2022.0</v>
      </c>
      <c r="B630" s="1">
        <v>12.0</v>
      </c>
      <c r="C630" s="1" t="s">
        <v>116</v>
      </c>
      <c r="D630" s="1" t="s">
        <v>13</v>
      </c>
      <c r="E630" s="1" t="s">
        <v>21</v>
      </c>
      <c r="F630" s="1" t="s">
        <v>5648</v>
      </c>
      <c r="G630" s="1" t="s">
        <v>5649</v>
      </c>
      <c r="H630" s="1">
        <f t="shared" si="1"/>
        <v>2942.582832</v>
      </c>
      <c r="I630" s="3">
        <v>2641343.0</v>
      </c>
      <c r="J630" s="1">
        <v>6072.0</v>
      </c>
    </row>
    <row r="631">
      <c r="A631" s="1">
        <v>2022.0</v>
      </c>
      <c r="B631" s="1">
        <v>12.0</v>
      </c>
      <c r="C631" s="1" t="s">
        <v>116</v>
      </c>
      <c r="D631" s="1" t="s">
        <v>13</v>
      </c>
      <c r="E631" s="1" t="s">
        <v>25</v>
      </c>
      <c r="F631" s="1" t="s">
        <v>2091</v>
      </c>
      <c r="G631" s="1" t="s">
        <v>5392</v>
      </c>
      <c r="H631" s="1">
        <f t="shared" si="1"/>
        <v>5.149395</v>
      </c>
      <c r="I631" s="1" t="s">
        <v>5393</v>
      </c>
      <c r="J631" s="1">
        <v>6.0</v>
      </c>
    </row>
    <row r="632">
      <c r="A632" s="1">
        <v>2022.0</v>
      </c>
      <c r="B632" s="1">
        <v>12.0</v>
      </c>
      <c r="C632" s="1" t="s">
        <v>116</v>
      </c>
      <c r="D632" s="1" t="s">
        <v>29</v>
      </c>
      <c r="E632" s="1" t="s">
        <v>14</v>
      </c>
      <c r="F632" s="3">
        <v>747653.0</v>
      </c>
      <c r="G632" s="1" t="s">
        <v>5650</v>
      </c>
      <c r="H632" s="1">
        <f t="shared" si="1"/>
        <v>182.294011</v>
      </c>
      <c r="I632" s="1" t="s">
        <v>1447</v>
      </c>
      <c r="J632" s="1">
        <v>295.0</v>
      </c>
    </row>
    <row r="633">
      <c r="A633" s="1">
        <v>2022.0</v>
      </c>
      <c r="B633" s="1">
        <v>12.0</v>
      </c>
      <c r="C633" s="1" t="s">
        <v>116</v>
      </c>
      <c r="D633" s="1" t="s">
        <v>29</v>
      </c>
      <c r="E633" s="1" t="s">
        <v>21</v>
      </c>
      <c r="F633" s="1" t="s">
        <v>5651</v>
      </c>
      <c r="G633" s="1" t="s">
        <v>5652</v>
      </c>
      <c r="H633" s="1">
        <f t="shared" si="1"/>
        <v>9074.154704</v>
      </c>
      <c r="I633" s="1" t="s">
        <v>5653</v>
      </c>
      <c r="J633" s="1">
        <v>8459.0</v>
      </c>
    </row>
    <row r="634">
      <c r="A634" s="1">
        <v>2022.0</v>
      </c>
      <c r="B634" s="1">
        <v>12.0</v>
      </c>
      <c r="C634" s="1" t="s">
        <v>116</v>
      </c>
      <c r="D634" s="1" t="s">
        <v>45</v>
      </c>
      <c r="E634" s="1" t="s">
        <v>49</v>
      </c>
      <c r="F634" s="3">
        <v>1054516.0</v>
      </c>
      <c r="G634" s="1" t="s">
        <v>5654</v>
      </c>
      <c r="H634" s="1">
        <f t="shared" si="1"/>
        <v>220.706441</v>
      </c>
      <c r="I634" s="1" t="s">
        <v>5655</v>
      </c>
      <c r="J634" s="1">
        <v>354.0</v>
      </c>
    </row>
    <row r="635">
      <c r="A635" s="1">
        <v>2022.0</v>
      </c>
      <c r="B635" s="1">
        <v>12.0</v>
      </c>
      <c r="C635" s="1" t="s">
        <v>116</v>
      </c>
      <c r="D635" s="1" t="s">
        <v>45</v>
      </c>
      <c r="E635" s="1" t="s">
        <v>17</v>
      </c>
      <c r="F635" s="1" t="s">
        <v>5656</v>
      </c>
      <c r="G635" s="1" t="s">
        <v>5657</v>
      </c>
      <c r="H635" s="1">
        <f t="shared" si="1"/>
        <v>1815.368418</v>
      </c>
      <c r="I635" s="3">
        <v>2606950.0</v>
      </c>
      <c r="J635" s="1">
        <v>1841.0</v>
      </c>
    </row>
    <row r="636">
      <c r="A636" s="1">
        <v>2022.0</v>
      </c>
      <c r="B636" s="1">
        <v>12.0</v>
      </c>
      <c r="C636" s="1" t="s">
        <v>116</v>
      </c>
      <c r="D636" s="1" t="s">
        <v>3962</v>
      </c>
      <c r="E636" s="1" t="s">
        <v>17</v>
      </c>
      <c r="F636" s="1" t="s">
        <v>5659</v>
      </c>
      <c r="G636" s="1" t="s">
        <v>5660</v>
      </c>
      <c r="H636" s="1">
        <f t="shared" si="1"/>
        <v>1260.041579</v>
      </c>
      <c r="I636" s="3">
        <v>2400467.0</v>
      </c>
      <c r="J636" s="1">
        <v>3776.0</v>
      </c>
    </row>
    <row r="637">
      <c r="A637" s="1">
        <v>2022.0</v>
      </c>
      <c r="B637" s="1">
        <v>12.0</v>
      </c>
      <c r="C637" s="1" t="s">
        <v>116</v>
      </c>
      <c r="D637" s="1" t="s">
        <v>48</v>
      </c>
      <c r="E637" s="1" t="s">
        <v>72</v>
      </c>
      <c r="F637" s="1" t="s">
        <v>5663</v>
      </c>
      <c r="G637" s="1" t="s">
        <v>5664</v>
      </c>
      <c r="H637" s="1">
        <f t="shared" si="1"/>
        <v>4.619411</v>
      </c>
      <c r="I637" s="1" t="s">
        <v>1717</v>
      </c>
      <c r="J637" s="1">
        <v>14.0</v>
      </c>
    </row>
    <row r="638">
      <c r="A638" s="1">
        <v>2022.0</v>
      </c>
      <c r="B638" s="1">
        <v>12.0</v>
      </c>
      <c r="C638" s="1" t="s">
        <v>116</v>
      </c>
      <c r="D638" s="1" t="s">
        <v>48</v>
      </c>
      <c r="E638" s="1" t="s">
        <v>21</v>
      </c>
      <c r="F638" s="3">
        <v>1821892.0</v>
      </c>
      <c r="G638" s="1" t="s">
        <v>5665</v>
      </c>
      <c r="H638" s="1">
        <f t="shared" si="1"/>
        <v>790.268994</v>
      </c>
      <c r="I638" s="3">
        <v>1042404.0</v>
      </c>
      <c r="J638" s="1">
        <v>1083.0</v>
      </c>
    </row>
    <row r="639">
      <c r="A639" s="1">
        <v>2022.0</v>
      </c>
      <c r="B639" s="1">
        <v>12.0</v>
      </c>
      <c r="C639" s="1" t="s">
        <v>116</v>
      </c>
      <c r="D639" s="1" t="s">
        <v>147</v>
      </c>
      <c r="E639" s="1" t="s">
        <v>39</v>
      </c>
      <c r="F639" s="3">
        <v>581468.0</v>
      </c>
      <c r="G639" s="1" t="s">
        <v>5666</v>
      </c>
      <c r="H639" s="1">
        <f t="shared" si="1"/>
        <v>434.616644</v>
      </c>
      <c r="I639" s="1" t="s">
        <v>149</v>
      </c>
      <c r="J639" s="1">
        <v>108.0</v>
      </c>
    </row>
    <row r="640">
      <c r="A640" s="1">
        <v>2022.0</v>
      </c>
      <c r="B640" s="1">
        <v>12.0</v>
      </c>
      <c r="C640" s="1" t="s">
        <v>116</v>
      </c>
      <c r="D640" s="1" t="s">
        <v>147</v>
      </c>
      <c r="E640" s="1" t="s">
        <v>17</v>
      </c>
      <c r="F640" s="1" t="s">
        <v>2801</v>
      </c>
      <c r="G640" s="1" t="s">
        <v>5667</v>
      </c>
      <c r="H640" s="1">
        <f t="shared" si="1"/>
        <v>6.659516</v>
      </c>
      <c r="I640" s="1" t="s">
        <v>5669</v>
      </c>
      <c r="J640" s="1">
        <v>4.0</v>
      </c>
    </row>
    <row r="641">
      <c r="A641" s="1">
        <v>2022.0</v>
      </c>
      <c r="B641" s="1">
        <v>12.0</v>
      </c>
      <c r="C641" s="1" t="s">
        <v>116</v>
      </c>
      <c r="D641" s="1" t="s">
        <v>147</v>
      </c>
      <c r="E641" s="1" t="s">
        <v>21</v>
      </c>
      <c r="F641" s="1" t="s">
        <v>5670</v>
      </c>
      <c r="G641" s="1" t="s">
        <v>5671</v>
      </c>
      <c r="H641" s="1">
        <f t="shared" si="1"/>
        <v>30.069205</v>
      </c>
      <c r="I641" s="1" t="s">
        <v>5672</v>
      </c>
      <c r="J641" s="1">
        <v>43.0</v>
      </c>
    </row>
    <row r="642">
      <c r="A642" s="1">
        <v>2022.0</v>
      </c>
      <c r="B642" s="1">
        <v>12.0</v>
      </c>
      <c r="C642" s="1" t="s">
        <v>116</v>
      </c>
      <c r="D642" s="1" t="s">
        <v>38</v>
      </c>
      <c r="E642" s="1" t="s">
        <v>39</v>
      </c>
      <c r="F642" s="3">
        <v>706136.0</v>
      </c>
      <c r="G642" s="1" t="s">
        <v>5673</v>
      </c>
      <c r="H642" s="1">
        <f t="shared" si="1"/>
        <v>408.107014</v>
      </c>
      <c r="I642" s="1" t="s">
        <v>5675</v>
      </c>
      <c r="J642" s="1">
        <v>1679.0</v>
      </c>
    </row>
    <row r="643">
      <c r="A643" s="1">
        <v>2022.0</v>
      </c>
      <c r="B643" s="1">
        <v>12.0</v>
      </c>
      <c r="C643" s="1" t="s">
        <v>116</v>
      </c>
      <c r="D643" s="1" t="s">
        <v>2104</v>
      </c>
      <c r="E643" s="1" t="s">
        <v>17</v>
      </c>
      <c r="F643" s="3">
        <v>549873.0</v>
      </c>
      <c r="G643" s="1" t="s">
        <v>5676</v>
      </c>
      <c r="H643" s="1">
        <f t="shared" si="1"/>
        <v>308.903722</v>
      </c>
      <c r="I643" s="3">
        <v>1385033.0</v>
      </c>
      <c r="J643" s="1">
        <v>840.0</v>
      </c>
    </row>
    <row r="644">
      <c r="A644" s="1">
        <v>2022.0</v>
      </c>
      <c r="B644" s="1">
        <v>12.0</v>
      </c>
      <c r="C644" s="1" t="s">
        <v>116</v>
      </c>
      <c r="D644" s="1" t="s">
        <v>42</v>
      </c>
      <c r="E644" s="1" t="s">
        <v>17</v>
      </c>
      <c r="F644" s="3">
        <v>84373.0</v>
      </c>
      <c r="G644" s="1" t="s">
        <v>5677</v>
      </c>
      <c r="H644" s="1">
        <f t="shared" si="1"/>
        <v>257.234189</v>
      </c>
      <c r="I644" s="1" t="s">
        <v>5678</v>
      </c>
      <c r="J644" s="1">
        <v>0.0</v>
      </c>
    </row>
    <row r="645">
      <c r="A645" s="1">
        <v>2022.0</v>
      </c>
      <c r="B645" s="1">
        <v>12.0</v>
      </c>
      <c r="C645" s="1" t="s">
        <v>116</v>
      </c>
      <c r="D645" s="1" t="s">
        <v>165</v>
      </c>
      <c r="E645" s="1" t="s">
        <v>39</v>
      </c>
      <c r="F645" s="1" t="s">
        <v>5679</v>
      </c>
      <c r="G645" s="1" t="s">
        <v>5680</v>
      </c>
      <c r="H645" s="1">
        <f t="shared" si="1"/>
        <v>71.738722</v>
      </c>
      <c r="I645" s="1" t="s">
        <v>4925</v>
      </c>
      <c r="J645" s="1">
        <v>0.0</v>
      </c>
    </row>
    <row r="646">
      <c r="A646" s="1">
        <v>2022.0</v>
      </c>
      <c r="B646" s="1">
        <v>12.0</v>
      </c>
      <c r="C646" s="1" t="s">
        <v>116</v>
      </c>
      <c r="D646" s="1" t="s">
        <v>165</v>
      </c>
      <c r="E646" s="1" t="s">
        <v>17</v>
      </c>
      <c r="F646" s="1" t="s">
        <v>5681</v>
      </c>
      <c r="G646" s="1" t="s">
        <v>5682</v>
      </c>
      <c r="H646" s="1">
        <f t="shared" si="1"/>
        <v>138.916582</v>
      </c>
      <c r="I646" s="1" t="s">
        <v>1281</v>
      </c>
      <c r="J646" s="1">
        <v>0.0</v>
      </c>
    </row>
    <row r="647">
      <c r="A647" s="1">
        <v>2022.0</v>
      </c>
      <c r="B647" s="1">
        <v>1.0</v>
      </c>
      <c r="C647" s="1" t="s">
        <v>12</v>
      </c>
      <c r="D647" s="1" t="s">
        <v>13</v>
      </c>
      <c r="E647" s="1" t="s">
        <v>2230</v>
      </c>
      <c r="F647" s="3" t="s">
        <v>5683</v>
      </c>
      <c r="G647" s="1" t="s">
        <v>5684</v>
      </c>
      <c r="H647" s="1">
        <f t="shared" si="1"/>
        <v>732.9798</v>
      </c>
      <c r="I647" s="3" t="s">
        <v>5685</v>
      </c>
      <c r="J647" s="1">
        <v>411.0</v>
      </c>
    </row>
    <row r="648">
      <c r="A648" s="1">
        <v>2022.0</v>
      </c>
      <c r="B648" s="1">
        <v>1.0</v>
      </c>
      <c r="C648" s="1" t="s">
        <v>68</v>
      </c>
      <c r="D648" s="1" t="s">
        <v>13</v>
      </c>
      <c r="E648" s="1" t="s">
        <v>2230</v>
      </c>
      <c r="F648" s="3" t="s">
        <v>5686</v>
      </c>
      <c r="G648" s="1" t="s">
        <v>5687</v>
      </c>
      <c r="H648" s="1">
        <f t="shared" si="1"/>
        <v>460.2065</v>
      </c>
      <c r="I648" s="3">
        <v>167283.0</v>
      </c>
      <c r="J648" s="1">
        <v>1101.0</v>
      </c>
    </row>
    <row r="649">
      <c r="A649" s="1">
        <v>2022.0</v>
      </c>
      <c r="B649" s="1">
        <v>1.0</v>
      </c>
      <c r="C649" s="1" t="s">
        <v>116</v>
      </c>
      <c r="D649" s="1" t="s">
        <v>13</v>
      </c>
      <c r="E649" s="1" t="s">
        <v>2230</v>
      </c>
      <c r="F649" s="1" t="s">
        <v>5688</v>
      </c>
      <c r="G649" s="1" t="s">
        <v>5689</v>
      </c>
      <c r="H649" s="1">
        <f t="shared" si="1"/>
        <v>1310.1595</v>
      </c>
      <c r="I649" s="3">
        <v>919377.0</v>
      </c>
      <c r="J649" s="1">
        <v>1929.0</v>
      </c>
    </row>
    <row r="650">
      <c r="A650" s="1">
        <v>2022.0</v>
      </c>
      <c r="B650" s="1">
        <v>2.0</v>
      </c>
      <c r="C650" s="1" t="s">
        <v>12</v>
      </c>
      <c r="D650" s="1" t="s">
        <v>13</v>
      </c>
      <c r="E650" s="1" t="s">
        <v>2230</v>
      </c>
      <c r="F650" s="3">
        <v>2196448.0</v>
      </c>
      <c r="G650" s="1" t="s">
        <v>5690</v>
      </c>
      <c r="H650" s="1">
        <f t="shared" si="1"/>
        <v>666.1454</v>
      </c>
      <c r="I650" s="3">
        <v>2806525.0</v>
      </c>
      <c r="J650" s="1">
        <v>392.0</v>
      </c>
    </row>
    <row r="651">
      <c r="A651" s="1">
        <v>2022.0</v>
      </c>
      <c r="B651" s="1">
        <v>2.0</v>
      </c>
      <c r="C651" s="1" t="s">
        <v>68</v>
      </c>
      <c r="D651" s="1" t="s">
        <v>13</v>
      </c>
      <c r="E651" s="1" t="s">
        <v>2230</v>
      </c>
      <c r="F651" s="3">
        <v>1722576.0</v>
      </c>
      <c r="G651" s="1" t="s">
        <v>5691</v>
      </c>
      <c r="H651" s="1">
        <f t="shared" si="1"/>
        <v>367.6882</v>
      </c>
      <c r="I651" s="1" t="s">
        <v>5692</v>
      </c>
      <c r="J651" s="1">
        <v>843.0</v>
      </c>
    </row>
    <row r="652">
      <c r="A652" s="1">
        <v>2022.0</v>
      </c>
      <c r="B652" s="1">
        <v>2.0</v>
      </c>
      <c r="C652" s="1" t="s">
        <v>116</v>
      </c>
      <c r="D652" s="1" t="s">
        <v>13</v>
      </c>
      <c r="E652" s="1" t="s">
        <v>2230</v>
      </c>
      <c r="F652" s="3" t="s">
        <v>5694</v>
      </c>
      <c r="G652" s="1" t="s">
        <v>5695</v>
      </c>
      <c r="H652" s="1">
        <f t="shared" si="1"/>
        <v>992.1755</v>
      </c>
      <c r="I652" s="3">
        <v>856892.0</v>
      </c>
      <c r="J652" s="1">
        <v>1624.0</v>
      </c>
    </row>
    <row r="653">
      <c r="A653" s="1">
        <v>2022.0</v>
      </c>
      <c r="B653" s="1">
        <v>3.0</v>
      </c>
      <c r="C653" s="1" t="s">
        <v>12</v>
      </c>
      <c r="D653" s="1" t="s">
        <v>13</v>
      </c>
      <c r="E653" s="1" t="s">
        <v>2230</v>
      </c>
      <c r="F653" s="1" t="s">
        <v>5696</v>
      </c>
      <c r="G653" s="1" t="s">
        <v>5697</v>
      </c>
      <c r="H653" s="1">
        <f t="shared" si="1"/>
        <v>1111.4856</v>
      </c>
      <c r="I653" s="3">
        <v>214094.0</v>
      </c>
      <c r="J653" s="1">
        <v>339.0</v>
      </c>
    </row>
    <row r="654">
      <c r="A654" s="1">
        <v>2022.0</v>
      </c>
      <c r="B654" s="1">
        <v>3.0</v>
      </c>
      <c r="C654" s="1" t="s">
        <v>68</v>
      </c>
      <c r="D654" s="1" t="s">
        <v>13</v>
      </c>
      <c r="E654" s="1" t="s">
        <v>2230</v>
      </c>
      <c r="F654" s="3">
        <v>2940994.0</v>
      </c>
      <c r="G654" s="1" t="s">
        <v>5698</v>
      </c>
      <c r="H654" s="1">
        <f t="shared" si="1"/>
        <v>333.6765</v>
      </c>
      <c r="I654" s="1" t="s">
        <v>5699</v>
      </c>
      <c r="J654" s="1">
        <v>791.0</v>
      </c>
    </row>
    <row r="655">
      <c r="A655" s="1">
        <v>2022.0</v>
      </c>
      <c r="B655" s="1">
        <v>3.0</v>
      </c>
      <c r="C655" s="1" t="s">
        <v>116</v>
      </c>
      <c r="D655" s="1" t="s">
        <v>13</v>
      </c>
      <c r="E655" s="1" t="s">
        <v>2230</v>
      </c>
      <c r="F655" s="1" t="s">
        <v>5700</v>
      </c>
      <c r="G655" s="12" t="s">
        <v>5701</v>
      </c>
      <c r="H655" s="1">
        <f t="shared" si="1"/>
        <v>1307.2</v>
      </c>
      <c r="I655" s="3">
        <v>1883252.0</v>
      </c>
      <c r="J655" s="1">
        <v>1466.0</v>
      </c>
    </row>
    <row r="656">
      <c r="A656" s="1">
        <v>2022.0</v>
      </c>
      <c r="B656" s="1">
        <v>4.0</v>
      </c>
      <c r="C656" s="1" t="s">
        <v>12</v>
      </c>
      <c r="D656" s="1" t="s">
        <v>13</v>
      </c>
      <c r="E656" s="1" t="s">
        <v>2230</v>
      </c>
      <c r="F656" s="3">
        <v>695970.0</v>
      </c>
      <c r="G656" s="1" t="s">
        <v>5704</v>
      </c>
      <c r="H656" s="1">
        <f t="shared" si="1"/>
        <v>577.6599</v>
      </c>
      <c r="I656" s="3">
        <v>1044961.0</v>
      </c>
      <c r="J656" s="1">
        <v>310.0</v>
      </c>
    </row>
    <row r="657">
      <c r="A657" s="1">
        <v>2022.0</v>
      </c>
      <c r="B657" s="1">
        <v>4.0</v>
      </c>
      <c r="C657" s="1" t="s">
        <v>68</v>
      </c>
      <c r="D657" s="1" t="s">
        <v>13</v>
      </c>
      <c r="E657" s="1" t="s">
        <v>2230</v>
      </c>
      <c r="F657" s="3">
        <v>252475.0</v>
      </c>
      <c r="G657" s="1" t="s">
        <v>5706</v>
      </c>
      <c r="H657" s="1">
        <f t="shared" si="1"/>
        <v>348.504</v>
      </c>
      <c r="I657" s="1" t="s">
        <v>5707</v>
      </c>
      <c r="J657" s="1">
        <v>778.0</v>
      </c>
    </row>
    <row r="658">
      <c r="A658" s="1">
        <v>2022.0</v>
      </c>
      <c r="B658" s="1">
        <v>4.0</v>
      </c>
      <c r="C658" s="1" t="s">
        <v>116</v>
      </c>
      <c r="D658" s="1" t="s">
        <v>13</v>
      </c>
      <c r="E658" s="1" t="s">
        <v>2230</v>
      </c>
      <c r="F658" s="1" t="s">
        <v>5708</v>
      </c>
      <c r="G658" s="1" t="s">
        <v>5709</v>
      </c>
      <c r="H658" s="1">
        <f t="shared" si="1"/>
        <v>1561.4301</v>
      </c>
      <c r="I658" s="3">
        <v>1502000.0</v>
      </c>
      <c r="J658" s="1">
        <v>1607.0</v>
      </c>
    </row>
    <row r="659">
      <c r="A659" s="1">
        <v>2022.0</v>
      </c>
      <c r="B659" s="1">
        <v>5.0</v>
      </c>
      <c r="C659" s="1" t="s">
        <v>12</v>
      </c>
      <c r="D659" s="1" t="s">
        <v>13</v>
      </c>
      <c r="E659" s="1" t="s">
        <v>2230</v>
      </c>
      <c r="F659" s="3">
        <v>2364368.0</v>
      </c>
      <c r="G659" s="1" t="s">
        <v>5713</v>
      </c>
      <c r="H659" s="1">
        <f t="shared" si="1"/>
        <v>551.1929</v>
      </c>
      <c r="I659" s="3">
        <v>648308.0</v>
      </c>
      <c r="J659" s="1">
        <v>312.0</v>
      </c>
    </row>
    <row r="660">
      <c r="A660" s="1">
        <v>2022.0</v>
      </c>
      <c r="B660" s="1">
        <v>5.0</v>
      </c>
      <c r="C660" s="1" t="s">
        <v>68</v>
      </c>
      <c r="D660" s="1" t="s">
        <v>13</v>
      </c>
      <c r="E660" s="1" t="s">
        <v>2230</v>
      </c>
      <c r="F660" s="3">
        <v>2065568.0</v>
      </c>
      <c r="G660" s="1" t="s">
        <v>5715</v>
      </c>
      <c r="H660" s="1">
        <f t="shared" si="1"/>
        <v>467.6434</v>
      </c>
      <c r="I660" s="1" t="s">
        <v>5716</v>
      </c>
      <c r="J660" s="1">
        <v>820.0</v>
      </c>
    </row>
    <row r="661">
      <c r="A661" s="1">
        <v>2022.0</v>
      </c>
      <c r="B661" s="1">
        <v>5.0</v>
      </c>
      <c r="C661" s="1" t="s">
        <v>116</v>
      </c>
      <c r="D661" s="1" t="s">
        <v>13</v>
      </c>
      <c r="E661" s="1" t="s">
        <v>2230</v>
      </c>
      <c r="F661" s="1" t="s">
        <v>5718</v>
      </c>
      <c r="G661" s="1" t="s">
        <v>5719</v>
      </c>
      <c r="H661" s="1">
        <f t="shared" si="1"/>
        <v>1050.2044</v>
      </c>
      <c r="I661" s="3">
        <v>2504866.0</v>
      </c>
      <c r="J661" s="1">
        <v>1236.0</v>
      </c>
    </row>
    <row r="662">
      <c r="A662" s="1">
        <v>2022.0</v>
      </c>
      <c r="B662" s="1">
        <v>6.0</v>
      </c>
      <c r="C662" s="1" t="s">
        <v>12</v>
      </c>
      <c r="D662" s="1" t="s">
        <v>13</v>
      </c>
      <c r="E662" s="1" t="s">
        <v>2230</v>
      </c>
      <c r="F662" s="1" t="s">
        <v>5721</v>
      </c>
      <c r="G662" s="1" t="s">
        <v>5723</v>
      </c>
      <c r="H662" s="1">
        <f t="shared" si="1"/>
        <v>460.8189</v>
      </c>
      <c r="I662" s="3" t="s">
        <v>5725</v>
      </c>
      <c r="J662" s="1">
        <v>315.0</v>
      </c>
    </row>
    <row r="663">
      <c r="A663" s="1">
        <v>2022.0</v>
      </c>
      <c r="B663" s="1">
        <v>6.0</v>
      </c>
      <c r="C663" s="1" t="s">
        <v>68</v>
      </c>
      <c r="D663" s="1" t="s">
        <v>13</v>
      </c>
      <c r="E663" s="1" t="s">
        <v>2230</v>
      </c>
      <c r="F663" s="3">
        <v>2236868.0</v>
      </c>
      <c r="G663" s="1" t="s">
        <v>5727</v>
      </c>
      <c r="H663" s="1">
        <f t="shared" si="1"/>
        <v>436.7045</v>
      </c>
      <c r="I663" s="3" t="s">
        <v>5728</v>
      </c>
      <c r="J663" s="1">
        <v>846.0</v>
      </c>
    </row>
    <row r="664">
      <c r="A664" s="1">
        <v>2022.0</v>
      </c>
      <c r="B664" s="1">
        <v>6.0</v>
      </c>
      <c r="C664" s="1" t="s">
        <v>116</v>
      </c>
      <c r="D664" s="1" t="s">
        <v>13</v>
      </c>
      <c r="E664" s="1" t="s">
        <v>2230</v>
      </c>
      <c r="F664" s="1" t="s">
        <v>5729</v>
      </c>
      <c r="G664" s="1" t="s">
        <v>5730</v>
      </c>
      <c r="H664" s="1">
        <f t="shared" si="1"/>
        <v>1010.165</v>
      </c>
      <c r="I664" s="3">
        <v>1873362.0</v>
      </c>
      <c r="J664" s="1">
        <v>1255.0</v>
      </c>
    </row>
    <row r="665">
      <c r="A665" s="1">
        <v>2022.0</v>
      </c>
      <c r="B665" s="1">
        <v>7.0</v>
      </c>
      <c r="C665" s="1" t="s">
        <v>12</v>
      </c>
      <c r="D665" s="1" t="s">
        <v>13</v>
      </c>
      <c r="E665" s="1" t="s">
        <v>2230</v>
      </c>
      <c r="F665" s="3">
        <v>1612302.0</v>
      </c>
      <c r="G665" s="1" t="s">
        <v>5755</v>
      </c>
      <c r="H665" s="1">
        <f t="shared" si="1"/>
        <v>432.3733</v>
      </c>
      <c r="I665" s="3" t="s">
        <v>5756</v>
      </c>
      <c r="J665" s="1">
        <v>301.0</v>
      </c>
    </row>
    <row r="666">
      <c r="A666" s="1">
        <v>2022.0</v>
      </c>
      <c r="B666" s="1">
        <v>7.0</v>
      </c>
      <c r="C666" s="1" t="s">
        <v>68</v>
      </c>
      <c r="D666" s="1" t="s">
        <v>13</v>
      </c>
      <c r="E666" s="1" t="s">
        <v>2230</v>
      </c>
      <c r="F666" s="3">
        <v>1889826.0</v>
      </c>
      <c r="G666" s="1" t="s">
        <v>5758</v>
      </c>
      <c r="H666" s="1">
        <f t="shared" si="1"/>
        <v>311.9152</v>
      </c>
      <c r="I666" s="1" t="s">
        <v>5759</v>
      </c>
      <c r="J666" s="1">
        <v>589.0</v>
      </c>
    </row>
    <row r="667">
      <c r="A667" s="1">
        <v>2022.0</v>
      </c>
      <c r="B667" s="1">
        <v>7.0</v>
      </c>
      <c r="C667" s="1" t="s">
        <v>116</v>
      </c>
      <c r="D667" s="1" t="s">
        <v>13</v>
      </c>
      <c r="E667" s="1" t="s">
        <v>2230</v>
      </c>
      <c r="F667" s="3">
        <v>2387166.0</v>
      </c>
      <c r="G667" s="1" t="s">
        <v>5760</v>
      </c>
      <c r="H667" s="1">
        <f t="shared" si="1"/>
        <v>894.3061</v>
      </c>
      <c r="I667" s="3">
        <v>652357.0</v>
      </c>
      <c r="J667" s="1">
        <v>1201.0</v>
      </c>
    </row>
    <row r="668">
      <c r="A668" s="1">
        <v>2022.0</v>
      </c>
      <c r="B668" s="1">
        <v>8.0</v>
      </c>
      <c r="C668" s="1" t="s">
        <v>12</v>
      </c>
      <c r="D668" s="1" t="s">
        <v>13</v>
      </c>
      <c r="E668" s="1" t="s">
        <v>2230</v>
      </c>
      <c r="F668" s="3">
        <v>2939198.0</v>
      </c>
      <c r="G668" s="1" t="s">
        <v>5763</v>
      </c>
      <c r="H668" s="1">
        <f t="shared" si="1"/>
        <v>350.6479</v>
      </c>
      <c r="I668" s="1" t="s">
        <v>5764</v>
      </c>
      <c r="J668" s="1">
        <v>295.0</v>
      </c>
    </row>
    <row r="669">
      <c r="A669" s="1">
        <v>2022.0</v>
      </c>
      <c r="B669" s="1">
        <v>8.0</v>
      </c>
      <c r="C669" s="1" t="s">
        <v>68</v>
      </c>
      <c r="D669" s="1" t="s">
        <v>13</v>
      </c>
      <c r="E669" s="1" t="s">
        <v>2230</v>
      </c>
      <c r="F669" s="3">
        <v>2082674.0</v>
      </c>
      <c r="G669" s="1" t="s">
        <v>5765</v>
      </c>
      <c r="H669" s="1">
        <f t="shared" si="1"/>
        <v>312.313</v>
      </c>
      <c r="I669" s="1" t="s">
        <v>5766</v>
      </c>
      <c r="J669" s="1">
        <v>813.0</v>
      </c>
    </row>
    <row r="670">
      <c r="A670" s="1">
        <v>2022.0</v>
      </c>
      <c r="B670" s="1">
        <v>8.0</v>
      </c>
      <c r="C670" s="1" t="s">
        <v>116</v>
      </c>
      <c r="D670" s="1" t="s">
        <v>13</v>
      </c>
      <c r="E670" s="1" t="s">
        <v>2230</v>
      </c>
      <c r="F670" s="1" t="s">
        <v>5767</v>
      </c>
      <c r="G670" s="1" t="s">
        <v>5768</v>
      </c>
      <c r="H670" s="1">
        <f t="shared" si="1"/>
        <v>794.332</v>
      </c>
      <c r="I670" s="3">
        <v>2842320.0</v>
      </c>
      <c r="J670" s="1">
        <v>1201.0</v>
      </c>
    </row>
    <row r="671">
      <c r="A671" s="1">
        <v>2022.0</v>
      </c>
      <c r="B671" s="1">
        <v>9.0</v>
      </c>
      <c r="C671" s="1" t="s">
        <v>12</v>
      </c>
      <c r="D671" s="1" t="s">
        <v>13</v>
      </c>
      <c r="E671" s="1" t="s">
        <v>2230</v>
      </c>
      <c r="F671" s="3">
        <v>2229473.0</v>
      </c>
      <c r="G671" s="1" t="s">
        <v>5769</v>
      </c>
      <c r="H671" s="1">
        <f t="shared" si="1"/>
        <v>175.3501</v>
      </c>
      <c r="I671" s="1" t="s">
        <v>5770</v>
      </c>
      <c r="J671" s="1">
        <v>154.0</v>
      </c>
    </row>
    <row r="672">
      <c r="A672" s="1">
        <v>2022.0</v>
      </c>
      <c r="B672" s="1">
        <v>9.0</v>
      </c>
      <c r="C672" s="1" t="s">
        <v>68</v>
      </c>
      <c r="D672" s="1" t="s">
        <v>13</v>
      </c>
      <c r="E672" s="1" t="s">
        <v>2230</v>
      </c>
      <c r="F672" s="3">
        <v>2806891.0</v>
      </c>
      <c r="G672" s="1" t="s">
        <v>5771</v>
      </c>
      <c r="H672" s="1">
        <f t="shared" si="1"/>
        <v>150.9338</v>
      </c>
      <c r="I672" s="1" t="s">
        <v>4968</v>
      </c>
      <c r="J672" s="1">
        <v>311.0</v>
      </c>
    </row>
    <row r="673">
      <c r="A673" s="1">
        <v>2022.0</v>
      </c>
      <c r="B673" s="1">
        <v>9.0</v>
      </c>
      <c r="C673" s="1" t="s">
        <v>116</v>
      </c>
      <c r="D673" s="1" t="s">
        <v>13</v>
      </c>
      <c r="E673" s="1" t="s">
        <v>2230</v>
      </c>
      <c r="F673" s="3">
        <v>1418420.0</v>
      </c>
      <c r="G673" s="1" t="s">
        <v>5772</v>
      </c>
      <c r="H673" s="1">
        <f t="shared" si="1"/>
        <v>633.9507</v>
      </c>
      <c r="I673" s="3">
        <v>1189597.0</v>
      </c>
      <c r="J673" s="1">
        <v>1050.0</v>
      </c>
    </row>
    <row r="674">
      <c r="A674" s="1">
        <v>2022.0</v>
      </c>
      <c r="B674" s="1">
        <v>10.0</v>
      </c>
      <c r="C674" s="1" t="s">
        <v>12</v>
      </c>
      <c r="D674" s="1" t="s">
        <v>13</v>
      </c>
      <c r="E674" s="1" t="s">
        <v>2230</v>
      </c>
      <c r="F674" s="1" t="s">
        <v>5773</v>
      </c>
      <c r="G674" s="1" t="s">
        <v>5774</v>
      </c>
      <c r="H674" s="1">
        <f t="shared" si="1"/>
        <v>42.9389</v>
      </c>
      <c r="I674" s="1" t="s">
        <v>5776</v>
      </c>
      <c r="J674" s="1">
        <v>46.0</v>
      </c>
    </row>
    <row r="675">
      <c r="A675" s="1">
        <v>2022.0</v>
      </c>
      <c r="B675" s="1">
        <v>10.0</v>
      </c>
      <c r="C675" s="1" t="s">
        <v>68</v>
      </c>
      <c r="D675" s="1" t="s">
        <v>13</v>
      </c>
      <c r="E675" s="1" t="s">
        <v>2230</v>
      </c>
      <c r="F675" s="3">
        <v>862340.0</v>
      </c>
      <c r="G675" s="1" t="s">
        <v>5777</v>
      </c>
      <c r="H675" s="1">
        <f t="shared" si="1"/>
        <v>96.6346</v>
      </c>
      <c r="I675" s="1" t="s">
        <v>5778</v>
      </c>
      <c r="J675" s="1">
        <v>404.0</v>
      </c>
    </row>
    <row r="676">
      <c r="A676" s="1">
        <v>2022.0</v>
      </c>
      <c r="B676" s="1">
        <v>10.0</v>
      </c>
      <c r="C676" s="1" t="s">
        <v>116</v>
      </c>
      <c r="D676" s="1" t="s">
        <v>13</v>
      </c>
      <c r="E676" s="1" t="s">
        <v>2230</v>
      </c>
      <c r="F676" s="3" t="s">
        <v>5779</v>
      </c>
      <c r="G676" s="1" t="s">
        <v>5780</v>
      </c>
      <c r="H676" s="1">
        <f t="shared" si="1"/>
        <v>461.7895</v>
      </c>
      <c r="I676" s="3" t="s">
        <v>5781</v>
      </c>
      <c r="J676" s="1">
        <v>858.0</v>
      </c>
    </row>
    <row r="677">
      <c r="A677" s="1">
        <v>2022.0</v>
      </c>
      <c r="B677" s="1">
        <v>11.0</v>
      </c>
      <c r="C677" s="1" t="s">
        <v>12</v>
      </c>
      <c r="D677" s="1" t="s">
        <v>13</v>
      </c>
      <c r="E677" s="1" t="s">
        <v>2230</v>
      </c>
      <c r="F677" s="1" t="s">
        <v>3377</v>
      </c>
      <c r="G677" s="1" t="s">
        <v>5783</v>
      </c>
      <c r="H677" s="1">
        <f t="shared" si="1"/>
        <v>37.7528</v>
      </c>
      <c r="I677" s="1" t="s">
        <v>5784</v>
      </c>
      <c r="J677" s="1">
        <v>36.0</v>
      </c>
    </row>
    <row r="678">
      <c r="A678" s="1">
        <v>2022.0</v>
      </c>
      <c r="B678" s="1">
        <v>11.0</v>
      </c>
      <c r="C678" s="1" t="s">
        <v>68</v>
      </c>
      <c r="D678" s="1" t="s">
        <v>13</v>
      </c>
      <c r="E678" s="1" t="s">
        <v>2230</v>
      </c>
      <c r="F678" s="1" t="s">
        <v>5785</v>
      </c>
      <c r="G678" s="1" t="s">
        <v>5786</v>
      </c>
      <c r="H678" s="1">
        <f t="shared" si="1"/>
        <v>97.2256</v>
      </c>
      <c r="I678" s="1" t="s">
        <v>5787</v>
      </c>
      <c r="J678" s="1">
        <v>187.0</v>
      </c>
    </row>
    <row r="679">
      <c r="A679" s="1">
        <v>2022.0</v>
      </c>
      <c r="B679" s="1">
        <v>11.0</v>
      </c>
      <c r="C679" s="1" t="s">
        <v>116</v>
      </c>
      <c r="D679" s="1" t="s">
        <v>13</v>
      </c>
      <c r="E679" s="1" t="s">
        <v>2230</v>
      </c>
      <c r="F679" s="3">
        <v>169930.0</v>
      </c>
      <c r="G679" s="1" t="s">
        <v>5788</v>
      </c>
      <c r="H679" s="1">
        <f t="shared" si="1"/>
        <v>353.291</v>
      </c>
      <c r="I679" s="1" t="s">
        <v>5789</v>
      </c>
      <c r="J679" s="1">
        <v>778.0</v>
      </c>
    </row>
    <row r="680">
      <c r="A680" s="1">
        <v>2022.0</v>
      </c>
      <c r="B680" s="1">
        <v>12.0</v>
      </c>
      <c r="C680" s="1" t="s">
        <v>12</v>
      </c>
      <c r="D680" s="1" t="s">
        <v>13</v>
      </c>
      <c r="E680" s="1" t="s">
        <v>2230</v>
      </c>
      <c r="F680" s="1" t="s">
        <v>5790</v>
      </c>
      <c r="G680" s="1" t="s">
        <v>5791</v>
      </c>
      <c r="H680" s="1">
        <f t="shared" si="1"/>
        <v>14.3406</v>
      </c>
      <c r="I680" s="1" t="s">
        <v>5792</v>
      </c>
      <c r="J680" s="1">
        <v>22.0</v>
      </c>
    </row>
    <row r="681">
      <c r="A681" s="1">
        <v>2022.0</v>
      </c>
      <c r="B681" s="1">
        <v>12.0</v>
      </c>
      <c r="C681" s="1" t="s">
        <v>68</v>
      </c>
      <c r="D681" s="1" t="s">
        <v>13</v>
      </c>
      <c r="E681" s="1" t="s">
        <v>2230</v>
      </c>
      <c r="F681" s="3" t="s">
        <v>5793</v>
      </c>
      <c r="G681" s="1" t="s">
        <v>5794</v>
      </c>
      <c r="H681" s="1">
        <f t="shared" si="1"/>
        <v>123.6008</v>
      </c>
      <c r="I681" s="1" t="s">
        <v>497</v>
      </c>
      <c r="J681" s="1">
        <v>200.0</v>
      </c>
    </row>
    <row r="682">
      <c r="A682" s="1">
        <v>2022.0</v>
      </c>
      <c r="B682" s="1">
        <v>12.0</v>
      </c>
      <c r="C682" s="1" t="s">
        <v>116</v>
      </c>
      <c r="D682" s="1" t="s">
        <v>13</v>
      </c>
      <c r="E682" s="1" t="s">
        <v>2230</v>
      </c>
      <c r="F682" s="3">
        <v>1165887.0</v>
      </c>
      <c r="G682" s="1" t="s">
        <v>5795</v>
      </c>
      <c r="H682" s="1">
        <f t="shared" si="1"/>
        <v>223.1901</v>
      </c>
      <c r="I682" s="1" t="s">
        <v>5796</v>
      </c>
      <c r="J682" s="1">
        <v>514.0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25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88"/>
    <col customWidth="1" min="2" max="3" width="10.0"/>
    <col customWidth="1" min="4" max="4" width="11.13"/>
    <col customWidth="1" min="5" max="5" width="11.63"/>
    <col customWidth="1" min="6" max="6" width="11.88"/>
    <col customWidth="1" min="7" max="26" width="7.63"/>
  </cols>
  <sheetData>
    <row r="1" ht="14.25" customHeight="1">
      <c r="A1" s="7" t="s">
        <v>3854</v>
      </c>
      <c r="B1" s="7" t="s">
        <v>0</v>
      </c>
      <c r="C1" s="7" t="s">
        <v>3858</v>
      </c>
      <c r="D1" s="7" t="s">
        <v>3860</v>
      </c>
      <c r="E1" s="7" t="s">
        <v>3861</v>
      </c>
      <c r="F1" s="7" t="s">
        <v>3864</v>
      </c>
    </row>
    <row r="2" ht="14.25" customHeight="1">
      <c r="A2" s="10">
        <v>44562.0</v>
      </c>
      <c r="B2" s="7">
        <f t="shared" ref="B2:B366" si="1">YEAR(A2)</f>
        <v>2022</v>
      </c>
      <c r="C2" s="7">
        <f t="shared" ref="C2:C366" si="2">MONTH(A2)</f>
        <v>1</v>
      </c>
      <c r="D2" s="7">
        <f t="shared" ref="D2:D366" si="3">WEEKDAY(A2)</f>
        <v>7</v>
      </c>
      <c r="E2" s="7">
        <f t="shared" ref="E2:E366" si="4">WEEKNUM(A2)</f>
        <v>1</v>
      </c>
      <c r="F2" s="7">
        <f t="shared" ref="F2:F366" si="5">DAY(A2)</f>
        <v>1</v>
      </c>
    </row>
    <row r="3" ht="14.25" customHeight="1">
      <c r="A3" s="10">
        <v>44563.0</v>
      </c>
      <c r="B3" s="7">
        <f t="shared" si="1"/>
        <v>2022</v>
      </c>
      <c r="C3" s="7">
        <f t="shared" si="2"/>
        <v>1</v>
      </c>
      <c r="D3" s="7">
        <f t="shared" si="3"/>
        <v>1</v>
      </c>
      <c r="E3" s="7">
        <f t="shared" si="4"/>
        <v>2</v>
      </c>
      <c r="F3" s="7">
        <f t="shared" si="5"/>
        <v>2</v>
      </c>
    </row>
    <row r="4" ht="14.25" customHeight="1">
      <c r="A4" s="10">
        <v>44564.0</v>
      </c>
      <c r="B4" s="7">
        <f t="shared" si="1"/>
        <v>2022</v>
      </c>
      <c r="C4" s="7">
        <f t="shared" si="2"/>
        <v>1</v>
      </c>
      <c r="D4" s="7">
        <f t="shared" si="3"/>
        <v>2</v>
      </c>
      <c r="E4" s="7">
        <f t="shared" si="4"/>
        <v>2</v>
      </c>
      <c r="F4" s="7">
        <f t="shared" si="5"/>
        <v>3</v>
      </c>
    </row>
    <row r="5" ht="14.25" customHeight="1">
      <c r="A5" s="10">
        <v>44565.0</v>
      </c>
      <c r="B5" s="7">
        <f t="shared" si="1"/>
        <v>2022</v>
      </c>
      <c r="C5" s="7">
        <f t="shared" si="2"/>
        <v>1</v>
      </c>
      <c r="D5" s="7">
        <f t="shared" si="3"/>
        <v>3</v>
      </c>
      <c r="E5" s="7">
        <f t="shared" si="4"/>
        <v>2</v>
      </c>
      <c r="F5" s="7">
        <f t="shared" si="5"/>
        <v>4</v>
      </c>
    </row>
    <row r="6" ht="14.25" customHeight="1">
      <c r="A6" s="10">
        <v>44566.0</v>
      </c>
      <c r="B6" s="7">
        <f t="shared" si="1"/>
        <v>2022</v>
      </c>
      <c r="C6" s="7">
        <f t="shared" si="2"/>
        <v>1</v>
      </c>
      <c r="D6" s="7">
        <f t="shared" si="3"/>
        <v>4</v>
      </c>
      <c r="E6" s="7">
        <f t="shared" si="4"/>
        <v>2</v>
      </c>
      <c r="F6" s="7">
        <f t="shared" si="5"/>
        <v>5</v>
      </c>
    </row>
    <row r="7" ht="14.25" customHeight="1">
      <c r="A7" s="10">
        <v>44567.0</v>
      </c>
      <c r="B7" s="7">
        <f t="shared" si="1"/>
        <v>2022</v>
      </c>
      <c r="C7" s="7">
        <f t="shared" si="2"/>
        <v>1</v>
      </c>
      <c r="D7" s="7">
        <f t="shared" si="3"/>
        <v>5</v>
      </c>
      <c r="E7" s="7">
        <f t="shared" si="4"/>
        <v>2</v>
      </c>
      <c r="F7" s="7">
        <f t="shared" si="5"/>
        <v>6</v>
      </c>
    </row>
    <row r="8" ht="14.25" customHeight="1">
      <c r="A8" s="10">
        <v>44568.0</v>
      </c>
      <c r="B8" s="7">
        <f t="shared" si="1"/>
        <v>2022</v>
      </c>
      <c r="C8" s="7">
        <f t="shared" si="2"/>
        <v>1</v>
      </c>
      <c r="D8" s="7">
        <f t="shared" si="3"/>
        <v>6</v>
      </c>
      <c r="E8" s="7">
        <f t="shared" si="4"/>
        <v>2</v>
      </c>
      <c r="F8" s="7">
        <f t="shared" si="5"/>
        <v>7</v>
      </c>
    </row>
    <row r="9" ht="14.25" customHeight="1">
      <c r="A9" s="10">
        <v>44569.0</v>
      </c>
      <c r="B9" s="7">
        <f t="shared" si="1"/>
        <v>2022</v>
      </c>
      <c r="C9" s="7">
        <f t="shared" si="2"/>
        <v>1</v>
      </c>
      <c r="D9" s="7">
        <f t="shared" si="3"/>
        <v>7</v>
      </c>
      <c r="E9" s="7">
        <f t="shared" si="4"/>
        <v>2</v>
      </c>
      <c r="F9" s="7">
        <f t="shared" si="5"/>
        <v>8</v>
      </c>
    </row>
    <row r="10" ht="14.25" customHeight="1">
      <c r="A10" s="10">
        <v>44570.0</v>
      </c>
      <c r="B10" s="7">
        <f t="shared" si="1"/>
        <v>2022</v>
      </c>
      <c r="C10" s="7">
        <f t="shared" si="2"/>
        <v>1</v>
      </c>
      <c r="D10" s="7">
        <f t="shared" si="3"/>
        <v>1</v>
      </c>
      <c r="E10" s="7">
        <f t="shared" si="4"/>
        <v>3</v>
      </c>
      <c r="F10" s="7">
        <f t="shared" si="5"/>
        <v>9</v>
      </c>
    </row>
    <row r="11" ht="14.25" customHeight="1">
      <c r="A11" s="10">
        <v>44571.0</v>
      </c>
      <c r="B11" s="7">
        <f t="shared" si="1"/>
        <v>2022</v>
      </c>
      <c r="C11" s="7">
        <f t="shared" si="2"/>
        <v>1</v>
      </c>
      <c r="D11" s="7">
        <f t="shared" si="3"/>
        <v>2</v>
      </c>
      <c r="E11" s="7">
        <f t="shared" si="4"/>
        <v>3</v>
      </c>
      <c r="F11" s="7">
        <f t="shared" si="5"/>
        <v>10</v>
      </c>
    </row>
    <row r="12" ht="14.25" customHeight="1">
      <c r="A12" s="10">
        <v>44572.0</v>
      </c>
      <c r="B12" s="7">
        <f t="shared" si="1"/>
        <v>2022</v>
      </c>
      <c r="C12" s="7">
        <f t="shared" si="2"/>
        <v>1</v>
      </c>
      <c r="D12" s="7">
        <f t="shared" si="3"/>
        <v>3</v>
      </c>
      <c r="E12" s="7">
        <f t="shared" si="4"/>
        <v>3</v>
      </c>
      <c r="F12" s="7">
        <f t="shared" si="5"/>
        <v>11</v>
      </c>
    </row>
    <row r="13" ht="14.25" customHeight="1">
      <c r="A13" s="10">
        <v>44573.0</v>
      </c>
      <c r="B13" s="7">
        <f t="shared" si="1"/>
        <v>2022</v>
      </c>
      <c r="C13" s="7">
        <f t="shared" si="2"/>
        <v>1</v>
      </c>
      <c r="D13" s="7">
        <f t="shared" si="3"/>
        <v>4</v>
      </c>
      <c r="E13" s="7">
        <f t="shared" si="4"/>
        <v>3</v>
      </c>
      <c r="F13" s="7">
        <f t="shared" si="5"/>
        <v>12</v>
      </c>
    </row>
    <row r="14" ht="14.25" customHeight="1">
      <c r="A14" s="10">
        <v>44574.0</v>
      </c>
      <c r="B14" s="7">
        <f t="shared" si="1"/>
        <v>2022</v>
      </c>
      <c r="C14" s="7">
        <f t="shared" si="2"/>
        <v>1</v>
      </c>
      <c r="D14" s="7">
        <f t="shared" si="3"/>
        <v>5</v>
      </c>
      <c r="E14" s="7">
        <f t="shared" si="4"/>
        <v>3</v>
      </c>
      <c r="F14" s="7">
        <f t="shared" si="5"/>
        <v>13</v>
      </c>
    </row>
    <row r="15" ht="14.25" customHeight="1">
      <c r="A15" s="10">
        <v>44575.0</v>
      </c>
      <c r="B15" s="7">
        <f t="shared" si="1"/>
        <v>2022</v>
      </c>
      <c r="C15" s="7">
        <f t="shared" si="2"/>
        <v>1</v>
      </c>
      <c r="D15" s="7">
        <f t="shared" si="3"/>
        <v>6</v>
      </c>
      <c r="E15" s="7">
        <f t="shared" si="4"/>
        <v>3</v>
      </c>
      <c r="F15" s="7">
        <f t="shared" si="5"/>
        <v>14</v>
      </c>
    </row>
    <row r="16" ht="14.25" customHeight="1">
      <c r="A16" s="10">
        <v>44576.0</v>
      </c>
      <c r="B16" s="7">
        <f t="shared" si="1"/>
        <v>2022</v>
      </c>
      <c r="C16" s="7">
        <f t="shared" si="2"/>
        <v>1</v>
      </c>
      <c r="D16" s="7">
        <f t="shared" si="3"/>
        <v>7</v>
      </c>
      <c r="E16" s="7">
        <f t="shared" si="4"/>
        <v>3</v>
      </c>
      <c r="F16" s="7">
        <f t="shared" si="5"/>
        <v>15</v>
      </c>
    </row>
    <row r="17" ht="14.25" customHeight="1">
      <c r="A17" s="10">
        <v>44577.0</v>
      </c>
      <c r="B17" s="7">
        <f t="shared" si="1"/>
        <v>2022</v>
      </c>
      <c r="C17" s="7">
        <f t="shared" si="2"/>
        <v>1</v>
      </c>
      <c r="D17" s="7">
        <f t="shared" si="3"/>
        <v>1</v>
      </c>
      <c r="E17" s="7">
        <f t="shared" si="4"/>
        <v>4</v>
      </c>
      <c r="F17" s="7">
        <f t="shared" si="5"/>
        <v>16</v>
      </c>
    </row>
    <row r="18" ht="14.25" customHeight="1">
      <c r="A18" s="10">
        <v>44578.0</v>
      </c>
      <c r="B18" s="7">
        <f t="shared" si="1"/>
        <v>2022</v>
      </c>
      <c r="C18" s="7">
        <f t="shared" si="2"/>
        <v>1</v>
      </c>
      <c r="D18" s="7">
        <f t="shared" si="3"/>
        <v>2</v>
      </c>
      <c r="E18" s="7">
        <f t="shared" si="4"/>
        <v>4</v>
      </c>
      <c r="F18" s="7">
        <f t="shared" si="5"/>
        <v>17</v>
      </c>
    </row>
    <row r="19" ht="14.25" customHeight="1">
      <c r="A19" s="10">
        <v>44579.0</v>
      </c>
      <c r="B19" s="7">
        <f t="shared" si="1"/>
        <v>2022</v>
      </c>
      <c r="C19" s="7">
        <f t="shared" si="2"/>
        <v>1</v>
      </c>
      <c r="D19" s="7">
        <f t="shared" si="3"/>
        <v>3</v>
      </c>
      <c r="E19" s="7">
        <f t="shared" si="4"/>
        <v>4</v>
      </c>
      <c r="F19" s="7">
        <f t="shared" si="5"/>
        <v>18</v>
      </c>
    </row>
    <row r="20" ht="14.25" customHeight="1">
      <c r="A20" s="10">
        <v>44580.0</v>
      </c>
      <c r="B20" s="7">
        <f t="shared" si="1"/>
        <v>2022</v>
      </c>
      <c r="C20" s="7">
        <f t="shared" si="2"/>
        <v>1</v>
      </c>
      <c r="D20" s="7">
        <f t="shared" si="3"/>
        <v>4</v>
      </c>
      <c r="E20" s="7">
        <f t="shared" si="4"/>
        <v>4</v>
      </c>
      <c r="F20" s="7">
        <f t="shared" si="5"/>
        <v>19</v>
      </c>
    </row>
    <row r="21" ht="14.25" customHeight="1">
      <c r="A21" s="10">
        <v>44581.0</v>
      </c>
      <c r="B21" s="7">
        <f t="shared" si="1"/>
        <v>2022</v>
      </c>
      <c r="C21" s="7">
        <f t="shared" si="2"/>
        <v>1</v>
      </c>
      <c r="D21" s="7">
        <f t="shared" si="3"/>
        <v>5</v>
      </c>
      <c r="E21" s="7">
        <f t="shared" si="4"/>
        <v>4</v>
      </c>
      <c r="F21" s="7">
        <f t="shared" si="5"/>
        <v>20</v>
      </c>
    </row>
    <row r="22" ht="14.25" customHeight="1">
      <c r="A22" s="10">
        <v>44582.0</v>
      </c>
      <c r="B22" s="7">
        <f t="shared" si="1"/>
        <v>2022</v>
      </c>
      <c r="C22" s="7">
        <f t="shared" si="2"/>
        <v>1</v>
      </c>
      <c r="D22" s="7">
        <f t="shared" si="3"/>
        <v>6</v>
      </c>
      <c r="E22" s="7">
        <f t="shared" si="4"/>
        <v>4</v>
      </c>
      <c r="F22" s="7">
        <f t="shared" si="5"/>
        <v>21</v>
      </c>
    </row>
    <row r="23" ht="14.25" customHeight="1">
      <c r="A23" s="10">
        <v>44583.0</v>
      </c>
      <c r="B23" s="7">
        <f t="shared" si="1"/>
        <v>2022</v>
      </c>
      <c r="C23" s="7">
        <f t="shared" si="2"/>
        <v>1</v>
      </c>
      <c r="D23" s="7">
        <f t="shared" si="3"/>
        <v>7</v>
      </c>
      <c r="E23" s="7">
        <f t="shared" si="4"/>
        <v>4</v>
      </c>
      <c r="F23" s="7">
        <f t="shared" si="5"/>
        <v>22</v>
      </c>
    </row>
    <row r="24" ht="14.25" customHeight="1">
      <c r="A24" s="10">
        <v>44584.0</v>
      </c>
      <c r="B24" s="7">
        <f t="shared" si="1"/>
        <v>2022</v>
      </c>
      <c r="C24" s="7">
        <f t="shared" si="2"/>
        <v>1</v>
      </c>
      <c r="D24" s="7">
        <f t="shared" si="3"/>
        <v>1</v>
      </c>
      <c r="E24" s="7">
        <f t="shared" si="4"/>
        <v>5</v>
      </c>
      <c r="F24" s="7">
        <f t="shared" si="5"/>
        <v>23</v>
      </c>
    </row>
    <row r="25" ht="14.25" customHeight="1">
      <c r="A25" s="10">
        <v>44585.0</v>
      </c>
      <c r="B25" s="7">
        <f t="shared" si="1"/>
        <v>2022</v>
      </c>
      <c r="C25" s="7">
        <f t="shared" si="2"/>
        <v>1</v>
      </c>
      <c r="D25" s="7">
        <f t="shared" si="3"/>
        <v>2</v>
      </c>
      <c r="E25" s="7">
        <f t="shared" si="4"/>
        <v>5</v>
      </c>
      <c r="F25" s="7">
        <f t="shared" si="5"/>
        <v>24</v>
      </c>
    </row>
    <row r="26" ht="14.25" customHeight="1">
      <c r="A26" s="10">
        <v>44586.0</v>
      </c>
      <c r="B26" s="7">
        <f t="shared" si="1"/>
        <v>2022</v>
      </c>
      <c r="C26" s="7">
        <f t="shared" si="2"/>
        <v>1</v>
      </c>
      <c r="D26" s="7">
        <f t="shared" si="3"/>
        <v>3</v>
      </c>
      <c r="E26" s="7">
        <f t="shared" si="4"/>
        <v>5</v>
      </c>
      <c r="F26" s="7">
        <f t="shared" si="5"/>
        <v>25</v>
      </c>
    </row>
    <row r="27" ht="14.25" customHeight="1">
      <c r="A27" s="10">
        <v>44587.0</v>
      </c>
      <c r="B27" s="7">
        <f t="shared" si="1"/>
        <v>2022</v>
      </c>
      <c r="C27" s="7">
        <f t="shared" si="2"/>
        <v>1</v>
      </c>
      <c r="D27" s="7">
        <f t="shared" si="3"/>
        <v>4</v>
      </c>
      <c r="E27" s="7">
        <f t="shared" si="4"/>
        <v>5</v>
      </c>
      <c r="F27" s="7">
        <f t="shared" si="5"/>
        <v>26</v>
      </c>
    </row>
    <row r="28" ht="14.25" customHeight="1">
      <c r="A28" s="10">
        <v>44588.0</v>
      </c>
      <c r="B28" s="7">
        <f t="shared" si="1"/>
        <v>2022</v>
      </c>
      <c r="C28" s="7">
        <f t="shared" si="2"/>
        <v>1</v>
      </c>
      <c r="D28" s="7">
        <f t="shared" si="3"/>
        <v>5</v>
      </c>
      <c r="E28" s="7">
        <f t="shared" si="4"/>
        <v>5</v>
      </c>
      <c r="F28" s="7">
        <f t="shared" si="5"/>
        <v>27</v>
      </c>
    </row>
    <row r="29" ht="14.25" customHeight="1">
      <c r="A29" s="10">
        <v>44589.0</v>
      </c>
      <c r="B29" s="7">
        <f t="shared" si="1"/>
        <v>2022</v>
      </c>
      <c r="C29" s="7">
        <f t="shared" si="2"/>
        <v>1</v>
      </c>
      <c r="D29" s="7">
        <f t="shared" si="3"/>
        <v>6</v>
      </c>
      <c r="E29" s="7">
        <f t="shared" si="4"/>
        <v>5</v>
      </c>
      <c r="F29" s="7">
        <f t="shared" si="5"/>
        <v>28</v>
      </c>
    </row>
    <row r="30" ht="14.25" customHeight="1">
      <c r="A30" s="10">
        <v>44590.0</v>
      </c>
      <c r="B30" s="7">
        <f t="shared" si="1"/>
        <v>2022</v>
      </c>
      <c r="C30" s="7">
        <f t="shared" si="2"/>
        <v>1</v>
      </c>
      <c r="D30" s="7">
        <f t="shared" si="3"/>
        <v>7</v>
      </c>
      <c r="E30" s="7">
        <f t="shared" si="4"/>
        <v>5</v>
      </c>
      <c r="F30" s="7">
        <f t="shared" si="5"/>
        <v>29</v>
      </c>
    </row>
    <row r="31" ht="14.25" customHeight="1">
      <c r="A31" s="10">
        <v>44591.0</v>
      </c>
      <c r="B31" s="7">
        <f t="shared" si="1"/>
        <v>2022</v>
      </c>
      <c r="C31" s="7">
        <f t="shared" si="2"/>
        <v>1</v>
      </c>
      <c r="D31" s="7">
        <f t="shared" si="3"/>
        <v>1</v>
      </c>
      <c r="E31" s="7">
        <f t="shared" si="4"/>
        <v>6</v>
      </c>
      <c r="F31" s="7">
        <f t="shared" si="5"/>
        <v>30</v>
      </c>
    </row>
    <row r="32" ht="14.25" customHeight="1">
      <c r="A32" s="10">
        <v>44592.0</v>
      </c>
      <c r="B32" s="7">
        <f t="shared" si="1"/>
        <v>2022</v>
      </c>
      <c r="C32" s="7">
        <f t="shared" si="2"/>
        <v>1</v>
      </c>
      <c r="D32" s="7">
        <f t="shared" si="3"/>
        <v>2</v>
      </c>
      <c r="E32" s="7">
        <f t="shared" si="4"/>
        <v>6</v>
      </c>
      <c r="F32" s="7">
        <f t="shared" si="5"/>
        <v>31</v>
      </c>
    </row>
    <row r="33" ht="14.25" customHeight="1">
      <c r="A33" s="10">
        <v>44593.0</v>
      </c>
      <c r="B33" s="7">
        <f t="shared" si="1"/>
        <v>2022</v>
      </c>
      <c r="C33" s="7">
        <f t="shared" si="2"/>
        <v>2</v>
      </c>
      <c r="D33" s="7">
        <f t="shared" si="3"/>
        <v>3</v>
      </c>
      <c r="E33" s="7">
        <f t="shared" si="4"/>
        <v>6</v>
      </c>
      <c r="F33" s="7">
        <f t="shared" si="5"/>
        <v>1</v>
      </c>
    </row>
    <row r="34" ht="14.25" customHeight="1">
      <c r="A34" s="10">
        <v>44594.0</v>
      </c>
      <c r="B34" s="7">
        <f t="shared" si="1"/>
        <v>2022</v>
      </c>
      <c r="C34" s="7">
        <f t="shared" si="2"/>
        <v>2</v>
      </c>
      <c r="D34" s="7">
        <f t="shared" si="3"/>
        <v>4</v>
      </c>
      <c r="E34" s="7">
        <f t="shared" si="4"/>
        <v>6</v>
      </c>
      <c r="F34" s="7">
        <f t="shared" si="5"/>
        <v>2</v>
      </c>
    </row>
    <row r="35" ht="14.25" customHeight="1">
      <c r="A35" s="10">
        <v>44595.0</v>
      </c>
      <c r="B35" s="7">
        <f t="shared" si="1"/>
        <v>2022</v>
      </c>
      <c r="C35" s="7">
        <f t="shared" si="2"/>
        <v>2</v>
      </c>
      <c r="D35" s="7">
        <f t="shared" si="3"/>
        <v>5</v>
      </c>
      <c r="E35" s="7">
        <f t="shared" si="4"/>
        <v>6</v>
      </c>
      <c r="F35" s="7">
        <f t="shared" si="5"/>
        <v>3</v>
      </c>
    </row>
    <row r="36" ht="14.25" customHeight="1">
      <c r="A36" s="10">
        <v>44596.0</v>
      </c>
      <c r="B36" s="7">
        <f t="shared" si="1"/>
        <v>2022</v>
      </c>
      <c r="C36" s="7">
        <f t="shared" si="2"/>
        <v>2</v>
      </c>
      <c r="D36" s="7">
        <f t="shared" si="3"/>
        <v>6</v>
      </c>
      <c r="E36" s="7">
        <f t="shared" si="4"/>
        <v>6</v>
      </c>
      <c r="F36" s="7">
        <f t="shared" si="5"/>
        <v>4</v>
      </c>
    </row>
    <row r="37" ht="14.25" customHeight="1">
      <c r="A37" s="10">
        <v>44597.0</v>
      </c>
      <c r="B37" s="7">
        <f t="shared" si="1"/>
        <v>2022</v>
      </c>
      <c r="C37" s="7">
        <f t="shared" si="2"/>
        <v>2</v>
      </c>
      <c r="D37" s="7">
        <f t="shared" si="3"/>
        <v>7</v>
      </c>
      <c r="E37" s="7">
        <f t="shared" si="4"/>
        <v>6</v>
      </c>
      <c r="F37" s="7">
        <f t="shared" si="5"/>
        <v>5</v>
      </c>
    </row>
    <row r="38" ht="14.25" customHeight="1">
      <c r="A38" s="10">
        <v>44598.0</v>
      </c>
      <c r="B38" s="7">
        <f t="shared" si="1"/>
        <v>2022</v>
      </c>
      <c r="C38" s="7">
        <f t="shared" si="2"/>
        <v>2</v>
      </c>
      <c r="D38" s="7">
        <f t="shared" si="3"/>
        <v>1</v>
      </c>
      <c r="E38" s="7">
        <f t="shared" si="4"/>
        <v>7</v>
      </c>
      <c r="F38" s="7">
        <f t="shared" si="5"/>
        <v>6</v>
      </c>
    </row>
    <row r="39" ht="14.25" customHeight="1">
      <c r="A39" s="10">
        <v>44599.0</v>
      </c>
      <c r="B39" s="7">
        <f t="shared" si="1"/>
        <v>2022</v>
      </c>
      <c r="C39" s="7">
        <f t="shared" si="2"/>
        <v>2</v>
      </c>
      <c r="D39" s="7">
        <f t="shared" si="3"/>
        <v>2</v>
      </c>
      <c r="E39" s="7">
        <f t="shared" si="4"/>
        <v>7</v>
      </c>
      <c r="F39" s="7">
        <f t="shared" si="5"/>
        <v>7</v>
      </c>
    </row>
    <row r="40" ht="14.25" customHeight="1">
      <c r="A40" s="10">
        <v>44600.0</v>
      </c>
      <c r="B40" s="7">
        <f t="shared" si="1"/>
        <v>2022</v>
      </c>
      <c r="C40" s="7">
        <f t="shared" si="2"/>
        <v>2</v>
      </c>
      <c r="D40" s="7">
        <f t="shared" si="3"/>
        <v>3</v>
      </c>
      <c r="E40" s="7">
        <f t="shared" si="4"/>
        <v>7</v>
      </c>
      <c r="F40" s="7">
        <f t="shared" si="5"/>
        <v>8</v>
      </c>
    </row>
    <row r="41" ht="14.25" customHeight="1">
      <c r="A41" s="10">
        <v>44601.0</v>
      </c>
      <c r="B41" s="7">
        <f t="shared" si="1"/>
        <v>2022</v>
      </c>
      <c r="C41" s="7">
        <f t="shared" si="2"/>
        <v>2</v>
      </c>
      <c r="D41" s="7">
        <f t="shared" si="3"/>
        <v>4</v>
      </c>
      <c r="E41" s="7">
        <f t="shared" si="4"/>
        <v>7</v>
      </c>
      <c r="F41" s="7">
        <f t="shared" si="5"/>
        <v>9</v>
      </c>
    </row>
    <row r="42" ht="14.25" customHeight="1">
      <c r="A42" s="10">
        <v>44602.0</v>
      </c>
      <c r="B42" s="7">
        <f t="shared" si="1"/>
        <v>2022</v>
      </c>
      <c r="C42" s="7">
        <f t="shared" si="2"/>
        <v>2</v>
      </c>
      <c r="D42" s="7">
        <f t="shared" si="3"/>
        <v>5</v>
      </c>
      <c r="E42" s="7">
        <f t="shared" si="4"/>
        <v>7</v>
      </c>
      <c r="F42" s="7">
        <f t="shared" si="5"/>
        <v>10</v>
      </c>
    </row>
    <row r="43" ht="14.25" customHeight="1">
      <c r="A43" s="10">
        <v>44603.0</v>
      </c>
      <c r="B43" s="7">
        <f t="shared" si="1"/>
        <v>2022</v>
      </c>
      <c r="C43" s="7">
        <f t="shared" si="2"/>
        <v>2</v>
      </c>
      <c r="D43" s="7">
        <f t="shared" si="3"/>
        <v>6</v>
      </c>
      <c r="E43" s="7">
        <f t="shared" si="4"/>
        <v>7</v>
      </c>
      <c r="F43" s="7">
        <f t="shared" si="5"/>
        <v>11</v>
      </c>
    </row>
    <row r="44" ht="14.25" customHeight="1">
      <c r="A44" s="10">
        <v>44604.0</v>
      </c>
      <c r="B44" s="7">
        <f t="shared" si="1"/>
        <v>2022</v>
      </c>
      <c r="C44" s="7">
        <f t="shared" si="2"/>
        <v>2</v>
      </c>
      <c r="D44" s="7">
        <f t="shared" si="3"/>
        <v>7</v>
      </c>
      <c r="E44" s="7">
        <f t="shared" si="4"/>
        <v>7</v>
      </c>
      <c r="F44" s="7">
        <f t="shared" si="5"/>
        <v>12</v>
      </c>
    </row>
    <row r="45" ht="14.25" customHeight="1">
      <c r="A45" s="10">
        <v>44605.0</v>
      </c>
      <c r="B45" s="7">
        <f t="shared" si="1"/>
        <v>2022</v>
      </c>
      <c r="C45" s="7">
        <f t="shared" si="2"/>
        <v>2</v>
      </c>
      <c r="D45" s="7">
        <f t="shared" si="3"/>
        <v>1</v>
      </c>
      <c r="E45" s="7">
        <f t="shared" si="4"/>
        <v>8</v>
      </c>
      <c r="F45" s="7">
        <f t="shared" si="5"/>
        <v>13</v>
      </c>
    </row>
    <row r="46" ht="14.25" customHeight="1">
      <c r="A46" s="10">
        <v>44606.0</v>
      </c>
      <c r="B46" s="7">
        <f t="shared" si="1"/>
        <v>2022</v>
      </c>
      <c r="C46" s="7">
        <f t="shared" si="2"/>
        <v>2</v>
      </c>
      <c r="D46" s="7">
        <f t="shared" si="3"/>
        <v>2</v>
      </c>
      <c r="E46" s="7">
        <f t="shared" si="4"/>
        <v>8</v>
      </c>
      <c r="F46" s="7">
        <f t="shared" si="5"/>
        <v>14</v>
      </c>
    </row>
    <row r="47" ht="14.25" customHeight="1">
      <c r="A47" s="10">
        <v>44607.0</v>
      </c>
      <c r="B47" s="7">
        <f t="shared" si="1"/>
        <v>2022</v>
      </c>
      <c r="C47" s="7">
        <f t="shared" si="2"/>
        <v>2</v>
      </c>
      <c r="D47" s="7">
        <f t="shared" si="3"/>
        <v>3</v>
      </c>
      <c r="E47" s="7">
        <f t="shared" si="4"/>
        <v>8</v>
      </c>
      <c r="F47" s="7">
        <f t="shared" si="5"/>
        <v>15</v>
      </c>
    </row>
    <row r="48" ht="14.25" customHeight="1">
      <c r="A48" s="10">
        <v>44608.0</v>
      </c>
      <c r="B48" s="7">
        <f t="shared" si="1"/>
        <v>2022</v>
      </c>
      <c r="C48" s="7">
        <f t="shared" si="2"/>
        <v>2</v>
      </c>
      <c r="D48" s="7">
        <f t="shared" si="3"/>
        <v>4</v>
      </c>
      <c r="E48" s="7">
        <f t="shared" si="4"/>
        <v>8</v>
      </c>
      <c r="F48" s="7">
        <f t="shared" si="5"/>
        <v>16</v>
      </c>
    </row>
    <row r="49" ht="14.25" customHeight="1">
      <c r="A49" s="10">
        <v>44609.0</v>
      </c>
      <c r="B49" s="7">
        <f t="shared" si="1"/>
        <v>2022</v>
      </c>
      <c r="C49" s="7">
        <f t="shared" si="2"/>
        <v>2</v>
      </c>
      <c r="D49" s="7">
        <f t="shared" si="3"/>
        <v>5</v>
      </c>
      <c r="E49" s="7">
        <f t="shared" si="4"/>
        <v>8</v>
      </c>
      <c r="F49" s="7">
        <f t="shared" si="5"/>
        <v>17</v>
      </c>
    </row>
    <row r="50" ht="14.25" customHeight="1">
      <c r="A50" s="10">
        <v>44610.0</v>
      </c>
      <c r="B50" s="7">
        <f t="shared" si="1"/>
        <v>2022</v>
      </c>
      <c r="C50" s="7">
        <f t="shared" si="2"/>
        <v>2</v>
      </c>
      <c r="D50" s="7">
        <f t="shared" si="3"/>
        <v>6</v>
      </c>
      <c r="E50" s="7">
        <f t="shared" si="4"/>
        <v>8</v>
      </c>
      <c r="F50" s="7">
        <f t="shared" si="5"/>
        <v>18</v>
      </c>
    </row>
    <row r="51" ht="14.25" customHeight="1">
      <c r="A51" s="10">
        <v>44611.0</v>
      </c>
      <c r="B51" s="7">
        <f t="shared" si="1"/>
        <v>2022</v>
      </c>
      <c r="C51" s="7">
        <f t="shared" si="2"/>
        <v>2</v>
      </c>
      <c r="D51" s="7">
        <f t="shared" si="3"/>
        <v>7</v>
      </c>
      <c r="E51" s="7">
        <f t="shared" si="4"/>
        <v>8</v>
      </c>
      <c r="F51" s="7">
        <f t="shared" si="5"/>
        <v>19</v>
      </c>
    </row>
    <row r="52" ht="14.25" customHeight="1">
      <c r="A52" s="10">
        <v>44612.0</v>
      </c>
      <c r="B52" s="7">
        <f t="shared" si="1"/>
        <v>2022</v>
      </c>
      <c r="C52" s="7">
        <f t="shared" si="2"/>
        <v>2</v>
      </c>
      <c r="D52" s="7">
        <f t="shared" si="3"/>
        <v>1</v>
      </c>
      <c r="E52" s="7">
        <f t="shared" si="4"/>
        <v>9</v>
      </c>
      <c r="F52" s="7">
        <f t="shared" si="5"/>
        <v>20</v>
      </c>
    </row>
    <row r="53" ht="14.25" customHeight="1">
      <c r="A53" s="10">
        <v>44613.0</v>
      </c>
      <c r="B53" s="7">
        <f t="shared" si="1"/>
        <v>2022</v>
      </c>
      <c r="C53" s="7">
        <f t="shared" si="2"/>
        <v>2</v>
      </c>
      <c r="D53" s="7">
        <f t="shared" si="3"/>
        <v>2</v>
      </c>
      <c r="E53" s="7">
        <f t="shared" si="4"/>
        <v>9</v>
      </c>
      <c r="F53" s="7">
        <f t="shared" si="5"/>
        <v>21</v>
      </c>
    </row>
    <row r="54" ht="14.25" customHeight="1">
      <c r="A54" s="10">
        <v>44614.0</v>
      </c>
      <c r="B54" s="7">
        <f t="shared" si="1"/>
        <v>2022</v>
      </c>
      <c r="C54" s="7">
        <f t="shared" si="2"/>
        <v>2</v>
      </c>
      <c r="D54" s="7">
        <f t="shared" si="3"/>
        <v>3</v>
      </c>
      <c r="E54" s="7">
        <f t="shared" si="4"/>
        <v>9</v>
      </c>
      <c r="F54" s="7">
        <f t="shared" si="5"/>
        <v>22</v>
      </c>
    </row>
    <row r="55" ht="14.25" customHeight="1">
      <c r="A55" s="10">
        <v>44615.0</v>
      </c>
      <c r="B55" s="7">
        <f t="shared" si="1"/>
        <v>2022</v>
      </c>
      <c r="C55" s="7">
        <f t="shared" si="2"/>
        <v>2</v>
      </c>
      <c r="D55" s="7">
        <f t="shared" si="3"/>
        <v>4</v>
      </c>
      <c r="E55" s="7">
        <f t="shared" si="4"/>
        <v>9</v>
      </c>
      <c r="F55" s="7">
        <f t="shared" si="5"/>
        <v>23</v>
      </c>
    </row>
    <row r="56" ht="14.25" customHeight="1">
      <c r="A56" s="10">
        <v>44616.0</v>
      </c>
      <c r="B56" s="7">
        <f t="shared" si="1"/>
        <v>2022</v>
      </c>
      <c r="C56" s="7">
        <f t="shared" si="2"/>
        <v>2</v>
      </c>
      <c r="D56" s="7">
        <f t="shared" si="3"/>
        <v>5</v>
      </c>
      <c r="E56" s="7">
        <f t="shared" si="4"/>
        <v>9</v>
      </c>
      <c r="F56" s="7">
        <f t="shared" si="5"/>
        <v>24</v>
      </c>
    </row>
    <row r="57" ht="14.25" customHeight="1">
      <c r="A57" s="10">
        <v>44617.0</v>
      </c>
      <c r="B57" s="7">
        <f t="shared" si="1"/>
        <v>2022</v>
      </c>
      <c r="C57" s="7">
        <f t="shared" si="2"/>
        <v>2</v>
      </c>
      <c r="D57" s="7">
        <f t="shared" si="3"/>
        <v>6</v>
      </c>
      <c r="E57" s="7">
        <f t="shared" si="4"/>
        <v>9</v>
      </c>
      <c r="F57" s="7">
        <f t="shared" si="5"/>
        <v>25</v>
      </c>
    </row>
    <row r="58" ht="14.25" customHeight="1">
      <c r="A58" s="10">
        <v>44618.0</v>
      </c>
      <c r="B58" s="7">
        <f t="shared" si="1"/>
        <v>2022</v>
      </c>
      <c r="C58" s="7">
        <f t="shared" si="2"/>
        <v>2</v>
      </c>
      <c r="D58" s="7">
        <f t="shared" si="3"/>
        <v>7</v>
      </c>
      <c r="E58" s="7">
        <f t="shared" si="4"/>
        <v>9</v>
      </c>
      <c r="F58" s="7">
        <f t="shared" si="5"/>
        <v>26</v>
      </c>
    </row>
    <row r="59" ht="14.25" customHeight="1">
      <c r="A59" s="10">
        <v>44619.0</v>
      </c>
      <c r="B59" s="7">
        <f t="shared" si="1"/>
        <v>2022</v>
      </c>
      <c r="C59" s="7">
        <f t="shared" si="2"/>
        <v>2</v>
      </c>
      <c r="D59" s="7">
        <f t="shared" si="3"/>
        <v>1</v>
      </c>
      <c r="E59" s="7">
        <f t="shared" si="4"/>
        <v>10</v>
      </c>
      <c r="F59" s="7">
        <f t="shared" si="5"/>
        <v>27</v>
      </c>
    </row>
    <row r="60" ht="14.25" customHeight="1">
      <c r="A60" s="10">
        <v>44620.0</v>
      </c>
      <c r="B60" s="7">
        <f t="shared" si="1"/>
        <v>2022</v>
      </c>
      <c r="C60" s="7">
        <f t="shared" si="2"/>
        <v>2</v>
      </c>
      <c r="D60" s="7">
        <f t="shared" si="3"/>
        <v>2</v>
      </c>
      <c r="E60" s="7">
        <f t="shared" si="4"/>
        <v>10</v>
      </c>
      <c r="F60" s="7">
        <f t="shared" si="5"/>
        <v>28</v>
      </c>
    </row>
    <row r="61" ht="14.25" customHeight="1">
      <c r="A61" s="10">
        <v>44621.0</v>
      </c>
      <c r="B61" s="7">
        <f t="shared" si="1"/>
        <v>2022</v>
      </c>
      <c r="C61" s="7">
        <f t="shared" si="2"/>
        <v>3</v>
      </c>
      <c r="D61" s="7">
        <f t="shared" si="3"/>
        <v>3</v>
      </c>
      <c r="E61" s="7">
        <f t="shared" si="4"/>
        <v>10</v>
      </c>
      <c r="F61" s="7">
        <f t="shared" si="5"/>
        <v>1</v>
      </c>
    </row>
    <row r="62" ht="14.25" customHeight="1">
      <c r="A62" s="10">
        <v>44622.0</v>
      </c>
      <c r="B62" s="7">
        <f t="shared" si="1"/>
        <v>2022</v>
      </c>
      <c r="C62" s="7">
        <f t="shared" si="2"/>
        <v>3</v>
      </c>
      <c r="D62" s="7">
        <f t="shared" si="3"/>
        <v>4</v>
      </c>
      <c r="E62" s="7">
        <f t="shared" si="4"/>
        <v>10</v>
      </c>
      <c r="F62" s="7">
        <f t="shared" si="5"/>
        <v>2</v>
      </c>
    </row>
    <row r="63" ht="14.25" customHeight="1">
      <c r="A63" s="10">
        <v>44623.0</v>
      </c>
      <c r="B63" s="7">
        <f t="shared" si="1"/>
        <v>2022</v>
      </c>
      <c r="C63" s="7">
        <f t="shared" si="2"/>
        <v>3</v>
      </c>
      <c r="D63" s="7">
        <f t="shared" si="3"/>
        <v>5</v>
      </c>
      <c r="E63" s="7">
        <f t="shared" si="4"/>
        <v>10</v>
      </c>
      <c r="F63" s="7">
        <f t="shared" si="5"/>
        <v>3</v>
      </c>
    </row>
    <row r="64" ht="14.25" customHeight="1">
      <c r="A64" s="10">
        <v>44624.0</v>
      </c>
      <c r="B64" s="7">
        <f t="shared" si="1"/>
        <v>2022</v>
      </c>
      <c r="C64" s="7">
        <f t="shared" si="2"/>
        <v>3</v>
      </c>
      <c r="D64" s="7">
        <f t="shared" si="3"/>
        <v>6</v>
      </c>
      <c r="E64" s="7">
        <f t="shared" si="4"/>
        <v>10</v>
      </c>
      <c r="F64" s="7">
        <f t="shared" si="5"/>
        <v>4</v>
      </c>
    </row>
    <row r="65" ht="14.25" customHeight="1">
      <c r="A65" s="10">
        <v>44625.0</v>
      </c>
      <c r="B65" s="7">
        <f t="shared" si="1"/>
        <v>2022</v>
      </c>
      <c r="C65" s="7">
        <f t="shared" si="2"/>
        <v>3</v>
      </c>
      <c r="D65" s="7">
        <f t="shared" si="3"/>
        <v>7</v>
      </c>
      <c r="E65" s="7">
        <f t="shared" si="4"/>
        <v>10</v>
      </c>
      <c r="F65" s="7">
        <f t="shared" si="5"/>
        <v>5</v>
      </c>
    </row>
    <row r="66" ht="14.25" customHeight="1">
      <c r="A66" s="10">
        <v>44626.0</v>
      </c>
      <c r="B66" s="7">
        <f t="shared" si="1"/>
        <v>2022</v>
      </c>
      <c r="C66" s="7">
        <f t="shared" si="2"/>
        <v>3</v>
      </c>
      <c r="D66" s="7">
        <f t="shared" si="3"/>
        <v>1</v>
      </c>
      <c r="E66" s="7">
        <f t="shared" si="4"/>
        <v>11</v>
      </c>
      <c r="F66" s="7">
        <f t="shared" si="5"/>
        <v>6</v>
      </c>
    </row>
    <row r="67" ht="14.25" customHeight="1">
      <c r="A67" s="10">
        <v>44627.0</v>
      </c>
      <c r="B67" s="7">
        <f t="shared" si="1"/>
        <v>2022</v>
      </c>
      <c r="C67" s="7">
        <f t="shared" si="2"/>
        <v>3</v>
      </c>
      <c r="D67" s="7">
        <f t="shared" si="3"/>
        <v>2</v>
      </c>
      <c r="E67" s="7">
        <f t="shared" si="4"/>
        <v>11</v>
      </c>
      <c r="F67" s="7">
        <f t="shared" si="5"/>
        <v>7</v>
      </c>
    </row>
    <row r="68" ht="14.25" customHeight="1">
      <c r="A68" s="10">
        <v>44628.0</v>
      </c>
      <c r="B68" s="7">
        <f t="shared" si="1"/>
        <v>2022</v>
      </c>
      <c r="C68" s="7">
        <f t="shared" si="2"/>
        <v>3</v>
      </c>
      <c r="D68" s="7">
        <f t="shared" si="3"/>
        <v>3</v>
      </c>
      <c r="E68" s="7">
        <f t="shared" si="4"/>
        <v>11</v>
      </c>
      <c r="F68" s="7">
        <f t="shared" si="5"/>
        <v>8</v>
      </c>
    </row>
    <row r="69" ht="14.25" customHeight="1">
      <c r="A69" s="10">
        <v>44629.0</v>
      </c>
      <c r="B69" s="7">
        <f t="shared" si="1"/>
        <v>2022</v>
      </c>
      <c r="C69" s="7">
        <f t="shared" si="2"/>
        <v>3</v>
      </c>
      <c r="D69" s="7">
        <f t="shared" si="3"/>
        <v>4</v>
      </c>
      <c r="E69" s="7">
        <f t="shared" si="4"/>
        <v>11</v>
      </c>
      <c r="F69" s="7">
        <f t="shared" si="5"/>
        <v>9</v>
      </c>
    </row>
    <row r="70" ht="14.25" customHeight="1">
      <c r="A70" s="10">
        <v>44630.0</v>
      </c>
      <c r="B70" s="7">
        <f t="shared" si="1"/>
        <v>2022</v>
      </c>
      <c r="C70" s="7">
        <f t="shared" si="2"/>
        <v>3</v>
      </c>
      <c r="D70" s="7">
        <f t="shared" si="3"/>
        <v>5</v>
      </c>
      <c r="E70" s="7">
        <f t="shared" si="4"/>
        <v>11</v>
      </c>
      <c r="F70" s="7">
        <f t="shared" si="5"/>
        <v>10</v>
      </c>
    </row>
    <row r="71" ht="14.25" customHeight="1">
      <c r="A71" s="10">
        <v>44631.0</v>
      </c>
      <c r="B71" s="7">
        <f t="shared" si="1"/>
        <v>2022</v>
      </c>
      <c r="C71" s="7">
        <f t="shared" si="2"/>
        <v>3</v>
      </c>
      <c r="D71" s="7">
        <f t="shared" si="3"/>
        <v>6</v>
      </c>
      <c r="E71" s="7">
        <f t="shared" si="4"/>
        <v>11</v>
      </c>
      <c r="F71" s="7">
        <f t="shared" si="5"/>
        <v>11</v>
      </c>
    </row>
    <row r="72" ht="14.25" customHeight="1">
      <c r="A72" s="10">
        <v>44632.0</v>
      </c>
      <c r="B72" s="7">
        <f t="shared" si="1"/>
        <v>2022</v>
      </c>
      <c r="C72" s="7">
        <f t="shared" si="2"/>
        <v>3</v>
      </c>
      <c r="D72" s="7">
        <f t="shared" si="3"/>
        <v>7</v>
      </c>
      <c r="E72" s="7">
        <f t="shared" si="4"/>
        <v>11</v>
      </c>
      <c r="F72" s="7">
        <f t="shared" si="5"/>
        <v>12</v>
      </c>
    </row>
    <row r="73" ht="14.25" customHeight="1">
      <c r="A73" s="10">
        <v>44633.0</v>
      </c>
      <c r="B73" s="7">
        <f t="shared" si="1"/>
        <v>2022</v>
      </c>
      <c r="C73" s="7">
        <f t="shared" si="2"/>
        <v>3</v>
      </c>
      <c r="D73" s="7">
        <f t="shared" si="3"/>
        <v>1</v>
      </c>
      <c r="E73" s="7">
        <f t="shared" si="4"/>
        <v>12</v>
      </c>
      <c r="F73" s="7">
        <f t="shared" si="5"/>
        <v>13</v>
      </c>
    </row>
    <row r="74" ht="14.25" customHeight="1">
      <c r="A74" s="10">
        <v>44634.0</v>
      </c>
      <c r="B74" s="7">
        <f t="shared" si="1"/>
        <v>2022</v>
      </c>
      <c r="C74" s="7">
        <f t="shared" si="2"/>
        <v>3</v>
      </c>
      <c r="D74" s="7">
        <f t="shared" si="3"/>
        <v>2</v>
      </c>
      <c r="E74" s="7">
        <f t="shared" si="4"/>
        <v>12</v>
      </c>
      <c r="F74" s="7">
        <f t="shared" si="5"/>
        <v>14</v>
      </c>
    </row>
    <row r="75" ht="14.25" customHeight="1">
      <c r="A75" s="10">
        <v>44635.0</v>
      </c>
      <c r="B75" s="7">
        <f t="shared" si="1"/>
        <v>2022</v>
      </c>
      <c r="C75" s="7">
        <f t="shared" si="2"/>
        <v>3</v>
      </c>
      <c r="D75" s="7">
        <f t="shared" si="3"/>
        <v>3</v>
      </c>
      <c r="E75" s="7">
        <f t="shared" si="4"/>
        <v>12</v>
      </c>
      <c r="F75" s="7">
        <f t="shared" si="5"/>
        <v>15</v>
      </c>
    </row>
    <row r="76" ht="14.25" customHeight="1">
      <c r="A76" s="10">
        <v>44636.0</v>
      </c>
      <c r="B76" s="7">
        <f t="shared" si="1"/>
        <v>2022</v>
      </c>
      <c r="C76" s="7">
        <f t="shared" si="2"/>
        <v>3</v>
      </c>
      <c r="D76" s="7">
        <f t="shared" si="3"/>
        <v>4</v>
      </c>
      <c r="E76" s="7">
        <f t="shared" si="4"/>
        <v>12</v>
      </c>
      <c r="F76" s="7">
        <f t="shared" si="5"/>
        <v>16</v>
      </c>
    </row>
    <row r="77" ht="14.25" customHeight="1">
      <c r="A77" s="10">
        <v>44637.0</v>
      </c>
      <c r="B77" s="7">
        <f t="shared" si="1"/>
        <v>2022</v>
      </c>
      <c r="C77" s="7">
        <f t="shared" si="2"/>
        <v>3</v>
      </c>
      <c r="D77" s="7">
        <f t="shared" si="3"/>
        <v>5</v>
      </c>
      <c r="E77" s="7">
        <f t="shared" si="4"/>
        <v>12</v>
      </c>
      <c r="F77" s="7">
        <f t="shared" si="5"/>
        <v>17</v>
      </c>
    </row>
    <row r="78" ht="14.25" customHeight="1">
      <c r="A78" s="10">
        <v>44638.0</v>
      </c>
      <c r="B78" s="7">
        <f t="shared" si="1"/>
        <v>2022</v>
      </c>
      <c r="C78" s="7">
        <f t="shared" si="2"/>
        <v>3</v>
      </c>
      <c r="D78" s="7">
        <f t="shared" si="3"/>
        <v>6</v>
      </c>
      <c r="E78" s="7">
        <f t="shared" si="4"/>
        <v>12</v>
      </c>
      <c r="F78" s="7">
        <f t="shared" si="5"/>
        <v>18</v>
      </c>
    </row>
    <row r="79" ht="14.25" customHeight="1">
      <c r="A79" s="10">
        <v>44639.0</v>
      </c>
      <c r="B79" s="7">
        <f t="shared" si="1"/>
        <v>2022</v>
      </c>
      <c r="C79" s="7">
        <f t="shared" si="2"/>
        <v>3</v>
      </c>
      <c r="D79" s="7">
        <f t="shared" si="3"/>
        <v>7</v>
      </c>
      <c r="E79" s="7">
        <f t="shared" si="4"/>
        <v>12</v>
      </c>
      <c r="F79" s="7">
        <f t="shared" si="5"/>
        <v>19</v>
      </c>
    </row>
    <row r="80" ht="14.25" customHeight="1">
      <c r="A80" s="10">
        <v>44640.0</v>
      </c>
      <c r="B80" s="7">
        <f t="shared" si="1"/>
        <v>2022</v>
      </c>
      <c r="C80" s="7">
        <f t="shared" si="2"/>
        <v>3</v>
      </c>
      <c r="D80" s="7">
        <f t="shared" si="3"/>
        <v>1</v>
      </c>
      <c r="E80" s="7">
        <f t="shared" si="4"/>
        <v>13</v>
      </c>
      <c r="F80" s="7">
        <f t="shared" si="5"/>
        <v>20</v>
      </c>
    </row>
    <row r="81" ht="14.25" customHeight="1">
      <c r="A81" s="10">
        <v>44641.0</v>
      </c>
      <c r="B81" s="7">
        <f t="shared" si="1"/>
        <v>2022</v>
      </c>
      <c r="C81" s="7">
        <f t="shared" si="2"/>
        <v>3</v>
      </c>
      <c r="D81" s="7">
        <f t="shared" si="3"/>
        <v>2</v>
      </c>
      <c r="E81" s="7">
        <f t="shared" si="4"/>
        <v>13</v>
      </c>
      <c r="F81" s="7">
        <f t="shared" si="5"/>
        <v>21</v>
      </c>
    </row>
    <row r="82" ht="14.25" customHeight="1">
      <c r="A82" s="10">
        <v>44642.0</v>
      </c>
      <c r="B82" s="7">
        <f t="shared" si="1"/>
        <v>2022</v>
      </c>
      <c r="C82" s="7">
        <f t="shared" si="2"/>
        <v>3</v>
      </c>
      <c r="D82" s="7">
        <f t="shared" si="3"/>
        <v>3</v>
      </c>
      <c r="E82" s="7">
        <f t="shared" si="4"/>
        <v>13</v>
      </c>
      <c r="F82" s="7">
        <f t="shared" si="5"/>
        <v>22</v>
      </c>
    </row>
    <row r="83" ht="14.25" customHeight="1">
      <c r="A83" s="10">
        <v>44643.0</v>
      </c>
      <c r="B83" s="7">
        <f t="shared" si="1"/>
        <v>2022</v>
      </c>
      <c r="C83" s="7">
        <f t="shared" si="2"/>
        <v>3</v>
      </c>
      <c r="D83" s="7">
        <f t="shared" si="3"/>
        <v>4</v>
      </c>
      <c r="E83" s="7">
        <f t="shared" si="4"/>
        <v>13</v>
      </c>
      <c r="F83" s="7">
        <f t="shared" si="5"/>
        <v>23</v>
      </c>
    </row>
    <row r="84" ht="14.25" customHeight="1">
      <c r="A84" s="10">
        <v>44644.0</v>
      </c>
      <c r="B84" s="7">
        <f t="shared" si="1"/>
        <v>2022</v>
      </c>
      <c r="C84" s="7">
        <f t="shared" si="2"/>
        <v>3</v>
      </c>
      <c r="D84" s="7">
        <f t="shared" si="3"/>
        <v>5</v>
      </c>
      <c r="E84" s="7">
        <f t="shared" si="4"/>
        <v>13</v>
      </c>
      <c r="F84" s="7">
        <f t="shared" si="5"/>
        <v>24</v>
      </c>
    </row>
    <row r="85" ht="14.25" customHeight="1">
      <c r="A85" s="10">
        <v>44645.0</v>
      </c>
      <c r="B85" s="7">
        <f t="shared" si="1"/>
        <v>2022</v>
      </c>
      <c r="C85" s="7">
        <f t="shared" si="2"/>
        <v>3</v>
      </c>
      <c r="D85" s="7">
        <f t="shared" si="3"/>
        <v>6</v>
      </c>
      <c r="E85" s="7">
        <f t="shared" si="4"/>
        <v>13</v>
      </c>
      <c r="F85" s="7">
        <f t="shared" si="5"/>
        <v>25</v>
      </c>
    </row>
    <row r="86" ht="14.25" customHeight="1">
      <c r="A86" s="10">
        <v>44646.0</v>
      </c>
      <c r="B86" s="7">
        <f t="shared" si="1"/>
        <v>2022</v>
      </c>
      <c r="C86" s="7">
        <f t="shared" si="2"/>
        <v>3</v>
      </c>
      <c r="D86" s="7">
        <f t="shared" si="3"/>
        <v>7</v>
      </c>
      <c r="E86" s="7">
        <f t="shared" si="4"/>
        <v>13</v>
      </c>
      <c r="F86" s="7">
        <f t="shared" si="5"/>
        <v>26</v>
      </c>
    </row>
    <row r="87" ht="14.25" customHeight="1">
      <c r="A87" s="10">
        <v>44647.0</v>
      </c>
      <c r="B87" s="7">
        <f t="shared" si="1"/>
        <v>2022</v>
      </c>
      <c r="C87" s="7">
        <f t="shared" si="2"/>
        <v>3</v>
      </c>
      <c r="D87" s="7">
        <f t="shared" si="3"/>
        <v>1</v>
      </c>
      <c r="E87" s="7">
        <f t="shared" si="4"/>
        <v>14</v>
      </c>
      <c r="F87" s="7">
        <f t="shared" si="5"/>
        <v>27</v>
      </c>
    </row>
    <row r="88" ht="14.25" customHeight="1">
      <c r="A88" s="10">
        <v>44648.0</v>
      </c>
      <c r="B88" s="7">
        <f t="shared" si="1"/>
        <v>2022</v>
      </c>
      <c r="C88" s="7">
        <f t="shared" si="2"/>
        <v>3</v>
      </c>
      <c r="D88" s="7">
        <f t="shared" si="3"/>
        <v>2</v>
      </c>
      <c r="E88" s="7">
        <f t="shared" si="4"/>
        <v>14</v>
      </c>
      <c r="F88" s="7">
        <f t="shared" si="5"/>
        <v>28</v>
      </c>
    </row>
    <row r="89" ht="14.25" customHeight="1">
      <c r="A89" s="10">
        <v>44649.0</v>
      </c>
      <c r="B89" s="7">
        <f t="shared" si="1"/>
        <v>2022</v>
      </c>
      <c r="C89" s="7">
        <f t="shared" si="2"/>
        <v>3</v>
      </c>
      <c r="D89" s="7">
        <f t="shared" si="3"/>
        <v>3</v>
      </c>
      <c r="E89" s="7">
        <f t="shared" si="4"/>
        <v>14</v>
      </c>
      <c r="F89" s="7">
        <f t="shared" si="5"/>
        <v>29</v>
      </c>
    </row>
    <row r="90" ht="14.25" customHeight="1">
      <c r="A90" s="10">
        <v>44650.0</v>
      </c>
      <c r="B90" s="7">
        <f t="shared" si="1"/>
        <v>2022</v>
      </c>
      <c r="C90" s="7">
        <f t="shared" si="2"/>
        <v>3</v>
      </c>
      <c r="D90" s="7">
        <f t="shared" si="3"/>
        <v>4</v>
      </c>
      <c r="E90" s="7">
        <f t="shared" si="4"/>
        <v>14</v>
      </c>
      <c r="F90" s="7">
        <f t="shared" si="5"/>
        <v>30</v>
      </c>
    </row>
    <row r="91" ht="14.25" customHeight="1">
      <c r="A91" s="10">
        <v>44651.0</v>
      </c>
      <c r="B91" s="7">
        <f t="shared" si="1"/>
        <v>2022</v>
      </c>
      <c r="C91" s="7">
        <f t="shared" si="2"/>
        <v>3</v>
      </c>
      <c r="D91" s="7">
        <f t="shared" si="3"/>
        <v>5</v>
      </c>
      <c r="E91" s="7">
        <f t="shared" si="4"/>
        <v>14</v>
      </c>
      <c r="F91" s="7">
        <f t="shared" si="5"/>
        <v>31</v>
      </c>
    </row>
    <row r="92" ht="14.25" customHeight="1">
      <c r="A92" s="10">
        <v>44652.0</v>
      </c>
      <c r="B92" s="7">
        <f t="shared" si="1"/>
        <v>2022</v>
      </c>
      <c r="C92" s="7">
        <f t="shared" si="2"/>
        <v>4</v>
      </c>
      <c r="D92" s="7">
        <f t="shared" si="3"/>
        <v>6</v>
      </c>
      <c r="E92" s="7">
        <f t="shared" si="4"/>
        <v>14</v>
      </c>
      <c r="F92" s="7">
        <f t="shared" si="5"/>
        <v>1</v>
      </c>
    </row>
    <row r="93" ht="14.25" customHeight="1">
      <c r="A93" s="10">
        <v>44653.0</v>
      </c>
      <c r="B93" s="7">
        <f t="shared" si="1"/>
        <v>2022</v>
      </c>
      <c r="C93" s="7">
        <f t="shared" si="2"/>
        <v>4</v>
      </c>
      <c r="D93" s="7">
        <f t="shared" si="3"/>
        <v>7</v>
      </c>
      <c r="E93" s="7">
        <f t="shared" si="4"/>
        <v>14</v>
      </c>
      <c r="F93" s="7">
        <f t="shared" si="5"/>
        <v>2</v>
      </c>
    </row>
    <row r="94" ht="14.25" customHeight="1">
      <c r="A94" s="10">
        <v>44654.0</v>
      </c>
      <c r="B94" s="7">
        <f t="shared" si="1"/>
        <v>2022</v>
      </c>
      <c r="C94" s="7">
        <f t="shared" si="2"/>
        <v>4</v>
      </c>
      <c r="D94" s="7">
        <f t="shared" si="3"/>
        <v>1</v>
      </c>
      <c r="E94" s="7">
        <f t="shared" si="4"/>
        <v>15</v>
      </c>
      <c r="F94" s="7">
        <f t="shared" si="5"/>
        <v>3</v>
      </c>
    </row>
    <row r="95" ht="14.25" customHeight="1">
      <c r="A95" s="10">
        <v>44655.0</v>
      </c>
      <c r="B95" s="7">
        <f t="shared" si="1"/>
        <v>2022</v>
      </c>
      <c r="C95" s="7">
        <f t="shared" si="2"/>
        <v>4</v>
      </c>
      <c r="D95" s="7">
        <f t="shared" si="3"/>
        <v>2</v>
      </c>
      <c r="E95" s="7">
        <f t="shared" si="4"/>
        <v>15</v>
      </c>
      <c r="F95" s="7">
        <f t="shared" si="5"/>
        <v>4</v>
      </c>
    </row>
    <row r="96" ht="14.25" customHeight="1">
      <c r="A96" s="10">
        <v>44656.0</v>
      </c>
      <c r="B96" s="7">
        <f t="shared" si="1"/>
        <v>2022</v>
      </c>
      <c r="C96" s="7">
        <f t="shared" si="2"/>
        <v>4</v>
      </c>
      <c r="D96" s="7">
        <f t="shared" si="3"/>
        <v>3</v>
      </c>
      <c r="E96" s="7">
        <f t="shared" si="4"/>
        <v>15</v>
      </c>
      <c r="F96" s="7">
        <f t="shared" si="5"/>
        <v>5</v>
      </c>
    </row>
    <row r="97" ht="14.25" customHeight="1">
      <c r="A97" s="10">
        <v>44657.0</v>
      </c>
      <c r="B97" s="7">
        <f t="shared" si="1"/>
        <v>2022</v>
      </c>
      <c r="C97" s="7">
        <f t="shared" si="2"/>
        <v>4</v>
      </c>
      <c r="D97" s="7">
        <f t="shared" si="3"/>
        <v>4</v>
      </c>
      <c r="E97" s="7">
        <f t="shared" si="4"/>
        <v>15</v>
      </c>
      <c r="F97" s="7">
        <f t="shared" si="5"/>
        <v>6</v>
      </c>
    </row>
    <row r="98" ht="14.25" customHeight="1">
      <c r="A98" s="10">
        <v>44658.0</v>
      </c>
      <c r="B98" s="7">
        <f t="shared" si="1"/>
        <v>2022</v>
      </c>
      <c r="C98" s="7">
        <f t="shared" si="2"/>
        <v>4</v>
      </c>
      <c r="D98" s="7">
        <f t="shared" si="3"/>
        <v>5</v>
      </c>
      <c r="E98" s="7">
        <f t="shared" si="4"/>
        <v>15</v>
      </c>
      <c r="F98" s="7">
        <f t="shared" si="5"/>
        <v>7</v>
      </c>
    </row>
    <row r="99" ht="14.25" customHeight="1">
      <c r="A99" s="10">
        <v>44659.0</v>
      </c>
      <c r="B99" s="7">
        <f t="shared" si="1"/>
        <v>2022</v>
      </c>
      <c r="C99" s="7">
        <f t="shared" si="2"/>
        <v>4</v>
      </c>
      <c r="D99" s="7">
        <f t="shared" si="3"/>
        <v>6</v>
      </c>
      <c r="E99" s="7">
        <f t="shared" si="4"/>
        <v>15</v>
      </c>
      <c r="F99" s="7">
        <f t="shared" si="5"/>
        <v>8</v>
      </c>
    </row>
    <row r="100" ht="14.25" customHeight="1">
      <c r="A100" s="10">
        <v>44660.0</v>
      </c>
      <c r="B100" s="7">
        <f t="shared" si="1"/>
        <v>2022</v>
      </c>
      <c r="C100" s="7">
        <f t="shared" si="2"/>
        <v>4</v>
      </c>
      <c r="D100" s="7">
        <f t="shared" si="3"/>
        <v>7</v>
      </c>
      <c r="E100" s="7">
        <f t="shared" si="4"/>
        <v>15</v>
      </c>
      <c r="F100" s="7">
        <f t="shared" si="5"/>
        <v>9</v>
      </c>
    </row>
    <row r="101" ht="14.25" customHeight="1">
      <c r="A101" s="10">
        <v>44661.0</v>
      </c>
      <c r="B101" s="7">
        <f t="shared" si="1"/>
        <v>2022</v>
      </c>
      <c r="C101" s="7">
        <f t="shared" si="2"/>
        <v>4</v>
      </c>
      <c r="D101" s="7">
        <f t="shared" si="3"/>
        <v>1</v>
      </c>
      <c r="E101" s="7">
        <f t="shared" si="4"/>
        <v>16</v>
      </c>
      <c r="F101" s="7">
        <f t="shared" si="5"/>
        <v>10</v>
      </c>
    </row>
    <row r="102" ht="14.25" customHeight="1">
      <c r="A102" s="10">
        <v>44662.0</v>
      </c>
      <c r="B102" s="7">
        <f t="shared" si="1"/>
        <v>2022</v>
      </c>
      <c r="C102" s="7">
        <f t="shared" si="2"/>
        <v>4</v>
      </c>
      <c r="D102" s="7">
        <f t="shared" si="3"/>
        <v>2</v>
      </c>
      <c r="E102" s="7">
        <f t="shared" si="4"/>
        <v>16</v>
      </c>
      <c r="F102" s="7">
        <f t="shared" si="5"/>
        <v>11</v>
      </c>
    </row>
    <row r="103" ht="14.25" customHeight="1">
      <c r="A103" s="10">
        <v>44663.0</v>
      </c>
      <c r="B103" s="7">
        <f t="shared" si="1"/>
        <v>2022</v>
      </c>
      <c r="C103" s="7">
        <f t="shared" si="2"/>
        <v>4</v>
      </c>
      <c r="D103" s="7">
        <f t="shared" si="3"/>
        <v>3</v>
      </c>
      <c r="E103" s="7">
        <f t="shared" si="4"/>
        <v>16</v>
      </c>
      <c r="F103" s="7">
        <f t="shared" si="5"/>
        <v>12</v>
      </c>
    </row>
    <row r="104" ht="14.25" customHeight="1">
      <c r="A104" s="10">
        <v>44664.0</v>
      </c>
      <c r="B104" s="7">
        <f t="shared" si="1"/>
        <v>2022</v>
      </c>
      <c r="C104" s="7">
        <f t="shared" si="2"/>
        <v>4</v>
      </c>
      <c r="D104" s="7">
        <f t="shared" si="3"/>
        <v>4</v>
      </c>
      <c r="E104" s="7">
        <f t="shared" si="4"/>
        <v>16</v>
      </c>
      <c r="F104" s="7">
        <f t="shared" si="5"/>
        <v>13</v>
      </c>
    </row>
    <row r="105" ht="14.25" customHeight="1">
      <c r="A105" s="10">
        <v>44665.0</v>
      </c>
      <c r="B105" s="7">
        <f t="shared" si="1"/>
        <v>2022</v>
      </c>
      <c r="C105" s="7">
        <f t="shared" si="2"/>
        <v>4</v>
      </c>
      <c r="D105" s="7">
        <f t="shared" si="3"/>
        <v>5</v>
      </c>
      <c r="E105" s="7">
        <f t="shared" si="4"/>
        <v>16</v>
      </c>
      <c r="F105" s="7">
        <f t="shared" si="5"/>
        <v>14</v>
      </c>
    </row>
    <row r="106" ht="14.25" customHeight="1">
      <c r="A106" s="10">
        <v>44666.0</v>
      </c>
      <c r="B106" s="7">
        <f t="shared" si="1"/>
        <v>2022</v>
      </c>
      <c r="C106" s="7">
        <f t="shared" si="2"/>
        <v>4</v>
      </c>
      <c r="D106" s="7">
        <f t="shared" si="3"/>
        <v>6</v>
      </c>
      <c r="E106" s="7">
        <f t="shared" si="4"/>
        <v>16</v>
      </c>
      <c r="F106" s="7">
        <f t="shared" si="5"/>
        <v>15</v>
      </c>
    </row>
    <row r="107" ht="14.25" customHeight="1">
      <c r="A107" s="10">
        <v>44667.0</v>
      </c>
      <c r="B107" s="7">
        <f t="shared" si="1"/>
        <v>2022</v>
      </c>
      <c r="C107" s="7">
        <f t="shared" si="2"/>
        <v>4</v>
      </c>
      <c r="D107" s="7">
        <f t="shared" si="3"/>
        <v>7</v>
      </c>
      <c r="E107" s="7">
        <f t="shared" si="4"/>
        <v>16</v>
      </c>
      <c r="F107" s="7">
        <f t="shared" si="5"/>
        <v>16</v>
      </c>
    </row>
    <row r="108" ht="14.25" customHeight="1">
      <c r="A108" s="10">
        <v>44668.0</v>
      </c>
      <c r="B108" s="7">
        <f t="shared" si="1"/>
        <v>2022</v>
      </c>
      <c r="C108" s="7">
        <f t="shared" si="2"/>
        <v>4</v>
      </c>
      <c r="D108" s="7">
        <f t="shared" si="3"/>
        <v>1</v>
      </c>
      <c r="E108" s="7">
        <f t="shared" si="4"/>
        <v>17</v>
      </c>
      <c r="F108" s="7">
        <f t="shared" si="5"/>
        <v>17</v>
      </c>
    </row>
    <row r="109" ht="14.25" customHeight="1">
      <c r="A109" s="10">
        <v>44669.0</v>
      </c>
      <c r="B109" s="7">
        <f t="shared" si="1"/>
        <v>2022</v>
      </c>
      <c r="C109" s="7">
        <f t="shared" si="2"/>
        <v>4</v>
      </c>
      <c r="D109" s="7">
        <f t="shared" si="3"/>
        <v>2</v>
      </c>
      <c r="E109" s="7">
        <f t="shared" si="4"/>
        <v>17</v>
      </c>
      <c r="F109" s="7">
        <f t="shared" si="5"/>
        <v>18</v>
      </c>
    </row>
    <row r="110" ht="14.25" customHeight="1">
      <c r="A110" s="10">
        <v>44670.0</v>
      </c>
      <c r="B110" s="7">
        <f t="shared" si="1"/>
        <v>2022</v>
      </c>
      <c r="C110" s="7">
        <f t="shared" si="2"/>
        <v>4</v>
      </c>
      <c r="D110" s="7">
        <f t="shared" si="3"/>
        <v>3</v>
      </c>
      <c r="E110" s="7">
        <f t="shared" si="4"/>
        <v>17</v>
      </c>
      <c r="F110" s="7">
        <f t="shared" si="5"/>
        <v>19</v>
      </c>
    </row>
    <row r="111" ht="14.25" customHeight="1">
      <c r="A111" s="10">
        <v>44671.0</v>
      </c>
      <c r="B111" s="7">
        <f t="shared" si="1"/>
        <v>2022</v>
      </c>
      <c r="C111" s="7">
        <f t="shared" si="2"/>
        <v>4</v>
      </c>
      <c r="D111" s="7">
        <f t="shared" si="3"/>
        <v>4</v>
      </c>
      <c r="E111" s="7">
        <f t="shared" si="4"/>
        <v>17</v>
      </c>
      <c r="F111" s="7">
        <f t="shared" si="5"/>
        <v>20</v>
      </c>
    </row>
    <row r="112" ht="14.25" customHeight="1">
      <c r="A112" s="10">
        <v>44672.0</v>
      </c>
      <c r="B112" s="7">
        <f t="shared" si="1"/>
        <v>2022</v>
      </c>
      <c r="C112" s="7">
        <f t="shared" si="2"/>
        <v>4</v>
      </c>
      <c r="D112" s="7">
        <f t="shared" si="3"/>
        <v>5</v>
      </c>
      <c r="E112" s="7">
        <f t="shared" si="4"/>
        <v>17</v>
      </c>
      <c r="F112" s="7">
        <f t="shared" si="5"/>
        <v>21</v>
      </c>
    </row>
    <row r="113" ht="14.25" customHeight="1">
      <c r="A113" s="10">
        <v>44673.0</v>
      </c>
      <c r="B113" s="7">
        <f t="shared" si="1"/>
        <v>2022</v>
      </c>
      <c r="C113" s="7">
        <f t="shared" si="2"/>
        <v>4</v>
      </c>
      <c r="D113" s="7">
        <f t="shared" si="3"/>
        <v>6</v>
      </c>
      <c r="E113" s="7">
        <f t="shared" si="4"/>
        <v>17</v>
      </c>
      <c r="F113" s="7">
        <f t="shared" si="5"/>
        <v>22</v>
      </c>
    </row>
    <row r="114" ht="14.25" customHeight="1">
      <c r="A114" s="10">
        <v>44674.0</v>
      </c>
      <c r="B114" s="7">
        <f t="shared" si="1"/>
        <v>2022</v>
      </c>
      <c r="C114" s="7">
        <f t="shared" si="2"/>
        <v>4</v>
      </c>
      <c r="D114" s="7">
        <f t="shared" si="3"/>
        <v>7</v>
      </c>
      <c r="E114" s="7">
        <f t="shared" si="4"/>
        <v>17</v>
      </c>
      <c r="F114" s="7">
        <f t="shared" si="5"/>
        <v>23</v>
      </c>
    </row>
    <row r="115" ht="14.25" customHeight="1">
      <c r="A115" s="10">
        <v>44675.0</v>
      </c>
      <c r="B115" s="7">
        <f t="shared" si="1"/>
        <v>2022</v>
      </c>
      <c r="C115" s="7">
        <f t="shared" si="2"/>
        <v>4</v>
      </c>
      <c r="D115" s="7">
        <f t="shared" si="3"/>
        <v>1</v>
      </c>
      <c r="E115" s="7">
        <f t="shared" si="4"/>
        <v>18</v>
      </c>
      <c r="F115" s="7">
        <f t="shared" si="5"/>
        <v>24</v>
      </c>
    </row>
    <row r="116" ht="14.25" customHeight="1">
      <c r="A116" s="10">
        <v>44676.0</v>
      </c>
      <c r="B116" s="7">
        <f t="shared" si="1"/>
        <v>2022</v>
      </c>
      <c r="C116" s="7">
        <f t="shared" si="2"/>
        <v>4</v>
      </c>
      <c r="D116" s="7">
        <f t="shared" si="3"/>
        <v>2</v>
      </c>
      <c r="E116" s="7">
        <f t="shared" si="4"/>
        <v>18</v>
      </c>
      <c r="F116" s="7">
        <f t="shared" si="5"/>
        <v>25</v>
      </c>
    </row>
    <row r="117" ht="14.25" customHeight="1">
      <c r="A117" s="10">
        <v>44677.0</v>
      </c>
      <c r="B117" s="7">
        <f t="shared" si="1"/>
        <v>2022</v>
      </c>
      <c r="C117" s="7">
        <f t="shared" si="2"/>
        <v>4</v>
      </c>
      <c r="D117" s="7">
        <f t="shared" si="3"/>
        <v>3</v>
      </c>
      <c r="E117" s="7">
        <f t="shared" si="4"/>
        <v>18</v>
      </c>
      <c r="F117" s="7">
        <f t="shared" si="5"/>
        <v>26</v>
      </c>
    </row>
    <row r="118" ht="14.25" customHeight="1">
      <c r="A118" s="10">
        <v>44678.0</v>
      </c>
      <c r="B118" s="7">
        <f t="shared" si="1"/>
        <v>2022</v>
      </c>
      <c r="C118" s="7">
        <f t="shared" si="2"/>
        <v>4</v>
      </c>
      <c r="D118" s="7">
        <f t="shared" si="3"/>
        <v>4</v>
      </c>
      <c r="E118" s="7">
        <f t="shared" si="4"/>
        <v>18</v>
      </c>
      <c r="F118" s="7">
        <f t="shared" si="5"/>
        <v>27</v>
      </c>
    </row>
    <row r="119" ht="14.25" customHeight="1">
      <c r="A119" s="10">
        <v>44679.0</v>
      </c>
      <c r="B119" s="7">
        <f t="shared" si="1"/>
        <v>2022</v>
      </c>
      <c r="C119" s="7">
        <f t="shared" si="2"/>
        <v>4</v>
      </c>
      <c r="D119" s="7">
        <f t="shared" si="3"/>
        <v>5</v>
      </c>
      <c r="E119" s="7">
        <f t="shared" si="4"/>
        <v>18</v>
      </c>
      <c r="F119" s="7">
        <f t="shared" si="5"/>
        <v>28</v>
      </c>
    </row>
    <row r="120" ht="14.25" customHeight="1">
      <c r="A120" s="10">
        <v>44680.0</v>
      </c>
      <c r="B120" s="7">
        <f t="shared" si="1"/>
        <v>2022</v>
      </c>
      <c r="C120" s="7">
        <f t="shared" si="2"/>
        <v>4</v>
      </c>
      <c r="D120" s="7">
        <f t="shared" si="3"/>
        <v>6</v>
      </c>
      <c r="E120" s="7">
        <f t="shared" si="4"/>
        <v>18</v>
      </c>
      <c r="F120" s="7">
        <f t="shared" si="5"/>
        <v>29</v>
      </c>
    </row>
    <row r="121" ht="14.25" customHeight="1">
      <c r="A121" s="10">
        <v>44681.0</v>
      </c>
      <c r="B121" s="7">
        <f t="shared" si="1"/>
        <v>2022</v>
      </c>
      <c r="C121" s="7">
        <f t="shared" si="2"/>
        <v>4</v>
      </c>
      <c r="D121" s="7">
        <f t="shared" si="3"/>
        <v>7</v>
      </c>
      <c r="E121" s="7">
        <f t="shared" si="4"/>
        <v>18</v>
      </c>
      <c r="F121" s="7">
        <f t="shared" si="5"/>
        <v>30</v>
      </c>
    </row>
    <row r="122" ht="14.25" customHeight="1">
      <c r="A122" s="10">
        <v>44682.0</v>
      </c>
      <c r="B122" s="7">
        <f t="shared" si="1"/>
        <v>2022</v>
      </c>
      <c r="C122" s="7">
        <f t="shared" si="2"/>
        <v>5</v>
      </c>
      <c r="D122" s="7">
        <f t="shared" si="3"/>
        <v>1</v>
      </c>
      <c r="E122" s="7">
        <f t="shared" si="4"/>
        <v>19</v>
      </c>
      <c r="F122" s="7">
        <f t="shared" si="5"/>
        <v>1</v>
      </c>
    </row>
    <row r="123" ht="14.25" customHeight="1">
      <c r="A123" s="10">
        <v>44683.0</v>
      </c>
      <c r="B123" s="7">
        <f t="shared" si="1"/>
        <v>2022</v>
      </c>
      <c r="C123" s="7">
        <f t="shared" si="2"/>
        <v>5</v>
      </c>
      <c r="D123" s="7">
        <f t="shared" si="3"/>
        <v>2</v>
      </c>
      <c r="E123" s="7">
        <f t="shared" si="4"/>
        <v>19</v>
      </c>
      <c r="F123" s="7">
        <f t="shared" si="5"/>
        <v>2</v>
      </c>
    </row>
    <row r="124" ht="14.25" customHeight="1">
      <c r="A124" s="10">
        <v>44684.0</v>
      </c>
      <c r="B124" s="7">
        <f t="shared" si="1"/>
        <v>2022</v>
      </c>
      <c r="C124" s="7">
        <f t="shared" si="2"/>
        <v>5</v>
      </c>
      <c r="D124" s="7">
        <f t="shared" si="3"/>
        <v>3</v>
      </c>
      <c r="E124" s="7">
        <f t="shared" si="4"/>
        <v>19</v>
      </c>
      <c r="F124" s="7">
        <f t="shared" si="5"/>
        <v>3</v>
      </c>
    </row>
    <row r="125" ht="14.25" customHeight="1">
      <c r="A125" s="10">
        <v>44685.0</v>
      </c>
      <c r="B125" s="7">
        <f t="shared" si="1"/>
        <v>2022</v>
      </c>
      <c r="C125" s="7">
        <f t="shared" si="2"/>
        <v>5</v>
      </c>
      <c r="D125" s="7">
        <f t="shared" si="3"/>
        <v>4</v>
      </c>
      <c r="E125" s="7">
        <f t="shared" si="4"/>
        <v>19</v>
      </c>
      <c r="F125" s="7">
        <f t="shared" si="5"/>
        <v>4</v>
      </c>
    </row>
    <row r="126" ht="14.25" customHeight="1">
      <c r="A126" s="10">
        <v>44686.0</v>
      </c>
      <c r="B126" s="7">
        <f t="shared" si="1"/>
        <v>2022</v>
      </c>
      <c r="C126" s="7">
        <f t="shared" si="2"/>
        <v>5</v>
      </c>
      <c r="D126" s="7">
        <f t="shared" si="3"/>
        <v>5</v>
      </c>
      <c r="E126" s="7">
        <f t="shared" si="4"/>
        <v>19</v>
      </c>
      <c r="F126" s="7">
        <f t="shared" si="5"/>
        <v>5</v>
      </c>
    </row>
    <row r="127" ht="14.25" customHeight="1">
      <c r="A127" s="10">
        <v>44687.0</v>
      </c>
      <c r="B127" s="7">
        <f t="shared" si="1"/>
        <v>2022</v>
      </c>
      <c r="C127" s="7">
        <f t="shared" si="2"/>
        <v>5</v>
      </c>
      <c r="D127" s="7">
        <f t="shared" si="3"/>
        <v>6</v>
      </c>
      <c r="E127" s="7">
        <f t="shared" si="4"/>
        <v>19</v>
      </c>
      <c r="F127" s="7">
        <f t="shared" si="5"/>
        <v>6</v>
      </c>
    </row>
    <row r="128" ht="14.25" customHeight="1">
      <c r="A128" s="10">
        <v>44688.0</v>
      </c>
      <c r="B128" s="7">
        <f t="shared" si="1"/>
        <v>2022</v>
      </c>
      <c r="C128" s="7">
        <f t="shared" si="2"/>
        <v>5</v>
      </c>
      <c r="D128" s="7">
        <f t="shared" si="3"/>
        <v>7</v>
      </c>
      <c r="E128" s="7">
        <f t="shared" si="4"/>
        <v>19</v>
      </c>
      <c r="F128" s="7">
        <f t="shared" si="5"/>
        <v>7</v>
      </c>
    </row>
    <row r="129" ht="14.25" customHeight="1">
      <c r="A129" s="10">
        <v>44689.0</v>
      </c>
      <c r="B129" s="7">
        <f t="shared" si="1"/>
        <v>2022</v>
      </c>
      <c r="C129" s="7">
        <f t="shared" si="2"/>
        <v>5</v>
      </c>
      <c r="D129" s="7">
        <f t="shared" si="3"/>
        <v>1</v>
      </c>
      <c r="E129" s="7">
        <f t="shared" si="4"/>
        <v>20</v>
      </c>
      <c r="F129" s="7">
        <f t="shared" si="5"/>
        <v>8</v>
      </c>
    </row>
    <row r="130" ht="14.25" customHeight="1">
      <c r="A130" s="10">
        <v>44690.0</v>
      </c>
      <c r="B130" s="7">
        <f t="shared" si="1"/>
        <v>2022</v>
      </c>
      <c r="C130" s="7">
        <f t="shared" si="2"/>
        <v>5</v>
      </c>
      <c r="D130" s="7">
        <f t="shared" si="3"/>
        <v>2</v>
      </c>
      <c r="E130" s="7">
        <f t="shared" si="4"/>
        <v>20</v>
      </c>
      <c r="F130" s="7">
        <f t="shared" si="5"/>
        <v>9</v>
      </c>
    </row>
    <row r="131" ht="14.25" customHeight="1">
      <c r="A131" s="10">
        <v>44691.0</v>
      </c>
      <c r="B131" s="7">
        <f t="shared" si="1"/>
        <v>2022</v>
      </c>
      <c r="C131" s="7">
        <f t="shared" si="2"/>
        <v>5</v>
      </c>
      <c r="D131" s="7">
        <f t="shared" si="3"/>
        <v>3</v>
      </c>
      <c r="E131" s="7">
        <f t="shared" si="4"/>
        <v>20</v>
      </c>
      <c r="F131" s="7">
        <f t="shared" si="5"/>
        <v>10</v>
      </c>
    </row>
    <row r="132" ht="14.25" customHeight="1">
      <c r="A132" s="10">
        <v>44692.0</v>
      </c>
      <c r="B132" s="7">
        <f t="shared" si="1"/>
        <v>2022</v>
      </c>
      <c r="C132" s="7">
        <f t="shared" si="2"/>
        <v>5</v>
      </c>
      <c r="D132" s="7">
        <f t="shared" si="3"/>
        <v>4</v>
      </c>
      <c r="E132" s="7">
        <f t="shared" si="4"/>
        <v>20</v>
      </c>
      <c r="F132" s="7">
        <f t="shared" si="5"/>
        <v>11</v>
      </c>
    </row>
    <row r="133" ht="14.25" customHeight="1">
      <c r="A133" s="10">
        <v>44693.0</v>
      </c>
      <c r="B133" s="7">
        <f t="shared" si="1"/>
        <v>2022</v>
      </c>
      <c r="C133" s="7">
        <f t="shared" si="2"/>
        <v>5</v>
      </c>
      <c r="D133" s="7">
        <f t="shared" si="3"/>
        <v>5</v>
      </c>
      <c r="E133" s="7">
        <f t="shared" si="4"/>
        <v>20</v>
      </c>
      <c r="F133" s="7">
        <f t="shared" si="5"/>
        <v>12</v>
      </c>
    </row>
    <row r="134" ht="14.25" customHeight="1">
      <c r="A134" s="10">
        <v>44694.0</v>
      </c>
      <c r="B134" s="7">
        <f t="shared" si="1"/>
        <v>2022</v>
      </c>
      <c r="C134" s="7">
        <f t="shared" si="2"/>
        <v>5</v>
      </c>
      <c r="D134" s="7">
        <f t="shared" si="3"/>
        <v>6</v>
      </c>
      <c r="E134" s="7">
        <f t="shared" si="4"/>
        <v>20</v>
      </c>
      <c r="F134" s="7">
        <f t="shared" si="5"/>
        <v>13</v>
      </c>
    </row>
    <row r="135" ht="14.25" customHeight="1">
      <c r="A135" s="10">
        <v>44695.0</v>
      </c>
      <c r="B135" s="7">
        <f t="shared" si="1"/>
        <v>2022</v>
      </c>
      <c r="C135" s="7">
        <f t="shared" si="2"/>
        <v>5</v>
      </c>
      <c r="D135" s="7">
        <f t="shared" si="3"/>
        <v>7</v>
      </c>
      <c r="E135" s="7">
        <f t="shared" si="4"/>
        <v>20</v>
      </c>
      <c r="F135" s="7">
        <f t="shared" si="5"/>
        <v>14</v>
      </c>
    </row>
    <row r="136" ht="14.25" customHeight="1">
      <c r="A136" s="10">
        <v>44696.0</v>
      </c>
      <c r="B136" s="7">
        <f t="shared" si="1"/>
        <v>2022</v>
      </c>
      <c r="C136" s="7">
        <f t="shared" si="2"/>
        <v>5</v>
      </c>
      <c r="D136" s="7">
        <f t="shared" si="3"/>
        <v>1</v>
      </c>
      <c r="E136" s="7">
        <f t="shared" si="4"/>
        <v>21</v>
      </c>
      <c r="F136" s="7">
        <f t="shared" si="5"/>
        <v>15</v>
      </c>
    </row>
    <row r="137" ht="14.25" customHeight="1">
      <c r="A137" s="10">
        <v>44697.0</v>
      </c>
      <c r="B137" s="7">
        <f t="shared" si="1"/>
        <v>2022</v>
      </c>
      <c r="C137" s="7">
        <f t="shared" si="2"/>
        <v>5</v>
      </c>
      <c r="D137" s="7">
        <f t="shared" si="3"/>
        <v>2</v>
      </c>
      <c r="E137" s="7">
        <f t="shared" si="4"/>
        <v>21</v>
      </c>
      <c r="F137" s="7">
        <f t="shared" si="5"/>
        <v>16</v>
      </c>
    </row>
    <row r="138" ht="14.25" customHeight="1">
      <c r="A138" s="10">
        <v>44698.0</v>
      </c>
      <c r="B138" s="7">
        <f t="shared" si="1"/>
        <v>2022</v>
      </c>
      <c r="C138" s="7">
        <f t="shared" si="2"/>
        <v>5</v>
      </c>
      <c r="D138" s="7">
        <f t="shared" si="3"/>
        <v>3</v>
      </c>
      <c r="E138" s="7">
        <f t="shared" si="4"/>
        <v>21</v>
      </c>
      <c r="F138" s="7">
        <f t="shared" si="5"/>
        <v>17</v>
      </c>
    </row>
    <row r="139" ht="14.25" customHeight="1">
      <c r="A139" s="10">
        <v>44699.0</v>
      </c>
      <c r="B139" s="7">
        <f t="shared" si="1"/>
        <v>2022</v>
      </c>
      <c r="C139" s="7">
        <f t="shared" si="2"/>
        <v>5</v>
      </c>
      <c r="D139" s="7">
        <f t="shared" si="3"/>
        <v>4</v>
      </c>
      <c r="E139" s="7">
        <f t="shared" si="4"/>
        <v>21</v>
      </c>
      <c r="F139" s="7">
        <f t="shared" si="5"/>
        <v>18</v>
      </c>
    </row>
    <row r="140" ht="14.25" customHeight="1">
      <c r="A140" s="10">
        <v>44700.0</v>
      </c>
      <c r="B140" s="7">
        <f t="shared" si="1"/>
        <v>2022</v>
      </c>
      <c r="C140" s="7">
        <f t="shared" si="2"/>
        <v>5</v>
      </c>
      <c r="D140" s="7">
        <f t="shared" si="3"/>
        <v>5</v>
      </c>
      <c r="E140" s="7">
        <f t="shared" si="4"/>
        <v>21</v>
      </c>
      <c r="F140" s="7">
        <f t="shared" si="5"/>
        <v>19</v>
      </c>
    </row>
    <row r="141" ht="14.25" customHeight="1">
      <c r="A141" s="10">
        <v>44701.0</v>
      </c>
      <c r="B141" s="7">
        <f t="shared" si="1"/>
        <v>2022</v>
      </c>
      <c r="C141" s="7">
        <f t="shared" si="2"/>
        <v>5</v>
      </c>
      <c r="D141" s="7">
        <f t="shared" si="3"/>
        <v>6</v>
      </c>
      <c r="E141" s="7">
        <f t="shared" si="4"/>
        <v>21</v>
      </c>
      <c r="F141" s="7">
        <f t="shared" si="5"/>
        <v>20</v>
      </c>
    </row>
    <row r="142" ht="14.25" customHeight="1">
      <c r="A142" s="10">
        <v>44702.0</v>
      </c>
      <c r="B142" s="7">
        <f t="shared" si="1"/>
        <v>2022</v>
      </c>
      <c r="C142" s="7">
        <f t="shared" si="2"/>
        <v>5</v>
      </c>
      <c r="D142" s="7">
        <f t="shared" si="3"/>
        <v>7</v>
      </c>
      <c r="E142" s="7">
        <f t="shared" si="4"/>
        <v>21</v>
      </c>
      <c r="F142" s="7">
        <f t="shared" si="5"/>
        <v>21</v>
      </c>
    </row>
    <row r="143" ht="14.25" customHeight="1">
      <c r="A143" s="10">
        <v>44703.0</v>
      </c>
      <c r="B143" s="7">
        <f t="shared" si="1"/>
        <v>2022</v>
      </c>
      <c r="C143" s="7">
        <f t="shared" si="2"/>
        <v>5</v>
      </c>
      <c r="D143" s="7">
        <f t="shared" si="3"/>
        <v>1</v>
      </c>
      <c r="E143" s="7">
        <f t="shared" si="4"/>
        <v>22</v>
      </c>
      <c r="F143" s="7">
        <f t="shared" si="5"/>
        <v>22</v>
      </c>
    </row>
    <row r="144" ht="14.25" customHeight="1">
      <c r="A144" s="10">
        <v>44704.0</v>
      </c>
      <c r="B144" s="7">
        <f t="shared" si="1"/>
        <v>2022</v>
      </c>
      <c r="C144" s="7">
        <f t="shared" si="2"/>
        <v>5</v>
      </c>
      <c r="D144" s="7">
        <f t="shared" si="3"/>
        <v>2</v>
      </c>
      <c r="E144" s="7">
        <f t="shared" si="4"/>
        <v>22</v>
      </c>
      <c r="F144" s="7">
        <f t="shared" si="5"/>
        <v>23</v>
      </c>
    </row>
    <row r="145" ht="14.25" customHeight="1">
      <c r="A145" s="10">
        <v>44705.0</v>
      </c>
      <c r="B145" s="7">
        <f t="shared" si="1"/>
        <v>2022</v>
      </c>
      <c r="C145" s="7">
        <f t="shared" si="2"/>
        <v>5</v>
      </c>
      <c r="D145" s="7">
        <f t="shared" si="3"/>
        <v>3</v>
      </c>
      <c r="E145" s="7">
        <f t="shared" si="4"/>
        <v>22</v>
      </c>
      <c r="F145" s="7">
        <f t="shared" si="5"/>
        <v>24</v>
      </c>
    </row>
    <row r="146" ht="14.25" customHeight="1">
      <c r="A146" s="10">
        <v>44706.0</v>
      </c>
      <c r="B146" s="7">
        <f t="shared" si="1"/>
        <v>2022</v>
      </c>
      <c r="C146" s="7">
        <f t="shared" si="2"/>
        <v>5</v>
      </c>
      <c r="D146" s="7">
        <f t="shared" si="3"/>
        <v>4</v>
      </c>
      <c r="E146" s="7">
        <f t="shared" si="4"/>
        <v>22</v>
      </c>
      <c r="F146" s="7">
        <f t="shared" si="5"/>
        <v>25</v>
      </c>
    </row>
    <row r="147" ht="14.25" customHeight="1">
      <c r="A147" s="10">
        <v>44707.0</v>
      </c>
      <c r="B147" s="7">
        <f t="shared" si="1"/>
        <v>2022</v>
      </c>
      <c r="C147" s="7">
        <f t="shared" si="2"/>
        <v>5</v>
      </c>
      <c r="D147" s="7">
        <f t="shared" si="3"/>
        <v>5</v>
      </c>
      <c r="E147" s="7">
        <f t="shared" si="4"/>
        <v>22</v>
      </c>
      <c r="F147" s="7">
        <f t="shared" si="5"/>
        <v>26</v>
      </c>
    </row>
    <row r="148" ht="14.25" customHeight="1">
      <c r="A148" s="10">
        <v>44708.0</v>
      </c>
      <c r="B148" s="7">
        <f t="shared" si="1"/>
        <v>2022</v>
      </c>
      <c r="C148" s="7">
        <f t="shared" si="2"/>
        <v>5</v>
      </c>
      <c r="D148" s="7">
        <f t="shared" si="3"/>
        <v>6</v>
      </c>
      <c r="E148" s="7">
        <f t="shared" si="4"/>
        <v>22</v>
      </c>
      <c r="F148" s="7">
        <f t="shared" si="5"/>
        <v>27</v>
      </c>
    </row>
    <row r="149" ht="14.25" customHeight="1">
      <c r="A149" s="10">
        <v>44709.0</v>
      </c>
      <c r="B149" s="7">
        <f t="shared" si="1"/>
        <v>2022</v>
      </c>
      <c r="C149" s="7">
        <f t="shared" si="2"/>
        <v>5</v>
      </c>
      <c r="D149" s="7">
        <f t="shared" si="3"/>
        <v>7</v>
      </c>
      <c r="E149" s="7">
        <f t="shared" si="4"/>
        <v>22</v>
      </c>
      <c r="F149" s="7">
        <f t="shared" si="5"/>
        <v>28</v>
      </c>
    </row>
    <row r="150" ht="14.25" customHeight="1">
      <c r="A150" s="10">
        <v>44710.0</v>
      </c>
      <c r="B150" s="7">
        <f t="shared" si="1"/>
        <v>2022</v>
      </c>
      <c r="C150" s="7">
        <f t="shared" si="2"/>
        <v>5</v>
      </c>
      <c r="D150" s="7">
        <f t="shared" si="3"/>
        <v>1</v>
      </c>
      <c r="E150" s="7">
        <f t="shared" si="4"/>
        <v>23</v>
      </c>
      <c r="F150" s="7">
        <f t="shared" si="5"/>
        <v>29</v>
      </c>
    </row>
    <row r="151" ht="14.25" customHeight="1">
      <c r="A151" s="10">
        <v>44711.0</v>
      </c>
      <c r="B151" s="7">
        <f t="shared" si="1"/>
        <v>2022</v>
      </c>
      <c r="C151" s="7">
        <f t="shared" si="2"/>
        <v>5</v>
      </c>
      <c r="D151" s="7">
        <f t="shared" si="3"/>
        <v>2</v>
      </c>
      <c r="E151" s="7">
        <f t="shared" si="4"/>
        <v>23</v>
      </c>
      <c r="F151" s="7">
        <f t="shared" si="5"/>
        <v>30</v>
      </c>
    </row>
    <row r="152" ht="14.25" customHeight="1">
      <c r="A152" s="10">
        <v>44712.0</v>
      </c>
      <c r="B152" s="7">
        <f t="shared" si="1"/>
        <v>2022</v>
      </c>
      <c r="C152" s="7">
        <f t="shared" si="2"/>
        <v>5</v>
      </c>
      <c r="D152" s="7">
        <f t="shared" si="3"/>
        <v>3</v>
      </c>
      <c r="E152" s="7">
        <f t="shared" si="4"/>
        <v>23</v>
      </c>
      <c r="F152" s="7">
        <f t="shared" si="5"/>
        <v>31</v>
      </c>
    </row>
    <row r="153" ht="14.25" customHeight="1">
      <c r="A153" s="10">
        <v>44713.0</v>
      </c>
      <c r="B153" s="7">
        <f t="shared" si="1"/>
        <v>2022</v>
      </c>
      <c r="C153" s="7">
        <f t="shared" si="2"/>
        <v>6</v>
      </c>
      <c r="D153" s="7">
        <f t="shared" si="3"/>
        <v>4</v>
      </c>
      <c r="E153" s="7">
        <f t="shared" si="4"/>
        <v>23</v>
      </c>
      <c r="F153" s="7">
        <f t="shared" si="5"/>
        <v>1</v>
      </c>
    </row>
    <row r="154" ht="14.25" customHeight="1">
      <c r="A154" s="10">
        <v>44714.0</v>
      </c>
      <c r="B154" s="7">
        <f t="shared" si="1"/>
        <v>2022</v>
      </c>
      <c r="C154" s="7">
        <f t="shared" si="2"/>
        <v>6</v>
      </c>
      <c r="D154" s="7">
        <f t="shared" si="3"/>
        <v>5</v>
      </c>
      <c r="E154" s="7">
        <f t="shared" si="4"/>
        <v>23</v>
      </c>
      <c r="F154" s="7">
        <f t="shared" si="5"/>
        <v>2</v>
      </c>
    </row>
    <row r="155" ht="14.25" customHeight="1">
      <c r="A155" s="10">
        <v>44715.0</v>
      </c>
      <c r="B155" s="7">
        <f t="shared" si="1"/>
        <v>2022</v>
      </c>
      <c r="C155" s="7">
        <f t="shared" si="2"/>
        <v>6</v>
      </c>
      <c r="D155" s="7">
        <f t="shared" si="3"/>
        <v>6</v>
      </c>
      <c r="E155" s="7">
        <f t="shared" si="4"/>
        <v>23</v>
      </c>
      <c r="F155" s="7">
        <f t="shared" si="5"/>
        <v>3</v>
      </c>
    </row>
    <row r="156" ht="14.25" customHeight="1">
      <c r="A156" s="10">
        <v>44716.0</v>
      </c>
      <c r="B156" s="7">
        <f t="shared" si="1"/>
        <v>2022</v>
      </c>
      <c r="C156" s="7">
        <f t="shared" si="2"/>
        <v>6</v>
      </c>
      <c r="D156" s="7">
        <f t="shared" si="3"/>
        <v>7</v>
      </c>
      <c r="E156" s="7">
        <f t="shared" si="4"/>
        <v>23</v>
      </c>
      <c r="F156" s="7">
        <f t="shared" si="5"/>
        <v>4</v>
      </c>
    </row>
    <row r="157" ht="14.25" customHeight="1">
      <c r="A157" s="10">
        <v>44717.0</v>
      </c>
      <c r="B157" s="7">
        <f t="shared" si="1"/>
        <v>2022</v>
      </c>
      <c r="C157" s="7">
        <f t="shared" si="2"/>
        <v>6</v>
      </c>
      <c r="D157" s="7">
        <f t="shared" si="3"/>
        <v>1</v>
      </c>
      <c r="E157" s="7">
        <f t="shared" si="4"/>
        <v>24</v>
      </c>
      <c r="F157" s="7">
        <f t="shared" si="5"/>
        <v>5</v>
      </c>
    </row>
    <row r="158" ht="14.25" customHeight="1">
      <c r="A158" s="10">
        <v>44718.0</v>
      </c>
      <c r="B158" s="7">
        <f t="shared" si="1"/>
        <v>2022</v>
      </c>
      <c r="C158" s="7">
        <f t="shared" si="2"/>
        <v>6</v>
      </c>
      <c r="D158" s="7">
        <f t="shared" si="3"/>
        <v>2</v>
      </c>
      <c r="E158" s="7">
        <f t="shared" si="4"/>
        <v>24</v>
      </c>
      <c r="F158" s="7">
        <f t="shared" si="5"/>
        <v>6</v>
      </c>
    </row>
    <row r="159" ht="14.25" customHeight="1">
      <c r="A159" s="10">
        <v>44719.0</v>
      </c>
      <c r="B159" s="7">
        <f t="shared" si="1"/>
        <v>2022</v>
      </c>
      <c r="C159" s="7">
        <f t="shared" si="2"/>
        <v>6</v>
      </c>
      <c r="D159" s="7">
        <f t="shared" si="3"/>
        <v>3</v>
      </c>
      <c r="E159" s="7">
        <f t="shared" si="4"/>
        <v>24</v>
      </c>
      <c r="F159" s="7">
        <f t="shared" si="5"/>
        <v>7</v>
      </c>
    </row>
    <row r="160" ht="14.25" customHeight="1">
      <c r="A160" s="10">
        <v>44720.0</v>
      </c>
      <c r="B160" s="7">
        <f t="shared" si="1"/>
        <v>2022</v>
      </c>
      <c r="C160" s="7">
        <f t="shared" si="2"/>
        <v>6</v>
      </c>
      <c r="D160" s="7">
        <f t="shared" si="3"/>
        <v>4</v>
      </c>
      <c r="E160" s="7">
        <f t="shared" si="4"/>
        <v>24</v>
      </c>
      <c r="F160" s="7">
        <f t="shared" si="5"/>
        <v>8</v>
      </c>
    </row>
    <row r="161" ht="14.25" customHeight="1">
      <c r="A161" s="10">
        <v>44721.0</v>
      </c>
      <c r="B161" s="7">
        <f t="shared" si="1"/>
        <v>2022</v>
      </c>
      <c r="C161" s="7">
        <f t="shared" si="2"/>
        <v>6</v>
      </c>
      <c r="D161" s="7">
        <f t="shared" si="3"/>
        <v>5</v>
      </c>
      <c r="E161" s="7">
        <f t="shared" si="4"/>
        <v>24</v>
      </c>
      <c r="F161" s="7">
        <f t="shared" si="5"/>
        <v>9</v>
      </c>
    </row>
    <row r="162" ht="14.25" customHeight="1">
      <c r="A162" s="10">
        <v>44722.0</v>
      </c>
      <c r="B162" s="7">
        <f t="shared" si="1"/>
        <v>2022</v>
      </c>
      <c r="C162" s="7">
        <f t="shared" si="2"/>
        <v>6</v>
      </c>
      <c r="D162" s="7">
        <f t="shared" si="3"/>
        <v>6</v>
      </c>
      <c r="E162" s="7">
        <f t="shared" si="4"/>
        <v>24</v>
      </c>
      <c r="F162" s="7">
        <f t="shared" si="5"/>
        <v>10</v>
      </c>
    </row>
    <row r="163" ht="14.25" customHeight="1">
      <c r="A163" s="10">
        <v>44723.0</v>
      </c>
      <c r="B163" s="7">
        <f t="shared" si="1"/>
        <v>2022</v>
      </c>
      <c r="C163" s="7">
        <f t="shared" si="2"/>
        <v>6</v>
      </c>
      <c r="D163" s="7">
        <f t="shared" si="3"/>
        <v>7</v>
      </c>
      <c r="E163" s="7">
        <f t="shared" si="4"/>
        <v>24</v>
      </c>
      <c r="F163" s="7">
        <f t="shared" si="5"/>
        <v>11</v>
      </c>
    </row>
    <row r="164" ht="14.25" customHeight="1">
      <c r="A164" s="10">
        <v>44724.0</v>
      </c>
      <c r="B164" s="7">
        <f t="shared" si="1"/>
        <v>2022</v>
      </c>
      <c r="C164" s="7">
        <f t="shared" si="2"/>
        <v>6</v>
      </c>
      <c r="D164" s="7">
        <f t="shared" si="3"/>
        <v>1</v>
      </c>
      <c r="E164" s="7">
        <f t="shared" si="4"/>
        <v>25</v>
      </c>
      <c r="F164" s="7">
        <f t="shared" si="5"/>
        <v>12</v>
      </c>
    </row>
    <row r="165" ht="14.25" customHeight="1">
      <c r="A165" s="10">
        <v>44725.0</v>
      </c>
      <c r="B165" s="7">
        <f t="shared" si="1"/>
        <v>2022</v>
      </c>
      <c r="C165" s="7">
        <f t="shared" si="2"/>
        <v>6</v>
      </c>
      <c r="D165" s="7">
        <f t="shared" si="3"/>
        <v>2</v>
      </c>
      <c r="E165" s="7">
        <f t="shared" si="4"/>
        <v>25</v>
      </c>
      <c r="F165" s="7">
        <f t="shared" si="5"/>
        <v>13</v>
      </c>
    </row>
    <row r="166" ht="14.25" customHeight="1">
      <c r="A166" s="10">
        <v>44726.0</v>
      </c>
      <c r="B166" s="7">
        <f t="shared" si="1"/>
        <v>2022</v>
      </c>
      <c r="C166" s="7">
        <f t="shared" si="2"/>
        <v>6</v>
      </c>
      <c r="D166" s="7">
        <f t="shared" si="3"/>
        <v>3</v>
      </c>
      <c r="E166" s="7">
        <f t="shared" si="4"/>
        <v>25</v>
      </c>
      <c r="F166" s="7">
        <f t="shared" si="5"/>
        <v>14</v>
      </c>
    </row>
    <row r="167" ht="14.25" customHeight="1">
      <c r="A167" s="10">
        <v>44727.0</v>
      </c>
      <c r="B167" s="7">
        <f t="shared" si="1"/>
        <v>2022</v>
      </c>
      <c r="C167" s="7">
        <f t="shared" si="2"/>
        <v>6</v>
      </c>
      <c r="D167" s="7">
        <f t="shared" si="3"/>
        <v>4</v>
      </c>
      <c r="E167" s="7">
        <f t="shared" si="4"/>
        <v>25</v>
      </c>
      <c r="F167" s="7">
        <f t="shared" si="5"/>
        <v>15</v>
      </c>
    </row>
    <row r="168" ht="14.25" customHeight="1">
      <c r="A168" s="10">
        <v>44728.0</v>
      </c>
      <c r="B168" s="7">
        <f t="shared" si="1"/>
        <v>2022</v>
      </c>
      <c r="C168" s="7">
        <f t="shared" si="2"/>
        <v>6</v>
      </c>
      <c r="D168" s="7">
        <f t="shared" si="3"/>
        <v>5</v>
      </c>
      <c r="E168" s="7">
        <f t="shared" si="4"/>
        <v>25</v>
      </c>
      <c r="F168" s="7">
        <f t="shared" si="5"/>
        <v>16</v>
      </c>
    </row>
    <row r="169" ht="14.25" customHeight="1">
      <c r="A169" s="10">
        <v>44729.0</v>
      </c>
      <c r="B169" s="7">
        <f t="shared" si="1"/>
        <v>2022</v>
      </c>
      <c r="C169" s="7">
        <f t="shared" si="2"/>
        <v>6</v>
      </c>
      <c r="D169" s="7">
        <f t="shared" si="3"/>
        <v>6</v>
      </c>
      <c r="E169" s="7">
        <f t="shared" si="4"/>
        <v>25</v>
      </c>
      <c r="F169" s="7">
        <f t="shared" si="5"/>
        <v>17</v>
      </c>
    </row>
    <row r="170" ht="14.25" customHeight="1">
      <c r="A170" s="10">
        <v>44730.0</v>
      </c>
      <c r="B170" s="7">
        <f t="shared" si="1"/>
        <v>2022</v>
      </c>
      <c r="C170" s="7">
        <f t="shared" si="2"/>
        <v>6</v>
      </c>
      <c r="D170" s="7">
        <f t="shared" si="3"/>
        <v>7</v>
      </c>
      <c r="E170" s="7">
        <f t="shared" si="4"/>
        <v>25</v>
      </c>
      <c r="F170" s="7">
        <f t="shared" si="5"/>
        <v>18</v>
      </c>
    </row>
    <row r="171" ht="14.25" customHeight="1">
      <c r="A171" s="10">
        <v>44731.0</v>
      </c>
      <c r="B171" s="7">
        <f t="shared" si="1"/>
        <v>2022</v>
      </c>
      <c r="C171" s="7">
        <f t="shared" si="2"/>
        <v>6</v>
      </c>
      <c r="D171" s="7">
        <f t="shared" si="3"/>
        <v>1</v>
      </c>
      <c r="E171" s="7">
        <f t="shared" si="4"/>
        <v>26</v>
      </c>
      <c r="F171" s="7">
        <f t="shared" si="5"/>
        <v>19</v>
      </c>
    </row>
    <row r="172" ht="14.25" customHeight="1">
      <c r="A172" s="10">
        <v>44732.0</v>
      </c>
      <c r="B172" s="7">
        <f t="shared" si="1"/>
        <v>2022</v>
      </c>
      <c r="C172" s="7">
        <f t="shared" si="2"/>
        <v>6</v>
      </c>
      <c r="D172" s="7">
        <f t="shared" si="3"/>
        <v>2</v>
      </c>
      <c r="E172" s="7">
        <f t="shared" si="4"/>
        <v>26</v>
      </c>
      <c r="F172" s="7">
        <f t="shared" si="5"/>
        <v>20</v>
      </c>
    </row>
    <row r="173" ht="14.25" customHeight="1">
      <c r="A173" s="10">
        <v>44733.0</v>
      </c>
      <c r="B173" s="7">
        <f t="shared" si="1"/>
        <v>2022</v>
      </c>
      <c r="C173" s="7">
        <f t="shared" si="2"/>
        <v>6</v>
      </c>
      <c r="D173" s="7">
        <f t="shared" si="3"/>
        <v>3</v>
      </c>
      <c r="E173" s="7">
        <f t="shared" si="4"/>
        <v>26</v>
      </c>
      <c r="F173" s="7">
        <f t="shared" si="5"/>
        <v>21</v>
      </c>
    </row>
    <row r="174" ht="14.25" customHeight="1">
      <c r="A174" s="10">
        <v>44734.0</v>
      </c>
      <c r="B174" s="7">
        <f t="shared" si="1"/>
        <v>2022</v>
      </c>
      <c r="C174" s="7">
        <f t="shared" si="2"/>
        <v>6</v>
      </c>
      <c r="D174" s="7">
        <f t="shared" si="3"/>
        <v>4</v>
      </c>
      <c r="E174" s="7">
        <f t="shared" si="4"/>
        <v>26</v>
      </c>
      <c r="F174" s="7">
        <f t="shared" si="5"/>
        <v>22</v>
      </c>
    </row>
    <row r="175" ht="14.25" customHeight="1">
      <c r="A175" s="10">
        <v>44735.0</v>
      </c>
      <c r="B175" s="7">
        <f t="shared" si="1"/>
        <v>2022</v>
      </c>
      <c r="C175" s="7">
        <f t="shared" si="2"/>
        <v>6</v>
      </c>
      <c r="D175" s="7">
        <f t="shared" si="3"/>
        <v>5</v>
      </c>
      <c r="E175" s="7">
        <f t="shared" si="4"/>
        <v>26</v>
      </c>
      <c r="F175" s="7">
        <f t="shared" si="5"/>
        <v>23</v>
      </c>
    </row>
    <row r="176" ht="14.25" customHeight="1">
      <c r="A176" s="10">
        <v>44736.0</v>
      </c>
      <c r="B176" s="7">
        <f t="shared" si="1"/>
        <v>2022</v>
      </c>
      <c r="C176" s="7">
        <f t="shared" si="2"/>
        <v>6</v>
      </c>
      <c r="D176" s="7">
        <f t="shared" si="3"/>
        <v>6</v>
      </c>
      <c r="E176" s="7">
        <f t="shared" si="4"/>
        <v>26</v>
      </c>
      <c r="F176" s="7">
        <f t="shared" si="5"/>
        <v>24</v>
      </c>
    </row>
    <row r="177" ht="14.25" customHeight="1">
      <c r="A177" s="10">
        <v>44737.0</v>
      </c>
      <c r="B177" s="7">
        <f t="shared" si="1"/>
        <v>2022</v>
      </c>
      <c r="C177" s="7">
        <f t="shared" si="2"/>
        <v>6</v>
      </c>
      <c r="D177" s="7">
        <f t="shared" si="3"/>
        <v>7</v>
      </c>
      <c r="E177" s="7">
        <f t="shared" si="4"/>
        <v>26</v>
      </c>
      <c r="F177" s="7">
        <f t="shared" si="5"/>
        <v>25</v>
      </c>
    </row>
    <row r="178" ht="14.25" customHeight="1">
      <c r="A178" s="10">
        <v>44738.0</v>
      </c>
      <c r="B178" s="7">
        <f t="shared" si="1"/>
        <v>2022</v>
      </c>
      <c r="C178" s="7">
        <f t="shared" si="2"/>
        <v>6</v>
      </c>
      <c r="D178" s="7">
        <f t="shared" si="3"/>
        <v>1</v>
      </c>
      <c r="E178" s="7">
        <f t="shared" si="4"/>
        <v>27</v>
      </c>
      <c r="F178" s="7">
        <f t="shared" si="5"/>
        <v>26</v>
      </c>
    </row>
    <row r="179" ht="14.25" customHeight="1">
      <c r="A179" s="10">
        <v>44739.0</v>
      </c>
      <c r="B179" s="7">
        <f t="shared" si="1"/>
        <v>2022</v>
      </c>
      <c r="C179" s="7">
        <f t="shared" si="2"/>
        <v>6</v>
      </c>
      <c r="D179" s="7">
        <f t="shared" si="3"/>
        <v>2</v>
      </c>
      <c r="E179" s="7">
        <f t="shared" si="4"/>
        <v>27</v>
      </c>
      <c r="F179" s="7">
        <f t="shared" si="5"/>
        <v>27</v>
      </c>
    </row>
    <row r="180" ht="14.25" customHeight="1">
      <c r="A180" s="10">
        <v>44740.0</v>
      </c>
      <c r="B180" s="7">
        <f t="shared" si="1"/>
        <v>2022</v>
      </c>
      <c r="C180" s="7">
        <f t="shared" si="2"/>
        <v>6</v>
      </c>
      <c r="D180" s="7">
        <f t="shared" si="3"/>
        <v>3</v>
      </c>
      <c r="E180" s="7">
        <f t="shared" si="4"/>
        <v>27</v>
      </c>
      <c r="F180" s="7">
        <f t="shared" si="5"/>
        <v>28</v>
      </c>
    </row>
    <row r="181" ht="14.25" customHeight="1">
      <c r="A181" s="10">
        <v>44741.0</v>
      </c>
      <c r="B181" s="7">
        <f t="shared" si="1"/>
        <v>2022</v>
      </c>
      <c r="C181" s="7">
        <f t="shared" si="2"/>
        <v>6</v>
      </c>
      <c r="D181" s="7">
        <f t="shared" si="3"/>
        <v>4</v>
      </c>
      <c r="E181" s="7">
        <f t="shared" si="4"/>
        <v>27</v>
      </c>
      <c r="F181" s="7">
        <f t="shared" si="5"/>
        <v>29</v>
      </c>
    </row>
    <row r="182" ht="14.25" customHeight="1">
      <c r="A182" s="10">
        <v>44742.0</v>
      </c>
      <c r="B182" s="7">
        <f t="shared" si="1"/>
        <v>2022</v>
      </c>
      <c r="C182" s="7">
        <f t="shared" si="2"/>
        <v>6</v>
      </c>
      <c r="D182" s="7">
        <f t="shared" si="3"/>
        <v>5</v>
      </c>
      <c r="E182" s="7">
        <f t="shared" si="4"/>
        <v>27</v>
      </c>
      <c r="F182" s="7">
        <f t="shared" si="5"/>
        <v>30</v>
      </c>
    </row>
    <row r="183" ht="14.25" customHeight="1">
      <c r="A183" s="10">
        <v>44743.0</v>
      </c>
      <c r="B183" s="7">
        <f t="shared" si="1"/>
        <v>2022</v>
      </c>
      <c r="C183" s="7">
        <f t="shared" si="2"/>
        <v>7</v>
      </c>
      <c r="D183" s="7">
        <f t="shared" si="3"/>
        <v>6</v>
      </c>
      <c r="E183" s="7">
        <f t="shared" si="4"/>
        <v>27</v>
      </c>
      <c r="F183" s="7">
        <f t="shared" si="5"/>
        <v>1</v>
      </c>
    </row>
    <row r="184" ht="14.25" customHeight="1">
      <c r="A184" s="10">
        <v>44744.0</v>
      </c>
      <c r="B184" s="7">
        <f t="shared" si="1"/>
        <v>2022</v>
      </c>
      <c r="C184" s="7">
        <f t="shared" si="2"/>
        <v>7</v>
      </c>
      <c r="D184" s="7">
        <f t="shared" si="3"/>
        <v>7</v>
      </c>
      <c r="E184" s="7">
        <f t="shared" si="4"/>
        <v>27</v>
      </c>
      <c r="F184" s="7">
        <f t="shared" si="5"/>
        <v>2</v>
      </c>
    </row>
    <row r="185" ht="14.25" customHeight="1">
      <c r="A185" s="10">
        <v>44745.0</v>
      </c>
      <c r="B185" s="7">
        <f t="shared" si="1"/>
        <v>2022</v>
      </c>
      <c r="C185" s="7">
        <f t="shared" si="2"/>
        <v>7</v>
      </c>
      <c r="D185" s="7">
        <f t="shared" si="3"/>
        <v>1</v>
      </c>
      <c r="E185" s="7">
        <f t="shared" si="4"/>
        <v>28</v>
      </c>
      <c r="F185" s="7">
        <f t="shared" si="5"/>
        <v>3</v>
      </c>
    </row>
    <row r="186" ht="14.25" customHeight="1">
      <c r="A186" s="10">
        <v>44746.0</v>
      </c>
      <c r="B186" s="7">
        <f t="shared" si="1"/>
        <v>2022</v>
      </c>
      <c r="C186" s="7">
        <f t="shared" si="2"/>
        <v>7</v>
      </c>
      <c r="D186" s="7">
        <f t="shared" si="3"/>
        <v>2</v>
      </c>
      <c r="E186" s="7">
        <f t="shared" si="4"/>
        <v>28</v>
      </c>
      <c r="F186" s="7">
        <f t="shared" si="5"/>
        <v>4</v>
      </c>
    </row>
    <row r="187" ht="14.25" customHeight="1">
      <c r="A187" s="10">
        <v>44747.0</v>
      </c>
      <c r="B187" s="7">
        <f t="shared" si="1"/>
        <v>2022</v>
      </c>
      <c r="C187" s="7">
        <f t="shared" si="2"/>
        <v>7</v>
      </c>
      <c r="D187" s="7">
        <f t="shared" si="3"/>
        <v>3</v>
      </c>
      <c r="E187" s="7">
        <f t="shared" si="4"/>
        <v>28</v>
      </c>
      <c r="F187" s="7">
        <f t="shared" si="5"/>
        <v>5</v>
      </c>
    </row>
    <row r="188" ht="14.25" customHeight="1">
      <c r="A188" s="10">
        <v>44748.0</v>
      </c>
      <c r="B188" s="7">
        <f t="shared" si="1"/>
        <v>2022</v>
      </c>
      <c r="C188" s="7">
        <f t="shared" si="2"/>
        <v>7</v>
      </c>
      <c r="D188" s="7">
        <f t="shared" si="3"/>
        <v>4</v>
      </c>
      <c r="E188" s="7">
        <f t="shared" si="4"/>
        <v>28</v>
      </c>
      <c r="F188" s="7">
        <f t="shared" si="5"/>
        <v>6</v>
      </c>
    </row>
    <row r="189" ht="14.25" customHeight="1">
      <c r="A189" s="10">
        <v>44749.0</v>
      </c>
      <c r="B189" s="7">
        <f t="shared" si="1"/>
        <v>2022</v>
      </c>
      <c r="C189" s="7">
        <f t="shared" si="2"/>
        <v>7</v>
      </c>
      <c r="D189" s="7">
        <f t="shared" si="3"/>
        <v>5</v>
      </c>
      <c r="E189" s="7">
        <f t="shared" si="4"/>
        <v>28</v>
      </c>
      <c r="F189" s="7">
        <f t="shared" si="5"/>
        <v>7</v>
      </c>
    </row>
    <row r="190" ht="14.25" customHeight="1">
      <c r="A190" s="10">
        <v>44750.0</v>
      </c>
      <c r="B190" s="7">
        <f t="shared" si="1"/>
        <v>2022</v>
      </c>
      <c r="C190" s="7">
        <f t="shared" si="2"/>
        <v>7</v>
      </c>
      <c r="D190" s="7">
        <f t="shared" si="3"/>
        <v>6</v>
      </c>
      <c r="E190" s="7">
        <f t="shared" si="4"/>
        <v>28</v>
      </c>
      <c r="F190" s="7">
        <f t="shared" si="5"/>
        <v>8</v>
      </c>
    </row>
    <row r="191" ht="14.25" customHeight="1">
      <c r="A191" s="10">
        <v>44751.0</v>
      </c>
      <c r="B191" s="7">
        <f t="shared" si="1"/>
        <v>2022</v>
      </c>
      <c r="C191" s="7">
        <f t="shared" si="2"/>
        <v>7</v>
      </c>
      <c r="D191" s="7">
        <f t="shared" si="3"/>
        <v>7</v>
      </c>
      <c r="E191" s="7">
        <f t="shared" si="4"/>
        <v>28</v>
      </c>
      <c r="F191" s="7">
        <f t="shared" si="5"/>
        <v>9</v>
      </c>
    </row>
    <row r="192" ht="14.25" customHeight="1">
      <c r="A192" s="10">
        <v>44752.0</v>
      </c>
      <c r="B192" s="7">
        <f t="shared" si="1"/>
        <v>2022</v>
      </c>
      <c r="C192" s="7">
        <f t="shared" si="2"/>
        <v>7</v>
      </c>
      <c r="D192" s="7">
        <f t="shared" si="3"/>
        <v>1</v>
      </c>
      <c r="E192" s="7">
        <f t="shared" si="4"/>
        <v>29</v>
      </c>
      <c r="F192" s="7">
        <f t="shared" si="5"/>
        <v>10</v>
      </c>
    </row>
    <row r="193" ht="14.25" customHeight="1">
      <c r="A193" s="10">
        <v>44753.0</v>
      </c>
      <c r="B193" s="7">
        <f t="shared" si="1"/>
        <v>2022</v>
      </c>
      <c r="C193" s="7">
        <f t="shared" si="2"/>
        <v>7</v>
      </c>
      <c r="D193" s="7">
        <f t="shared" si="3"/>
        <v>2</v>
      </c>
      <c r="E193" s="7">
        <f t="shared" si="4"/>
        <v>29</v>
      </c>
      <c r="F193" s="7">
        <f t="shared" si="5"/>
        <v>11</v>
      </c>
    </row>
    <row r="194" ht="14.25" customHeight="1">
      <c r="A194" s="10">
        <v>44754.0</v>
      </c>
      <c r="B194" s="7">
        <f t="shared" si="1"/>
        <v>2022</v>
      </c>
      <c r="C194" s="7">
        <f t="shared" si="2"/>
        <v>7</v>
      </c>
      <c r="D194" s="7">
        <f t="shared" si="3"/>
        <v>3</v>
      </c>
      <c r="E194" s="7">
        <f t="shared" si="4"/>
        <v>29</v>
      </c>
      <c r="F194" s="7">
        <f t="shared" si="5"/>
        <v>12</v>
      </c>
    </row>
    <row r="195" ht="14.25" customHeight="1">
      <c r="A195" s="10">
        <v>44755.0</v>
      </c>
      <c r="B195" s="7">
        <f t="shared" si="1"/>
        <v>2022</v>
      </c>
      <c r="C195" s="7">
        <f t="shared" si="2"/>
        <v>7</v>
      </c>
      <c r="D195" s="7">
        <f t="shared" si="3"/>
        <v>4</v>
      </c>
      <c r="E195" s="7">
        <f t="shared" si="4"/>
        <v>29</v>
      </c>
      <c r="F195" s="7">
        <f t="shared" si="5"/>
        <v>13</v>
      </c>
    </row>
    <row r="196" ht="14.25" customHeight="1">
      <c r="A196" s="10">
        <v>44756.0</v>
      </c>
      <c r="B196" s="7">
        <f t="shared" si="1"/>
        <v>2022</v>
      </c>
      <c r="C196" s="7">
        <f t="shared" si="2"/>
        <v>7</v>
      </c>
      <c r="D196" s="7">
        <f t="shared" si="3"/>
        <v>5</v>
      </c>
      <c r="E196" s="7">
        <f t="shared" si="4"/>
        <v>29</v>
      </c>
      <c r="F196" s="7">
        <f t="shared" si="5"/>
        <v>14</v>
      </c>
    </row>
    <row r="197" ht="14.25" customHeight="1">
      <c r="A197" s="10">
        <v>44757.0</v>
      </c>
      <c r="B197" s="7">
        <f t="shared" si="1"/>
        <v>2022</v>
      </c>
      <c r="C197" s="7">
        <f t="shared" si="2"/>
        <v>7</v>
      </c>
      <c r="D197" s="7">
        <f t="shared" si="3"/>
        <v>6</v>
      </c>
      <c r="E197" s="7">
        <f t="shared" si="4"/>
        <v>29</v>
      </c>
      <c r="F197" s="7">
        <f t="shared" si="5"/>
        <v>15</v>
      </c>
    </row>
    <row r="198" ht="14.25" customHeight="1">
      <c r="A198" s="10">
        <v>44758.0</v>
      </c>
      <c r="B198" s="7">
        <f t="shared" si="1"/>
        <v>2022</v>
      </c>
      <c r="C198" s="7">
        <f t="shared" si="2"/>
        <v>7</v>
      </c>
      <c r="D198" s="7">
        <f t="shared" si="3"/>
        <v>7</v>
      </c>
      <c r="E198" s="7">
        <f t="shared" si="4"/>
        <v>29</v>
      </c>
      <c r="F198" s="7">
        <f t="shared" si="5"/>
        <v>16</v>
      </c>
    </row>
    <row r="199" ht="14.25" customHeight="1">
      <c r="A199" s="10">
        <v>44759.0</v>
      </c>
      <c r="B199" s="7">
        <f t="shared" si="1"/>
        <v>2022</v>
      </c>
      <c r="C199" s="7">
        <f t="shared" si="2"/>
        <v>7</v>
      </c>
      <c r="D199" s="7">
        <f t="shared" si="3"/>
        <v>1</v>
      </c>
      <c r="E199" s="7">
        <f t="shared" si="4"/>
        <v>30</v>
      </c>
      <c r="F199" s="7">
        <f t="shared" si="5"/>
        <v>17</v>
      </c>
    </row>
    <row r="200" ht="14.25" customHeight="1">
      <c r="A200" s="10">
        <v>44760.0</v>
      </c>
      <c r="B200" s="7">
        <f t="shared" si="1"/>
        <v>2022</v>
      </c>
      <c r="C200" s="7">
        <f t="shared" si="2"/>
        <v>7</v>
      </c>
      <c r="D200" s="7">
        <f t="shared" si="3"/>
        <v>2</v>
      </c>
      <c r="E200" s="7">
        <f t="shared" si="4"/>
        <v>30</v>
      </c>
      <c r="F200" s="7">
        <f t="shared" si="5"/>
        <v>18</v>
      </c>
    </row>
    <row r="201" ht="14.25" customHeight="1">
      <c r="A201" s="10">
        <v>44761.0</v>
      </c>
      <c r="B201" s="7">
        <f t="shared" si="1"/>
        <v>2022</v>
      </c>
      <c r="C201" s="7">
        <f t="shared" si="2"/>
        <v>7</v>
      </c>
      <c r="D201" s="7">
        <f t="shared" si="3"/>
        <v>3</v>
      </c>
      <c r="E201" s="7">
        <f t="shared" si="4"/>
        <v>30</v>
      </c>
      <c r="F201" s="7">
        <f t="shared" si="5"/>
        <v>19</v>
      </c>
    </row>
    <row r="202" ht="14.25" customHeight="1">
      <c r="A202" s="10">
        <v>44762.0</v>
      </c>
      <c r="B202" s="7">
        <f t="shared" si="1"/>
        <v>2022</v>
      </c>
      <c r="C202" s="7">
        <f t="shared" si="2"/>
        <v>7</v>
      </c>
      <c r="D202" s="7">
        <f t="shared" si="3"/>
        <v>4</v>
      </c>
      <c r="E202" s="7">
        <f t="shared" si="4"/>
        <v>30</v>
      </c>
      <c r="F202" s="7">
        <f t="shared" si="5"/>
        <v>20</v>
      </c>
    </row>
    <row r="203" ht="14.25" customHeight="1">
      <c r="A203" s="10">
        <v>44763.0</v>
      </c>
      <c r="B203" s="7">
        <f t="shared" si="1"/>
        <v>2022</v>
      </c>
      <c r="C203" s="7">
        <f t="shared" si="2"/>
        <v>7</v>
      </c>
      <c r="D203" s="7">
        <f t="shared" si="3"/>
        <v>5</v>
      </c>
      <c r="E203" s="7">
        <f t="shared" si="4"/>
        <v>30</v>
      </c>
      <c r="F203" s="7">
        <f t="shared" si="5"/>
        <v>21</v>
      </c>
    </row>
    <row r="204" ht="14.25" customHeight="1">
      <c r="A204" s="10">
        <v>44764.0</v>
      </c>
      <c r="B204" s="7">
        <f t="shared" si="1"/>
        <v>2022</v>
      </c>
      <c r="C204" s="7">
        <f t="shared" si="2"/>
        <v>7</v>
      </c>
      <c r="D204" s="7">
        <f t="shared" si="3"/>
        <v>6</v>
      </c>
      <c r="E204" s="7">
        <f t="shared" si="4"/>
        <v>30</v>
      </c>
      <c r="F204" s="7">
        <f t="shared" si="5"/>
        <v>22</v>
      </c>
    </row>
    <row r="205" ht="14.25" customHeight="1">
      <c r="A205" s="10">
        <v>44765.0</v>
      </c>
      <c r="B205" s="7">
        <f t="shared" si="1"/>
        <v>2022</v>
      </c>
      <c r="C205" s="7">
        <f t="shared" si="2"/>
        <v>7</v>
      </c>
      <c r="D205" s="7">
        <f t="shared" si="3"/>
        <v>7</v>
      </c>
      <c r="E205" s="7">
        <f t="shared" si="4"/>
        <v>30</v>
      </c>
      <c r="F205" s="7">
        <f t="shared" si="5"/>
        <v>23</v>
      </c>
    </row>
    <row r="206" ht="14.25" customHeight="1">
      <c r="A206" s="10">
        <v>44766.0</v>
      </c>
      <c r="B206" s="7">
        <f t="shared" si="1"/>
        <v>2022</v>
      </c>
      <c r="C206" s="7">
        <f t="shared" si="2"/>
        <v>7</v>
      </c>
      <c r="D206" s="7">
        <f t="shared" si="3"/>
        <v>1</v>
      </c>
      <c r="E206" s="7">
        <f t="shared" si="4"/>
        <v>31</v>
      </c>
      <c r="F206" s="7">
        <f t="shared" si="5"/>
        <v>24</v>
      </c>
    </row>
    <row r="207" ht="14.25" customHeight="1">
      <c r="A207" s="10">
        <v>44767.0</v>
      </c>
      <c r="B207" s="7">
        <f t="shared" si="1"/>
        <v>2022</v>
      </c>
      <c r="C207" s="7">
        <f t="shared" si="2"/>
        <v>7</v>
      </c>
      <c r="D207" s="7">
        <f t="shared" si="3"/>
        <v>2</v>
      </c>
      <c r="E207" s="7">
        <f t="shared" si="4"/>
        <v>31</v>
      </c>
      <c r="F207" s="7">
        <f t="shared" si="5"/>
        <v>25</v>
      </c>
    </row>
    <row r="208" ht="14.25" customHeight="1">
      <c r="A208" s="10">
        <v>44768.0</v>
      </c>
      <c r="B208" s="7">
        <f t="shared" si="1"/>
        <v>2022</v>
      </c>
      <c r="C208" s="7">
        <f t="shared" si="2"/>
        <v>7</v>
      </c>
      <c r="D208" s="7">
        <f t="shared" si="3"/>
        <v>3</v>
      </c>
      <c r="E208" s="7">
        <f t="shared" si="4"/>
        <v>31</v>
      </c>
      <c r="F208" s="7">
        <f t="shared" si="5"/>
        <v>26</v>
      </c>
    </row>
    <row r="209" ht="14.25" customHeight="1">
      <c r="A209" s="10">
        <v>44769.0</v>
      </c>
      <c r="B209" s="7">
        <f t="shared" si="1"/>
        <v>2022</v>
      </c>
      <c r="C209" s="7">
        <f t="shared" si="2"/>
        <v>7</v>
      </c>
      <c r="D209" s="7">
        <f t="shared" si="3"/>
        <v>4</v>
      </c>
      <c r="E209" s="7">
        <f t="shared" si="4"/>
        <v>31</v>
      </c>
      <c r="F209" s="7">
        <f t="shared" si="5"/>
        <v>27</v>
      </c>
    </row>
    <row r="210" ht="14.25" customHeight="1">
      <c r="A210" s="10">
        <v>44770.0</v>
      </c>
      <c r="B210" s="7">
        <f t="shared" si="1"/>
        <v>2022</v>
      </c>
      <c r="C210" s="7">
        <f t="shared" si="2"/>
        <v>7</v>
      </c>
      <c r="D210" s="7">
        <f t="shared" si="3"/>
        <v>5</v>
      </c>
      <c r="E210" s="7">
        <f t="shared" si="4"/>
        <v>31</v>
      </c>
      <c r="F210" s="7">
        <f t="shared" si="5"/>
        <v>28</v>
      </c>
    </row>
    <row r="211" ht="14.25" customHeight="1">
      <c r="A211" s="10">
        <v>44771.0</v>
      </c>
      <c r="B211" s="7">
        <f t="shared" si="1"/>
        <v>2022</v>
      </c>
      <c r="C211" s="7">
        <f t="shared" si="2"/>
        <v>7</v>
      </c>
      <c r="D211" s="7">
        <f t="shared" si="3"/>
        <v>6</v>
      </c>
      <c r="E211" s="7">
        <f t="shared" si="4"/>
        <v>31</v>
      </c>
      <c r="F211" s="7">
        <f t="shared" si="5"/>
        <v>29</v>
      </c>
    </row>
    <row r="212" ht="14.25" customHeight="1">
      <c r="A212" s="10">
        <v>44772.0</v>
      </c>
      <c r="B212" s="7">
        <f t="shared" si="1"/>
        <v>2022</v>
      </c>
      <c r="C212" s="7">
        <f t="shared" si="2"/>
        <v>7</v>
      </c>
      <c r="D212" s="7">
        <f t="shared" si="3"/>
        <v>7</v>
      </c>
      <c r="E212" s="7">
        <f t="shared" si="4"/>
        <v>31</v>
      </c>
      <c r="F212" s="7">
        <f t="shared" si="5"/>
        <v>30</v>
      </c>
    </row>
    <row r="213" ht="14.25" customHeight="1">
      <c r="A213" s="10">
        <v>44773.0</v>
      </c>
      <c r="B213" s="7">
        <f t="shared" si="1"/>
        <v>2022</v>
      </c>
      <c r="C213" s="7">
        <f t="shared" si="2"/>
        <v>7</v>
      </c>
      <c r="D213" s="7">
        <f t="shared" si="3"/>
        <v>1</v>
      </c>
      <c r="E213" s="7">
        <f t="shared" si="4"/>
        <v>32</v>
      </c>
      <c r="F213" s="7">
        <f t="shared" si="5"/>
        <v>31</v>
      </c>
    </row>
    <row r="214" ht="14.25" customHeight="1">
      <c r="A214" s="10">
        <v>44774.0</v>
      </c>
      <c r="B214" s="7">
        <f t="shared" si="1"/>
        <v>2022</v>
      </c>
      <c r="C214" s="7">
        <f t="shared" si="2"/>
        <v>8</v>
      </c>
      <c r="D214" s="7">
        <f t="shared" si="3"/>
        <v>2</v>
      </c>
      <c r="E214" s="7">
        <f t="shared" si="4"/>
        <v>32</v>
      </c>
      <c r="F214" s="7">
        <f t="shared" si="5"/>
        <v>1</v>
      </c>
    </row>
    <row r="215" ht="14.25" customHeight="1">
      <c r="A215" s="10">
        <v>44775.0</v>
      </c>
      <c r="B215" s="7">
        <f t="shared" si="1"/>
        <v>2022</v>
      </c>
      <c r="C215" s="7">
        <f t="shared" si="2"/>
        <v>8</v>
      </c>
      <c r="D215" s="7">
        <f t="shared" si="3"/>
        <v>3</v>
      </c>
      <c r="E215" s="7">
        <f t="shared" si="4"/>
        <v>32</v>
      </c>
      <c r="F215" s="7">
        <f t="shared" si="5"/>
        <v>2</v>
      </c>
    </row>
    <row r="216" ht="14.25" customHeight="1">
      <c r="A216" s="10">
        <v>44776.0</v>
      </c>
      <c r="B216" s="7">
        <f t="shared" si="1"/>
        <v>2022</v>
      </c>
      <c r="C216" s="7">
        <f t="shared" si="2"/>
        <v>8</v>
      </c>
      <c r="D216" s="7">
        <f t="shared" si="3"/>
        <v>4</v>
      </c>
      <c r="E216" s="7">
        <f t="shared" si="4"/>
        <v>32</v>
      </c>
      <c r="F216" s="7">
        <f t="shared" si="5"/>
        <v>3</v>
      </c>
    </row>
    <row r="217" ht="14.25" customHeight="1">
      <c r="A217" s="10">
        <v>44777.0</v>
      </c>
      <c r="B217" s="7">
        <f t="shared" si="1"/>
        <v>2022</v>
      </c>
      <c r="C217" s="7">
        <f t="shared" si="2"/>
        <v>8</v>
      </c>
      <c r="D217" s="7">
        <f t="shared" si="3"/>
        <v>5</v>
      </c>
      <c r="E217" s="7">
        <f t="shared" si="4"/>
        <v>32</v>
      </c>
      <c r="F217" s="7">
        <f t="shared" si="5"/>
        <v>4</v>
      </c>
    </row>
    <row r="218" ht="14.25" customHeight="1">
      <c r="A218" s="10">
        <v>44778.0</v>
      </c>
      <c r="B218" s="7">
        <f t="shared" si="1"/>
        <v>2022</v>
      </c>
      <c r="C218" s="7">
        <f t="shared" si="2"/>
        <v>8</v>
      </c>
      <c r="D218" s="7">
        <f t="shared" si="3"/>
        <v>6</v>
      </c>
      <c r="E218" s="7">
        <f t="shared" si="4"/>
        <v>32</v>
      </c>
      <c r="F218" s="7">
        <f t="shared" si="5"/>
        <v>5</v>
      </c>
    </row>
    <row r="219" ht="14.25" customHeight="1">
      <c r="A219" s="10">
        <v>44779.0</v>
      </c>
      <c r="B219" s="7">
        <f t="shared" si="1"/>
        <v>2022</v>
      </c>
      <c r="C219" s="7">
        <f t="shared" si="2"/>
        <v>8</v>
      </c>
      <c r="D219" s="7">
        <f t="shared" si="3"/>
        <v>7</v>
      </c>
      <c r="E219" s="7">
        <f t="shared" si="4"/>
        <v>32</v>
      </c>
      <c r="F219" s="7">
        <f t="shared" si="5"/>
        <v>6</v>
      </c>
    </row>
    <row r="220" ht="14.25" customHeight="1">
      <c r="A220" s="10">
        <v>44780.0</v>
      </c>
      <c r="B220" s="7">
        <f t="shared" si="1"/>
        <v>2022</v>
      </c>
      <c r="C220" s="7">
        <f t="shared" si="2"/>
        <v>8</v>
      </c>
      <c r="D220" s="7">
        <f t="shared" si="3"/>
        <v>1</v>
      </c>
      <c r="E220" s="7">
        <f t="shared" si="4"/>
        <v>33</v>
      </c>
      <c r="F220" s="7">
        <f t="shared" si="5"/>
        <v>7</v>
      </c>
    </row>
    <row r="221" ht="14.25" customHeight="1">
      <c r="A221" s="10">
        <v>44781.0</v>
      </c>
      <c r="B221" s="7">
        <f t="shared" si="1"/>
        <v>2022</v>
      </c>
      <c r="C221" s="7">
        <f t="shared" si="2"/>
        <v>8</v>
      </c>
      <c r="D221" s="7">
        <f t="shared" si="3"/>
        <v>2</v>
      </c>
      <c r="E221" s="7">
        <f t="shared" si="4"/>
        <v>33</v>
      </c>
      <c r="F221" s="7">
        <f t="shared" si="5"/>
        <v>8</v>
      </c>
    </row>
    <row r="222" ht="14.25" customHeight="1">
      <c r="A222" s="10">
        <v>44782.0</v>
      </c>
      <c r="B222" s="7">
        <f t="shared" si="1"/>
        <v>2022</v>
      </c>
      <c r="C222" s="7">
        <f t="shared" si="2"/>
        <v>8</v>
      </c>
      <c r="D222" s="7">
        <f t="shared" si="3"/>
        <v>3</v>
      </c>
      <c r="E222" s="7">
        <f t="shared" si="4"/>
        <v>33</v>
      </c>
      <c r="F222" s="7">
        <f t="shared" si="5"/>
        <v>9</v>
      </c>
    </row>
    <row r="223" ht="14.25" customHeight="1">
      <c r="A223" s="10">
        <v>44783.0</v>
      </c>
      <c r="B223" s="7">
        <f t="shared" si="1"/>
        <v>2022</v>
      </c>
      <c r="C223" s="7">
        <f t="shared" si="2"/>
        <v>8</v>
      </c>
      <c r="D223" s="7">
        <f t="shared" si="3"/>
        <v>4</v>
      </c>
      <c r="E223" s="7">
        <f t="shared" si="4"/>
        <v>33</v>
      </c>
      <c r="F223" s="7">
        <f t="shared" si="5"/>
        <v>10</v>
      </c>
    </row>
    <row r="224" ht="14.25" customHeight="1">
      <c r="A224" s="10">
        <v>44784.0</v>
      </c>
      <c r="B224" s="7">
        <f t="shared" si="1"/>
        <v>2022</v>
      </c>
      <c r="C224" s="7">
        <f t="shared" si="2"/>
        <v>8</v>
      </c>
      <c r="D224" s="7">
        <f t="shared" si="3"/>
        <v>5</v>
      </c>
      <c r="E224" s="7">
        <f t="shared" si="4"/>
        <v>33</v>
      </c>
      <c r="F224" s="7">
        <f t="shared" si="5"/>
        <v>11</v>
      </c>
    </row>
    <row r="225" ht="14.25" customHeight="1">
      <c r="A225" s="10">
        <v>44785.0</v>
      </c>
      <c r="B225" s="7">
        <f t="shared" si="1"/>
        <v>2022</v>
      </c>
      <c r="C225" s="7">
        <f t="shared" si="2"/>
        <v>8</v>
      </c>
      <c r="D225" s="7">
        <f t="shared" si="3"/>
        <v>6</v>
      </c>
      <c r="E225" s="7">
        <f t="shared" si="4"/>
        <v>33</v>
      </c>
      <c r="F225" s="7">
        <f t="shared" si="5"/>
        <v>12</v>
      </c>
    </row>
    <row r="226" ht="14.25" customHeight="1">
      <c r="A226" s="10">
        <v>44786.0</v>
      </c>
      <c r="B226" s="7">
        <f t="shared" si="1"/>
        <v>2022</v>
      </c>
      <c r="C226" s="7">
        <f t="shared" si="2"/>
        <v>8</v>
      </c>
      <c r="D226" s="7">
        <f t="shared" si="3"/>
        <v>7</v>
      </c>
      <c r="E226" s="7">
        <f t="shared" si="4"/>
        <v>33</v>
      </c>
      <c r="F226" s="7">
        <f t="shared" si="5"/>
        <v>13</v>
      </c>
    </row>
    <row r="227" ht="14.25" customHeight="1">
      <c r="A227" s="10">
        <v>44787.0</v>
      </c>
      <c r="B227" s="7">
        <f t="shared" si="1"/>
        <v>2022</v>
      </c>
      <c r="C227" s="7">
        <f t="shared" si="2"/>
        <v>8</v>
      </c>
      <c r="D227" s="7">
        <f t="shared" si="3"/>
        <v>1</v>
      </c>
      <c r="E227" s="7">
        <f t="shared" si="4"/>
        <v>34</v>
      </c>
      <c r="F227" s="7">
        <f t="shared" si="5"/>
        <v>14</v>
      </c>
    </row>
    <row r="228" ht="14.25" customHeight="1">
      <c r="A228" s="10">
        <v>44788.0</v>
      </c>
      <c r="B228" s="7">
        <f t="shared" si="1"/>
        <v>2022</v>
      </c>
      <c r="C228" s="7">
        <f t="shared" si="2"/>
        <v>8</v>
      </c>
      <c r="D228" s="7">
        <f t="shared" si="3"/>
        <v>2</v>
      </c>
      <c r="E228" s="7">
        <f t="shared" si="4"/>
        <v>34</v>
      </c>
      <c r="F228" s="7">
        <f t="shared" si="5"/>
        <v>15</v>
      </c>
    </row>
    <row r="229" ht="14.25" customHeight="1">
      <c r="A229" s="10">
        <v>44789.0</v>
      </c>
      <c r="B229" s="7">
        <f t="shared" si="1"/>
        <v>2022</v>
      </c>
      <c r="C229" s="7">
        <f t="shared" si="2"/>
        <v>8</v>
      </c>
      <c r="D229" s="7">
        <f t="shared" si="3"/>
        <v>3</v>
      </c>
      <c r="E229" s="7">
        <f t="shared" si="4"/>
        <v>34</v>
      </c>
      <c r="F229" s="7">
        <f t="shared" si="5"/>
        <v>16</v>
      </c>
    </row>
    <row r="230" ht="14.25" customHeight="1">
      <c r="A230" s="10">
        <v>44790.0</v>
      </c>
      <c r="B230" s="7">
        <f t="shared" si="1"/>
        <v>2022</v>
      </c>
      <c r="C230" s="7">
        <f t="shared" si="2"/>
        <v>8</v>
      </c>
      <c r="D230" s="7">
        <f t="shared" si="3"/>
        <v>4</v>
      </c>
      <c r="E230" s="7">
        <f t="shared" si="4"/>
        <v>34</v>
      </c>
      <c r="F230" s="7">
        <f t="shared" si="5"/>
        <v>17</v>
      </c>
    </row>
    <row r="231" ht="14.25" customHeight="1">
      <c r="A231" s="10">
        <v>44791.0</v>
      </c>
      <c r="B231" s="7">
        <f t="shared" si="1"/>
        <v>2022</v>
      </c>
      <c r="C231" s="7">
        <f t="shared" si="2"/>
        <v>8</v>
      </c>
      <c r="D231" s="7">
        <f t="shared" si="3"/>
        <v>5</v>
      </c>
      <c r="E231" s="7">
        <f t="shared" si="4"/>
        <v>34</v>
      </c>
      <c r="F231" s="7">
        <f t="shared" si="5"/>
        <v>18</v>
      </c>
    </row>
    <row r="232" ht="14.25" customHeight="1">
      <c r="A232" s="10">
        <v>44792.0</v>
      </c>
      <c r="B232" s="7">
        <f t="shared" si="1"/>
        <v>2022</v>
      </c>
      <c r="C232" s="7">
        <f t="shared" si="2"/>
        <v>8</v>
      </c>
      <c r="D232" s="7">
        <f t="shared" si="3"/>
        <v>6</v>
      </c>
      <c r="E232" s="7">
        <f t="shared" si="4"/>
        <v>34</v>
      </c>
      <c r="F232" s="7">
        <f t="shared" si="5"/>
        <v>19</v>
      </c>
    </row>
    <row r="233" ht="14.25" customHeight="1">
      <c r="A233" s="10">
        <v>44793.0</v>
      </c>
      <c r="B233" s="7">
        <f t="shared" si="1"/>
        <v>2022</v>
      </c>
      <c r="C233" s="7">
        <f t="shared" si="2"/>
        <v>8</v>
      </c>
      <c r="D233" s="7">
        <f t="shared" si="3"/>
        <v>7</v>
      </c>
      <c r="E233" s="7">
        <f t="shared" si="4"/>
        <v>34</v>
      </c>
      <c r="F233" s="7">
        <f t="shared" si="5"/>
        <v>20</v>
      </c>
    </row>
    <row r="234" ht="14.25" customHeight="1">
      <c r="A234" s="10">
        <v>44794.0</v>
      </c>
      <c r="B234" s="7">
        <f t="shared" si="1"/>
        <v>2022</v>
      </c>
      <c r="C234" s="7">
        <f t="shared" si="2"/>
        <v>8</v>
      </c>
      <c r="D234" s="7">
        <f t="shared" si="3"/>
        <v>1</v>
      </c>
      <c r="E234" s="7">
        <f t="shared" si="4"/>
        <v>35</v>
      </c>
      <c r="F234" s="7">
        <f t="shared" si="5"/>
        <v>21</v>
      </c>
    </row>
    <row r="235" ht="14.25" customHeight="1">
      <c r="A235" s="10">
        <v>44795.0</v>
      </c>
      <c r="B235" s="7">
        <f t="shared" si="1"/>
        <v>2022</v>
      </c>
      <c r="C235" s="7">
        <f t="shared" si="2"/>
        <v>8</v>
      </c>
      <c r="D235" s="7">
        <f t="shared" si="3"/>
        <v>2</v>
      </c>
      <c r="E235" s="7">
        <f t="shared" si="4"/>
        <v>35</v>
      </c>
      <c r="F235" s="7">
        <f t="shared" si="5"/>
        <v>22</v>
      </c>
    </row>
    <row r="236" ht="14.25" customHeight="1">
      <c r="A236" s="10">
        <v>44796.0</v>
      </c>
      <c r="B236" s="7">
        <f t="shared" si="1"/>
        <v>2022</v>
      </c>
      <c r="C236" s="7">
        <f t="shared" si="2"/>
        <v>8</v>
      </c>
      <c r="D236" s="7">
        <f t="shared" si="3"/>
        <v>3</v>
      </c>
      <c r="E236" s="7">
        <f t="shared" si="4"/>
        <v>35</v>
      </c>
      <c r="F236" s="7">
        <f t="shared" si="5"/>
        <v>23</v>
      </c>
    </row>
    <row r="237" ht="14.25" customHeight="1">
      <c r="A237" s="10">
        <v>44797.0</v>
      </c>
      <c r="B237" s="7">
        <f t="shared" si="1"/>
        <v>2022</v>
      </c>
      <c r="C237" s="7">
        <f t="shared" si="2"/>
        <v>8</v>
      </c>
      <c r="D237" s="7">
        <f t="shared" si="3"/>
        <v>4</v>
      </c>
      <c r="E237" s="7">
        <f t="shared" si="4"/>
        <v>35</v>
      </c>
      <c r="F237" s="7">
        <f t="shared" si="5"/>
        <v>24</v>
      </c>
    </row>
    <row r="238" ht="14.25" customHeight="1">
      <c r="A238" s="10">
        <v>44798.0</v>
      </c>
      <c r="B238" s="7">
        <f t="shared" si="1"/>
        <v>2022</v>
      </c>
      <c r="C238" s="7">
        <f t="shared" si="2"/>
        <v>8</v>
      </c>
      <c r="D238" s="7">
        <f t="shared" si="3"/>
        <v>5</v>
      </c>
      <c r="E238" s="7">
        <f t="shared" si="4"/>
        <v>35</v>
      </c>
      <c r="F238" s="7">
        <f t="shared" si="5"/>
        <v>25</v>
      </c>
    </row>
    <row r="239" ht="14.25" customHeight="1">
      <c r="A239" s="10">
        <v>44799.0</v>
      </c>
      <c r="B239" s="7">
        <f t="shared" si="1"/>
        <v>2022</v>
      </c>
      <c r="C239" s="7">
        <f t="shared" si="2"/>
        <v>8</v>
      </c>
      <c r="D239" s="7">
        <f t="shared" si="3"/>
        <v>6</v>
      </c>
      <c r="E239" s="7">
        <f t="shared" si="4"/>
        <v>35</v>
      </c>
      <c r="F239" s="7">
        <f t="shared" si="5"/>
        <v>26</v>
      </c>
    </row>
    <row r="240" ht="14.25" customHeight="1">
      <c r="A240" s="10">
        <v>44800.0</v>
      </c>
      <c r="B240" s="7">
        <f t="shared" si="1"/>
        <v>2022</v>
      </c>
      <c r="C240" s="7">
        <f t="shared" si="2"/>
        <v>8</v>
      </c>
      <c r="D240" s="7">
        <f t="shared" si="3"/>
        <v>7</v>
      </c>
      <c r="E240" s="7">
        <f t="shared" si="4"/>
        <v>35</v>
      </c>
      <c r="F240" s="7">
        <f t="shared" si="5"/>
        <v>27</v>
      </c>
    </row>
    <row r="241" ht="14.25" customHeight="1">
      <c r="A241" s="10">
        <v>44801.0</v>
      </c>
      <c r="B241" s="7">
        <f t="shared" si="1"/>
        <v>2022</v>
      </c>
      <c r="C241" s="7">
        <f t="shared" si="2"/>
        <v>8</v>
      </c>
      <c r="D241" s="7">
        <f t="shared" si="3"/>
        <v>1</v>
      </c>
      <c r="E241" s="7">
        <f t="shared" si="4"/>
        <v>36</v>
      </c>
      <c r="F241" s="7">
        <f t="shared" si="5"/>
        <v>28</v>
      </c>
    </row>
    <row r="242" ht="14.25" customHeight="1">
      <c r="A242" s="10">
        <v>44802.0</v>
      </c>
      <c r="B242" s="7">
        <f t="shared" si="1"/>
        <v>2022</v>
      </c>
      <c r="C242" s="7">
        <f t="shared" si="2"/>
        <v>8</v>
      </c>
      <c r="D242" s="7">
        <f t="shared" si="3"/>
        <v>2</v>
      </c>
      <c r="E242" s="7">
        <f t="shared" si="4"/>
        <v>36</v>
      </c>
      <c r="F242" s="7">
        <f t="shared" si="5"/>
        <v>29</v>
      </c>
    </row>
    <row r="243" ht="14.25" customHeight="1">
      <c r="A243" s="10">
        <v>44803.0</v>
      </c>
      <c r="B243" s="7">
        <f t="shared" si="1"/>
        <v>2022</v>
      </c>
      <c r="C243" s="7">
        <f t="shared" si="2"/>
        <v>8</v>
      </c>
      <c r="D243" s="7">
        <f t="shared" si="3"/>
        <v>3</v>
      </c>
      <c r="E243" s="7">
        <f t="shared" si="4"/>
        <v>36</v>
      </c>
      <c r="F243" s="7">
        <f t="shared" si="5"/>
        <v>30</v>
      </c>
    </row>
    <row r="244" ht="14.25" customHeight="1">
      <c r="A244" s="10">
        <v>44804.0</v>
      </c>
      <c r="B244" s="7">
        <f t="shared" si="1"/>
        <v>2022</v>
      </c>
      <c r="C244" s="7">
        <f t="shared" si="2"/>
        <v>8</v>
      </c>
      <c r="D244" s="7">
        <f t="shared" si="3"/>
        <v>4</v>
      </c>
      <c r="E244" s="7">
        <f t="shared" si="4"/>
        <v>36</v>
      </c>
      <c r="F244" s="7">
        <f t="shared" si="5"/>
        <v>31</v>
      </c>
    </row>
    <row r="245" ht="14.25" customHeight="1">
      <c r="A245" s="10">
        <v>44805.0</v>
      </c>
      <c r="B245" s="7">
        <f t="shared" si="1"/>
        <v>2022</v>
      </c>
      <c r="C245" s="7">
        <f t="shared" si="2"/>
        <v>9</v>
      </c>
      <c r="D245" s="7">
        <f t="shared" si="3"/>
        <v>5</v>
      </c>
      <c r="E245" s="7">
        <f t="shared" si="4"/>
        <v>36</v>
      </c>
      <c r="F245" s="7">
        <f t="shared" si="5"/>
        <v>1</v>
      </c>
    </row>
    <row r="246" ht="14.25" customHeight="1">
      <c r="A246" s="10">
        <v>44806.0</v>
      </c>
      <c r="B246" s="7">
        <f t="shared" si="1"/>
        <v>2022</v>
      </c>
      <c r="C246" s="7">
        <f t="shared" si="2"/>
        <v>9</v>
      </c>
      <c r="D246" s="7">
        <f t="shared" si="3"/>
        <v>6</v>
      </c>
      <c r="E246" s="7">
        <f t="shared" si="4"/>
        <v>36</v>
      </c>
      <c r="F246" s="7">
        <f t="shared" si="5"/>
        <v>2</v>
      </c>
    </row>
    <row r="247" ht="14.25" customHeight="1">
      <c r="A247" s="10">
        <v>44807.0</v>
      </c>
      <c r="B247" s="7">
        <f t="shared" si="1"/>
        <v>2022</v>
      </c>
      <c r="C247" s="7">
        <f t="shared" si="2"/>
        <v>9</v>
      </c>
      <c r="D247" s="7">
        <f t="shared" si="3"/>
        <v>7</v>
      </c>
      <c r="E247" s="7">
        <f t="shared" si="4"/>
        <v>36</v>
      </c>
      <c r="F247" s="7">
        <f t="shared" si="5"/>
        <v>3</v>
      </c>
    </row>
    <row r="248" ht="14.25" customHeight="1">
      <c r="A248" s="10">
        <v>44808.0</v>
      </c>
      <c r="B248" s="7">
        <f t="shared" si="1"/>
        <v>2022</v>
      </c>
      <c r="C248" s="7">
        <f t="shared" si="2"/>
        <v>9</v>
      </c>
      <c r="D248" s="7">
        <f t="shared" si="3"/>
        <v>1</v>
      </c>
      <c r="E248" s="7">
        <f t="shared" si="4"/>
        <v>37</v>
      </c>
      <c r="F248" s="7">
        <f t="shared" si="5"/>
        <v>4</v>
      </c>
    </row>
    <row r="249" ht="14.25" customHeight="1">
      <c r="A249" s="10">
        <v>44809.0</v>
      </c>
      <c r="B249" s="7">
        <f t="shared" si="1"/>
        <v>2022</v>
      </c>
      <c r="C249" s="7">
        <f t="shared" si="2"/>
        <v>9</v>
      </c>
      <c r="D249" s="7">
        <f t="shared" si="3"/>
        <v>2</v>
      </c>
      <c r="E249" s="7">
        <f t="shared" si="4"/>
        <v>37</v>
      </c>
      <c r="F249" s="7">
        <f t="shared" si="5"/>
        <v>5</v>
      </c>
    </row>
    <row r="250" ht="14.25" customHeight="1">
      <c r="A250" s="10">
        <v>44810.0</v>
      </c>
      <c r="B250" s="7">
        <f t="shared" si="1"/>
        <v>2022</v>
      </c>
      <c r="C250" s="7">
        <f t="shared" si="2"/>
        <v>9</v>
      </c>
      <c r="D250" s="7">
        <f t="shared" si="3"/>
        <v>3</v>
      </c>
      <c r="E250" s="7">
        <f t="shared" si="4"/>
        <v>37</v>
      </c>
      <c r="F250" s="7">
        <f t="shared" si="5"/>
        <v>6</v>
      </c>
    </row>
    <row r="251" ht="14.25" customHeight="1">
      <c r="A251" s="10">
        <v>44811.0</v>
      </c>
      <c r="B251" s="7">
        <f t="shared" si="1"/>
        <v>2022</v>
      </c>
      <c r="C251" s="7">
        <f t="shared" si="2"/>
        <v>9</v>
      </c>
      <c r="D251" s="7">
        <f t="shared" si="3"/>
        <v>4</v>
      </c>
      <c r="E251" s="7">
        <f t="shared" si="4"/>
        <v>37</v>
      </c>
      <c r="F251" s="7">
        <f t="shared" si="5"/>
        <v>7</v>
      </c>
    </row>
    <row r="252" ht="14.25" customHeight="1">
      <c r="A252" s="10">
        <v>44812.0</v>
      </c>
      <c r="B252" s="7">
        <f t="shared" si="1"/>
        <v>2022</v>
      </c>
      <c r="C252" s="7">
        <f t="shared" si="2"/>
        <v>9</v>
      </c>
      <c r="D252" s="7">
        <f t="shared" si="3"/>
        <v>5</v>
      </c>
      <c r="E252" s="7">
        <f t="shared" si="4"/>
        <v>37</v>
      </c>
      <c r="F252" s="7">
        <f t="shared" si="5"/>
        <v>8</v>
      </c>
    </row>
    <row r="253" ht="14.25" customHeight="1">
      <c r="A253" s="10">
        <v>44813.0</v>
      </c>
      <c r="B253" s="7">
        <f t="shared" si="1"/>
        <v>2022</v>
      </c>
      <c r="C253" s="7">
        <f t="shared" si="2"/>
        <v>9</v>
      </c>
      <c r="D253" s="7">
        <f t="shared" si="3"/>
        <v>6</v>
      </c>
      <c r="E253" s="7">
        <f t="shared" si="4"/>
        <v>37</v>
      </c>
      <c r="F253" s="7">
        <f t="shared" si="5"/>
        <v>9</v>
      </c>
    </row>
    <row r="254" ht="14.25" customHeight="1">
      <c r="A254" s="10">
        <v>44814.0</v>
      </c>
      <c r="B254" s="7">
        <f t="shared" si="1"/>
        <v>2022</v>
      </c>
      <c r="C254" s="7">
        <f t="shared" si="2"/>
        <v>9</v>
      </c>
      <c r="D254" s="7">
        <f t="shared" si="3"/>
        <v>7</v>
      </c>
      <c r="E254" s="7">
        <f t="shared" si="4"/>
        <v>37</v>
      </c>
      <c r="F254" s="7">
        <f t="shared" si="5"/>
        <v>10</v>
      </c>
    </row>
    <row r="255" ht="14.25" customHeight="1">
      <c r="A255" s="10">
        <v>44815.0</v>
      </c>
      <c r="B255" s="7">
        <f t="shared" si="1"/>
        <v>2022</v>
      </c>
      <c r="C255" s="7">
        <f t="shared" si="2"/>
        <v>9</v>
      </c>
      <c r="D255" s="7">
        <f t="shared" si="3"/>
        <v>1</v>
      </c>
      <c r="E255" s="7">
        <f t="shared" si="4"/>
        <v>38</v>
      </c>
      <c r="F255" s="7">
        <f t="shared" si="5"/>
        <v>11</v>
      </c>
    </row>
    <row r="256" ht="14.25" customHeight="1">
      <c r="A256" s="10">
        <v>44816.0</v>
      </c>
      <c r="B256" s="7">
        <f t="shared" si="1"/>
        <v>2022</v>
      </c>
      <c r="C256" s="7">
        <f t="shared" si="2"/>
        <v>9</v>
      </c>
      <c r="D256" s="7">
        <f t="shared" si="3"/>
        <v>2</v>
      </c>
      <c r="E256" s="7">
        <f t="shared" si="4"/>
        <v>38</v>
      </c>
      <c r="F256" s="7">
        <f t="shared" si="5"/>
        <v>12</v>
      </c>
    </row>
    <row r="257" ht="14.25" customHeight="1">
      <c r="A257" s="10">
        <v>44817.0</v>
      </c>
      <c r="B257" s="7">
        <f t="shared" si="1"/>
        <v>2022</v>
      </c>
      <c r="C257" s="7">
        <f t="shared" si="2"/>
        <v>9</v>
      </c>
      <c r="D257" s="7">
        <f t="shared" si="3"/>
        <v>3</v>
      </c>
      <c r="E257" s="7">
        <f t="shared" si="4"/>
        <v>38</v>
      </c>
      <c r="F257" s="7">
        <f t="shared" si="5"/>
        <v>13</v>
      </c>
    </row>
    <row r="258" ht="14.25" customHeight="1">
      <c r="A258" s="10">
        <v>44818.0</v>
      </c>
      <c r="B258" s="7">
        <f t="shared" si="1"/>
        <v>2022</v>
      </c>
      <c r="C258" s="7">
        <f t="shared" si="2"/>
        <v>9</v>
      </c>
      <c r="D258" s="7">
        <f t="shared" si="3"/>
        <v>4</v>
      </c>
      <c r="E258" s="7">
        <f t="shared" si="4"/>
        <v>38</v>
      </c>
      <c r="F258" s="7">
        <f t="shared" si="5"/>
        <v>14</v>
      </c>
    </row>
    <row r="259" ht="14.25" customHeight="1">
      <c r="A259" s="10">
        <v>44819.0</v>
      </c>
      <c r="B259" s="7">
        <f t="shared" si="1"/>
        <v>2022</v>
      </c>
      <c r="C259" s="7">
        <f t="shared" si="2"/>
        <v>9</v>
      </c>
      <c r="D259" s="7">
        <f t="shared" si="3"/>
        <v>5</v>
      </c>
      <c r="E259" s="7">
        <f t="shared" si="4"/>
        <v>38</v>
      </c>
      <c r="F259" s="7">
        <f t="shared" si="5"/>
        <v>15</v>
      </c>
    </row>
    <row r="260" ht="14.25" customHeight="1">
      <c r="A260" s="10">
        <v>44820.0</v>
      </c>
      <c r="B260" s="7">
        <f t="shared" si="1"/>
        <v>2022</v>
      </c>
      <c r="C260" s="7">
        <f t="shared" si="2"/>
        <v>9</v>
      </c>
      <c r="D260" s="7">
        <f t="shared" si="3"/>
        <v>6</v>
      </c>
      <c r="E260" s="7">
        <f t="shared" si="4"/>
        <v>38</v>
      </c>
      <c r="F260" s="7">
        <f t="shared" si="5"/>
        <v>16</v>
      </c>
    </row>
    <row r="261" ht="14.25" customHeight="1">
      <c r="A261" s="10">
        <v>44821.0</v>
      </c>
      <c r="B261" s="7">
        <f t="shared" si="1"/>
        <v>2022</v>
      </c>
      <c r="C261" s="7">
        <f t="shared" si="2"/>
        <v>9</v>
      </c>
      <c r="D261" s="7">
        <f t="shared" si="3"/>
        <v>7</v>
      </c>
      <c r="E261" s="7">
        <f t="shared" si="4"/>
        <v>38</v>
      </c>
      <c r="F261" s="7">
        <f t="shared" si="5"/>
        <v>17</v>
      </c>
    </row>
    <row r="262" ht="14.25" customHeight="1">
      <c r="A262" s="10">
        <v>44822.0</v>
      </c>
      <c r="B262" s="7">
        <f t="shared" si="1"/>
        <v>2022</v>
      </c>
      <c r="C262" s="7">
        <f t="shared" si="2"/>
        <v>9</v>
      </c>
      <c r="D262" s="7">
        <f t="shared" si="3"/>
        <v>1</v>
      </c>
      <c r="E262" s="7">
        <f t="shared" si="4"/>
        <v>39</v>
      </c>
      <c r="F262" s="7">
        <f t="shared" si="5"/>
        <v>18</v>
      </c>
    </row>
    <row r="263" ht="14.25" customHeight="1">
      <c r="A263" s="10">
        <v>44823.0</v>
      </c>
      <c r="B263" s="7">
        <f t="shared" si="1"/>
        <v>2022</v>
      </c>
      <c r="C263" s="7">
        <f t="shared" si="2"/>
        <v>9</v>
      </c>
      <c r="D263" s="7">
        <f t="shared" si="3"/>
        <v>2</v>
      </c>
      <c r="E263" s="7">
        <f t="shared" si="4"/>
        <v>39</v>
      </c>
      <c r="F263" s="7">
        <f t="shared" si="5"/>
        <v>19</v>
      </c>
    </row>
    <row r="264" ht="14.25" customHeight="1">
      <c r="A264" s="10">
        <v>44824.0</v>
      </c>
      <c r="B264" s="7">
        <f t="shared" si="1"/>
        <v>2022</v>
      </c>
      <c r="C264" s="7">
        <f t="shared" si="2"/>
        <v>9</v>
      </c>
      <c r="D264" s="7">
        <f t="shared" si="3"/>
        <v>3</v>
      </c>
      <c r="E264" s="7">
        <f t="shared" si="4"/>
        <v>39</v>
      </c>
      <c r="F264" s="7">
        <f t="shared" si="5"/>
        <v>20</v>
      </c>
    </row>
    <row r="265" ht="14.25" customHeight="1">
      <c r="A265" s="10">
        <v>44825.0</v>
      </c>
      <c r="B265" s="7">
        <f t="shared" si="1"/>
        <v>2022</v>
      </c>
      <c r="C265" s="7">
        <f t="shared" si="2"/>
        <v>9</v>
      </c>
      <c r="D265" s="7">
        <f t="shared" si="3"/>
        <v>4</v>
      </c>
      <c r="E265" s="7">
        <f t="shared" si="4"/>
        <v>39</v>
      </c>
      <c r="F265" s="7">
        <f t="shared" si="5"/>
        <v>21</v>
      </c>
    </row>
    <row r="266" ht="14.25" customHeight="1">
      <c r="A266" s="10">
        <v>44826.0</v>
      </c>
      <c r="B266" s="7">
        <f t="shared" si="1"/>
        <v>2022</v>
      </c>
      <c r="C266" s="7">
        <f t="shared" si="2"/>
        <v>9</v>
      </c>
      <c r="D266" s="7">
        <f t="shared" si="3"/>
        <v>5</v>
      </c>
      <c r="E266" s="7">
        <f t="shared" si="4"/>
        <v>39</v>
      </c>
      <c r="F266" s="7">
        <f t="shared" si="5"/>
        <v>22</v>
      </c>
    </row>
    <row r="267" ht="14.25" customHeight="1">
      <c r="A267" s="10">
        <v>44827.0</v>
      </c>
      <c r="B267" s="7">
        <f t="shared" si="1"/>
        <v>2022</v>
      </c>
      <c r="C267" s="7">
        <f t="shared" si="2"/>
        <v>9</v>
      </c>
      <c r="D267" s="7">
        <f t="shared" si="3"/>
        <v>6</v>
      </c>
      <c r="E267" s="7">
        <f t="shared" si="4"/>
        <v>39</v>
      </c>
      <c r="F267" s="7">
        <f t="shared" si="5"/>
        <v>23</v>
      </c>
    </row>
    <row r="268" ht="14.25" customHeight="1">
      <c r="A268" s="10">
        <v>44828.0</v>
      </c>
      <c r="B268" s="7">
        <f t="shared" si="1"/>
        <v>2022</v>
      </c>
      <c r="C268" s="7">
        <f t="shared" si="2"/>
        <v>9</v>
      </c>
      <c r="D268" s="7">
        <f t="shared" si="3"/>
        <v>7</v>
      </c>
      <c r="E268" s="7">
        <f t="shared" si="4"/>
        <v>39</v>
      </c>
      <c r="F268" s="7">
        <f t="shared" si="5"/>
        <v>24</v>
      </c>
    </row>
    <row r="269" ht="14.25" customHeight="1">
      <c r="A269" s="10">
        <v>44829.0</v>
      </c>
      <c r="B269" s="7">
        <f t="shared" si="1"/>
        <v>2022</v>
      </c>
      <c r="C269" s="7">
        <f t="shared" si="2"/>
        <v>9</v>
      </c>
      <c r="D269" s="7">
        <f t="shared" si="3"/>
        <v>1</v>
      </c>
      <c r="E269" s="7">
        <f t="shared" si="4"/>
        <v>40</v>
      </c>
      <c r="F269" s="7">
        <f t="shared" si="5"/>
        <v>25</v>
      </c>
    </row>
    <row r="270" ht="14.25" customHeight="1">
      <c r="A270" s="10">
        <v>44830.0</v>
      </c>
      <c r="B270" s="7">
        <f t="shared" si="1"/>
        <v>2022</v>
      </c>
      <c r="C270" s="7">
        <f t="shared" si="2"/>
        <v>9</v>
      </c>
      <c r="D270" s="7">
        <f t="shared" si="3"/>
        <v>2</v>
      </c>
      <c r="E270" s="7">
        <f t="shared" si="4"/>
        <v>40</v>
      </c>
      <c r="F270" s="7">
        <f t="shared" si="5"/>
        <v>26</v>
      </c>
    </row>
    <row r="271" ht="14.25" customHeight="1">
      <c r="A271" s="10">
        <v>44831.0</v>
      </c>
      <c r="B271" s="7">
        <f t="shared" si="1"/>
        <v>2022</v>
      </c>
      <c r="C271" s="7">
        <f t="shared" si="2"/>
        <v>9</v>
      </c>
      <c r="D271" s="7">
        <f t="shared" si="3"/>
        <v>3</v>
      </c>
      <c r="E271" s="7">
        <f t="shared" si="4"/>
        <v>40</v>
      </c>
      <c r="F271" s="7">
        <f t="shared" si="5"/>
        <v>27</v>
      </c>
    </row>
    <row r="272" ht="14.25" customHeight="1">
      <c r="A272" s="10">
        <v>44832.0</v>
      </c>
      <c r="B272" s="7">
        <f t="shared" si="1"/>
        <v>2022</v>
      </c>
      <c r="C272" s="7">
        <f t="shared" si="2"/>
        <v>9</v>
      </c>
      <c r="D272" s="7">
        <f t="shared" si="3"/>
        <v>4</v>
      </c>
      <c r="E272" s="7">
        <f t="shared" si="4"/>
        <v>40</v>
      </c>
      <c r="F272" s="7">
        <f t="shared" si="5"/>
        <v>28</v>
      </c>
    </row>
    <row r="273" ht="14.25" customHeight="1">
      <c r="A273" s="10">
        <v>44833.0</v>
      </c>
      <c r="B273" s="7">
        <f t="shared" si="1"/>
        <v>2022</v>
      </c>
      <c r="C273" s="7">
        <f t="shared" si="2"/>
        <v>9</v>
      </c>
      <c r="D273" s="7">
        <f t="shared" si="3"/>
        <v>5</v>
      </c>
      <c r="E273" s="7">
        <f t="shared" si="4"/>
        <v>40</v>
      </c>
      <c r="F273" s="7">
        <f t="shared" si="5"/>
        <v>29</v>
      </c>
    </row>
    <row r="274" ht="14.25" customHeight="1">
      <c r="A274" s="10">
        <v>44834.0</v>
      </c>
      <c r="B274" s="7">
        <f t="shared" si="1"/>
        <v>2022</v>
      </c>
      <c r="C274" s="7">
        <f t="shared" si="2"/>
        <v>9</v>
      </c>
      <c r="D274" s="7">
        <f t="shared" si="3"/>
        <v>6</v>
      </c>
      <c r="E274" s="7">
        <f t="shared" si="4"/>
        <v>40</v>
      </c>
      <c r="F274" s="7">
        <f t="shared" si="5"/>
        <v>30</v>
      </c>
    </row>
    <row r="275" ht="14.25" customHeight="1">
      <c r="A275" s="10">
        <v>44835.0</v>
      </c>
      <c r="B275" s="7">
        <f t="shared" si="1"/>
        <v>2022</v>
      </c>
      <c r="C275" s="7">
        <f t="shared" si="2"/>
        <v>10</v>
      </c>
      <c r="D275" s="7">
        <f t="shared" si="3"/>
        <v>7</v>
      </c>
      <c r="E275" s="7">
        <f t="shared" si="4"/>
        <v>40</v>
      </c>
      <c r="F275" s="7">
        <f t="shared" si="5"/>
        <v>1</v>
      </c>
    </row>
    <row r="276" ht="14.25" customHeight="1">
      <c r="A276" s="10">
        <v>44836.0</v>
      </c>
      <c r="B276" s="7">
        <f t="shared" si="1"/>
        <v>2022</v>
      </c>
      <c r="C276" s="7">
        <f t="shared" si="2"/>
        <v>10</v>
      </c>
      <c r="D276" s="7">
        <f t="shared" si="3"/>
        <v>1</v>
      </c>
      <c r="E276" s="7">
        <f t="shared" si="4"/>
        <v>41</v>
      </c>
      <c r="F276" s="7">
        <f t="shared" si="5"/>
        <v>2</v>
      </c>
    </row>
    <row r="277" ht="14.25" customHeight="1">
      <c r="A277" s="10">
        <v>44837.0</v>
      </c>
      <c r="B277" s="7">
        <f t="shared" si="1"/>
        <v>2022</v>
      </c>
      <c r="C277" s="7">
        <f t="shared" si="2"/>
        <v>10</v>
      </c>
      <c r="D277" s="7">
        <f t="shared" si="3"/>
        <v>2</v>
      </c>
      <c r="E277" s="7">
        <f t="shared" si="4"/>
        <v>41</v>
      </c>
      <c r="F277" s="7">
        <f t="shared" si="5"/>
        <v>3</v>
      </c>
    </row>
    <row r="278" ht="14.25" customHeight="1">
      <c r="A278" s="10">
        <v>44838.0</v>
      </c>
      <c r="B278" s="7">
        <f t="shared" si="1"/>
        <v>2022</v>
      </c>
      <c r="C278" s="7">
        <f t="shared" si="2"/>
        <v>10</v>
      </c>
      <c r="D278" s="7">
        <f t="shared" si="3"/>
        <v>3</v>
      </c>
      <c r="E278" s="7">
        <f t="shared" si="4"/>
        <v>41</v>
      </c>
      <c r="F278" s="7">
        <f t="shared" si="5"/>
        <v>4</v>
      </c>
    </row>
    <row r="279" ht="14.25" customHeight="1">
      <c r="A279" s="10">
        <v>44839.0</v>
      </c>
      <c r="B279" s="7">
        <f t="shared" si="1"/>
        <v>2022</v>
      </c>
      <c r="C279" s="7">
        <f t="shared" si="2"/>
        <v>10</v>
      </c>
      <c r="D279" s="7">
        <f t="shared" si="3"/>
        <v>4</v>
      </c>
      <c r="E279" s="7">
        <f t="shared" si="4"/>
        <v>41</v>
      </c>
      <c r="F279" s="7">
        <f t="shared" si="5"/>
        <v>5</v>
      </c>
    </row>
    <row r="280" ht="14.25" customHeight="1">
      <c r="A280" s="10">
        <v>44840.0</v>
      </c>
      <c r="B280" s="7">
        <f t="shared" si="1"/>
        <v>2022</v>
      </c>
      <c r="C280" s="7">
        <f t="shared" si="2"/>
        <v>10</v>
      </c>
      <c r="D280" s="7">
        <f t="shared" si="3"/>
        <v>5</v>
      </c>
      <c r="E280" s="7">
        <f t="shared" si="4"/>
        <v>41</v>
      </c>
      <c r="F280" s="7">
        <f t="shared" si="5"/>
        <v>6</v>
      </c>
    </row>
    <row r="281" ht="14.25" customHeight="1">
      <c r="A281" s="10">
        <v>44841.0</v>
      </c>
      <c r="B281" s="7">
        <f t="shared" si="1"/>
        <v>2022</v>
      </c>
      <c r="C281" s="7">
        <f t="shared" si="2"/>
        <v>10</v>
      </c>
      <c r="D281" s="7">
        <f t="shared" si="3"/>
        <v>6</v>
      </c>
      <c r="E281" s="7">
        <f t="shared" si="4"/>
        <v>41</v>
      </c>
      <c r="F281" s="7">
        <f t="shared" si="5"/>
        <v>7</v>
      </c>
    </row>
    <row r="282" ht="14.25" customHeight="1">
      <c r="A282" s="10">
        <v>44842.0</v>
      </c>
      <c r="B282" s="7">
        <f t="shared" si="1"/>
        <v>2022</v>
      </c>
      <c r="C282" s="7">
        <f t="shared" si="2"/>
        <v>10</v>
      </c>
      <c r="D282" s="7">
        <f t="shared" si="3"/>
        <v>7</v>
      </c>
      <c r="E282" s="7">
        <f t="shared" si="4"/>
        <v>41</v>
      </c>
      <c r="F282" s="7">
        <f t="shared" si="5"/>
        <v>8</v>
      </c>
    </row>
    <row r="283" ht="14.25" customHeight="1">
      <c r="A283" s="10">
        <v>44843.0</v>
      </c>
      <c r="B283" s="7">
        <f t="shared" si="1"/>
        <v>2022</v>
      </c>
      <c r="C283" s="7">
        <f t="shared" si="2"/>
        <v>10</v>
      </c>
      <c r="D283" s="7">
        <f t="shared" si="3"/>
        <v>1</v>
      </c>
      <c r="E283" s="7">
        <f t="shared" si="4"/>
        <v>42</v>
      </c>
      <c r="F283" s="7">
        <f t="shared" si="5"/>
        <v>9</v>
      </c>
    </row>
    <row r="284" ht="14.25" customHeight="1">
      <c r="A284" s="10">
        <v>44844.0</v>
      </c>
      <c r="B284" s="7">
        <f t="shared" si="1"/>
        <v>2022</v>
      </c>
      <c r="C284" s="7">
        <f t="shared" si="2"/>
        <v>10</v>
      </c>
      <c r="D284" s="7">
        <f t="shared" si="3"/>
        <v>2</v>
      </c>
      <c r="E284" s="7">
        <f t="shared" si="4"/>
        <v>42</v>
      </c>
      <c r="F284" s="7">
        <f t="shared" si="5"/>
        <v>10</v>
      </c>
    </row>
    <row r="285" ht="14.25" customHeight="1">
      <c r="A285" s="10">
        <v>44845.0</v>
      </c>
      <c r="B285" s="7">
        <f t="shared" si="1"/>
        <v>2022</v>
      </c>
      <c r="C285" s="7">
        <f t="shared" si="2"/>
        <v>10</v>
      </c>
      <c r="D285" s="7">
        <f t="shared" si="3"/>
        <v>3</v>
      </c>
      <c r="E285" s="7">
        <f t="shared" si="4"/>
        <v>42</v>
      </c>
      <c r="F285" s="7">
        <f t="shared" si="5"/>
        <v>11</v>
      </c>
    </row>
    <row r="286" ht="14.25" customHeight="1">
      <c r="A286" s="10">
        <v>44846.0</v>
      </c>
      <c r="B286" s="7">
        <f t="shared" si="1"/>
        <v>2022</v>
      </c>
      <c r="C286" s="7">
        <f t="shared" si="2"/>
        <v>10</v>
      </c>
      <c r="D286" s="7">
        <f t="shared" si="3"/>
        <v>4</v>
      </c>
      <c r="E286" s="7">
        <f t="shared" si="4"/>
        <v>42</v>
      </c>
      <c r="F286" s="7">
        <f t="shared" si="5"/>
        <v>12</v>
      </c>
    </row>
    <row r="287" ht="14.25" customHeight="1">
      <c r="A287" s="10">
        <v>44847.0</v>
      </c>
      <c r="B287" s="7">
        <f t="shared" si="1"/>
        <v>2022</v>
      </c>
      <c r="C287" s="7">
        <f t="shared" si="2"/>
        <v>10</v>
      </c>
      <c r="D287" s="7">
        <f t="shared" si="3"/>
        <v>5</v>
      </c>
      <c r="E287" s="7">
        <f t="shared" si="4"/>
        <v>42</v>
      </c>
      <c r="F287" s="7">
        <f t="shared" si="5"/>
        <v>13</v>
      </c>
    </row>
    <row r="288" ht="14.25" customHeight="1">
      <c r="A288" s="10">
        <v>44848.0</v>
      </c>
      <c r="B288" s="7">
        <f t="shared" si="1"/>
        <v>2022</v>
      </c>
      <c r="C288" s="7">
        <f t="shared" si="2"/>
        <v>10</v>
      </c>
      <c r="D288" s="7">
        <f t="shared" si="3"/>
        <v>6</v>
      </c>
      <c r="E288" s="7">
        <f t="shared" si="4"/>
        <v>42</v>
      </c>
      <c r="F288" s="7">
        <f t="shared" si="5"/>
        <v>14</v>
      </c>
    </row>
    <row r="289" ht="14.25" customHeight="1">
      <c r="A289" s="10">
        <v>44849.0</v>
      </c>
      <c r="B289" s="7">
        <f t="shared" si="1"/>
        <v>2022</v>
      </c>
      <c r="C289" s="7">
        <f t="shared" si="2"/>
        <v>10</v>
      </c>
      <c r="D289" s="7">
        <f t="shared" si="3"/>
        <v>7</v>
      </c>
      <c r="E289" s="7">
        <f t="shared" si="4"/>
        <v>42</v>
      </c>
      <c r="F289" s="7">
        <f t="shared" si="5"/>
        <v>15</v>
      </c>
    </row>
    <row r="290" ht="14.25" customHeight="1">
      <c r="A290" s="10">
        <v>44850.0</v>
      </c>
      <c r="B290" s="7">
        <f t="shared" si="1"/>
        <v>2022</v>
      </c>
      <c r="C290" s="7">
        <f t="shared" si="2"/>
        <v>10</v>
      </c>
      <c r="D290" s="7">
        <f t="shared" si="3"/>
        <v>1</v>
      </c>
      <c r="E290" s="7">
        <f t="shared" si="4"/>
        <v>43</v>
      </c>
      <c r="F290" s="7">
        <f t="shared" si="5"/>
        <v>16</v>
      </c>
    </row>
    <row r="291" ht="14.25" customHeight="1">
      <c r="A291" s="10">
        <v>44851.0</v>
      </c>
      <c r="B291" s="7">
        <f t="shared" si="1"/>
        <v>2022</v>
      </c>
      <c r="C291" s="7">
        <f t="shared" si="2"/>
        <v>10</v>
      </c>
      <c r="D291" s="7">
        <f t="shared" si="3"/>
        <v>2</v>
      </c>
      <c r="E291" s="7">
        <f t="shared" si="4"/>
        <v>43</v>
      </c>
      <c r="F291" s="7">
        <f t="shared" si="5"/>
        <v>17</v>
      </c>
    </row>
    <row r="292" ht="14.25" customHeight="1">
      <c r="A292" s="10">
        <v>44852.0</v>
      </c>
      <c r="B292" s="7">
        <f t="shared" si="1"/>
        <v>2022</v>
      </c>
      <c r="C292" s="7">
        <f t="shared" si="2"/>
        <v>10</v>
      </c>
      <c r="D292" s="7">
        <f t="shared" si="3"/>
        <v>3</v>
      </c>
      <c r="E292" s="7">
        <f t="shared" si="4"/>
        <v>43</v>
      </c>
      <c r="F292" s="7">
        <f t="shared" si="5"/>
        <v>18</v>
      </c>
    </row>
    <row r="293" ht="14.25" customHeight="1">
      <c r="A293" s="10">
        <v>44853.0</v>
      </c>
      <c r="B293" s="7">
        <f t="shared" si="1"/>
        <v>2022</v>
      </c>
      <c r="C293" s="7">
        <f t="shared" si="2"/>
        <v>10</v>
      </c>
      <c r="D293" s="7">
        <f t="shared" si="3"/>
        <v>4</v>
      </c>
      <c r="E293" s="7">
        <f t="shared" si="4"/>
        <v>43</v>
      </c>
      <c r="F293" s="7">
        <f t="shared" si="5"/>
        <v>19</v>
      </c>
    </row>
    <row r="294" ht="14.25" customHeight="1">
      <c r="A294" s="10">
        <v>44854.0</v>
      </c>
      <c r="B294" s="7">
        <f t="shared" si="1"/>
        <v>2022</v>
      </c>
      <c r="C294" s="7">
        <f t="shared" si="2"/>
        <v>10</v>
      </c>
      <c r="D294" s="7">
        <f t="shared" si="3"/>
        <v>5</v>
      </c>
      <c r="E294" s="7">
        <f t="shared" si="4"/>
        <v>43</v>
      </c>
      <c r="F294" s="7">
        <f t="shared" si="5"/>
        <v>20</v>
      </c>
    </row>
    <row r="295" ht="14.25" customHeight="1">
      <c r="A295" s="10">
        <v>44855.0</v>
      </c>
      <c r="B295" s="7">
        <f t="shared" si="1"/>
        <v>2022</v>
      </c>
      <c r="C295" s="7">
        <f t="shared" si="2"/>
        <v>10</v>
      </c>
      <c r="D295" s="7">
        <f t="shared" si="3"/>
        <v>6</v>
      </c>
      <c r="E295" s="7">
        <f t="shared" si="4"/>
        <v>43</v>
      </c>
      <c r="F295" s="7">
        <f t="shared" si="5"/>
        <v>21</v>
      </c>
    </row>
    <row r="296" ht="14.25" customHeight="1">
      <c r="A296" s="10">
        <v>44856.0</v>
      </c>
      <c r="B296" s="7">
        <f t="shared" si="1"/>
        <v>2022</v>
      </c>
      <c r="C296" s="7">
        <f t="shared" si="2"/>
        <v>10</v>
      </c>
      <c r="D296" s="7">
        <f t="shared" si="3"/>
        <v>7</v>
      </c>
      <c r="E296" s="7">
        <f t="shared" si="4"/>
        <v>43</v>
      </c>
      <c r="F296" s="7">
        <f t="shared" si="5"/>
        <v>22</v>
      </c>
    </row>
    <row r="297" ht="14.25" customHeight="1">
      <c r="A297" s="10">
        <v>44857.0</v>
      </c>
      <c r="B297" s="7">
        <f t="shared" si="1"/>
        <v>2022</v>
      </c>
      <c r="C297" s="7">
        <f t="shared" si="2"/>
        <v>10</v>
      </c>
      <c r="D297" s="7">
        <f t="shared" si="3"/>
        <v>1</v>
      </c>
      <c r="E297" s="7">
        <f t="shared" si="4"/>
        <v>44</v>
      </c>
      <c r="F297" s="7">
        <f t="shared" si="5"/>
        <v>23</v>
      </c>
    </row>
    <row r="298" ht="14.25" customHeight="1">
      <c r="A298" s="10">
        <v>44858.0</v>
      </c>
      <c r="B298" s="7">
        <f t="shared" si="1"/>
        <v>2022</v>
      </c>
      <c r="C298" s="7">
        <f t="shared" si="2"/>
        <v>10</v>
      </c>
      <c r="D298" s="7">
        <f t="shared" si="3"/>
        <v>2</v>
      </c>
      <c r="E298" s="7">
        <f t="shared" si="4"/>
        <v>44</v>
      </c>
      <c r="F298" s="7">
        <f t="shared" si="5"/>
        <v>24</v>
      </c>
    </row>
    <row r="299" ht="14.25" customHeight="1">
      <c r="A299" s="10">
        <v>44859.0</v>
      </c>
      <c r="B299" s="7">
        <f t="shared" si="1"/>
        <v>2022</v>
      </c>
      <c r="C299" s="7">
        <f t="shared" si="2"/>
        <v>10</v>
      </c>
      <c r="D299" s="7">
        <f t="shared" si="3"/>
        <v>3</v>
      </c>
      <c r="E299" s="7">
        <f t="shared" si="4"/>
        <v>44</v>
      </c>
      <c r="F299" s="7">
        <f t="shared" si="5"/>
        <v>25</v>
      </c>
    </row>
    <row r="300" ht="14.25" customHeight="1">
      <c r="A300" s="10">
        <v>44860.0</v>
      </c>
      <c r="B300" s="7">
        <f t="shared" si="1"/>
        <v>2022</v>
      </c>
      <c r="C300" s="7">
        <f t="shared" si="2"/>
        <v>10</v>
      </c>
      <c r="D300" s="7">
        <f t="shared" si="3"/>
        <v>4</v>
      </c>
      <c r="E300" s="7">
        <f t="shared" si="4"/>
        <v>44</v>
      </c>
      <c r="F300" s="7">
        <f t="shared" si="5"/>
        <v>26</v>
      </c>
    </row>
    <row r="301" ht="14.25" customHeight="1">
      <c r="A301" s="10">
        <v>44861.0</v>
      </c>
      <c r="B301" s="7">
        <f t="shared" si="1"/>
        <v>2022</v>
      </c>
      <c r="C301" s="7">
        <f t="shared" si="2"/>
        <v>10</v>
      </c>
      <c r="D301" s="7">
        <f t="shared" si="3"/>
        <v>5</v>
      </c>
      <c r="E301" s="7">
        <f t="shared" si="4"/>
        <v>44</v>
      </c>
      <c r="F301" s="7">
        <f t="shared" si="5"/>
        <v>27</v>
      </c>
    </row>
    <row r="302" ht="14.25" customHeight="1">
      <c r="A302" s="10">
        <v>44862.0</v>
      </c>
      <c r="B302" s="7">
        <f t="shared" si="1"/>
        <v>2022</v>
      </c>
      <c r="C302" s="7">
        <f t="shared" si="2"/>
        <v>10</v>
      </c>
      <c r="D302" s="7">
        <f t="shared" si="3"/>
        <v>6</v>
      </c>
      <c r="E302" s="7">
        <f t="shared" si="4"/>
        <v>44</v>
      </c>
      <c r="F302" s="7">
        <f t="shared" si="5"/>
        <v>28</v>
      </c>
    </row>
    <row r="303" ht="14.25" customHeight="1">
      <c r="A303" s="10">
        <v>44863.0</v>
      </c>
      <c r="B303" s="7">
        <f t="shared" si="1"/>
        <v>2022</v>
      </c>
      <c r="C303" s="7">
        <f t="shared" si="2"/>
        <v>10</v>
      </c>
      <c r="D303" s="7">
        <f t="shared" si="3"/>
        <v>7</v>
      </c>
      <c r="E303" s="7">
        <f t="shared" si="4"/>
        <v>44</v>
      </c>
      <c r="F303" s="7">
        <f t="shared" si="5"/>
        <v>29</v>
      </c>
    </row>
    <row r="304" ht="14.25" customHeight="1">
      <c r="A304" s="10">
        <v>44864.0</v>
      </c>
      <c r="B304" s="7">
        <f t="shared" si="1"/>
        <v>2022</v>
      </c>
      <c r="C304" s="7">
        <f t="shared" si="2"/>
        <v>10</v>
      </c>
      <c r="D304" s="7">
        <f t="shared" si="3"/>
        <v>1</v>
      </c>
      <c r="E304" s="7">
        <f t="shared" si="4"/>
        <v>45</v>
      </c>
      <c r="F304" s="7">
        <f t="shared" si="5"/>
        <v>30</v>
      </c>
    </row>
    <row r="305" ht="14.25" customHeight="1">
      <c r="A305" s="10">
        <v>44865.0</v>
      </c>
      <c r="B305" s="7">
        <f t="shared" si="1"/>
        <v>2022</v>
      </c>
      <c r="C305" s="7">
        <f t="shared" si="2"/>
        <v>10</v>
      </c>
      <c r="D305" s="7">
        <f t="shared" si="3"/>
        <v>2</v>
      </c>
      <c r="E305" s="7">
        <f t="shared" si="4"/>
        <v>45</v>
      </c>
      <c r="F305" s="7">
        <f t="shared" si="5"/>
        <v>31</v>
      </c>
    </row>
    <row r="306" ht="14.25" customHeight="1">
      <c r="A306" s="10">
        <v>44866.0</v>
      </c>
      <c r="B306" s="7">
        <f t="shared" si="1"/>
        <v>2022</v>
      </c>
      <c r="C306" s="7">
        <f t="shared" si="2"/>
        <v>11</v>
      </c>
      <c r="D306" s="7">
        <f t="shared" si="3"/>
        <v>3</v>
      </c>
      <c r="E306" s="7">
        <f t="shared" si="4"/>
        <v>45</v>
      </c>
      <c r="F306" s="7">
        <f t="shared" si="5"/>
        <v>1</v>
      </c>
    </row>
    <row r="307" ht="14.25" customHeight="1">
      <c r="A307" s="10">
        <v>44867.0</v>
      </c>
      <c r="B307" s="7">
        <f t="shared" si="1"/>
        <v>2022</v>
      </c>
      <c r="C307" s="7">
        <f t="shared" si="2"/>
        <v>11</v>
      </c>
      <c r="D307" s="7">
        <f t="shared" si="3"/>
        <v>4</v>
      </c>
      <c r="E307" s="7">
        <f t="shared" si="4"/>
        <v>45</v>
      </c>
      <c r="F307" s="7">
        <f t="shared" si="5"/>
        <v>2</v>
      </c>
    </row>
    <row r="308" ht="14.25" customHeight="1">
      <c r="A308" s="10">
        <v>44868.0</v>
      </c>
      <c r="B308" s="7">
        <f t="shared" si="1"/>
        <v>2022</v>
      </c>
      <c r="C308" s="7">
        <f t="shared" si="2"/>
        <v>11</v>
      </c>
      <c r="D308" s="7">
        <f t="shared" si="3"/>
        <v>5</v>
      </c>
      <c r="E308" s="7">
        <f t="shared" si="4"/>
        <v>45</v>
      </c>
      <c r="F308" s="7">
        <f t="shared" si="5"/>
        <v>3</v>
      </c>
    </row>
    <row r="309" ht="14.25" customHeight="1">
      <c r="A309" s="10">
        <v>44869.0</v>
      </c>
      <c r="B309" s="7">
        <f t="shared" si="1"/>
        <v>2022</v>
      </c>
      <c r="C309" s="7">
        <f t="shared" si="2"/>
        <v>11</v>
      </c>
      <c r="D309" s="7">
        <f t="shared" si="3"/>
        <v>6</v>
      </c>
      <c r="E309" s="7">
        <f t="shared" si="4"/>
        <v>45</v>
      </c>
      <c r="F309" s="7">
        <f t="shared" si="5"/>
        <v>4</v>
      </c>
    </row>
    <row r="310" ht="14.25" customHeight="1">
      <c r="A310" s="10">
        <v>44870.0</v>
      </c>
      <c r="B310" s="7">
        <f t="shared" si="1"/>
        <v>2022</v>
      </c>
      <c r="C310" s="7">
        <f t="shared" si="2"/>
        <v>11</v>
      </c>
      <c r="D310" s="7">
        <f t="shared" si="3"/>
        <v>7</v>
      </c>
      <c r="E310" s="7">
        <f t="shared" si="4"/>
        <v>45</v>
      </c>
      <c r="F310" s="7">
        <f t="shared" si="5"/>
        <v>5</v>
      </c>
    </row>
    <row r="311" ht="14.25" customHeight="1">
      <c r="A311" s="10">
        <v>44871.0</v>
      </c>
      <c r="B311" s="7">
        <f t="shared" si="1"/>
        <v>2022</v>
      </c>
      <c r="C311" s="7">
        <f t="shared" si="2"/>
        <v>11</v>
      </c>
      <c r="D311" s="7">
        <f t="shared" si="3"/>
        <v>1</v>
      </c>
      <c r="E311" s="7">
        <f t="shared" si="4"/>
        <v>46</v>
      </c>
      <c r="F311" s="7">
        <f t="shared" si="5"/>
        <v>6</v>
      </c>
    </row>
    <row r="312" ht="14.25" customHeight="1">
      <c r="A312" s="10">
        <v>44872.0</v>
      </c>
      <c r="B312" s="7">
        <f t="shared" si="1"/>
        <v>2022</v>
      </c>
      <c r="C312" s="7">
        <f t="shared" si="2"/>
        <v>11</v>
      </c>
      <c r="D312" s="7">
        <f t="shared" si="3"/>
        <v>2</v>
      </c>
      <c r="E312" s="7">
        <f t="shared" si="4"/>
        <v>46</v>
      </c>
      <c r="F312" s="7">
        <f t="shared" si="5"/>
        <v>7</v>
      </c>
    </row>
    <row r="313" ht="14.25" customHeight="1">
      <c r="A313" s="10">
        <v>44873.0</v>
      </c>
      <c r="B313" s="7">
        <f t="shared" si="1"/>
        <v>2022</v>
      </c>
      <c r="C313" s="7">
        <f t="shared" si="2"/>
        <v>11</v>
      </c>
      <c r="D313" s="7">
        <f t="shared" si="3"/>
        <v>3</v>
      </c>
      <c r="E313" s="7">
        <f t="shared" si="4"/>
        <v>46</v>
      </c>
      <c r="F313" s="7">
        <f t="shared" si="5"/>
        <v>8</v>
      </c>
    </row>
    <row r="314" ht="14.25" customHeight="1">
      <c r="A314" s="10">
        <v>44874.0</v>
      </c>
      <c r="B314" s="7">
        <f t="shared" si="1"/>
        <v>2022</v>
      </c>
      <c r="C314" s="7">
        <f t="shared" si="2"/>
        <v>11</v>
      </c>
      <c r="D314" s="7">
        <f t="shared" si="3"/>
        <v>4</v>
      </c>
      <c r="E314" s="7">
        <f t="shared" si="4"/>
        <v>46</v>
      </c>
      <c r="F314" s="7">
        <f t="shared" si="5"/>
        <v>9</v>
      </c>
    </row>
    <row r="315" ht="14.25" customHeight="1">
      <c r="A315" s="10">
        <v>44875.0</v>
      </c>
      <c r="B315" s="7">
        <f t="shared" si="1"/>
        <v>2022</v>
      </c>
      <c r="C315" s="7">
        <f t="shared" si="2"/>
        <v>11</v>
      </c>
      <c r="D315" s="7">
        <f t="shared" si="3"/>
        <v>5</v>
      </c>
      <c r="E315" s="7">
        <f t="shared" si="4"/>
        <v>46</v>
      </c>
      <c r="F315" s="7">
        <f t="shared" si="5"/>
        <v>10</v>
      </c>
    </row>
    <row r="316" ht="14.25" customHeight="1">
      <c r="A316" s="10">
        <v>44876.0</v>
      </c>
      <c r="B316" s="7">
        <f t="shared" si="1"/>
        <v>2022</v>
      </c>
      <c r="C316" s="7">
        <f t="shared" si="2"/>
        <v>11</v>
      </c>
      <c r="D316" s="7">
        <f t="shared" si="3"/>
        <v>6</v>
      </c>
      <c r="E316" s="7">
        <f t="shared" si="4"/>
        <v>46</v>
      </c>
      <c r="F316" s="7">
        <f t="shared" si="5"/>
        <v>11</v>
      </c>
    </row>
    <row r="317" ht="14.25" customHeight="1">
      <c r="A317" s="10">
        <v>44877.0</v>
      </c>
      <c r="B317" s="7">
        <f t="shared" si="1"/>
        <v>2022</v>
      </c>
      <c r="C317" s="7">
        <f t="shared" si="2"/>
        <v>11</v>
      </c>
      <c r="D317" s="7">
        <f t="shared" si="3"/>
        <v>7</v>
      </c>
      <c r="E317" s="7">
        <f t="shared" si="4"/>
        <v>46</v>
      </c>
      <c r="F317" s="7">
        <f t="shared" si="5"/>
        <v>12</v>
      </c>
    </row>
    <row r="318" ht="14.25" customHeight="1">
      <c r="A318" s="10">
        <v>44878.0</v>
      </c>
      <c r="B318" s="7">
        <f t="shared" si="1"/>
        <v>2022</v>
      </c>
      <c r="C318" s="7">
        <f t="shared" si="2"/>
        <v>11</v>
      </c>
      <c r="D318" s="7">
        <f t="shared" si="3"/>
        <v>1</v>
      </c>
      <c r="E318" s="7">
        <f t="shared" si="4"/>
        <v>47</v>
      </c>
      <c r="F318" s="7">
        <f t="shared" si="5"/>
        <v>13</v>
      </c>
    </row>
    <row r="319" ht="14.25" customHeight="1">
      <c r="A319" s="10">
        <v>44879.0</v>
      </c>
      <c r="B319" s="7">
        <f t="shared" si="1"/>
        <v>2022</v>
      </c>
      <c r="C319" s="7">
        <f t="shared" si="2"/>
        <v>11</v>
      </c>
      <c r="D319" s="7">
        <f t="shared" si="3"/>
        <v>2</v>
      </c>
      <c r="E319" s="7">
        <f t="shared" si="4"/>
        <v>47</v>
      </c>
      <c r="F319" s="7">
        <f t="shared" si="5"/>
        <v>14</v>
      </c>
    </row>
    <row r="320" ht="14.25" customHeight="1">
      <c r="A320" s="10">
        <v>44880.0</v>
      </c>
      <c r="B320" s="7">
        <f t="shared" si="1"/>
        <v>2022</v>
      </c>
      <c r="C320" s="7">
        <f t="shared" si="2"/>
        <v>11</v>
      </c>
      <c r="D320" s="7">
        <f t="shared" si="3"/>
        <v>3</v>
      </c>
      <c r="E320" s="7">
        <f t="shared" si="4"/>
        <v>47</v>
      </c>
      <c r="F320" s="7">
        <f t="shared" si="5"/>
        <v>15</v>
      </c>
    </row>
    <row r="321" ht="14.25" customHeight="1">
      <c r="A321" s="10">
        <v>44881.0</v>
      </c>
      <c r="B321" s="7">
        <f t="shared" si="1"/>
        <v>2022</v>
      </c>
      <c r="C321" s="7">
        <f t="shared" si="2"/>
        <v>11</v>
      </c>
      <c r="D321" s="7">
        <f t="shared" si="3"/>
        <v>4</v>
      </c>
      <c r="E321" s="7">
        <f t="shared" si="4"/>
        <v>47</v>
      </c>
      <c r="F321" s="7">
        <f t="shared" si="5"/>
        <v>16</v>
      </c>
    </row>
    <row r="322" ht="14.25" customHeight="1">
      <c r="A322" s="10">
        <v>44882.0</v>
      </c>
      <c r="B322" s="7">
        <f t="shared" si="1"/>
        <v>2022</v>
      </c>
      <c r="C322" s="7">
        <f t="shared" si="2"/>
        <v>11</v>
      </c>
      <c r="D322" s="7">
        <f t="shared" si="3"/>
        <v>5</v>
      </c>
      <c r="E322" s="7">
        <f t="shared" si="4"/>
        <v>47</v>
      </c>
      <c r="F322" s="7">
        <f t="shared" si="5"/>
        <v>17</v>
      </c>
    </row>
    <row r="323" ht="14.25" customHeight="1">
      <c r="A323" s="10">
        <v>44883.0</v>
      </c>
      <c r="B323" s="7">
        <f t="shared" si="1"/>
        <v>2022</v>
      </c>
      <c r="C323" s="7">
        <f t="shared" si="2"/>
        <v>11</v>
      </c>
      <c r="D323" s="7">
        <f t="shared" si="3"/>
        <v>6</v>
      </c>
      <c r="E323" s="7">
        <f t="shared" si="4"/>
        <v>47</v>
      </c>
      <c r="F323" s="7">
        <f t="shared" si="5"/>
        <v>18</v>
      </c>
    </row>
    <row r="324" ht="14.25" customHeight="1">
      <c r="A324" s="10">
        <v>44884.0</v>
      </c>
      <c r="B324" s="7">
        <f t="shared" si="1"/>
        <v>2022</v>
      </c>
      <c r="C324" s="7">
        <f t="shared" si="2"/>
        <v>11</v>
      </c>
      <c r="D324" s="7">
        <f t="shared" si="3"/>
        <v>7</v>
      </c>
      <c r="E324" s="7">
        <f t="shared" si="4"/>
        <v>47</v>
      </c>
      <c r="F324" s="7">
        <f t="shared" si="5"/>
        <v>19</v>
      </c>
    </row>
    <row r="325" ht="14.25" customHeight="1">
      <c r="A325" s="10">
        <v>44885.0</v>
      </c>
      <c r="B325" s="7">
        <f t="shared" si="1"/>
        <v>2022</v>
      </c>
      <c r="C325" s="7">
        <f t="shared" si="2"/>
        <v>11</v>
      </c>
      <c r="D325" s="7">
        <f t="shared" si="3"/>
        <v>1</v>
      </c>
      <c r="E325" s="7">
        <f t="shared" si="4"/>
        <v>48</v>
      </c>
      <c r="F325" s="7">
        <f t="shared" si="5"/>
        <v>20</v>
      </c>
    </row>
    <row r="326" ht="14.25" customHeight="1">
      <c r="A326" s="10">
        <v>44886.0</v>
      </c>
      <c r="B326" s="7">
        <f t="shared" si="1"/>
        <v>2022</v>
      </c>
      <c r="C326" s="7">
        <f t="shared" si="2"/>
        <v>11</v>
      </c>
      <c r="D326" s="7">
        <f t="shared" si="3"/>
        <v>2</v>
      </c>
      <c r="E326" s="7">
        <f t="shared" si="4"/>
        <v>48</v>
      </c>
      <c r="F326" s="7">
        <f t="shared" si="5"/>
        <v>21</v>
      </c>
    </row>
    <row r="327" ht="14.25" customHeight="1">
      <c r="A327" s="10">
        <v>44887.0</v>
      </c>
      <c r="B327" s="7">
        <f t="shared" si="1"/>
        <v>2022</v>
      </c>
      <c r="C327" s="7">
        <f t="shared" si="2"/>
        <v>11</v>
      </c>
      <c r="D327" s="7">
        <f t="shared" si="3"/>
        <v>3</v>
      </c>
      <c r="E327" s="7">
        <f t="shared" si="4"/>
        <v>48</v>
      </c>
      <c r="F327" s="7">
        <f t="shared" si="5"/>
        <v>22</v>
      </c>
    </row>
    <row r="328" ht="14.25" customHeight="1">
      <c r="A328" s="10">
        <v>44888.0</v>
      </c>
      <c r="B328" s="7">
        <f t="shared" si="1"/>
        <v>2022</v>
      </c>
      <c r="C328" s="7">
        <f t="shared" si="2"/>
        <v>11</v>
      </c>
      <c r="D328" s="7">
        <f t="shared" si="3"/>
        <v>4</v>
      </c>
      <c r="E328" s="7">
        <f t="shared" si="4"/>
        <v>48</v>
      </c>
      <c r="F328" s="7">
        <f t="shared" si="5"/>
        <v>23</v>
      </c>
    </row>
    <row r="329" ht="14.25" customHeight="1">
      <c r="A329" s="10">
        <v>44889.0</v>
      </c>
      <c r="B329" s="7">
        <f t="shared" si="1"/>
        <v>2022</v>
      </c>
      <c r="C329" s="7">
        <f t="shared" si="2"/>
        <v>11</v>
      </c>
      <c r="D329" s="7">
        <f t="shared" si="3"/>
        <v>5</v>
      </c>
      <c r="E329" s="7">
        <f t="shared" si="4"/>
        <v>48</v>
      </c>
      <c r="F329" s="7">
        <f t="shared" si="5"/>
        <v>24</v>
      </c>
    </row>
    <row r="330" ht="14.25" customHeight="1">
      <c r="A330" s="10">
        <v>44890.0</v>
      </c>
      <c r="B330" s="7">
        <f t="shared" si="1"/>
        <v>2022</v>
      </c>
      <c r="C330" s="7">
        <f t="shared" si="2"/>
        <v>11</v>
      </c>
      <c r="D330" s="7">
        <f t="shared" si="3"/>
        <v>6</v>
      </c>
      <c r="E330" s="7">
        <f t="shared" si="4"/>
        <v>48</v>
      </c>
      <c r="F330" s="7">
        <f t="shared" si="5"/>
        <v>25</v>
      </c>
    </row>
    <row r="331" ht="14.25" customHeight="1">
      <c r="A331" s="10">
        <v>44891.0</v>
      </c>
      <c r="B331" s="7">
        <f t="shared" si="1"/>
        <v>2022</v>
      </c>
      <c r="C331" s="7">
        <f t="shared" si="2"/>
        <v>11</v>
      </c>
      <c r="D331" s="7">
        <f t="shared" si="3"/>
        <v>7</v>
      </c>
      <c r="E331" s="7">
        <f t="shared" si="4"/>
        <v>48</v>
      </c>
      <c r="F331" s="7">
        <f t="shared" si="5"/>
        <v>26</v>
      </c>
    </row>
    <row r="332" ht="14.25" customHeight="1">
      <c r="A332" s="10">
        <v>44892.0</v>
      </c>
      <c r="B332" s="7">
        <f t="shared" si="1"/>
        <v>2022</v>
      </c>
      <c r="C332" s="7">
        <f t="shared" si="2"/>
        <v>11</v>
      </c>
      <c r="D332" s="7">
        <f t="shared" si="3"/>
        <v>1</v>
      </c>
      <c r="E332" s="7">
        <f t="shared" si="4"/>
        <v>49</v>
      </c>
      <c r="F332" s="7">
        <f t="shared" si="5"/>
        <v>27</v>
      </c>
    </row>
    <row r="333" ht="14.25" customHeight="1">
      <c r="A333" s="10">
        <v>44893.0</v>
      </c>
      <c r="B333" s="7">
        <f t="shared" si="1"/>
        <v>2022</v>
      </c>
      <c r="C333" s="7">
        <f t="shared" si="2"/>
        <v>11</v>
      </c>
      <c r="D333" s="7">
        <f t="shared" si="3"/>
        <v>2</v>
      </c>
      <c r="E333" s="7">
        <f t="shared" si="4"/>
        <v>49</v>
      </c>
      <c r="F333" s="7">
        <f t="shared" si="5"/>
        <v>28</v>
      </c>
    </row>
    <row r="334" ht="14.25" customHeight="1">
      <c r="A334" s="10">
        <v>44894.0</v>
      </c>
      <c r="B334" s="7">
        <f t="shared" si="1"/>
        <v>2022</v>
      </c>
      <c r="C334" s="7">
        <f t="shared" si="2"/>
        <v>11</v>
      </c>
      <c r="D334" s="7">
        <f t="shared" si="3"/>
        <v>3</v>
      </c>
      <c r="E334" s="7">
        <f t="shared" si="4"/>
        <v>49</v>
      </c>
      <c r="F334" s="7">
        <f t="shared" si="5"/>
        <v>29</v>
      </c>
    </row>
    <row r="335" ht="14.25" customHeight="1">
      <c r="A335" s="10">
        <v>44895.0</v>
      </c>
      <c r="B335" s="7">
        <f t="shared" si="1"/>
        <v>2022</v>
      </c>
      <c r="C335" s="7">
        <f t="shared" si="2"/>
        <v>11</v>
      </c>
      <c r="D335" s="7">
        <f t="shared" si="3"/>
        <v>4</v>
      </c>
      <c r="E335" s="7">
        <f t="shared" si="4"/>
        <v>49</v>
      </c>
      <c r="F335" s="7">
        <f t="shared" si="5"/>
        <v>30</v>
      </c>
    </row>
    <row r="336" ht="14.25" customHeight="1">
      <c r="A336" s="10">
        <v>44896.0</v>
      </c>
      <c r="B336" s="7">
        <f t="shared" si="1"/>
        <v>2022</v>
      </c>
      <c r="C336" s="7">
        <f t="shared" si="2"/>
        <v>12</v>
      </c>
      <c r="D336" s="7">
        <f t="shared" si="3"/>
        <v>5</v>
      </c>
      <c r="E336" s="7">
        <f t="shared" si="4"/>
        <v>49</v>
      </c>
      <c r="F336" s="7">
        <f t="shared" si="5"/>
        <v>1</v>
      </c>
    </row>
    <row r="337" ht="14.25" customHeight="1">
      <c r="A337" s="10">
        <v>44897.0</v>
      </c>
      <c r="B337" s="7">
        <f t="shared" si="1"/>
        <v>2022</v>
      </c>
      <c r="C337" s="7">
        <f t="shared" si="2"/>
        <v>12</v>
      </c>
      <c r="D337" s="7">
        <f t="shared" si="3"/>
        <v>6</v>
      </c>
      <c r="E337" s="7">
        <f t="shared" si="4"/>
        <v>49</v>
      </c>
      <c r="F337" s="7">
        <f t="shared" si="5"/>
        <v>2</v>
      </c>
    </row>
    <row r="338" ht="14.25" customHeight="1">
      <c r="A338" s="10">
        <v>44898.0</v>
      </c>
      <c r="B338" s="7">
        <f t="shared" si="1"/>
        <v>2022</v>
      </c>
      <c r="C338" s="7">
        <f t="shared" si="2"/>
        <v>12</v>
      </c>
      <c r="D338" s="7">
        <f t="shared" si="3"/>
        <v>7</v>
      </c>
      <c r="E338" s="7">
        <f t="shared" si="4"/>
        <v>49</v>
      </c>
      <c r="F338" s="7">
        <f t="shared" si="5"/>
        <v>3</v>
      </c>
    </row>
    <row r="339" ht="14.25" customHeight="1">
      <c r="A339" s="10">
        <v>44899.0</v>
      </c>
      <c r="B339" s="7">
        <f t="shared" si="1"/>
        <v>2022</v>
      </c>
      <c r="C339" s="7">
        <f t="shared" si="2"/>
        <v>12</v>
      </c>
      <c r="D339" s="7">
        <f t="shared" si="3"/>
        <v>1</v>
      </c>
      <c r="E339" s="7">
        <f t="shared" si="4"/>
        <v>50</v>
      </c>
      <c r="F339" s="7">
        <f t="shared" si="5"/>
        <v>4</v>
      </c>
    </row>
    <row r="340" ht="14.25" customHeight="1">
      <c r="A340" s="10">
        <v>44900.0</v>
      </c>
      <c r="B340" s="7">
        <f t="shared" si="1"/>
        <v>2022</v>
      </c>
      <c r="C340" s="7">
        <f t="shared" si="2"/>
        <v>12</v>
      </c>
      <c r="D340" s="7">
        <f t="shared" si="3"/>
        <v>2</v>
      </c>
      <c r="E340" s="7">
        <f t="shared" si="4"/>
        <v>50</v>
      </c>
      <c r="F340" s="7">
        <f t="shared" si="5"/>
        <v>5</v>
      </c>
    </row>
    <row r="341" ht="14.25" customHeight="1">
      <c r="A341" s="10">
        <v>44901.0</v>
      </c>
      <c r="B341" s="7">
        <f t="shared" si="1"/>
        <v>2022</v>
      </c>
      <c r="C341" s="7">
        <f t="shared" si="2"/>
        <v>12</v>
      </c>
      <c r="D341" s="7">
        <f t="shared" si="3"/>
        <v>3</v>
      </c>
      <c r="E341" s="7">
        <f t="shared" si="4"/>
        <v>50</v>
      </c>
      <c r="F341" s="7">
        <f t="shared" si="5"/>
        <v>6</v>
      </c>
    </row>
    <row r="342" ht="14.25" customHeight="1">
      <c r="A342" s="10">
        <v>44902.0</v>
      </c>
      <c r="B342" s="7">
        <f t="shared" si="1"/>
        <v>2022</v>
      </c>
      <c r="C342" s="7">
        <f t="shared" si="2"/>
        <v>12</v>
      </c>
      <c r="D342" s="7">
        <f t="shared" si="3"/>
        <v>4</v>
      </c>
      <c r="E342" s="7">
        <f t="shared" si="4"/>
        <v>50</v>
      </c>
      <c r="F342" s="7">
        <f t="shared" si="5"/>
        <v>7</v>
      </c>
    </row>
    <row r="343" ht="14.25" customHeight="1">
      <c r="A343" s="10">
        <v>44903.0</v>
      </c>
      <c r="B343" s="7">
        <f t="shared" si="1"/>
        <v>2022</v>
      </c>
      <c r="C343" s="7">
        <f t="shared" si="2"/>
        <v>12</v>
      </c>
      <c r="D343" s="7">
        <f t="shared" si="3"/>
        <v>5</v>
      </c>
      <c r="E343" s="7">
        <f t="shared" si="4"/>
        <v>50</v>
      </c>
      <c r="F343" s="7">
        <f t="shared" si="5"/>
        <v>8</v>
      </c>
    </row>
    <row r="344" ht="14.25" customHeight="1">
      <c r="A344" s="10">
        <v>44904.0</v>
      </c>
      <c r="B344" s="7">
        <f t="shared" si="1"/>
        <v>2022</v>
      </c>
      <c r="C344" s="7">
        <f t="shared" si="2"/>
        <v>12</v>
      </c>
      <c r="D344" s="7">
        <f t="shared" si="3"/>
        <v>6</v>
      </c>
      <c r="E344" s="7">
        <f t="shared" si="4"/>
        <v>50</v>
      </c>
      <c r="F344" s="7">
        <f t="shared" si="5"/>
        <v>9</v>
      </c>
    </row>
    <row r="345" ht="14.25" customHeight="1">
      <c r="A345" s="10">
        <v>44905.0</v>
      </c>
      <c r="B345" s="7">
        <f t="shared" si="1"/>
        <v>2022</v>
      </c>
      <c r="C345" s="7">
        <f t="shared" si="2"/>
        <v>12</v>
      </c>
      <c r="D345" s="7">
        <f t="shared" si="3"/>
        <v>7</v>
      </c>
      <c r="E345" s="7">
        <f t="shared" si="4"/>
        <v>50</v>
      </c>
      <c r="F345" s="7">
        <f t="shared" si="5"/>
        <v>10</v>
      </c>
    </row>
    <row r="346" ht="14.25" customHeight="1">
      <c r="A346" s="10">
        <v>44906.0</v>
      </c>
      <c r="B346" s="7">
        <f t="shared" si="1"/>
        <v>2022</v>
      </c>
      <c r="C346" s="7">
        <f t="shared" si="2"/>
        <v>12</v>
      </c>
      <c r="D346" s="7">
        <f t="shared" si="3"/>
        <v>1</v>
      </c>
      <c r="E346" s="7">
        <f t="shared" si="4"/>
        <v>51</v>
      </c>
      <c r="F346" s="7">
        <f t="shared" si="5"/>
        <v>11</v>
      </c>
    </row>
    <row r="347" ht="14.25" customHeight="1">
      <c r="A347" s="10">
        <v>44907.0</v>
      </c>
      <c r="B347" s="7">
        <f t="shared" si="1"/>
        <v>2022</v>
      </c>
      <c r="C347" s="7">
        <f t="shared" si="2"/>
        <v>12</v>
      </c>
      <c r="D347" s="7">
        <f t="shared" si="3"/>
        <v>2</v>
      </c>
      <c r="E347" s="7">
        <f t="shared" si="4"/>
        <v>51</v>
      </c>
      <c r="F347" s="7">
        <f t="shared" si="5"/>
        <v>12</v>
      </c>
    </row>
    <row r="348" ht="14.25" customHeight="1">
      <c r="A348" s="10">
        <v>44908.0</v>
      </c>
      <c r="B348" s="7">
        <f t="shared" si="1"/>
        <v>2022</v>
      </c>
      <c r="C348" s="7">
        <f t="shared" si="2"/>
        <v>12</v>
      </c>
      <c r="D348" s="7">
        <f t="shared" si="3"/>
        <v>3</v>
      </c>
      <c r="E348" s="7">
        <f t="shared" si="4"/>
        <v>51</v>
      </c>
      <c r="F348" s="7">
        <f t="shared" si="5"/>
        <v>13</v>
      </c>
    </row>
    <row r="349" ht="14.25" customHeight="1">
      <c r="A349" s="10">
        <v>44909.0</v>
      </c>
      <c r="B349" s="7">
        <f t="shared" si="1"/>
        <v>2022</v>
      </c>
      <c r="C349" s="7">
        <f t="shared" si="2"/>
        <v>12</v>
      </c>
      <c r="D349" s="7">
        <f t="shared" si="3"/>
        <v>4</v>
      </c>
      <c r="E349" s="7">
        <f t="shared" si="4"/>
        <v>51</v>
      </c>
      <c r="F349" s="7">
        <f t="shared" si="5"/>
        <v>14</v>
      </c>
    </row>
    <row r="350" ht="14.25" customHeight="1">
      <c r="A350" s="10">
        <v>44910.0</v>
      </c>
      <c r="B350" s="7">
        <f t="shared" si="1"/>
        <v>2022</v>
      </c>
      <c r="C350" s="7">
        <f t="shared" si="2"/>
        <v>12</v>
      </c>
      <c r="D350" s="7">
        <f t="shared" si="3"/>
        <v>5</v>
      </c>
      <c r="E350" s="7">
        <f t="shared" si="4"/>
        <v>51</v>
      </c>
      <c r="F350" s="7">
        <f t="shared" si="5"/>
        <v>15</v>
      </c>
    </row>
    <row r="351" ht="14.25" customHeight="1">
      <c r="A351" s="10">
        <v>44911.0</v>
      </c>
      <c r="B351" s="7">
        <f t="shared" si="1"/>
        <v>2022</v>
      </c>
      <c r="C351" s="7">
        <f t="shared" si="2"/>
        <v>12</v>
      </c>
      <c r="D351" s="7">
        <f t="shared" si="3"/>
        <v>6</v>
      </c>
      <c r="E351" s="7">
        <f t="shared" si="4"/>
        <v>51</v>
      </c>
      <c r="F351" s="7">
        <f t="shared" si="5"/>
        <v>16</v>
      </c>
    </row>
    <row r="352" ht="14.25" customHeight="1">
      <c r="A352" s="10">
        <v>44912.0</v>
      </c>
      <c r="B352" s="7">
        <f t="shared" si="1"/>
        <v>2022</v>
      </c>
      <c r="C352" s="7">
        <f t="shared" si="2"/>
        <v>12</v>
      </c>
      <c r="D352" s="7">
        <f t="shared" si="3"/>
        <v>7</v>
      </c>
      <c r="E352" s="7">
        <f t="shared" si="4"/>
        <v>51</v>
      </c>
      <c r="F352" s="7">
        <f t="shared" si="5"/>
        <v>17</v>
      </c>
    </row>
    <row r="353" ht="14.25" customHeight="1">
      <c r="A353" s="10">
        <v>44913.0</v>
      </c>
      <c r="B353" s="7">
        <f t="shared" si="1"/>
        <v>2022</v>
      </c>
      <c r="C353" s="7">
        <f t="shared" si="2"/>
        <v>12</v>
      </c>
      <c r="D353" s="7">
        <f t="shared" si="3"/>
        <v>1</v>
      </c>
      <c r="E353" s="7">
        <f t="shared" si="4"/>
        <v>52</v>
      </c>
      <c r="F353" s="7">
        <f t="shared" si="5"/>
        <v>18</v>
      </c>
    </row>
    <row r="354" ht="14.25" customHeight="1">
      <c r="A354" s="10">
        <v>44914.0</v>
      </c>
      <c r="B354" s="7">
        <f t="shared" si="1"/>
        <v>2022</v>
      </c>
      <c r="C354" s="7">
        <f t="shared" si="2"/>
        <v>12</v>
      </c>
      <c r="D354" s="7">
        <f t="shared" si="3"/>
        <v>2</v>
      </c>
      <c r="E354" s="7">
        <f t="shared" si="4"/>
        <v>52</v>
      </c>
      <c r="F354" s="7">
        <f t="shared" si="5"/>
        <v>19</v>
      </c>
    </row>
    <row r="355" ht="14.25" customHeight="1">
      <c r="A355" s="10">
        <v>44915.0</v>
      </c>
      <c r="B355" s="7">
        <f t="shared" si="1"/>
        <v>2022</v>
      </c>
      <c r="C355" s="7">
        <f t="shared" si="2"/>
        <v>12</v>
      </c>
      <c r="D355" s="7">
        <f t="shared" si="3"/>
        <v>3</v>
      </c>
      <c r="E355" s="7">
        <f t="shared" si="4"/>
        <v>52</v>
      </c>
      <c r="F355" s="7">
        <f t="shared" si="5"/>
        <v>20</v>
      </c>
    </row>
    <row r="356" ht="14.25" customHeight="1">
      <c r="A356" s="10">
        <v>44916.0</v>
      </c>
      <c r="B356" s="7">
        <f t="shared" si="1"/>
        <v>2022</v>
      </c>
      <c r="C356" s="7">
        <f t="shared" si="2"/>
        <v>12</v>
      </c>
      <c r="D356" s="7">
        <f t="shared" si="3"/>
        <v>4</v>
      </c>
      <c r="E356" s="7">
        <f t="shared" si="4"/>
        <v>52</v>
      </c>
      <c r="F356" s="7">
        <f t="shared" si="5"/>
        <v>21</v>
      </c>
    </row>
    <row r="357" ht="14.25" customHeight="1">
      <c r="A357" s="10">
        <v>44917.0</v>
      </c>
      <c r="B357" s="7">
        <f t="shared" si="1"/>
        <v>2022</v>
      </c>
      <c r="C357" s="7">
        <f t="shared" si="2"/>
        <v>12</v>
      </c>
      <c r="D357" s="7">
        <f t="shared" si="3"/>
        <v>5</v>
      </c>
      <c r="E357" s="7">
        <f t="shared" si="4"/>
        <v>52</v>
      </c>
      <c r="F357" s="7">
        <f t="shared" si="5"/>
        <v>22</v>
      </c>
    </row>
    <row r="358" ht="14.25" customHeight="1">
      <c r="A358" s="10">
        <v>44918.0</v>
      </c>
      <c r="B358" s="7">
        <f t="shared" si="1"/>
        <v>2022</v>
      </c>
      <c r="C358" s="7">
        <f t="shared" si="2"/>
        <v>12</v>
      </c>
      <c r="D358" s="7">
        <f t="shared" si="3"/>
        <v>6</v>
      </c>
      <c r="E358" s="7">
        <f t="shared" si="4"/>
        <v>52</v>
      </c>
      <c r="F358" s="7">
        <f t="shared" si="5"/>
        <v>23</v>
      </c>
    </row>
    <row r="359" ht="14.25" customHeight="1">
      <c r="A359" s="10">
        <v>44919.0</v>
      </c>
      <c r="B359" s="7">
        <f t="shared" si="1"/>
        <v>2022</v>
      </c>
      <c r="C359" s="7">
        <f t="shared" si="2"/>
        <v>12</v>
      </c>
      <c r="D359" s="7">
        <f t="shared" si="3"/>
        <v>7</v>
      </c>
      <c r="E359" s="7">
        <f t="shared" si="4"/>
        <v>52</v>
      </c>
      <c r="F359" s="7">
        <f t="shared" si="5"/>
        <v>24</v>
      </c>
    </row>
    <row r="360" ht="14.25" customHeight="1">
      <c r="A360" s="10">
        <v>44920.0</v>
      </c>
      <c r="B360" s="7">
        <f t="shared" si="1"/>
        <v>2022</v>
      </c>
      <c r="C360" s="7">
        <f t="shared" si="2"/>
        <v>12</v>
      </c>
      <c r="D360" s="7">
        <f t="shared" si="3"/>
        <v>1</v>
      </c>
      <c r="E360" s="7">
        <f t="shared" si="4"/>
        <v>53</v>
      </c>
      <c r="F360" s="7">
        <f t="shared" si="5"/>
        <v>25</v>
      </c>
    </row>
    <row r="361" ht="14.25" customHeight="1">
      <c r="A361" s="10">
        <v>44921.0</v>
      </c>
      <c r="B361" s="7">
        <f t="shared" si="1"/>
        <v>2022</v>
      </c>
      <c r="C361" s="7">
        <f t="shared" si="2"/>
        <v>12</v>
      </c>
      <c r="D361" s="7">
        <f t="shared" si="3"/>
        <v>2</v>
      </c>
      <c r="E361" s="7">
        <f t="shared" si="4"/>
        <v>53</v>
      </c>
      <c r="F361" s="7">
        <f t="shared" si="5"/>
        <v>26</v>
      </c>
    </row>
    <row r="362" ht="14.25" customHeight="1">
      <c r="A362" s="10">
        <v>44922.0</v>
      </c>
      <c r="B362" s="7">
        <f t="shared" si="1"/>
        <v>2022</v>
      </c>
      <c r="C362" s="7">
        <f t="shared" si="2"/>
        <v>12</v>
      </c>
      <c r="D362" s="7">
        <f t="shared" si="3"/>
        <v>3</v>
      </c>
      <c r="E362" s="7">
        <f t="shared" si="4"/>
        <v>53</v>
      </c>
      <c r="F362" s="7">
        <f t="shared" si="5"/>
        <v>27</v>
      </c>
    </row>
    <row r="363" ht="14.25" customHeight="1">
      <c r="A363" s="10">
        <v>44923.0</v>
      </c>
      <c r="B363" s="7">
        <f t="shared" si="1"/>
        <v>2022</v>
      </c>
      <c r="C363" s="7">
        <f t="shared" si="2"/>
        <v>12</v>
      </c>
      <c r="D363" s="7">
        <f t="shared" si="3"/>
        <v>4</v>
      </c>
      <c r="E363" s="7">
        <f t="shared" si="4"/>
        <v>53</v>
      </c>
      <c r="F363" s="7">
        <f t="shared" si="5"/>
        <v>28</v>
      </c>
    </row>
    <row r="364" ht="14.25" customHeight="1">
      <c r="A364" s="10">
        <v>44924.0</v>
      </c>
      <c r="B364" s="7">
        <f t="shared" si="1"/>
        <v>2022</v>
      </c>
      <c r="C364" s="7">
        <f t="shared" si="2"/>
        <v>12</v>
      </c>
      <c r="D364" s="7">
        <f t="shared" si="3"/>
        <v>5</v>
      </c>
      <c r="E364" s="7">
        <f t="shared" si="4"/>
        <v>53</v>
      </c>
      <c r="F364" s="7">
        <f t="shared" si="5"/>
        <v>29</v>
      </c>
    </row>
    <row r="365" ht="14.25" customHeight="1">
      <c r="A365" s="10">
        <v>44925.0</v>
      </c>
      <c r="B365" s="7">
        <f t="shared" si="1"/>
        <v>2022</v>
      </c>
      <c r="C365" s="7">
        <f t="shared" si="2"/>
        <v>12</v>
      </c>
      <c r="D365" s="7">
        <f t="shared" si="3"/>
        <v>6</v>
      </c>
      <c r="E365" s="7">
        <f t="shared" si="4"/>
        <v>53</v>
      </c>
      <c r="F365" s="7">
        <f t="shared" si="5"/>
        <v>30</v>
      </c>
    </row>
    <row r="366" ht="14.25" customHeight="1">
      <c r="A366" s="10">
        <v>44926.0</v>
      </c>
      <c r="B366" s="7">
        <f t="shared" si="1"/>
        <v>2022</v>
      </c>
      <c r="C366" s="7">
        <f t="shared" si="2"/>
        <v>12</v>
      </c>
      <c r="D366" s="7">
        <f t="shared" si="3"/>
        <v>7</v>
      </c>
      <c r="E366" s="7">
        <f t="shared" si="4"/>
        <v>53</v>
      </c>
      <c r="F366" s="7">
        <f t="shared" si="5"/>
        <v>31</v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7" max="8" width="14.88"/>
    <col customWidth="1" min="9" max="12" width="16.5"/>
    <col customWidth="1" min="13" max="13" width="15.5"/>
    <col customWidth="1" min="14" max="14" width="19.25"/>
  </cols>
  <sheetData>
    <row r="1">
      <c r="A1" s="1" t="s">
        <v>0</v>
      </c>
      <c r="B1" s="1" t="s">
        <v>1</v>
      </c>
      <c r="C1" s="4" t="s">
        <v>166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2" t="s">
        <v>8</v>
      </c>
      <c r="K1" s="1" t="s">
        <v>9</v>
      </c>
      <c r="L1" s="4" t="s">
        <v>10</v>
      </c>
      <c r="M1" s="1" t="s">
        <v>11</v>
      </c>
      <c r="N1" s="4" t="s">
        <v>181</v>
      </c>
    </row>
    <row r="2">
      <c r="A2" s="6" t="s">
        <v>5010</v>
      </c>
      <c r="B2" s="6" t="s">
        <v>186</v>
      </c>
      <c r="C2" s="5">
        <f t="shared" ref="C2:C682" si="1">VALUE(B2)</f>
        <v>1</v>
      </c>
      <c r="D2" s="1" t="s">
        <v>12</v>
      </c>
      <c r="E2" s="1" t="s">
        <v>13</v>
      </c>
      <c r="F2" s="1" t="s">
        <v>14</v>
      </c>
      <c r="G2" s="1" t="s">
        <v>3687</v>
      </c>
      <c r="H2" s="5">
        <f t="shared" ref="H2:H682" si="2">VALUE(SUBSTITUTE(G2,".", ","))</f>
        <v>15.2249</v>
      </c>
      <c r="I2" s="1" t="s">
        <v>3688</v>
      </c>
      <c r="J2" s="1">
        <f t="shared" ref="J2:J682" si="3">VALUE(SUBSTITUTE(SUBSTITUTE(I2,"+",""),".",","))</f>
        <v>899.265493</v>
      </c>
      <c r="K2" s="6" t="s">
        <v>5022</v>
      </c>
      <c r="L2" s="5">
        <f t="shared" ref="L2:L682" si="4">VALUE(SUBSTITUTE(K2,".", ","))</f>
        <v>3.1972</v>
      </c>
      <c r="M2" s="6" t="s">
        <v>4577</v>
      </c>
      <c r="N2" s="5">
        <f t="shared" ref="N2:N682" si="5">VALUE(M2)</f>
        <v>536</v>
      </c>
    </row>
    <row r="3">
      <c r="A3" s="6" t="s">
        <v>5010</v>
      </c>
      <c r="B3" s="6" t="s">
        <v>186</v>
      </c>
      <c r="C3" s="5">
        <f t="shared" si="1"/>
        <v>1</v>
      </c>
      <c r="D3" s="1" t="s">
        <v>12</v>
      </c>
      <c r="E3" s="1" t="s">
        <v>13</v>
      </c>
      <c r="F3" s="1" t="s">
        <v>17</v>
      </c>
      <c r="G3" s="1" t="s">
        <v>3690</v>
      </c>
      <c r="H3" s="5">
        <f t="shared" si="2"/>
        <v>58.2443</v>
      </c>
      <c r="I3" s="1" t="s">
        <v>3691</v>
      </c>
      <c r="J3" s="1">
        <f t="shared" si="3"/>
        <v>5622.580442</v>
      </c>
      <c r="K3" s="1" t="s">
        <v>3692</v>
      </c>
      <c r="L3" s="5">
        <f t="shared" si="4"/>
        <v>20.3855</v>
      </c>
      <c r="M3" s="6" t="s">
        <v>5032</v>
      </c>
      <c r="N3" s="5">
        <f t="shared" si="5"/>
        <v>758</v>
      </c>
    </row>
    <row r="4">
      <c r="A4" s="6" t="s">
        <v>5010</v>
      </c>
      <c r="B4" s="6" t="s">
        <v>186</v>
      </c>
      <c r="C4" s="5">
        <f t="shared" si="1"/>
        <v>1</v>
      </c>
      <c r="D4" s="1" t="s">
        <v>12</v>
      </c>
      <c r="E4" s="1" t="s">
        <v>13</v>
      </c>
      <c r="F4" s="1" t="s">
        <v>21</v>
      </c>
      <c r="G4" s="1" t="s">
        <v>3693</v>
      </c>
      <c r="H4" s="5">
        <f t="shared" si="2"/>
        <v>38.4102</v>
      </c>
      <c r="I4" s="1" t="s">
        <v>3695</v>
      </c>
      <c r="J4" s="1">
        <f t="shared" si="3"/>
        <v>4457.22479</v>
      </c>
      <c r="K4" s="1" t="s">
        <v>3697</v>
      </c>
      <c r="L4" s="5">
        <f t="shared" si="4"/>
        <v>19.2051</v>
      </c>
      <c r="M4" s="6" t="s">
        <v>3559</v>
      </c>
      <c r="N4" s="5">
        <f t="shared" si="5"/>
        <v>633</v>
      </c>
    </row>
    <row r="5">
      <c r="A5" s="6" t="s">
        <v>5010</v>
      </c>
      <c r="B5" s="6" t="s">
        <v>186</v>
      </c>
      <c r="C5" s="5">
        <f t="shared" si="1"/>
        <v>1</v>
      </c>
      <c r="D5" s="1" t="s">
        <v>12</v>
      </c>
      <c r="E5" s="1" t="s">
        <v>29</v>
      </c>
      <c r="F5" s="1" t="s">
        <v>14</v>
      </c>
      <c r="G5" s="1" t="s">
        <v>3698</v>
      </c>
      <c r="H5" s="5">
        <f t="shared" si="2"/>
        <v>0.1327</v>
      </c>
      <c r="I5" s="1" t="s">
        <v>3699</v>
      </c>
      <c r="J5" s="1">
        <f t="shared" si="3"/>
        <v>15.948333</v>
      </c>
      <c r="K5" s="1" t="s">
        <v>3700</v>
      </c>
      <c r="L5" s="5">
        <f t="shared" si="4"/>
        <v>0.0265</v>
      </c>
      <c r="M5" s="6" t="s">
        <v>557</v>
      </c>
      <c r="N5" s="5">
        <f t="shared" si="5"/>
        <v>10</v>
      </c>
    </row>
    <row r="6">
      <c r="A6" s="6" t="s">
        <v>5010</v>
      </c>
      <c r="B6" s="6" t="s">
        <v>186</v>
      </c>
      <c r="C6" s="5">
        <f t="shared" si="1"/>
        <v>1</v>
      </c>
      <c r="D6" s="1" t="s">
        <v>12</v>
      </c>
      <c r="E6" s="1" t="s">
        <v>29</v>
      </c>
      <c r="F6" s="1" t="s">
        <v>21</v>
      </c>
      <c r="G6" s="1" t="s">
        <v>3701</v>
      </c>
      <c r="H6" s="5">
        <f t="shared" si="2"/>
        <v>44.9287</v>
      </c>
      <c r="I6" s="1" t="s">
        <v>3702</v>
      </c>
      <c r="J6" s="1">
        <f t="shared" si="3"/>
        <v>7611.563208</v>
      </c>
      <c r="K6" s="1" t="s">
        <v>3703</v>
      </c>
      <c r="L6" s="5">
        <f t="shared" si="4"/>
        <v>17.9715</v>
      </c>
      <c r="M6" s="6" t="s">
        <v>5043</v>
      </c>
      <c r="N6" s="5">
        <f t="shared" si="5"/>
        <v>728</v>
      </c>
    </row>
    <row r="7">
      <c r="A7" s="6" t="s">
        <v>5010</v>
      </c>
      <c r="B7" s="6" t="s">
        <v>186</v>
      </c>
      <c r="C7" s="5">
        <f t="shared" si="1"/>
        <v>1</v>
      </c>
      <c r="D7" s="1" t="s">
        <v>12</v>
      </c>
      <c r="E7" s="1" t="s">
        <v>38</v>
      </c>
      <c r="F7" s="1" t="s">
        <v>39</v>
      </c>
      <c r="G7" s="6" t="s">
        <v>5047</v>
      </c>
      <c r="H7" s="5">
        <f t="shared" si="2"/>
        <v>2.8629</v>
      </c>
      <c r="I7" s="1" t="s">
        <v>3704</v>
      </c>
      <c r="J7" s="1">
        <f t="shared" si="3"/>
        <v>307.946992</v>
      </c>
      <c r="K7" s="1" t="s">
        <v>3705</v>
      </c>
      <c r="L7" s="5">
        <f t="shared" si="4"/>
        <v>0.5153</v>
      </c>
      <c r="M7" s="6" t="s">
        <v>4753</v>
      </c>
      <c r="N7" s="5">
        <f t="shared" si="5"/>
        <v>210</v>
      </c>
    </row>
    <row r="8">
      <c r="A8" s="6" t="s">
        <v>5010</v>
      </c>
      <c r="B8" s="6" t="s">
        <v>186</v>
      </c>
      <c r="C8" s="5">
        <f t="shared" si="1"/>
        <v>1</v>
      </c>
      <c r="D8" s="1" t="s">
        <v>12</v>
      </c>
      <c r="E8" s="1" t="s">
        <v>48</v>
      </c>
      <c r="F8" s="1" t="s">
        <v>49</v>
      </c>
      <c r="G8" s="1" t="s">
        <v>3706</v>
      </c>
      <c r="H8" s="5">
        <f t="shared" si="2"/>
        <v>0.0225</v>
      </c>
      <c r="I8" s="1" t="s">
        <v>3707</v>
      </c>
      <c r="J8" s="1">
        <f t="shared" si="3"/>
        <v>6.422605</v>
      </c>
      <c r="K8" s="1" t="s">
        <v>3708</v>
      </c>
      <c r="L8" s="5">
        <f t="shared" si="4"/>
        <v>0.0063</v>
      </c>
      <c r="M8" s="6" t="s">
        <v>2669</v>
      </c>
      <c r="N8" s="5">
        <f t="shared" si="5"/>
        <v>13</v>
      </c>
    </row>
    <row r="9">
      <c r="A9" s="6" t="s">
        <v>5010</v>
      </c>
      <c r="B9" s="6" t="s">
        <v>186</v>
      </c>
      <c r="C9" s="5">
        <f t="shared" si="1"/>
        <v>1</v>
      </c>
      <c r="D9" s="1" t="s">
        <v>12</v>
      </c>
      <c r="E9" s="1" t="s">
        <v>48</v>
      </c>
      <c r="F9" s="1" t="s">
        <v>21</v>
      </c>
      <c r="G9" s="6" t="s">
        <v>5052</v>
      </c>
      <c r="H9" s="5">
        <f t="shared" si="2"/>
        <v>1.5595</v>
      </c>
      <c r="I9" s="1" t="s">
        <v>3709</v>
      </c>
      <c r="J9" s="1">
        <f t="shared" si="3"/>
        <v>212.469968</v>
      </c>
      <c r="K9" s="1" t="s">
        <v>3710</v>
      </c>
      <c r="L9" s="5">
        <f t="shared" si="4"/>
        <v>0.6237</v>
      </c>
      <c r="M9" s="6" t="s">
        <v>5056</v>
      </c>
      <c r="N9" s="5">
        <f t="shared" si="5"/>
        <v>178</v>
      </c>
    </row>
    <row r="10">
      <c r="A10" s="6" t="s">
        <v>5010</v>
      </c>
      <c r="B10" s="6" t="s">
        <v>186</v>
      </c>
      <c r="C10" s="5">
        <f t="shared" si="1"/>
        <v>1</v>
      </c>
      <c r="D10" s="1" t="s">
        <v>12</v>
      </c>
      <c r="E10" s="1" t="s">
        <v>42</v>
      </c>
      <c r="F10" s="1" t="s">
        <v>17</v>
      </c>
      <c r="G10" s="6" t="s">
        <v>3712</v>
      </c>
      <c r="H10" s="5">
        <f t="shared" si="2"/>
        <v>1.0881</v>
      </c>
      <c r="I10" s="1" t="s">
        <v>3713</v>
      </c>
      <c r="J10" s="1">
        <f t="shared" si="3"/>
        <v>171.236944</v>
      </c>
      <c r="K10" s="1" t="s">
        <v>2128</v>
      </c>
      <c r="L10" s="5">
        <f t="shared" si="4"/>
        <v>0.4026</v>
      </c>
      <c r="M10" s="6" t="s">
        <v>5064</v>
      </c>
      <c r="N10" s="5">
        <f t="shared" si="5"/>
        <v>39</v>
      </c>
    </row>
    <row r="11">
      <c r="A11" s="6" t="s">
        <v>5010</v>
      </c>
      <c r="B11" s="6" t="s">
        <v>186</v>
      </c>
      <c r="C11" s="5">
        <f t="shared" si="1"/>
        <v>1</v>
      </c>
      <c r="D11" s="1" t="s">
        <v>12</v>
      </c>
      <c r="E11" s="1" t="s">
        <v>45</v>
      </c>
      <c r="F11" s="1" t="s">
        <v>49</v>
      </c>
      <c r="G11" s="1" t="s">
        <v>674</v>
      </c>
      <c r="H11" s="5">
        <f t="shared" si="2"/>
        <v>0.0005</v>
      </c>
      <c r="I11" s="1" t="s">
        <v>3716</v>
      </c>
      <c r="J11" s="1">
        <f t="shared" si="3"/>
        <v>0.029771</v>
      </c>
      <c r="K11" s="1" t="s">
        <v>596</v>
      </c>
      <c r="L11" s="5">
        <f t="shared" si="4"/>
        <v>0.0001</v>
      </c>
      <c r="M11" s="6" t="s">
        <v>397</v>
      </c>
      <c r="N11" s="5">
        <f t="shared" si="5"/>
        <v>2</v>
      </c>
    </row>
    <row r="12">
      <c r="A12" s="6" t="s">
        <v>5010</v>
      </c>
      <c r="B12" s="6" t="s">
        <v>186</v>
      </c>
      <c r="C12" s="5">
        <f t="shared" si="1"/>
        <v>1</v>
      </c>
      <c r="D12" s="1" t="s">
        <v>12</v>
      </c>
      <c r="E12" s="1" t="s">
        <v>45</v>
      </c>
      <c r="F12" s="1" t="s">
        <v>17</v>
      </c>
      <c r="G12" s="6" t="s">
        <v>5075</v>
      </c>
      <c r="H12" s="5">
        <f t="shared" si="2"/>
        <v>1.4561</v>
      </c>
      <c r="I12" s="1" t="s">
        <v>3717</v>
      </c>
      <c r="J12" s="1">
        <f t="shared" si="3"/>
        <v>116.992414</v>
      </c>
      <c r="K12" s="1" t="s">
        <v>3718</v>
      </c>
      <c r="L12" s="5">
        <f t="shared" si="4"/>
        <v>0.5242</v>
      </c>
      <c r="M12" s="6" t="s">
        <v>5078</v>
      </c>
      <c r="N12" s="5">
        <f t="shared" si="5"/>
        <v>155</v>
      </c>
    </row>
    <row r="13">
      <c r="A13" s="6" t="s">
        <v>5010</v>
      </c>
      <c r="B13" s="6" t="s">
        <v>186</v>
      </c>
      <c r="C13" s="5">
        <f t="shared" si="1"/>
        <v>1</v>
      </c>
      <c r="D13" s="1" t="s">
        <v>12</v>
      </c>
      <c r="E13" s="1" t="s">
        <v>1830</v>
      </c>
      <c r="F13" s="1" t="s">
        <v>72</v>
      </c>
      <c r="G13" s="1" t="s">
        <v>3719</v>
      </c>
      <c r="H13" s="5">
        <f t="shared" si="2"/>
        <v>0.8941</v>
      </c>
      <c r="I13" s="1" t="s">
        <v>3720</v>
      </c>
      <c r="J13" s="1">
        <f t="shared" si="3"/>
        <v>95.339903</v>
      </c>
      <c r="K13" s="1" t="s">
        <v>3722</v>
      </c>
      <c r="L13" s="5">
        <f t="shared" si="4"/>
        <v>0.2861</v>
      </c>
      <c r="M13" s="6" t="s">
        <v>4728</v>
      </c>
      <c r="N13" s="5">
        <f t="shared" si="5"/>
        <v>209</v>
      </c>
    </row>
    <row r="14">
      <c r="A14" s="6" t="s">
        <v>5010</v>
      </c>
      <c r="B14" s="6" t="s">
        <v>186</v>
      </c>
      <c r="C14" s="5">
        <f t="shared" si="1"/>
        <v>1</v>
      </c>
      <c r="D14" s="1" t="s">
        <v>12</v>
      </c>
      <c r="E14" s="1" t="s">
        <v>56</v>
      </c>
      <c r="F14" s="1" t="s">
        <v>21</v>
      </c>
      <c r="G14" s="1" t="s">
        <v>3723</v>
      </c>
      <c r="H14" s="5">
        <f t="shared" si="2"/>
        <v>0.1668</v>
      </c>
      <c r="I14" s="1" t="s">
        <v>3724</v>
      </c>
      <c r="J14" s="1">
        <f t="shared" si="3"/>
        <v>38.969667</v>
      </c>
      <c r="K14" s="1" t="s">
        <v>3726</v>
      </c>
      <c r="L14" s="5">
        <f t="shared" si="4"/>
        <v>0.0667</v>
      </c>
      <c r="M14" s="6" t="s">
        <v>5088</v>
      </c>
      <c r="N14" s="5">
        <f t="shared" si="5"/>
        <v>110</v>
      </c>
    </row>
    <row r="15">
      <c r="A15" s="6" t="s">
        <v>5010</v>
      </c>
      <c r="B15" s="6" t="s">
        <v>186</v>
      </c>
      <c r="C15" s="5">
        <f t="shared" si="1"/>
        <v>1</v>
      </c>
      <c r="D15" s="1" t="s">
        <v>12</v>
      </c>
      <c r="E15" s="1" t="s">
        <v>60</v>
      </c>
      <c r="F15" s="1" t="s">
        <v>39</v>
      </c>
      <c r="G15" s="1" t="s">
        <v>3727</v>
      </c>
      <c r="H15" s="5">
        <f t="shared" si="2"/>
        <v>0.2026</v>
      </c>
      <c r="I15" s="1" t="s">
        <v>3729</v>
      </c>
      <c r="J15" s="1">
        <f t="shared" si="3"/>
        <v>34.905171</v>
      </c>
      <c r="K15" s="1" t="s">
        <v>3731</v>
      </c>
      <c r="L15" s="5">
        <f t="shared" si="4"/>
        <v>0.0385</v>
      </c>
      <c r="M15" s="6" t="s">
        <v>5096</v>
      </c>
      <c r="N15" s="5">
        <f t="shared" si="5"/>
        <v>80</v>
      </c>
    </row>
    <row r="16">
      <c r="A16" s="6" t="s">
        <v>5010</v>
      </c>
      <c r="B16" s="6" t="s">
        <v>186</v>
      </c>
      <c r="C16" s="5">
        <f t="shared" si="1"/>
        <v>1</v>
      </c>
      <c r="D16" s="1" t="s">
        <v>12</v>
      </c>
      <c r="E16" s="1" t="s">
        <v>60</v>
      </c>
      <c r="F16" s="1" t="s">
        <v>17</v>
      </c>
      <c r="G16" s="1" t="s">
        <v>1056</v>
      </c>
      <c r="H16" s="5">
        <f t="shared" si="2"/>
        <v>0.0014</v>
      </c>
      <c r="I16" s="1" t="s">
        <v>3732</v>
      </c>
      <c r="J16" s="1">
        <f t="shared" si="3"/>
        <v>0.142028</v>
      </c>
      <c r="K16" s="1" t="s">
        <v>674</v>
      </c>
      <c r="L16" s="5">
        <f t="shared" si="4"/>
        <v>0.0005</v>
      </c>
      <c r="M16" s="6" t="s">
        <v>186</v>
      </c>
      <c r="N16" s="5">
        <f t="shared" si="5"/>
        <v>1</v>
      </c>
    </row>
    <row r="17">
      <c r="A17" s="6" t="s">
        <v>5010</v>
      </c>
      <c r="B17" s="6" t="s">
        <v>186</v>
      </c>
      <c r="C17" s="5">
        <f t="shared" si="1"/>
        <v>1</v>
      </c>
      <c r="D17" s="1" t="s">
        <v>12</v>
      </c>
      <c r="E17" s="1" t="s">
        <v>2082</v>
      </c>
      <c r="F17" s="1" t="s">
        <v>21</v>
      </c>
      <c r="G17" s="1" t="s">
        <v>3733</v>
      </c>
      <c r="H17" s="5">
        <f t="shared" si="2"/>
        <v>0.1902</v>
      </c>
      <c r="I17" s="1" t="s">
        <v>3734</v>
      </c>
      <c r="J17" s="1">
        <f t="shared" si="3"/>
        <v>32.450189</v>
      </c>
      <c r="K17" s="1" t="s">
        <v>3735</v>
      </c>
      <c r="L17" s="5">
        <f t="shared" si="4"/>
        <v>0.0865</v>
      </c>
      <c r="M17" s="6" t="s">
        <v>291</v>
      </c>
      <c r="N17" s="5">
        <f t="shared" si="5"/>
        <v>0</v>
      </c>
    </row>
    <row r="18">
      <c r="A18" s="6" t="s">
        <v>5010</v>
      </c>
      <c r="B18" s="6" t="s">
        <v>186</v>
      </c>
      <c r="C18" s="5">
        <f t="shared" si="1"/>
        <v>1</v>
      </c>
      <c r="D18" s="1" t="s">
        <v>68</v>
      </c>
      <c r="E18" s="1" t="s">
        <v>13</v>
      </c>
      <c r="F18" s="1" t="s">
        <v>14</v>
      </c>
      <c r="G18" s="1" t="s">
        <v>3737</v>
      </c>
      <c r="H18" s="5">
        <f t="shared" si="2"/>
        <v>88.4917</v>
      </c>
      <c r="I18" s="1" t="s">
        <v>3738</v>
      </c>
      <c r="J18" s="1">
        <f t="shared" si="3"/>
        <v>4389.809554</v>
      </c>
      <c r="K18" s="1" t="s">
        <v>3739</v>
      </c>
      <c r="L18" s="5">
        <f t="shared" si="4"/>
        <v>18.5833</v>
      </c>
      <c r="M18" s="6" t="s">
        <v>5116</v>
      </c>
      <c r="N18" s="5">
        <f t="shared" si="5"/>
        <v>9100</v>
      </c>
    </row>
    <row r="19">
      <c r="A19" s="6" t="s">
        <v>5010</v>
      </c>
      <c r="B19" s="6" t="s">
        <v>186</v>
      </c>
      <c r="C19" s="5">
        <f t="shared" si="1"/>
        <v>1</v>
      </c>
      <c r="D19" s="1" t="s">
        <v>68</v>
      </c>
      <c r="E19" s="1" t="s">
        <v>13</v>
      </c>
      <c r="F19" s="1" t="s">
        <v>17</v>
      </c>
      <c r="G19" s="1" t="s">
        <v>3741</v>
      </c>
      <c r="H19" s="5">
        <f t="shared" si="2"/>
        <v>57.6908</v>
      </c>
      <c r="I19" s="1" t="s">
        <v>3742</v>
      </c>
      <c r="J19" s="1">
        <f t="shared" si="3"/>
        <v>5967.119432</v>
      </c>
      <c r="K19" s="1" t="s">
        <v>3743</v>
      </c>
      <c r="L19" s="5">
        <f t="shared" si="4"/>
        <v>20.1918</v>
      </c>
      <c r="M19" s="6" t="s">
        <v>5122</v>
      </c>
      <c r="N19" s="5">
        <f t="shared" si="5"/>
        <v>9322</v>
      </c>
    </row>
    <row r="20">
      <c r="A20" s="6" t="s">
        <v>5010</v>
      </c>
      <c r="B20" s="6" t="s">
        <v>186</v>
      </c>
      <c r="C20" s="5">
        <f t="shared" si="1"/>
        <v>1</v>
      </c>
      <c r="D20" s="1" t="s">
        <v>68</v>
      </c>
      <c r="E20" s="1" t="s">
        <v>13</v>
      </c>
      <c r="F20" s="1" t="s">
        <v>21</v>
      </c>
      <c r="G20" s="1" t="s">
        <v>3745</v>
      </c>
      <c r="H20" s="5">
        <f t="shared" si="2"/>
        <v>2.834</v>
      </c>
      <c r="I20" s="1" t="s">
        <v>3746</v>
      </c>
      <c r="J20" s="1">
        <f t="shared" si="3"/>
        <v>485.822233</v>
      </c>
      <c r="K20" s="6" t="s">
        <v>5129</v>
      </c>
      <c r="L20" s="5">
        <f t="shared" si="4"/>
        <v>1.4171</v>
      </c>
      <c r="M20" s="6" t="s">
        <v>5131</v>
      </c>
      <c r="N20" s="5">
        <f t="shared" si="5"/>
        <v>721</v>
      </c>
    </row>
    <row r="21">
      <c r="A21" s="6" t="s">
        <v>5010</v>
      </c>
      <c r="B21" s="6" t="s">
        <v>186</v>
      </c>
      <c r="C21" s="5">
        <f t="shared" si="1"/>
        <v>1</v>
      </c>
      <c r="D21" s="1" t="s">
        <v>68</v>
      </c>
      <c r="E21" s="1" t="s">
        <v>13</v>
      </c>
      <c r="F21" s="1" t="s">
        <v>25</v>
      </c>
      <c r="G21" s="1" t="s">
        <v>3328</v>
      </c>
      <c r="H21" s="5">
        <f t="shared" si="2"/>
        <v>0.2856</v>
      </c>
      <c r="I21" s="1" t="s">
        <v>3748</v>
      </c>
      <c r="J21" s="1">
        <f t="shared" si="3"/>
        <v>46.13722</v>
      </c>
      <c r="K21" s="1" t="s">
        <v>3330</v>
      </c>
      <c r="L21" s="5">
        <f t="shared" si="4"/>
        <v>0.2142</v>
      </c>
      <c r="M21" s="6" t="s">
        <v>4584</v>
      </c>
      <c r="N21" s="5">
        <f t="shared" si="5"/>
        <v>163</v>
      </c>
    </row>
    <row r="22">
      <c r="A22" s="6" t="s">
        <v>5010</v>
      </c>
      <c r="B22" s="6" t="s">
        <v>186</v>
      </c>
      <c r="C22" s="5">
        <f t="shared" si="1"/>
        <v>1</v>
      </c>
      <c r="D22" s="1" t="s">
        <v>68</v>
      </c>
      <c r="E22" s="1" t="s">
        <v>29</v>
      </c>
      <c r="F22" s="1" t="s">
        <v>14</v>
      </c>
      <c r="G22" s="1" t="s">
        <v>3749</v>
      </c>
      <c r="H22" s="5">
        <f t="shared" si="2"/>
        <v>0.0974</v>
      </c>
      <c r="I22" s="1" t="s">
        <v>3750</v>
      </c>
      <c r="J22" s="1">
        <f t="shared" si="3"/>
        <v>14.795735</v>
      </c>
      <c r="K22" s="1" t="s">
        <v>3751</v>
      </c>
      <c r="L22" s="5">
        <f t="shared" si="4"/>
        <v>0.0195</v>
      </c>
      <c r="M22" s="6" t="s">
        <v>5140</v>
      </c>
      <c r="N22" s="5">
        <f t="shared" si="5"/>
        <v>24</v>
      </c>
    </row>
    <row r="23">
      <c r="A23" s="6" t="s">
        <v>5010</v>
      </c>
      <c r="B23" s="6" t="s">
        <v>186</v>
      </c>
      <c r="C23" s="5">
        <f t="shared" si="1"/>
        <v>1</v>
      </c>
      <c r="D23" s="1" t="s">
        <v>68</v>
      </c>
      <c r="E23" s="1" t="s">
        <v>29</v>
      </c>
      <c r="F23" s="1" t="s">
        <v>21</v>
      </c>
      <c r="G23" s="6" t="s">
        <v>3752</v>
      </c>
      <c r="H23" s="5">
        <f t="shared" si="2"/>
        <v>8.1112</v>
      </c>
      <c r="I23" s="1" t="s">
        <v>3753</v>
      </c>
      <c r="J23" s="1">
        <f t="shared" si="3"/>
        <v>1609.072208</v>
      </c>
      <c r="K23" s="6" t="s">
        <v>5147</v>
      </c>
      <c r="L23" s="5">
        <f t="shared" si="4"/>
        <v>3.2445</v>
      </c>
      <c r="M23" s="6" t="s">
        <v>5149</v>
      </c>
      <c r="N23" s="5">
        <f t="shared" si="5"/>
        <v>1351</v>
      </c>
    </row>
    <row r="24">
      <c r="A24" s="6" t="s">
        <v>5010</v>
      </c>
      <c r="B24" s="6" t="s">
        <v>186</v>
      </c>
      <c r="C24" s="5">
        <f t="shared" si="1"/>
        <v>1</v>
      </c>
      <c r="D24" s="1" t="s">
        <v>68</v>
      </c>
      <c r="E24" s="1" t="s">
        <v>45</v>
      </c>
      <c r="F24" s="1" t="s">
        <v>49</v>
      </c>
      <c r="G24" s="1" t="s">
        <v>3754</v>
      </c>
      <c r="H24" s="5">
        <f t="shared" si="2"/>
        <v>0.6235</v>
      </c>
      <c r="I24" s="1" t="s">
        <v>3755</v>
      </c>
      <c r="J24" s="1">
        <f t="shared" si="3"/>
        <v>38.73859</v>
      </c>
      <c r="K24" s="1" t="s">
        <v>3756</v>
      </c>
      <c r="L24" s="5">
        <f t="shared" si="4"/>
        <v>0.1621</v>
      </c>
      <c r="M24" s="6" t="s">
        <v>2705</v>
      </c>
      <c r="N24" s="5">
        <f t="shared" si="5"/>
        <v>128</v>
      </c>
    </row>
    <row r="25">
      <c r="A25" s="6" t="s">
        <v>5010</v>
      </c>
      <c r="B25" s="6" t="s">
        <v>186</v>
      </c>
      <c r="C25" s="5">
        <f t="shared" si="1"/>
        <v>1</v>
      </c>
      <c r="D25" s="1" t="s">
        <v>68</v>
      </c>
      <c r="E25" s="1" t="s">
        <v>45</v>
      </c>
      <c r="F25" s="1" t="s">
        <v>17</v>
      </c>
      <c r="G25" s="6" t="s">
        <v>5165</v>
      </c>
      <c r="H25" s="5">
        <f t="shared" si="2"/>
        <v>11.9015</v>
      </c>
      <c r="I25" s="1" t="s">
        <v>3757</v>
      </c>
      <c r="J25" s="1">
        <f t="shared" si="3"/>
        <v>701.603394</v>
      </c>
      <c r="K25" s="6" t="s">
        <v>5169</v>
      </c>
      <c r="L25" s="5">
        <f t="shared" si="4"/>
        <v>4.2846</v>
      </c>
      <c r="M25" s="6" t="s">
        <v>5170</v>
      </c>
      <c r="N25" s="5">
        <f t="shared" si="5"/>
        <v>1386</v>
      </c>
    </row>
    <row r="26">
      <c r="A26" s="6" t="s">
        <v>5010</v>
      </c>
      <c r="B26" s="6" t="s">
        <v>186</v>
      </c>
      <c r="C26" s="5">
        <f t="shared" si="1"/>
        <v>1</v>
      </c>
      <c r="D26" s="1" t="s">
        <v>68</v>
      </c>
      <c r="E26" s="1" t="s">
        <v>38</v>
      </c>
      <c r="F26" s="1" t="s">
        <v>39</v>
      </c>
      <c r="G26" s="6" t="s">
        <v>3758</v>
      </c>
      <c r="H26" s="5">
        <f t="shared" si="2"/>
        <v>8.1162</v>
      </c>
      <c r="I26" s="1" t="s">
        <v>3759</v>
      </c>
      <c r="J26" s="1">
        <f t="shared" si="3"/>
        <v>700.442242</v>
      </c>
      <c r="K26" s="6" t="s">
        <v>5175</v>
      </c>
      <c r="L26" s="5">
        <f t="shared" si="4"/>
        <v>1.4609</v>
      </c>
      <c r="M26" s="6" t="s">
        <v>5176</v>
      </c>
      <c r="N26" s="5">
        <f t="shared" si="5"/>
        <v>2897</v>
      </c>
    </row>
    <row r="27">
      <c r="A27" s="6" t="s">
        <v>5010</v>
      </c>
      <c r="B27" s="6" t="s">
        <v>186</v>
      </c>
      <c r="C27" s="5">
        <f t="shared" si="1"/>
        <v>1</v>
      </c>
      <c r="D27" s="1" t="s">
        <v>68</v>
      </c>
      <c r="E27" s="1" t="s">
        <v>2104</v>
      </c>
      <c r="F27" s="1" t="s">
        <v>17</v>
      </c>
      <c r="G27" s="6" t="s">
        <v>5179</v>
      </c>
      <c r="H27" s="5">
        <f t="shared" si="2"/>
        <v>4.4477</v>
      </c>
      <c r="I27" s="1" t="s">
        <v>3760</v>
      </c>
      <c r="J27" s="1">
        <f t="shared" si="3"/>
        <v>193.181003</v>
      </c>
      <c r="K27" s="6" t="s">
        <v>5182</v>
      </c>
      <c r="L27" s="5">
        <f t="shared" si="4"/>
        <v>1.5567</v>
      </c>
      <c r="M27" s="6" t="s">
        <v>5185</v>
      </c>
      <c r="N27" s="5">
        <f t="shared" si="5"/>
        <v>435</v>
      </c>
    </row>
    <row r="28">
      <c r="A28" s="6" t="s">
        <v>5010</v>
      </c>
      <c r="B28" s="6" t="s">
        <v>186</v>
      </c>
      <c r="C28" s="5">
        <f t="shared" si="1"/>
        <v>1</v>
      </c>
      <c r="D28" s="1" t="s">
        <v>68</v>
      </c>
      <c r="E28" s="1" t="s">
        <v>1851</v>
      </c>
      <c r="F28" s="1" t="s">
        <v>17</v>
      </c>
      <c r="G28" s="6" t="s">
        <v>5187</v>
      </c>
      <c r="H28" s="5">
        <f t="shared" si="2"/>
        <v>2.2066</v>
      </c>
      <c r="I28" s="1" t="s">
        <v>3761</v>
      </c>
      <c r="J28" s="1">
        <f t="shared" si="3"/>
        <v>164.704934</v>
      </c>
      <c r="K28" s="1" t="s">
        <v>3762</v>
      </c>
      <c r="L28" s="5">
        <f t="shared" si="4"/>
        <v>0.8496</v>
      </c>
      <c r="M28" s="6" t="s">
        <v>5191</v>
      </c>
      <c r="N28" s="5">
        <f t="shared" si="5"/>
        <v>769</v>
      </c>
    </row>
    <row r="29">
      <c r="A29" s="6" t="s">
        <v>5010</v>
      </c>
      <c r="B29" s="6" t="s">
        <v>186</v>
      </c>
      <c r="C29" s="5">
        <f t="shared" si="1"/>
        <v>1</v>
      </c>
      <c r="D29" s="1" t="s">
        <v>68</v>
      </c>
      <c r="E29" s="1" t="s">
        <v>1851</v>
      </c>
      <c r="F29" s="1" t="s">
        <v>21</v>
      </c>
      <c r="G29" s="1" t="s">
        <v>3763</v>
      </c>
      <c r="H29" s="5">
        <f t="shared" si="2"/>
        <v>0.1416</v>
      </c>
      <c r="I29" s="1" t="s">
        <v>3764</v>
      </c>
      <c r="J29" s="1">
        <f t="shared" si="3"/>
        <v>12.006769</v>
      </c>
      <c r="K29" s="1" t="s">
        <v>3765</v>
      </c>
      <c r="L29" s="5">
        <f t="shared" si="4"/>
        <v>0.0694</v>
      </c>
      <c r="M29" s="6" t="s">
        <v>3203</v>
      </c>
      <c r="N29" s="5">
        <f t="shared" si="5"/>
        <v>56</v>
      </c>
    </row>
    <row r="30">
      <c r="A30" s="6" t="s">
        <v>5010</v>
      </c>
      <c r="B30" s="6" t="s">
        <v>186</v>
      </c>
      <c r="C30" s="5">
        <f t="shared" si="1"/>
        <v>1</v>
      </c>
      <c r="D30" s="1" t="s">
        <v>68</v>
      </c>
      <c r="E30" s="1" t="s">
        <v>2088</v>
      </c>
      <c r="F30" s="1" t="s">
        <v>21</v>
      </c>
      <c r="G30" s="6" t="s">
        <v>3766</v>
      </c>
      <c r="H30" s="5">
        <f t="shared" si="2"/>
        <v>1.1685</v>
      </c>
      <c r="I30" s="1" t="s">
        <v>3767</v>
      </c>
      <c r="J30" s="1">
        <f t="shared" si="3"/>
        <v>135.056441</v>
      </c>
      <c r="K30" s="1" t="s">
        <v>3769</v>
      </c>
      <c r="L30" s="5">
        <f t="shared" si="4"/>
        <v>0.4674</v>
      </c>
      <c r="M30" s="6" t="s">
        <v>291</v>
      </c>
      <c r="N30" s="5">
        <f t="shared" si="5"/>
        <v>0</v>
      </c>
    </row>
    <row r="31">
      <c r="A31" s="6" t="s">
        <v>5010</v>
      </c>
      <c r="B31" s="6" t="s">
        <v>186</v>
      </c>
      <c r="C31" s="5">
        <f t="shared" si="1"/>
        <v>1</v>
      </c>
      <c r="D31" s="1" t="s">
        <v>68</v>
      </c>
      <c r="E31" s="1" t="s">
        <v>48</v>
      </c>
      <c r="F31" s="1" t="s">
        <v>49</v>
      </c>
      <c r="G31" s="1" t="s">
        <v>561</v>
      </c>
      <c r="H31" s="5">
        <f t="shared" si="2"/>
        <v>0.0036</v>
      </c>
      <c r="I31" s="1" t="s">
        <v>3770</v>
      </c>
      <c r="J31" s="1">
        <f t="shared" si="3"/>
        <v>1.59307</v>
      </c>
      <c r="K31" s="1" t="s">
        <v>1962</v>
      </c>
      <c r="L31" s="5">
        <f t="shared" si="4"/>
        <v>0.001</v>
      </c>
      <c r="M31" s="6" t="s">
        <v>291</v>
      </c>
      <c r="N31" s="5">
        <f t="shared" si="5"/>
        <v>0</v>
      </c>
    </row>
    <row r="32">
      <c r="A32" s="6" t="s">
        <v>5010</v>
      </c>
      <c r="B32" s="6" t="s">
        <v>186</v>
      </c>
      <c r="C32" s="5">
        <f t="shared" si="1"/>
        <v>1</v>
      </c>
      <c r="D32" s="1" t="s">
        <v>68</v>
      </c>
      <c r="E32" s="1" t="s">
        <v>48</v>
      </c>
      <c r="F32" s="1" t="s">
        <v>72</v>
      </c>
      <c r="G32" s="1" t="s">
        <v>666</v>
      </c>
      <c r="H32" s="5">
        <f t="shared" si="2"/>
        <v>0.0031</v>
      </c>
      <c r="I32" s="1" t="s">
        <v>3771</v>
      </c>
      <c r="J32" s="1">
        <f t="shared" si="3"/>
        <v>0.95189</v>
      </c>
      <c r="K32" s="1" t="s">
        <v>574</v>
      </c>
      <c r="L32" s="5">
        <f t="shared" si="4"/>
        <v>0.0009</v>
      </c>
      <c r="M32" s="6" t="s">
        <v>291</v>
      </c>
      <c r="N32" s="5">
        <f t="shared" si="5"/>
        <v>0</v>
      </c>
    </row>
    <row r="33">
      <c r="A33" s="6" t="s">
        <v>5010</v>
      </c>
      <c r="B33" s="6" t="s">
        <v>186</v>
      </c>
      <c r="C33" s="5">
        <f t="shared" si="1"/>
        <v>1</v>
      </c>
      <c r="D33" s="1" t="s">
        <v>68</v>
      </c>
      <c r="E33" s="1" t="s">
        <v>48</v>
      </c>
      <c r="F33" s="1" t="s">
        <v>21</v>
      </c>
      <c r="G33" s="1" t="s">
        <v>3772</v>
      </c>
      <c r="H33" s="5">
        <f t="shared" si="2"/>
        <v>0.871</v>
      </c>
      <c r="I33" s="1" t="s">
        <v>3773</v>
      </c>
      <c r="J33" s="1">
        <f t="shared" si="3"/>
        <v>127.584278</v>
      </c>
      <c r="K33" s="1" t="s">
        <v>3774</v>
      </c>
      <c r="L33" s="5">
        <f t="shared" si="4"/>
        <v>0.3483</v>
      </c>
      <c r="M33" s="6" t="s">
        <v>291</v>
      </c>
      <c r="N33" s="5">
        <f t="shared" si="5"/>
        <v>0</v>
      </c>
    </row>
    <row r="34">
      <c r="A34" s="6" t="s">
        <v>5010</v>
      </c>
      <c r="B34" s="6" t="s">
        <v>186</v>
      </c>
      <c r="C34" s="5">
        <f t="shared" si="1"/>
        <v>1</v>
      </c>
      <c r="D34" s="1" t="s">
        <v>68</v>
      </c>
      <c r="E34" s="1" t="s">
        <v>32</v>
      </c>
      <c r="F34" s="1" t="s">
        <v>14</v>
      </c>
      <c r="G34" s="6" t="s">
        <v>5218</v>
      </c>
      <c r="H34" s="5">
        <f t="shared" si="2"/>
        <v>1.3608</v>
      </c>
      <c r="I34" s="1" t="s">
        <v>3775</v>
      </c>
      <c r="J34" s="1">
        <f t="shared" si="3"/>
        <v>98.695255</v>
      </c>
      <c r="K34" s="1" t="s">
        <v>1025</v>
      </c>
      <c r="L34" s="5">
        <f t="shared" si="4"/>
        <v>0.313</v>
      </c>
      <c r="M34" s="6" t="s">
        <v>4178</v>
      </c>
      <c r="N34" s="5">
        <f t="shared" si="5"/>
        <v>422</v>
      </c>
    </row>
    <row r="35">
      <c r="A35" s="6" t="s">
        <v>5010</v>
      </c>
      <c r="B35" s="6" t="s">
        <v>186</v>
      </c>
      <c r="C35" s="5">
        <f t="shared" si="1"/>
        <v>1</v>
      </c>
      <c r="D35" s="1" t="s">
        <v>68</v>
      </c>
      <c r="E35" s="1" t="s">
        <v>32</v>
      </c>
      <c r="F35" s="1" t="s">
        <v>21</v>
      </c>
      <c r="G35" s="1" t="s">
        <v>3776</v>
      </c>
      <c r="H35" s="5">
        <f t="shared" si="2"/>
        <v>0.0795</v>
      </c>
      <c r="I35" s="1" t="s">
        <v>3777</v>
      </c>
      <c r="J35" s="1">
        <f t="shared" si="3"/>
        <v>7.20621</v>
      </c>
      <c r="K35" s="1" t="s">
        <v>3778</v>
      </c>
      <c r="L35" s="5">
        <f t="shared" si="4"/>
        <v>0.0358</v>
      </c>
      <c r="M35" s="6" t="s">
        <v>3669</v>
      </c>
      <c r="N35" s="5">
        <f t="shared" si="5"/>
        <v>97</v>
      </c>
    </row>
    <row r="36">
      <c r="A36" s="6" t="s">
        <v>5010</v>
      </c>
      <c r="B36" s="6" t="s">
        <v>186</v>
      </c>
      <c r="C36" s="5">
        <f t="shared" si="1"/>
        <v>1</v>
      </c>
      <c r="D36" s="1" t="s">
        <v>68</v>
      </c>
      <c r="E36" s="1" t="s">
        <v>1830</v>
      </c>
      <c r="F36" s="1" t="s">
        <v>72</v>
      </c>
      <c r="G36" s="6" t="s">
        <v>3779</v>
      </c>
      <c r="H36" s="5">
        <f t="shared" si="2"/>
        <v>1.0835</v>
      </c>
      <c r="I36" s="1" t="s">
        <v>3780</v>
      </c>
      <c r="J36" s="1">
        <f t="shared" si="3"/>
        <v>96.79121</v>
      </c>
      <c r="K36" s="1" t="s">
        <v>3781</v>
      </c>
      <c r="L36" s="5">
        <f t="shared" si="4"/>
        <v>0.3467</v>
      </c>
      <c r="M36" s="6" t="s">
        <v>5235</v>
      </c>
      <c r="N36" s="5">
        <f t="shared" si="5"/>
        <v>921</v>
      </c>
    </row>
    <row r="37">
      <c r="A37" s="6" t="s">
        <v>5010</v>
      </c>
      <c r="B37" s="6" t="s">
        <v>186</v>
      </c>
      <c r="C37" s="5">
        <f t="shared" si="1"/>
        <v>1</v>
      </c>
      <c r="D37" s="1" t="s">
        <v>116</v>
      </c>
      <c r="E37" s="1" t="s">
        <v>13</v>
      </c>
      <c r="F37" s="1" t="s">
        <v>14</v>
      </c>
      <c r="G37" s="1" t="s">
        <v>3782</v>
      </c>
      <c r="H37" s="5">
        <f t="shared" si="2"/>
        <v>200.7302</v>
      </c>
      <c r="I37" s="1" t="s">
        <v>3783</v>
      </c>
      <c r="J37" s="1">
        <f t="shared" si="3"/>
        <v>10271.13988</v>
      </c>
      <c r="K37" s="1" t="s">
        <v>3785</v>
      </c>
      <c r="L37" s="5">
        <f t="shared" si="4"/>
        <v>42.1534</v>
      </c>
      <c r="M37" s="6" t="s">
        <v>5239</v>
      </c>
      <c r="N37" s="5">
        <f t="shared" si="5"/>
        <v>17167</v>
      </c>
    </row>
    <row r="38">
      <c r="A38" s="6" t="s">
        <v>5010</v>
      </c>
      <c r="B38" s="6" t="s">
        <v>186</v>
      </c>
      <c r="C38" s="5">
        <f t="shared" si="1"/>
        <v>1</v>
      </c>
      <c r="D38" s="1" t="s">
        <v>116</v>
      </c>
      <c r="E38" s="1" t="s">
        <v>13</v>
      </c>
      <c r="F38" s="1" t="s">
        <v>17</v>
      </c>
      <c r="G38" s="1" t="s">
        <v>3786</v>
      </c>
      <c r="H38" s="5">
        <f t="shared" si="2"/>
        <v>159.5171</v>
      </c>
      <c r="I38" s="1" t="s">
        <v>3787</v>
      </c>
      <c r="J38" s="1">
        <f t="shared" si="3"/>
        <v>14567.6979</v>
      </c>
      <c r="K38" s="1" t="s">
        <v>3788</v>
      </c>
      <c r="L38" s="5">
        <f t="shared" si="4"/>
        <v>55.8309</v>
      </c>
      <c r="M38" s="6" t="s">
        <v>5246</v>
      </c>
      <c r="N38" s="5">
        <f t="shared" si="5"/>
        <v>17397</v>
      </c>
    </row>
    <row r="39">
      <c r="A39" s="6" t="s">
        <v>5010</v>
      </c>
      <c r="B39" s="6" t="s">
        <v>186</v>
      </c>
      <c r="C39" s="5">
        <f t="shared" si="1"/>
        <v>1</v>
      </c>
      <c r="D39" s="1" t="s">
        <v>116</v>
      </c>
      <c r="E39" s="1" t="s">
        <v>13</v>
      </c>
      <c r="F39" s="1" t="s">
        <v>21</v>
      </c>
      <c r="G39" s="6" t="s">
        <v>5250</v>
      </c>
      <c r="H39" s="5">
        <f t="shared" si="2"/>
        <v>9.9211</v>
      </c>
      <c r="I39" s="1" t="s">
        <v>3789</v>
      </c>
      <c r="J39" s="1">
        <f t="shared" si="3"/>
        <v>1323.619549</v>
      </c>
      <c r="K39" s="6" t="s">
        <v>5253</v>
      </c>
      <c r="L39" s="5">
        <f t="shared" si="4"/>
        <v>4.9606</v>
      </c>
      <c r="M39" s="6" t="s">
        <v>5255</v>
      </c>
      <c r="N39" s="5">
        <f t="shared" si="5"/>
        <v>729</v>
      </c>
    </row>
    <row r="40">
      <c r="A40" s="6" t="s">
        <v>5010</v>
      </c>
      <c r="B40" s="6" t="s">
        <v>186</v>
      </c>
      <c r="C40" s="5">
        <f t="shared" si="1"/>
        <v>1</v>
      </c>
      <c r="D40" s="1" t="s">
        <v>116</v>
      </c>
      <c r="E40" s="1" t="s">
        <v>13</v>
      </c>
      <c r="F40" s="1" t="s">
        <v>25</v>
      </c>
      <c r="G40" s="1" t="s">
        <v>1128</v>
      </c>
      <c r="H40" s="5">
        <f t="shared" si="2"/>
        <v>0.0087</v>
      </c>
      <c r="I40" s="1" t="s">
        <v>3791</v>
      </c>
      <c r="J40" s="1">
        <f t="shared" si="3"/>
        <v>1.791126</v>
      </c>
      <c r="K40" s="1" t="s">
        <v>3370</v>
      </c>
      <c r="L40" s="5">
        <f t="shared" si="4"/>
        <v>0.0065</v>
      </c>
      <c r="M40" s="6" t="s">
        <v>2677</v>
      </c>
      <c r="N40" s="5">
        <f t="shared" si="5"/>
        <v>3</v>
      </c>
    </row>
    <row r="41">
      <c r="A41" s="6" t="s">
        <v>5010</v>
      </c>
      <c r="B41" s="6" t="s">
        <v>186</v>
      </c>
      <c r="C41" s="5">
        <f t="shared" si="1"/>
        <v>1</v>
      </c>
      <c r="D41" s="1" t="s">
        <v>116</v>
      </c>
      <c r="E41" s="1" t="s">
        <v>29</v>
      </c>
      <c r="F41" s="1" t="s">
        <v>14</v>
      </c>
      <c r="G41" s="6" t="s">
        <v>5264</v>
      </c>
      <c r="H41" s="5">
        <f t="shared" si="2"/>
        <v>1.2303</v>
      </c>
      <c r="I41" s="1" t="s">
        <v>3792</v>
      </c>
      <c r="J41" s="1">
        <f t="shared" si="3"/>
        <v>147.988777</v>
      </c>
      <c r="K41" s="1" t="s">
        <v>3793</v>
      </c>
      <c r="L41" s="5">
        <f t="shared" si="4"/>
        <v>0.2461</v>
      </c>
      <c r="M41" s="6" t="s">
        <v>5268</v>
      </c>
      <c r="N41" s="5">
        <f t="shared" si="5"/>
        <v>286</v>
      </c>
    </row>
    <row r="42">
      <c r="A42" s="6" t="s">
        <v>5010</v>
      </c>
      <c r="B42" s="6" t="s">
        <v>186</v>
      </c>
      <c r="C42" s="5">
        <f t="shared" si="1"/>
        <v>1</v>
      </c>
      <c r="D42" s="1" t="s">
        <v>116</v>
      </c>
      <c r="E42" s="1" t="s">
        <v>29</v>
      </c>
      <c r="F42" s="1" t="s">
        <v>21</v>
      </c>
      <c r="G42" s="1" t="s">
        <v>3794</v>
      </c>
      <c r="H42" s="5">
        <f t="shared" si="2"/>
        <v>56.187</v>
      </c>
      <c r="I42" s="1" t="s">
        <v>3795</v>
      </c>
      <c r="J42" s="1">
        <f t="shared" si="3"/>
        <v>9934.412537</v>
      </c>
      <c r="K42" s="1" t="s">
        <v>3796</v>
      </c>
      <c r="L42" s="5">
        <f t="shared" si="4"/>
        <v>22.4747</v>
      </c>
      <c r="M42" s="6" t="s">
        <v>5273</v>
      </c>
      <c r="N42" s="5">
        <f t="shared" si="5"/>
        <v>4241</v>
      </c>
    </row>
    <row r="43">
      <c r="A43" s="6" t="s">
        <v>5010</v>
      </c>
      <c r="B43" s="6" t="s">
        <v>186</v>
      </c>
      <c r="C43" s="5">
        <f t="shared" si="1"/>
        <v>1</v>
      </c>
      <c r="D43" s="1" t="s">
        <v>116</v>
      </c>
      <c r="E43" s="1" t="s">
        <v>45</v>
      </c>
      <c r="F43" s="1" t="s">
        <v>49</v>
      </c>
      <c r="G43" s="6" t="s">
        <v>5277</v>
      </c>
      <c r="H43" s="5">
        <f t="shared" si="2"/>
        <v>1.5709</v>
      </c>
      <c r="I43" s="1" t="s">
        <v>3798</v>
      </c>
      <c r="J43" s="1">
        <f t="shared" si="3"/>
        <v>96.490976</v>
      </c>
      <c r="K43" s="1" t="s">
        <v>3799</v>
      </c>
      <c r="L43" s="5">
        <f t="shared" si="4"/>
        <v>0.4084</v>
      </c>
      <c r="M43" s="6" t="s">
        <v>5281</v>
      </c>
      <c r="N43" s="5">
        <f t="shared" si="5"/>
        <v>309</v>
      </c>
    </row>
    <row r="44">
      <c r="A44" s="6" t="s">
        <v>5010</v>
      </c>
      <c r="B44" s="6" t="s">
        <v>186</v>
      </c>
      <c r="C44" s="5">
        <f t="shared" si="1"/>
        <v>1</v>
      </c>
      <c r="D44" s="1" t="s">
        <v>116</v>
      </c>
      <c r="E44" s="1" t="s">
        <v>45</v>
      </c>
      <c r="F44" s="1" t="s">
        <v>17</v>
      </c>
      <c r="G44" s="1" t="s">
        <v>3800</v>
      </c>
      <c r="H44" s="5">
        <f t="shared" si="2"/>
        <v>19.0162</v>
      </c>
      <c r="I44" s="1" t="s">
        <v>3801</v>
      </c>
      <c r="J44" s="1">
        <f t="shared" si="3"/>
        <v>1335.566377</v>
      </c>
      <c r="K44" s="6" t="s">
        <v>5286</v>
      </c>
      <c r="L44" s="5">
        <f t="shared" si="4"/>
        <v>6.8459</v>
      </c>
      <c r="M44" s="6" t="s">
        <v>5287</v>
      </c>
      <c r="N44" s="5">
        <f t="shared" si="5"/>
        <v>1751</v>
      </c>
    </row>
    <row r="45">
      <c r="A45" s="6" t="s">
        <v>5010</v>
      </c>
      <c r="B45" s="6" t="s">
        <v>186</v>
      </c>
      <c r="C45" s="5">
        <f t="shared" si="1"/>
        <v>1</v>
      </c>
      <c r="D45" s="1" t="s">
        <v>116</v>
      </c>
      <c r="E45" s="1" t="s">
        <v>38</v>
      </c>
      <c r="F45" s="1" t="s">
        <v>39</v>
      </c>
      <c r="G45" s="1" t="s">
        <v>3802</v>
      </c>
      <c r="H45" s="5">
        <f t="shared" si="2"/>
        <v>14.6676</v>
      </c>
      <c r="I45" s="1" t="s">
        <v>3803</v>
      </c>
      <c r="J45" s="1">
        <f t="shared" si="3"/>
        <v>1288.467984</v>
      </c>
      <c r="K45" s="6" t="s">
        <v>5288</v>
      </c>
      <c r="L45" s="5">
        <f t="shared" si="4"/>
        <v>2.6402</v>
      </c>
      <c r="M45" s="6" t="s">
        <v>5289</v>
      </c>
      <c r="N45" s="5">
        <f t="shared" si="5"/>
        <v>4284</v>
      </c>
    </row>
    <row r="46">
      <c r="A46" s="6" t="s">
        <v>5010</v>
      </c>
      <c r="B46" s="6" t="s">
        <v>186</v>
      </c>
      <c r="C46" s="5">
        <f t="shared" si="1"/>
        <v>1</v>
      </c>
      <c r="D46" s="1" t="s">
        <v>116</v>
      </c>
      <c r="E46" s="1" t="s">
        <v>1851</v>
      </c>
      <c r="F46" s="1" t="s">
        <v>17</v>
      </c>
      <c r="G46" s="6" t="s">
        <v>5290</v>
      </c>
      <c r="H46" s="5">
        <f t="shared" si="2"/>
        <v>5.3848</v>
      </c>
      <c r="I46" s="1" t="s">
        <v>3805</v>
      </c>
      <c r="J46" s="1">
        <f t="shared" si="3"/>
        <v>403.571082</v>
      </c>
      <c r="K46" s="6" t="s">
        <v>3807</v>
      </c>
      <c r="L46" s="5">
        <f t="shared" si="4"/>
        <v>2.0731</v>
      </c>
      <c r="M46" s="6" t="s">
        <v>5291</v>
      </c>
      <c r="N46" s="5">
        <f t="shared" si="5"/>
        <v>1598</v>
      </c>
    </row>
    <row r="47">
      <c r="A47" s="6" t="s">
        <v>5010</v>
      </c>
      <c r="B47" s="6" t="s">
        <v>186</v>
      </c>
      <c r="C47" s="5">
        <f t="shared" si="1"/>
        <v>1</v>
      </c>
      <c r="D47" s="1" t="s">
        <v>116</v>
      </c>
      <c r="E47" s="1" t="s">
        <v>1851</v>
      </c>
      <c r="F47" s="1" t="s">
        <v>21</v>
      </c>
      <c r="G47" s="1" t="s">
        <v>3808</v>
      </c>
      <c r="H47" s="5">
        <f t="shared" si="2"/>
        <v>0.4175</v>
      </c>
      <c r="I47" s="1" t="s">
        <v>3809</v>
      </c>
      <c r="J47" s="1">
        <f t="shared" si="3"/>
        <v>34.83502</v>
      </c>
      <c r="K47" s="1" t="s">
        <v>2583</v>
      </c>
      <c r="L47" s="5">
        <f t="shared" si="4"/>
        <v>0.2046</v>
      </c>
      <c r="M47" s="6" t="s">
        <v>3881</v>
      </c>
      <c r="N47" s="5">
        <f t="shared" si="5"/>
        <v>201</v>
      </c>
    </row>
    <row r="48">
      <c r="A48" s="6" t="s">
        <v>5010</v>
      </c>
      <c r="B48" s="6" t="s">
        <v>186</v>
      </c>
      <c r="C48" s="5">
        <f t="shared" si="1"/>
        <v>1</v>
      </c>
      <c r="D48" s="1" t="s">
        <v>116</v>
      </c>
      <c r="E48" s="1" t="s">
        <v>147</v>
      </c>
      <c r="F48" s="1" t="s">
        <v>39</v>
      </c>
      <c r="G48" s="6" t="s">
        <v>3810</v>
      </c>
      <c r="H48" s="5">
        <f t="shared" si="2"/>
        <v>1.1421</v>
      </c>
      <c r="I48" s="1" t="s">
        <v>3811</v>
      </c>
      <c r="J48" s="1">
        <f t="shared" si="3"/>
        <v>359.109615</v>
      </c>
      <c r="K48" s="1" t="s">
        <v>3812</v>
      </c>
      <c r="L48" s="5">
        <f t="shared" si="4"/>
        <v>0.217</v>
      </c>
      <c r="M48" s="6" t="s">
        <v>5294</v>
      </c>
      <c r="N48" s="5">
        <f t="shared" si="5"/>
        <v>112</v>
      </c>
    </row>
    <row r="49">
      <c r="A49" s="6" t="s">
        <v>5010</v>
      </c>
      <c r="B49" s="6" t="s">
        <v>186</v>
      </c>
      <c r="C49" s="5">
        <f t="shared" si="1"/>
        <v>1</v>
      </c>
      <c r="D49" s="1" t="s">
        <v>116</v>
      </c>
      <c r="E49" s="1" t="s">
        <v>147</v>
      </c>
      <c r="F49" s="1" t="s">
        <v>17</v>
      </c>
      <c r="G49" s="1" t="s">
        <v>287</v>
      </c>
      <c r="H49" s="5">
        <f t="shared" si="2"/>
        <v>0.0118</v>
      </c>
      <c r="I49" s="1" t="s">
        <v>3813</v>
      </c>
      <c r="J49" s="1">
        <f t="shared" si="3"/>
        <v>5.171741</v>
      </c>
      <c r="K49" s="1" t="s">
        <v>847</v>
      </c>
      <c r="L49" s="5">
        <f t="shared" si="4"/>
        <v>0.0042</v>
      </c>
      <c r="M49" s="6" t="s">
        <v>3552</v>
      </c>
      <c r="N49" s="5">
        <f t="shared" si="5"/>
        <v>5</v>
      </c>
    </row>
    <row r="50">
      <c r="A50" s="6" t="s">
        <v>5010</v>
      </c>
      <c r="B50" s="6" t="s">
        <v>186</v>
      </c>
      <c r="C50" s="5">
        <f t="shared" si="1"/>
        <v>1</v>
      </c>
      <c r="D50" s="1" t="s">
        <v>116</v>
      </c>
      <c r="E50" s="1" t="s">
        <v>147</v>
      </c>
      <c r="F50" s="1" t="s">
        <v>21</v>
      </c>
      <c r="G50" s="1" t="s">
        <v>3814</v>
      </c>
      <c r="H50" s="5">
        <f t="shared" si="2"/>
        <v>0.0603</v>
      </c>
      <c r="I50" s="1" t="s">
        <v>3815</v>
      </c>
      <c r="J50" s="1">
        <f t="shared" si="3"/>
        <v>31.900512</v>
      </c>
      <c r="K50" s="1" t="s">
        <v>3816</v>
      </c>
      <c r="L50" s="5">
        <f t="shared" si="4"/>
        <v>0.0302</v>
      </c>
      <c r="M50" s="6" t="s">
        <v>4334</v>
      </c>
      <c r="N50" s="5">
        <f t="shared" si="5"/>
        <v>44</v>
      </c>
    </row>
    <row r="51">
      <c r="A51" s="6" t="s">
        <v>5010</v>
      </c>
      <c r="B51" s="6" t="s">
        <v>186</v>
      </c>
      <c r="C51" s="5">
        <f t="shared" si="1"/>
        <v>1</v>
      </c>
      <c r="D51" s="1" t="s">
        <v>116</v>
      </c>
      <c r="E51" s="1" t="s">
        <v>42</v>
      </c>
      <c r="F51" s="1" t="s">
        <v>17</v>
      </c>
      <c r="G51" s="6" t="s">
        <v>5296</v>
      </c>
      <c r="H51" s="5">
        <f t="shared" si="2"/>
        <v>1.3623</v>
      </c>
      <c r="I51" s="1" t="s">
        <v>3818</v>
      </c>
      <c r="J51" s="1">
        <f t="shared" si="3"/>
        <v>282.59374</v>
      </c>
      <c r="K51" s="1" t="s">
        <v>3820</v>
      </c>
      <c r="L51" s="5">
        <f t="shared" si="4"/>
        <v>0.504</v>
      </c>
      <c r="M51" s="6" t="s">
        <v>291</v>
      </c>
      <c r="N51" s="5">
        <f t="shared" si="5"/>
        <v>0</v>
      </c>
    </row>
    <row r="52">
      <c r="A52" s="6" t="s">
        <v>5010</v>
      </c>
      <c r="B52" s="6" t="s">
        <v>186</v>
      </c>
      <c r="C52" s="5">
        <f t="shared" si="1"/>
        <v>1</v>
      </c>
      <c r="D52" s="1" t="s">
        <v>116</v>
      </c>
      <c r="E52" s="1" t="s">
        <v>1830</v>
      </c>
      <c r="F52" s="1" t="s">
        <v>72</v>
      </c>
      <c r="G52" s="6" t="s">
        <v>5297</v>
      </c>
      <c r="H52" s="5">
        <f t="shared" si="2"/>
        <v>3.0058</v>
      </c>
      <c r="I52" s="1" t="s">
        <v>3821</v>
      </c>
      <c r="J52" s="1">
        <f t="shared" si="3"/>
        <v>280.300213</v>
      </c>
      <c r="K52" s="1" t="s">
        <v>3822</v>
      </c>
      <c r="L52" s="5">
        <f t="shared" si="4"/>
        <v>0.9618</v>
      </c>
      <c r="M52" s="6" t="s">
        <v>5298</v>
      </c>
      <c r="N52" s="5">
        <f t="shared" si="5"/>
        <v>2426</v>
      </c>
    </row>
    <row r="53">
      <c r="A53" s="6" t="s">
        <v>5010</v>
      </c>
      <c r="B53" s="6" t="s">
        <v>186</v>
      </c>
      <c r="C53" s="5">
        <f t="shared" si="1"/>
        <v>1</v>
      </c>
      <c r="D53" s="1" t="s">
        <v>116</v>
      </c>
      <c r="E53" s="1" t="s">
        <v>48</v>
      </c>
      <c r="F53" s="1" t="s">
        <v>49</v>
      </c>
      <c r="G53" s="1" t="s">
        <v>3823</v>
      </c>
      <c r="H53" s="5">
        <f t="shared" si="2"/>
        <v>0.0084</v>
      </c>
      <c r="I53" s="1" t="s">
        <v>3824</v>
      </c>
      <c r="J53" s="1">
        <f t="shared" si="3"/>
        <v>3.230365</v>
      </c>
      <c r="K53" s="1" t="s">
        <v>1758</v>
      </c>
      <c r="L53" s="5">
        <f t="shared" si="4"/>
        <v>0.0024</v>
      </c>
      <c r="M53" s="6" t="s">
        <v>273</v>
      </c>
      <c r="N53" s="5">
        <f t="shared" si="5"/>
        <v>4</v>
      </c>
    </row>
    <row r="54">
      <c r="A54" s="6" t="s">
        <v>5010</v>
      </c>
      <c r="B54" s="6" t="s">
        <v>186</v>
      </c>
      <c r="C54" s="5">
        <f t="shared" si="1"/>
        <v>1</v>
      </c>
      <c r="D54" s="1" t="s">
        <v>116</v>
      </c>
      <c r="E54" s="1" t="s">
        <v>48</v>
      </c>
      <c r="F54" s="1" t="s">
        <v>72</v>
      </c>
      <c r="G54" s="1" t="s">
        <v>1193</v>
      </c>
      <c r="H54" s="5">
        <f t="shared" si="2"/>
        <v>0.0193</v>
      </c>
      <c r="I54" s="1" t="s">
        <v>3825</v>
      </c>
      <c r="J54" s="1">
        <f t="shared" si="3"/>
        <v>6.086698</v>
      </c>
      <c r="K54" s="1" t="s">
        <v>487</v>
      </c>
      <c r="L54" s="5">
        <f t="shared" si="4"/>
        <v>0.0058</v>
      </c>
      <c r="M54" s="6" t="s">
        <v>3601</v>
      </c>
      <c r="N54" s="5">
        <f t="shared" si="5"/>
        <v>14</v>
      </c>
    </row>
    <row r="55">
      <c r="A55" s="6" t="s">
        <v>5010</v>
      </c>
      <c r="B55" s="6" t="s">
        <v>186</v>
      </c>
      <c r="C55" s="5">
        <f t="shared" si="1"/>
        <v>1</v>
      </c>
      <c r="D55" s="1" t="s">
        <v>116</v>
      </c>
      <c r="E55" s="1" t="s">
        <v>48</v>
      </c>
      <c r="F55" s="1" t="s">
        <v>21</v>
      </c>
      <c r="G55" s="6" t="s">
        <v>5299</v>
      </c>
      <c r="H55" s="5">
        <f t="shared" si="2"/>
        <v>1.4654</v>
      </c>
      <c r="I55" s="1" t="s">
        <v>3826</v>
      </c>
      <c r="J55" s="1">
        <f t="shared" si="3"/>
        <v>261.313471</v>
      </c>
      <c r="K55" s="1" t="s">
        <v>3827</v>
      </c>
      <c r="L55" s="5">
        <f t="shared" si="4"/>
        <v>0.5861</v>
      </c>
      <c r="M55" s="6" t="s">
        <v>3584</v>
      </c>
      <c r="N55" s="5">
        <f t="shared" si="5"/>
        <v>188</v>
      </c>
    </row>
    <row r="56">
      <c r="A56" s="6" t="s">
        <v>5010</v>
      </c>
      <c r="B56" s="6" t="s">
        <v>186</v>
      </c>
      <c r="C56" s="5">
        <f t="shared" si="1"/>
        <v>1</v>
      </c>
      <c r="D56" s="1" t="s">
        <v>116</v>
      </c>
      <c r="E56" s="1" t="s">
        <v>165</v>
      </c>
      <c r="F56" s="1" t="s">
        <v>39</v>
      </c>
      <c r="G56" s="1" t="s">
        <v>3828</v>
      </c>
      <c r="H56" s="5">
        <f t="shared" si="2"/>
        <v>0.2676</v>
      </c>
      <c r="I56" s="1" t="s">
        <v>3829</v>
      </c>
      <c r="J56" s="1">
        <f t="shared" si="3"/>
        <v>46.087756</v>
      </c>
      <c r="K56" s="1" t="s">
        <v>3830</v>
      </c>
      <c r="L56" s="5">
        <f t="shared" si="4"/>
        <v>0.0481</v>
      </c>
      <c r="M56" s="6" t="s">
        <v>291</v>
      </c>
      <c r="N56" s="5">
        <f t="shared" si="5"/>
        <v>0</v>
      </c>
    </row>
    <row r="57">
      <c r="A57" s="6" t="s">
        <v>5010</v>
      </c>
      <c r="B57" s="6" t="s">
        <v>186</v>
      </c>
      <c r="C57" s="5">
        <f t="shared" si="1"/>
        <v>1</v>
      </c>
      <c r="D57" s="1" t="s">
        <v>116</v>
      </c>
      <c r="E57" s="1" t="s">
        <v>165</v>
      </c>
      <c r="F57" s="1" t="s">
        <v>17</v>
      </c>
      <c r="G57" s="1" t="s">
        <v>3831</v>
      </c>
      <c r="H57" s="5">
        <f t="shared" si="2"/>
        <v>0.5965</v>
      </c>
      <c r="I57" s="1" t="s">
        <v>3832</v>
      </c>
      <c r="J57" s="1">
        <f t="shared" si="3"/>
        <v>145.866054</v>
      </c>
      <c r="K57" s="1" t="s">
        <v>3834</v>
      </c>
      <c r="L57" s="5">
        <f t="shared" si="4"/>
        <v>0.2087</v>
      </c>
      <c r="M57" s="6" t="s">
        <v>291</v>
      </c>
      <c r="N57" s="5">
        <f t="shared" si="5"/>
        <v>0</v>
      </c>
    </row>
    <row r="58">
      <c r="A58" s="6" t="s">
        <v>5010</v>
      </c>
      <c r="B58" s="6" t="s">
        <v>397</v>
      </c>
      <c r="C58" s="5">
        <f t="shared" si="1"/>
        <v>2</v>
      </c>
      <c r="D58" s="1" t="s">
        <v>12</v>
      </c>
      <c r="E58" s="1" t="s">
        <v>13</v>
      </c>
      <c r="F58" s="1" t="s">
        <v>14</v>
      </c>
      <c r="G58" s="6" t="s">
        <v>3835</v>
      </c>
      <c r="H58" s="5">
        <f t="shared" si="2"/>
        <v>11.1079</v>
      </c>
      <c r="I58" s="1" t="s">
        <v>3837</v>
      </c>
      <c r="J58" s="1">
        <f t="shared" si="3"/>
        <v>729.821201</v>
      </c>
      <c r="K58" s="6" t="s">
        <v>5747</v>
      </c>
      <c r="L58" s="5">
        <f t="shared" si="4"/>
        <v>2.3326</v>
      </c>
      <c r="M58" s="6" t="s">
        <v>5748</v>
      </c>
      <c r="N58" s="5">
        <f t="shared" si="5"/>
        <v>533</v>
      </c>
    </row>
    <row r="59">
      <c r="A59" s="6" t="s">
        <v>5010</v>
      </c>
      <c r="B59" s="6" t="s">
        <v>397</v>
      </c>
      <c r="C59" s="5">
        <f t="shared" si="1"/>
        <v>2</v>
      </c>
      <c r="D59" s="1" t="s">
        <v>12</v>
      </c>
      <c r="E59" s="1" t="s">
        <v>13</v>
      </c>
      <c r="F59" s="1" t="s">
        <v>17</v>
      </c>
      <c r="G59" s="1" t="s">
        <v>3838</v>
      </c>
      <c r="H59" s="5">
        <f t="shared" si="2"/>
        <v>47.1109</v>
      </c>
      <c r="I59" s="1" t="s">
        <v>3839</v>
      </c>
      <c r="J59" s="1">
        <f t="shared" si="3"/>
        <v>4702.004113</v>
      </c>
      <c r="K59" s="1" t="s">
        <v>3840</v>
      </c>
      <c r="L59" s="5">
        <f t="shared" si="4"/>
        <v>16.4889</v>
      </c>
      <c r="M59" s="6" t="s">
        <v>5749</v>
      </c>
      <c r="N59" s="5">
        <f t="shared" si="5"/>
        <v>744</v>
      </c>
    </row>
    <row r="60">
      <c r="A60" s="6" t="s">
        <v>5010</v>
      </c>
      <c r="B60" s="6" t="s">
        <v>397</v>
      </c>
      <c r="C60" s="5">
        <f t="shared" si="1"/>
        <v>2</v>
      </c>
      <c r="D60" s="1" t="s">
        <v>12</v>
      </c>
      <c r="E60" s="1" t="s">
        <v>13</v>
      </c>
      <c r="F60" s="1" t="s">
        <v>21</v>
      </c>
      <c r="G60" s="1" t="s">
        <v>3841</v>
      </c>
      <c r="H60" s="5">
        <f t="shared" si="2"/>
        <v>32.4152</v>
      </c>
      <c r="I60" s="1" t="s">
        <v>3842</v>
      </c>
      <c r="J60" s="1">
        <f t="shared" si="3"/>
        <v>3969.19894</v>
      </c>
      <c r="K60" s="1" t="s">
        <v>3843</v>
      </c>
      <c r="L60" s="5">
        <f t="shared" si="4"/>
        <v>16.2075</v>
      </c>
      <c r="M60" s="6" t="s">
        <v>4615</v>
      </c>
      <c r="N60" s="5">
        <f t="shared" si="5"/>
        <v>641</v>
      </c>
    </row>
    <row r="61">
      <c r="A61" s="6" t="s">
        <v>5010</v>
      </c>
      <c r="B61" s="6" t="s">
        <v>397</v>
      </c>
      <c r="C61" s="5">
        <f t="shared" si="1"/>
        <v>2</v>
      </c>
      <c r="D61" s="1" t="s">
        <v>12</v>
      </c>
      <c r="E61" s="1" t="s">
        <v>29</v>
      </c>
      <c r="F61" s="1" t="s">
        <v>14</v>
      </c>
      <c r="G61" s="1" t="s">
        <v>2297</v>
      </c>
      <c r="H61" s="5">
        <f t="shared" si="2"/>
        <v>0.0893</v>
      </c>
      <c r="I61" s="1" t="s">
        <v>3844</v>
      </c>
      <c r="J61" s="1">
        <f t="shared" si="3"/>
        <v>11.329055</v>
      </c>
      <c r="K61" s="1" t="s">
        <v>3845</v>
      </c>
      <c r="L61" s="5">
        <f t="shared" si="4"/>
        <v>0.0178</v>
      </c>
      <c r="M61" s="6" t="s">
        <v>557</v>
      </c>
      <c r="N61" s="5">
        <f t="shared" si="5"/>
        <v>10</v>
      </c>
    </row>
    <row r="62">
      <c r="A62" s="6" t="s">
        <v>5010</v>
      </c>
      <c r="B62" s="6" t="s">
        <v>397</v>
      </c>
      <c r="C62" s="5">
        <f t="shared" si="1"/>
        <v>2</v>
      </c>
      <c r="D62" s="1" t="s">
        <v>12</v>
      </c>
      <c r="E62" s="1" t="s">
        <v>29</v>
      </c>
      <c r="F62" s="1" t="s">
        <v>21</v>
      </c>
      <c r="G62" s="1" t="s">
        <v>3846</v>
      </c>
      <c r="H62" s="5">
        <f t="shared" si="2"/>
        <v>35.8498</v>
      </c>
      <c r="I62" s="1" t="s">
        <v>3847</v>
      </c>
      <c r="J62" s="1">
        <f t="shared" si="3"/>
        <v>5962.643043</v>
      </c>
      <c r="K62" s="1" t="s">
        <v>3848</v>
      </c>
      <c r="L62" s="5">
        <f t="shared" si="4"/>
        <v>14.3399</v>
      </c>
      <c r="M62" s="6" t="s">
        <v>5750</v>
      </c>
      <c r="N62" s="5">
        <f t="shared" si="5"/>
        <v>694</v>
      </c>
    </row>
    <row r="63">
      <c r="A63" s="6" t="s">
        <v>5010</v>
      </c>
      <c r="B63" s="6" t="s">
        <v>397</v>
      </c>
      <c r="C63" s="5">
        <f t="shared" si="1"/>
        <v>2</v>
      </c>
      <c r="D63" s="1" t="s">
        <v>12</v>
      </c>
      <c r="E63" s="1" t="s">
        <v>38</v>
      </c>
      <c r="F63" s="1" t="s">
        <v>39</v>
      </c>
      <c r="G63" s="6" t="s">
        <v>5751</v>
      </c>
      <c r="H63" s="5">
        <f t="shared" si="2"/>
        <v>2.5138</v>
      </c>
      <c r="I63" s="1" t="s">
        <v>3849</v>
      </c>
      <c r="J63" s="1">
        <f t="shared" si="3"/>
        <v>284.824342</v>
      </c>
      <c r="K63" s="1" t="s">
        <v>3850</v>
      </c>
      <c r="L63" s="5">
        <f t="shared" si="4"/>
        <v>0.4525</v>
      </c>
      <c r="M63" s="6" t="s">
        <v>3603</v>
      </c>
      <c r="N63" s="5">
        <f t="shared" si="5"/>
        <v>202</v>
      </c>
    </row>
    <row r="64">
      <c r="A64" s="6" t="s">
        <v>5010</v>
      </c>
      <c r="B64" s="6" t="s">
        <v>397</v>
      </c>
      <c r="C64" s="5">
        <f t="shared" si="1"/>
        <v>2</v>
      </c>
      <c r="D64" s="1" t="s">
        <v>12</v>
      </c>
      <c r="E64" s="1" t="s">
        <v>48</v>
      </c>
      <c r="F64" s="1" t="s">
        <v>49</v>
      </c>
      <c r="G64" s="1" t="s">
        <v>1007</v>
      </c>
      <c r="H64" s="5">
        <f t="shared" si="2"/>
        <v>0.0093</v>
      </c>
      <c r="I64" s="1" t="s">
        <v>3851</v>
      </c>
      <c r="J64" s="1">
        <f t="shared" si="3"/>
        <v>2.950686</v>
      </c>
      <c r="K64" s="1" t="s">
        <v>396</v>
      </c>
      <c r="L64" s="5">
        <f t="shared" si="4"/>
        <v>0.0027</v>
      </c>
      <c r="M64" s="6" t="s">
        <v>600</v>
      </c>
      <c r="N64" s="5">
        <f t="shared" si="5"/>
        <v>7</v>
      </c>
    </row>
    <row r="65">
      <c r="A65" s="6" t="s">
        <v>5010</v>
      </c>
      <c r="B65" s="6" t="s">
        <v>397</v>
      </c>
      <c r="C65" s="5">
        <f t="shared" si="1"/>
        <v>2</v>
      </c>
      <c r="D65" s="1" t="s">
        <v>12</v>
      </c>
      <c r="E65" s="1" t="s">
        <v>48</v>
      </c>
      <c r="F65" s="1" t="s">
        <v>21</v>
      </c>
      <c r="G65" s="6" t="s">
        <v>5752</v>
      </c>
      <c r="H65" s="5">
        <f t="shared" si="2"/>
        <v>1.6619</v>
      </c>
      <c r="I65" s="1" t="s">
        <v>3853</v>
      </c>
      <c r="J65" s="1">
        <f t="shared" si="3"/>
        <v>234.198798</v>
      </c>
      <c r="K65" s="1" t="s">
        <v>3354</v>
      </c>
      <c r="L65" s="5">
        <f t="shared" si="4"/>
        <v>0.6647</v>
      </c>
      <c r="M65" s="6" t="s">
        <v>4594</v>
      </c>
      <c r="N65" s="5">
        <f t="shared" si="5"/>
        <v>171</v>
      </c>
    </row>
    <row r="66">
      <c r="A66" s="6" t="s">
        <v>5010</v>
      </c>
      <c r="B66" s="6" t="s">
        <v>397</v>
      </c>
      <c r="C66" s="5">
        <f t="shared" si="1"/>
        <v>2</v>
      </c>
      <c r="D66" s="1" t="s">
        <v>12</v>
      </c>
      <c r="E66" s="1" t="s">
        <v>45</v>
      </c>
      <c r="F66" s="1" t="s">
        <v>49</v>
      </c>
      <c r="G66" s="1" t="s">
        <v>3855</v>
      </c>
      <c r="H66" s="5">
        <f t="shared" si="2"/>
        <v>0.0039</v>
      </c>
      <c r="I66" s="1" t="s">
        <v>3857</v>
      </c>
      <c r="J66" s="1">
        <f t="shared" si="3"/>
        <v>0.20893</v>
      </c>
      <c r="K66" s="1" t="s">
        <v>1962</v>
      </c>
      <c r="L66" s="5">
        <f t="shared" si="4"/>
        <v>0.001</v>
      </c>
      <c r="M66" s="6" t="s">
        <v>186</v>
      </c>
      <c r="N66" s="5">
        <f t="shared" si="5"/>
        <v>1</v>
      </c>
    </row>
    <row r="67">
      <c r="A67" s="6" t="s">
        <v>5010</v>
      </c>
      <c r="B67" s="6" t="s">
        <v>397</v>
      </c>
      <c r="C67" s="5">
        <f t="shared" si="1"/>
        <v>2</v>
      </c>
      <c r="D67" s="1" t="s">
        <v>12</v>
      </c>
      <c r="E67" s="1" t="s">
        <v>45</v>
      </c>
      <c r="F67" s="1" t="s">
        <v>17</v>
      </c>
      <c r="G67" s="6" t="s">
        <v>5753</v>
      </c>
      <c r="H67" s="5">
        <f t="shared" si="2"/>
        <v>1.5126</v>
      </c>
      <c r="I67" s="1" t="s">
        <v>3863</v>
      </c>
      <c r="J67" s="1">
        <f t="shared" si="3"/>
        <v>124.996153</v>
      </c>
      <c r="K67" s="1" t="s">
        <v>3865</v>
      </c>
      <c r="L67" s="5">
        <f t="shared" si="4"/>
        <v>0.5445</v>
      </c>
      <c r="M67" s="6" t="s">
        <v>3683</v>
      </c>
      <c r="N67" s="5">
        <f t="shared" si="5"/>
        <v>151</v>
      </c>
    </row>
    <row r="68">
      <c r="A68" s="6" t="s">
        <v>5010</v>
      </c>
      <c r="B68" s="6" t="s">
        <v>397</v>
      </c>
      <c r="C68" s="5">
        <f t="shared" si="1"/>
        <v>2</v>
      </c>
      <c r="D68" s="1" t="s">
        <v>12</v>
      </c>
      <c r="E68" s="1" t="s">
        <v>42</v>
      </c>
      <c r="F68" s="1" t="s">
        <v>17</v>
      </c>
      <c r="G68" s="1" t="s">
        <v>3866</v>
      </c>
      <c r="H68" s="5">
        <f t="shared" si="2"/>
        <v>0.413</v>
      </c>
      <c r="I68" s="1" t="s">
        <v>3867</v>
      </c>
      <c r="J68" s="1">
        <f t="shared" si="3"/>
        <v>75.322764</v>
      </c>
      <c r="K68" s="1" t="s">
        <v>3868</v>
      </c>
      <c r="L68" s="5">
        <f t="shared" si="4"/>
        <v>0.1528</v>
      </c>
      <c r="M68" s="6" t="s">
        <v>2686</v>
      </c>
      <c r="N68" s="5">
        <f t="shared" si="5"/>
        <v>34</v>
      </c>
    </row>
    <row r="69">
      <c r="A69" s="6" t="s">
        <v>5010</v>
      </c>
      <c r="B69" s="6" t="s">
        <v>397</v>
      </c>
      <c r="C69" s="5">
        <f t="shared" si="1"/>
        <v>2</v>
      </c>
      <c r="D69" s="1" t="s">
        <v>12</v>
      </c>
      <c r="E69" s="1" t="s">
        <v>1830</v>
      </c>
      <c r="F69" s="1" t="s">
        <v>72</v>
      </c>
      <c r="G69" s="1" t="s">
        <v>3869</v>
      </c>
      <c r="H69" s="5">
        <f t="shared" si="2"/>
        <v>0.7527</v>
      </c>
      <c r="I69" s="1" t="s">
        <v>3870</v>
      </c>
      <c r="J69" s="1">
        <f t="shared" si="3"/>
        <v>74.063678</v>
      </c>
      <c r="K69" s="1" t="s">
        <v>3871</v>
      </c>
      <c r="L69" s="5">
        <f t="shared" si="4"/>
        <v>0.2409</v>
      </c>
      <c r="M69" s="6" t="s">
        <v>5754</v>
      </c>
      <c r="N69" s="5">
        <f t="shared" si="5"/>
        <v>251</v>
      </c>
    </row>
    <row r="70">
      <c r="A70" s="6" t="s">
        <v>5010</v>
      </c>
      <c r="B70" s="6" t="s">
        <v>397</v>
      </c>
      <c r="C70" s="5">
        <f t="shared" si="1"/>
        <v>2</v>
      </c>
      <c r="D70" s="1" t="s">
        <v>12</v>
      </c>
      <c r="E70" s="1" t="s">
        <v>56</v>
      </c>
      <c r="F70" s="1" t="s">
        <v>21</v>
      </c>
      <c r="G70" s="1" t="s">
        <v>3873</v>
      </c>
      <c r="H70" s="5">
        <f t="shared" si="2"/>
        <v>0.157</v>
      </c>
      <c r="I70" s="1" t="s">
        <v>3874</v>
      </c>
      <c r="J70" s="1">
        <f t="shared" si="3"/>
        <v>34.985402</v>
      </c>
      <c r="K70" s="1" t="s">
        <v>3876</v>
      </c>
      <c r="L70" s="5">
        <f t="shared" si="4"/>
        <v>0.0628</v>
      </c>
      <c r="M70" s="6" t="s">
        <v>1510</v>
      </c>
      <c r="N70" s="5">
        <f t="shared" si="5"/>
        <v>108</v>
      </c>
    </row>
    <row r="71">
      <c r="A71" s="6" t="s">
        <v>5010</v>
      </c>
      <c r="B71" s="6" t="s">
        <v>397</v>
      </c>
      <c r="C71" s="5">
        <f t="shared" si="1"/>
        <v>2</v>
      </c>
      <c r="D71" s="1" t="s">
        <v>12</v>
      </c>
      <c r="E71" s="1" t="s">
        <v>848</v>
      </c>
      <c r="F71" s="1" t="s">
        <v>21</v>
      </c>
      <c r="G71" s="1" t="s">
        <v>3878</v>
      </c>
      <c r="H71" s="5">
        <f t="shared" si="2"/>
        <v>0.202</v>
      </c>
      <c r="I71" s="1" t="s">
        <v>3879</v>
      </c>
      <c r="J71" s="1">
        <f t="shared" si="3"/>
        <v>33.859989</v>
      </c>
      <c r="K71" s="1" t="s">
        <v>3880</v>
      </c>
      <c r="L71" s="5">
        <f t="shared" si="4"/>
        <v>0.0808</v>
      </c>
      <c r="M71" s="6" t="s">
        <v>291</v>
      </c>
      <c r="N71" s="5">
        <f t="shared" si="5"/>
        <v>0</v>
      </c>
    </row>
    <row r="72">
      <c r="A72" s="6" t="s">
        <v>5010</v>
      </c>
      <c r="B72" s="6" t="s">
        <v>397</v>
      </c>
      <c r="C72" s="5">
        <f t="shared" si="1"/>
        <v>2</v>
      </c>
      <c r="D72" s="1" t="s">
        <v>12</v>
      </c>
      <c r="E72" s="1" t="s">
        <v>60</v>
      </c>
      <c r="F72" s="1" t="s">
        <v>39</v>
      </c>
      <c r="G72" s="1" t="s">
        <v>3882</v>
      </c>
      <c r="H72" s="5">
        <f t="shared" si="2"/>
        <v>0.1907</v>
      </c>
      <c r="I72" s="1" t="s">
        <v>3883</v>
      </c>
      <c r="J72" s="1">
        <f t="shared" si="3"/>
        <v>32.362732</v>
      </c>
      <c r="K72" s="1" t="s">
        <v>3884</v>
      </c>
      <c r="L72" s="5">
        <f t="shared" si="4"/>
        <v>0.0362</v>
      </c>
      <c r="M72" s="6" t="s">
        <v>3629</v>
      </c>
      <c r="N72" s="5">
        <f t="shared" si="5"/>
        <v>82</v>
      </c>
    </row>
    <row r="73">
      <c r="A73" s="6" t="s">
        <v>5010</v>
      </c>
      <c r="B73" s="6" t="s">
        <v>397</v>
      </c>
      <c r="C73" s="5">
        <f t="shared" si="1"/>
        <v>2</v>
      </c>
      <c r="D73" s="1" t="s">
        <v>12</v>
      </c>
      <c r="E73" s="1" t="s">
        <v>60</v>
      </c>
      <c r="F73" s="1" t="s">
        <v>17</v>
      </c>
      <c r="G73" s="1" t="s">
        <v>878</v>
      </c>
      <c r="H73" s="5">
        <f t="shared" si="2"/>
        <v>0.0044</v>
      </c>
      <c r="I73" s="1" t="s">
        <v>3885</v>
      </c>
      <c r="J73" s="1">
        <f t="shared" si="3"/>
        <v>0.405462</v>
      </c>
      <c r="K73" s="1" t="s">
        <v>144</v>
      </c>
      <c r="L73" s="5">
        <f t="shared" si="4"/>
        <v>0.0017</v>
      </c>
      <c r="M73" s="6" t="s">
        <v>397</v>
      </c>
      <c r="N73" s="5">
        <f t="shared" si="5"/>
        <v>2</v>
      </c>
    </row>
    <row r="74">
      <c r="A74" s="6" t="s">
        <v>5010</v>
      </c>
      <c r="B74" s="6" t="s">
        <v>397</v>
      </c>
      <c r="C74" s="5">
        <f t="shared" si="1"/>
        <v>2</v>
      </c>
      <c r="D74" s="1" t="s">
        <v>68</v>
      </c>
      <c r="E74" s="1" t="s">
        <v>13</v>
      </c>
      <c r="F74" s="1" t="s">
        <v>14</v>
      </c>
      <c r="G74" s="1" t="s">
        <v>3886</v>
      </c>
      <c r="H74" s="5">
        <f t="shared" si="2"/>
        <v>82.455</v>
      </c>
      <c r="I74" s="1" t="s">
        <v>3887</v>
      </c>
      <c r="J74" s="1">
        <f t="shared" si="3"/>
        <v>4483.615135</v>
      </c>
      <c r="K74" s="1" t="s">
        <v>3888</v>
      </c>
      <c r="L74" s="5">
        <f t="shared" si="4"/>
        <v>17.3156</v>
      </c>
      <c r="M74" s="6" t="s">
        <v>5826</v>
      </c>
      <c r="N74" s="5">
        <f t="shared" si="5"/>
        <v>9842</v>
      </c>
    </row>
    <row r="75">
      <c r="A75" s="6" t="s">
        <v>5010</v>
      </c>
      <c r="B75" s="6" t="s">
        <v>397</v>
      </c>
      <c r="C75" s="5">
        <f t="shared" si="1"/>
        <v>2</v>
      </c>
      <c r="D75" s="1" t="s">
        <v>68</v>
      </c>
      <c r="E75" s="1" t="s">
        <v>13</v>
      </c>
      <c r="F75" s="1" t="s">
        <v>17</v>
      </c>
      <c r="G75" s="1" t="s">
        <v>3889</v>
      </c>
      <c r="H75" s="5">
        <f t="shared" si="2"/>
        <v>54.6811</v>
      </c>
      <c r="I75" s="1" t="s">
        <v>3890</v>
      </c>
      <c r="J75" s="1">
        <f t="shared" si="3"/>
        <v>5765.421415</v>
      </c>
      <c r="K75" s="1" t="s">
        <v>3891</v>
      </c>
      <c r="L75" s="5">
        <f t="shared" si="4"/>
        <v>19.1384</v>
      </c>
      <c r="M75" s="6" t="s">
        <v>5828</v>
      </c>
      <c r="N75" s="5">
        <f t="shared" si="5"/>
        <v>8884</v>
      </c>
    </row>
    <row r="76">
      <c r="A76" s="6" t="s">
        <v>5010</v>
      </c>
      <c r="B76" s="6" t="s">
        <v>397</v>
      </c>
      <c r="C76" s="5">
        <f t="shared" si="1"/>
        <v>2</v>
      </c>
      <c r="D76" s="1" t="s">
        <v>68</v>
      </c>
      <c r="E76" s="1" t="s">
        <v>13</v>
      </c>
      <c r="F76" s="1" t="s">
        <v>21</v>
      </c>
      <c r="G76" s="6" t="s">
        <v>5831</v>
      </c>
      <c r="H76" s="5">
        <f t="shared" si="2"/>
        <v>3.2303</v>
      </c>
      <c r="I76" s="1" t="s">
        <v>3892</v>
      </c>
      <c r="J76" s="1">
        <f t="shared" si="3"/>
        <v>555.281552</v>
      </c>
      <c r="K76" s="6" t="s">
        <v>5832</v>
      </c>
      <c r="L76" s="5">
        <f t="shared" si="4"/>
        <v>1.6151</v>
      </c>
      <c r="M76" s="6" t="s">
        <v>5833</v>
      </c>
      <c r="N76" s="5">
        <f t="shared" si="5"/>
        <v>698</v>
      </c>
    </row>
    <row r="77">
      <c r="A77" s="6" t="s">
        <v>5010</v>
      </c>
      <c r="B77" s="6" t="s">
        <v>397</v>
      </c>
      <c r="C77" s="5">
        <f t="shared" si="1"/>
        <v>2</v>
      </c>
      <c r="D77" s="1" t="s">
        <v>68</v>
      </c>
      <c r="E77" s="1" t="s">
        <v>13</v>
      </c>
      <c r="F77" s="1" t="s">
        <v>25</v>
      </c>
      <c r="G77" s="1" t="s">
        <v>3893</v>
      </c>
      <c r="H77" s="5">
        <f t="shared" si="2"/>
        <v>0.2929</v>
      </c>
      <c r="I77" s="1" t="s">
        <v>3894</v>
      </c>
      <c r="J77" s="1">
        <f t="shared" si="3"/>
        <v>47.309114</v>
      </c>
      <c r="K77" s="1" t="s">
        <v>3895</v>
      </c>
      <c r="L77" s="5">
        <f t="shared" si="4"/>
        <v>0.2197</v>
      </c>
      <c r="M77" s="6" t="s">
        <v>626</v>
      </c>
      <c r="N77" s="5">
        <f t="shared" si="5"/>
        <v>179</v>
      </c>
    </row>
    <row r="78">
      <c r="A78" s="6" t="s">
        <v>5010</v>
      </c>
      <c r="B78" s="6" t="s">
        <v>397</v>
      </c>
      <c r="C78" s="5">
        <f t="shared" si="1"/>
        <v>2</v>
      </c>
      <c r="D78" s="1" t="s">
        <v>68</v>
      </c>
      <c r="E78" s="1" t="s">
        <v>29</v>
      </c>
      <c r="F78" s="1" t="s">
        <v>14</v>
      </c>
      <c r="G78" s="1" t="s">
        <v>2841</v>
      </c>
      <c r="H78" s="5">
        <f t="shared" si="2"/>
        <v>0.0863</v>
      </c>
      <c r="I78" s="1" t="s">
        <v>3896</v>
      </c>
      <c r="J78" s="1">
        <f t="shared" si="3"/>
        <v>13.461723</v>
      </c>
      <c r="K78" s="1" t="s">
        <v>1558</v>
      </c>
      <c r="L78" s="5">
        <f t="shared" si="4"/>
        <v>0.0172</v>
      </c>
      <c r="M78" s="6" t="s">
        <v>3557</v>
      </c>
      <c r="N78" s="5">
        <f t="shared" si="5"/>
        <v>22</v>
      </c>
    </row>
    <row r="79">
      <c r="A79" s="6" t="s">
        <v>5010</v>
      </c>
      <c r="B79" s="6" t="s">
        <v>397</v>
      </c>
      <c r="C79" s="5">
        <f t="shared" si="1"/>
        <v>2</v>
      </c>
      <c r="D79" s="1" t="s">
        <v>68</v>
      </c>
      <c r="E79" s="1" t="s">
        <v>29</v>
      </c>
      <c r="F79" s="1" t="s">
        <v>21</v>
      </c>
      <c r="G79" s="6" t="s">
        <v>5839</v>
      </c>
      <c r="H79" s="5">
        <f t="shared" si="2"/>
        <v>7.6719</v>
      </c>
      <c r="I79" s="1" t="s">
        <v>3897</v>
      </c>
      <c r="J79" s="1">
        <f t="shared" si="3"/>
        <v>1608.789744</v>
      </c>
      <c r="K79" s="6" t="s">
        <v>3898</v>
      </c>
      <c r="L79" s="5">
        <f t="shared" si="4"/>
        <v>3.0688</v>
      </c>
      <c r="M79" s="6" t="s">
        <v>5841</v>
      </c>
      <c r="N79" s="5">
        <f t="shared" si="5"/>
        <v>1087</v>
      </c>
    </row>
    <row r="80">
      <c r="A80" s="6" t="s">
        <v>5010</v>
      </c>
      <c r="B80" s="6" t="s">
        <v>397</v>
      </c>
      <c r="C80" s="5">
        <f t="shared" si="1"/>
        <v>2</v>
      </c>
      <c r="D80" s="1" t="s">
        <v>68</v>
      </c>
      <c r="E80" s="1" t="s">
        <v>45</v>
      </c>
      <c r="F80" s="1" t="s">
        <v>49</v>
      </c>
      <c r="G80" s="1" t="s">
        <v>3899</v>
      </c>
      <c r="H80" s="5">
        <f t="shared" si="2"/>
        <v>0.9638</v>
      </c>
      <c r="I80" s="1" t="s">
        <v>3900</v>
      </c>
      <c r="J80" s="1">
        <f t="shared" si="3"/>
        <v>54.697267</v>
      </c>
      <c r="K80" s="1" t="s">
        <v>1844</v>
      </c>
      <c r="L80" s="5">
        <f t="shared" si="4"/>
        <v>0.2506</v>
      </c>
      <c r="M80" s="6" t="s">
        <v>4345</v>
      </c>
      <c r="N80" s="5">
        <f t="shared" si="5"/>
        <v>153</v>
      </c>
    </row>
    <row r="81">
      <c r="A81" s="6" t="s">
        <v>5010</v>
      </c>
      <c r="B81" s="6" t="s">
        <v>397</v>
      </c>
      <c r="C81" s="5">
        <f t="shared" si="1"/>
        <v>2</v>
      </c>
      <c r="D81" s="1" t="s">
        <v>68</v>
      </c>
      <c r="E81" s="1" t="s">
        <v>45</v>
      </c>
      <c r="F81" s="1" t="s">
        <v>17</v>
      </c>
      <c r="G81" s="6" t="s">
        <v>3902</v>
      </c>
      <c r="H81" s="5">
        <f t="shared" si="2"/>
        <v>7.0538</v>
      </c>
      <c r="I81" s="1" t="s">
        <v>3903</v>
      </c>
      <c r="J81" s="1">
        <f t="shared" si="3"/>
        <v>530.288474</v>
      </c>
      <c r="K81" s="6" t="s">
        <v>5842</v>
      </c>
      <c r="L81" s="5">
        <f t="shared" si="4"/>
        <v>2.5393</v>
      </c>
      <c r="M81" s="6" t="s">
        <v>5843</v>
      </c>
      <c r="N81" s="5">
        <f t="shared" si="5"/>
        <v>1340</v>
      </c>
    </row>
    <row r="82">
      <c r="A82" s="6" t="s">
        <v>5010</v>
      </c>
      <c r="B82" s="6" t="s">
        <v>397</v>
      </c>
      <c r="C82" s="5">
        <f t="shared" si="1"/>
        <v>2</v>
      </c>
      <c r="D82" s="1" t="s">
        <v>68</v>
      </c>
      <c r="E82" s="1" t="s">
        <v>38</v>
      </c>
      <c r="F82" s="1" t="s">
        <v>39</v>
      </c>
      <c r="G82" s="6" t="s">
        <v>5844</v>
      </c>
      <c r="H82" s="5">
        <f t="shared" si="2"/>
        <v>5.7038</v>
      </c>
      <c r="I82" s="1" t="s">
        <v>3904</v>
      </c>
      <c r="J82" s="1">
        <f t="shared" si="3"/>
        <v>515.438104</v>
      </c>
      <c r="K82" s="6" t="s">
        <v>1172</v>
      </c>
      <c r="L82" s="5">
        <f t="shared" si="4"/>
        <v>1.0267</v>
      </c>
      <c r="M82" s="6" t="s">
        <v>5845</v>
      </c>
      <c r="N82" s="5">
        <f t="shared" si="5"/>
        <v>2437</v>
      </c>
    </row>
    <row r="83">
      <c r="A83" s="6" t="s">
        <v>5010</v>
      </c>
      <c r="B83" s="6" t="s">
        <v>397</v>
      </c>
      <c r="C83" s="5">
        <f t="shared" si="1"/>
        <v>2</v>
      </c>
      <c r="D83" s="1" t="s">
        <v>68</v>
      </c>
      <c r="E83" s="1" t="s">
        <v>1851</v>
      </c>
      <c r="F83" s="1" t="s">
        <v>17</v>
      </c>
      <c r="G83" s="6" t="s">
        <v>5636</v>
      </c>
      <c r="H83" s="5">
        <f t="shared" si="2"/>
        <v>2.7931</v>
      </c>
      <c r="I83" s="1" t="s">
        <v>3905</v>
      </c>
      <c r="J83" s="1">
        <f t="shared" si="3"/>
        <v>192.427103</v>
      </c>
      <c r="K83" s="6" t="s">
        <v>2424</v>
      </c>
      <c r="L83" s="5">
        <f t="shared" si="4"/>
        <v>1.0754</v>
      </c>
      <c r="M83" s="6" t="s">
        <v>5846</v>
      </c>
      <c r="N83" s="5">
        <f t="shared" si="5"/>
        <v>960</v>
      </c>
    </row>
    <row r="84">
      <c r="A84" s="6" t="s">
        <v>5010</v>
      </c>
      <c r="B84" s="6" t="s">
        <v>397</v>
      </c>
      <c r="C84" s="5">
        <f t="shared" si="1"/>
        <v>2</v>
      </c>
      <c r="D84" s="1" t="s">
        <v>68</v>
      </c>
      <c r="E84" s="1" t="s">
        <v>1851</v>
      </c>
      <c r="F84" s="1" t="s">
        <v>21</v>
      </c>
      <c r="G84" s="1" t="s">
        <v>3906</v>
      </c>
      <c r="H84" s="5">
        <f t="shared" si="2"/>
        <v>0.2556</v>
      </c>
      <c r="I84" s="1" t="s">
        <v>3907</v>
      </c>
      <c r="J84" s="1">
        <f t="shared" si="3"/>
        <v>21.533492</v>
      </c>
      <c r="K84" s="1" t="s">
        <v>2823</v>
      </c>
      <c r="L84" s="5">
        <f t="shared" si="4"/>
        <v>0.1253</v>
      </c>
      <c r="M84" s="6" t="s">
        <v>5847</v>
      </c>
      <c r="N84" s="5">
        <f t="shared" si="5"/>
        <v>180</v>
      </c>
    </row>
    <row r="85">
      <c r="A85" s="6" t="s">
        <v>5010</v>
      </c>
      <c r="B85" s="6" t="s">
        <v>397</v>
      </c>
      <c r="C85" s="5">
        <f t="shared" si="1"/>
        <v>2</v>
      </c>
      <c r="D85" s="1" t="s">
        <v>68</v>
      </c>
      <c r="E85" s="1" t="s">
        <v>48</v>
      </c>
      <c r="F85" s="1" t="s">
        <v>49</v>
      </c>
      <c r="G85" s="1" t="s">
        <v>1460</v>
      </c>
      <c r="H85" s="5">
        <f t="shared" si="2"/>
        <v>0.002</v>
      </c>
      <c r="I85" s="1" t="s">
        <v>3908</v>
      </c>
      <c r="J85" s="1">
        <f t="shared" si="3"/>
        <v>0.908857</v>
      </c>
      <c r="K85" s="1" t="s">
        <v>373</v>
      </c>
      <c r="L85" s="5">
        <f t="shared" si="4"/>
        <v>0.0006</v>
      </c>
      <c r="M85" s="6" t="s">
        <v>291</v>
      </c>
      <c r="N85" s="5">
        <f t="shared" si="5"/>
        <v>0</v>
      </c>
    </row>
    <row r="86">
      <c r="A86" s="6" t="s">
        <v>5010</v>
      </c>
      <c r="B86" s="6" t="s">
        <v>397</v>
      </c>
      <c r="C86" s="5">
        <f t="shared" si="1"/>
        <v>2</v>
      </c>
      <c r="D86" s="1" t="s">
        <v>68</v>
      </c>
      <c r="E86" s="1" t="s">
        <v>48</v>
      </c>
      <c r="F86" s="1" t="s">
        <v>72</v>
      </c>
      <c r="G86" s="1" t="s">
        <v>878</v>
      </c>
      <c r="H86" s="5">
        <f t="shared" si="2"/>
        <v>0.0044</v>
      </c>
      <c r="I86" s="1" t="s">
        <v>3909</v>
      </c>
      <c r="J86" s="1">
        <f t="shared" si="3"/>
        <v>1.373464</v>
      </c>
      <c r="K86" s="1" t="s">
        <v>73</v>
      </c>
      <c r="L86" s="5">
        <f t="shared" si="4"/>
        <v>0.0013</v>
      </c>
      <c r="M86" s="6" t="s">
        <v>291</v>
      </c>
      <c r="N86" s="5">
        <f t="shared" si="5"/>
        <v>0</v>
      </c>
    </row>
    <row r="87">
      <c r="A87" s="6" t="s">
        <v>5010</v>
      </c>
      <c r="B87" s="6" t="s">
        <v>397</v>
      </c>
      <c r="C87" s="5">
        <f t="shared" si="1"/>
        <v>2</v>
      </c>
      <c r="D87" s="1" t="s">
        <v>68</v>
      </c>
      <c r="E87" s="1" t="s">
        <v>48</v>
      </c>
      <c r="F87" s="1" t="s">
        <v>21</v>
      </c>
      <c r="G87" s="6" t="s">
        <v>3911</v>
      </c>
      <c r="H87" s="5">
        <f t="shared" si="2"/>
        <v>1.0493</v>
      </c>
      <c r="I87" s="1" t="s">
        <v>3912</v>
      </c>
      <c r="J87" s="1">
        <f t="shared" si="3"/>
        <v>156.258602</v>
      </c>
      <c r="K87" s="1" t="s">
        <v>3913</v>
      </c>
      <c r="L87" s="5">
        <f t="shared" si="4"/>
        <v>0.4197</v>
      </c>
      <c r="M87" s="6" t="s">
        <v>291</v>
      </c>
      <c r="N87" s="5">
        <f t="shared" si="5"/>
        <v>0</v>
      </c>
    </row>
    <row r="88">
      <c r="A88" s="6" t="s">
        <v>5010</v>
      </c>
      <c r="B88" s="6" t="s">
        <v>397</v>
      </c>
      <c r="C88" s="5">
        <f t="shared" si="1"/>
        <v>2</v>
      </c>
      <c r="D88" s="1" t="s">
        <v>68</v>
      </c>
      <c r="E88" s="1" t="s">
        <v>1830</v>
      </c>
      <c r="F88" s="1" t="s">
        <v>72</v>
      </c>
      <c r="G88" s="6" t="s">
        <v>5855</v>
      </c>
      <c r="H88" s="5">
        <f t="shared" si="2"/>
        <v>1.6042</v>
      </c>
      <c r="I88" s="1" t="s">
        <v>3914</v>
      </c>
      <c r="J88" s="1">
        <f t="shared" si="3"/>
        <v>121.201788</v>
      </c>
      <c r="K88" s="1" t="s">
        <v>3915</v>
      </c>
      <c r="L88" s="5">
        <f t="shared" si="4"/>
        <v>0.5133</v>
      </c>
      <c r="M88" s="6" t="s">
        <v>5856</v>
      </c>
      <c r="N88" s="5">
        <f t="shared" si="5"/>
        <v>1290</v>
      </c>
    </row>
    <row r="89">
      <c r="A89" s="6" t="s">
        <v>5010</v>
      </c>
      <c r="B89" s="6" t="s">
        <v>397</v>
      </c>
      <c r="C89" s="5">
        <f t="shared" si="1"/>
        <v>2</v>
      </c>
      <c r="D89" s="1" t="s">
        <v>68</v>
      </c>
      <c r="E89" s="1" t="s">
        <v>2104</v>
      </c>
      <c r="F89" s="1" t="s">
        <v>17</v>
      </c>
      <c r="G89" s="6" t="s">
        <v>5857</v>
      </c>
      <c r="H89" s="5">
        <f t="shared" si="2"/>
        <v>2.2345</v>
      </c>
      <c r="I89" s="1" t="s">
        <v>3916</v>
      </c>
      <c r="J89" s="1">
        <f t="shared" si="3"/>
        <v>106.804421</v>
      </c>
      <c r="K89" s="1" t="s">
        <v>3918</v>
      </c>
      <c r="L89" s="5">
        <f t="shared" si="4"/>
        <v>0.7821</v>
      </c>
      <c r="M89" s="6" t="s">
        <v>5858</v>
      </c>
      <c r="N89" s="5">
        <f t="shared" si="5"/>
        <v>463</v>
      </c>
    </row>
    <row r="90">
      <c r="A90" s="6" t="s">
        <v>5010</v>
      </c>
      <c r="B90" s="6" t="s">
        <v>397</v>
      </c>
      <c r="C90" s="5">
        <f t="shared" si="1"/>
        <v>2</v>
      </c>
      <c r="D90" s="1" t="s">
        <v>68</v>
      </c>
      <c r="E90" s="1" t="s">
        <v>32</v>
      </c>
      <c r="F90" s="1" t="s">
        <v>14</v>
      </c>
      <c r="G90" s="6" t="s">
        <v>3919</v>
      </c>
      <c r="H90" s="5">
        <f t="shared" si="2"/>
        <v>1.1353</v>
      </c>
      <c r="I90" s="1" t="s">
        <v>3920</v>
      </c>
      <c r="J90" s="1">
        <f t="shared" si="3"/>
        <v>79.158238</v>
      </c>
      <c r="K90" s="1" t="s">
        <v>3921</v>
      </c>
      <c r="L90" s="5">
        <f t="shared" si="4"/>
        <v>0.2611</v>
      </c>
      <c r="M90" s="6" t="s">
        <v>5860</v>
      </c>
      <c r="N90" s="5">
        <f t="shared" si="5"/>
        <v>359</v>
      </c>
    </row>
    <row r="91">
      <c r="A91" s="6" t="s">
        <v>5010</v>
      </c>
      <c r="B91" s="6" t="s">
        <v>397</v>
      </c>
      <c r="C91" s="5">
        <f t="shared" si="1"/>
        <v>2</v>
      </c>
      <c r="D91" s="1" t="s">
        <v>68</v>
      </c>
      <c r="E91" s="1" t="s">
        <v>32</v>
      </c>
      <c r="F91" s="1" t="s">
        <v>21</v>
      </c>
      <c r="G91" s="1" t="s">
        <v>3922</v>
      </c>
      <c r="H91" s="5">
        <f t="shared" si="2"/>
        <v>0.0531</v>
      </c>
      <c r="I91" s="1" t="s">
        <v>3924</v>
      </c>
      <c r="J91" s="1">
        <f t="shared" si="3"/>
        <v>5.084217</v>
      </c>
      <c r="K91" s="1" t="s">
        <v>3925</v>
      </c>
      <c r="L91" s="5">
        <f t="shared" si="4"/>
        <v>0.0239</v>
      </c>
      <c r="M91" s="6" t="s">
        <v>4786</v>
      </c>
      <c r="N91" s="5">
        <f t="shared" si="5"/>
        <v>52</v>
      </c>
    </row>
    <row r="92">
      <c r="A92" s="6" t="s">
        <v>5010</v>
      </c>
      <c r="B92" s="6" t="s">
        <v>397</v>
      </c>
      <c r="C92" s="5">
        <f t="shared" si="1"/>
        <v>2</v>
      </c>
      <c r="D92" s="1" t="s">
        <v>68</v>
      </c>
      <c r="E92" s="1" t="s">
        <v>42</v>
      </c>
      <c r="F92" s="1" t="s">
        <v>17</v>
      </c>
      <c r="G92" s="1" t="s">
        <v>1685</v>
      </c>
      <c r="H92" s="5">
        <f t="shared" si="2"/>
        <v>0.4189</v>
      </c>
      <c r="I92" s="1" t="s">
        <v>3926</v>
      </c>
      <c r="J92" s="1">
        <f t="shared" si="3"/>
        <v>83.905488</v>
      </c>
      <c r="K92" s="1" t="s">
        <v>2233</v>
      </c>
      <c r="L92" s="5">
        <f t="shared" si="4"/>
        <v>0.155</v>
      </c>
      <c r="M92" s="6" t="s">
        <v>291</v>
      </c>
      <c r="N92" s="5">
        <f t="shared" si="5"/>
        <v>0</v>
      </c>
    </row>
    <row r="93">
      <c r="A93" s="6" t="s">
        <v>5010</v>
      </c>
      <c r="B93" s="6" t="s">
        <v>397</v>
      </c>
      <c r="C93" s="5">
        <f t="shared" si="1"/>
        <v>2</v>
      </c>
      <c r="D93" s="1" t="s">
        <v>116</v>
      </c>
      <c r="E93" s="1" t="s">
        <v>13</v>
      </c>
      <c r="F93" s="1" t="s">
        <v>14</v>
      </c>
      <c r="G93" s="1" t="s">
        <v>3928</v>
      </c>
      <c r="H93" s="5">
        <f t="shared" si="2"/>
        <v>211.8291</v>
      </c>
      <c r="I93" s="1" t="s">
        <v>3929</v>
      </c>
      <c r="J93" s="1">
        <f t="shared" si="3"/>
        <v>11127.30868</v>
      </c>
      <c r="K93" s="1" t="s">
        <v>3930</v>
      </c>
      <c r="L93" s="5">
        <f t="shared" si="4"/>
        <v>44.4841</v>
      </c>
      <c r="M93" s="6" t="s">
        <v>5863</v>
      </c>
      <c r="N93" s="5">
        <f t="shared" si="5"/>
        <v>18131</v>
      </c>
    </row>
    <row r="94">
      <c r="A94" s="6" t="s">
        <v>5010</v>
      </c>
      <c r="B94" s="6" t="s">
        <v>397</v>
      </c>
      <c r="C94" s="5">
        <f t="shared" si="1"/>
        <v>2</v>
      </c>
      <c r="D94" s="1" t="s">
        <v>116</v>
      </c>
      <c r="E94" s="1" t="s">
        <v>13</v>
      </c>
      <c r="F94" s="1" t="s">
        <v>17</v>
      </c>
      <c r="G94" s="1" t="s">
        <v>3931</v>
      </c>
      <c r="H94" s="5">
        <f t="shared" si="2"/>
        <v>129.5281</v>
      </c>
      <c r="I94" s="1" t="s">
        <v>3933</v>
      </c>
      <c r="J94" s="1">
        <f t="shared" si="3"/>
        <v>12648.51394</v>
      </c>
      <c r="K94" s="1" t="s">
        <v>3935</v>
      </c>
      <c r="L94" s="5">
        <f t="shared" si="4"/>
        <v>45.3348</v>
      </c>
      <c r="M94" s="6" t="s">
        <v>5864</v>
      </c>
      <c r="N94" s="5">
        <f t="shared" si="5"/>
        <v>16535</v>
      </c>
    </row>
    <row r="95">
      <c r="A95" s="6" t="s">
        <v>5010</v>
      </c>
      <c r="B95" s="6" t="s">
        <v>397</v>
      </c>
      <c r="C95" s="5">
        <f t="shared" si="1"/>
        <v>2</v>
      </c>
      <c r="D95" s="1" t="s">
        <v>116</v>
      </c>
      <c r="E95" s="1" t="s">
        <v>13</v>
      </c>
      <c r="F95" s="1" t="s">
        <v>21</v>
      </c>
      <c r="G95" s="6" t="s">
        <v>5865</v>
      </c>
      <c r="H95" s="5">
        <f t="shared" si="2"/>
        <v>7.3785</v>
      </c>
      <c r="I95" s="1" t="s">
        <v>3936</v>
      </c>
      <c r="J95" s="1">
        <f t="shared" si="3"/>
        <v>1108.961017</v>
      </c>
      <c r="K95" s="6" t="s">
        <v>5867</v>
      </c>
      <c r="L95" s="5">
        <f t="shared" si="4"/>
        <v>3.6893</v>
      </c>
      <c r="M95" s="6" t="s">
        <v>5868</v>
      </c>
      <c r="N95" s="5">
        <f t="shared" si="5"/>
        <v>690</v>
      </c>
    </row>
    <row r="96">
      <c r="A96" s="6" t="s">
        <v>5010</v>
      </c>
      <c r="B96" s="6" t="s">
        <v>397</v>
      </c>
      <c r="C96" s="5">
        <f t="shared" si="1"/>
        <v>2</v>
      </c>
      <c r="D96" s="1" t="s">
        <v>116</v>
      </c>
      <c r="E96" s="1" t="s">
        <v>13</v>
      </c>
      <c r="F96" s="1" t="s">
        <v>25</v>
      </c>
      <c r="G96" s="1" t="s">
        <v>3937</v>
      </c>
      <c r="H96" s="5">
        <f t="shared" si="2"/>
        <v>0.0152</v>
      </c>
      <c r="I96" s="1" t="s">
        <v>3938</v>
      </c>
      <c r="J96" s="1">
        <f t="shared" si="3"/>
        <v>3.141648</v>
      </c>
      <c r="K96" s="1" t="s">
        <v>3939</v>
      </c>
      <c r="L96" s="5">
        <f t="shared" si="4"/>
        <v>0.0114</v>
      </c>
      <c r="M96" s="6" t="s">
        <v>273</v>
      </c>
      <c r="N96" s="5">
        <f t="shared" si="5"/>
        <v>4</v>
      </c>
    </row>
    <row r="97">
      <c r="A97" s="6" t="s">
        <v>5010</v>
      </c>
      <c r="B97" s="6" t="s">
        <v>397</v>
      </c>
      <c r="C97" s="5">
        <f t="shared" si="1"/>
        <v>2</v>
      </c>
      <c r="D97" s="1" t="s">
        <v>116</v>
      </c>
      <c r="E97" s="1" t="s">
        <v>29</v>
      </c>
      <c r="F97" s="1" t="s">
        <v>14</v>
      </c>
      <c r="G97" s="1" t="s">
        <v>3940</v>
      </c>
      <c r="H97" s="5">
        <f t="shared" si="2"/>
        <v>0.9859</v>
      </c>
      <c r="I97" s="1" t="s">
        <v>3941</v>
      </c>
      <c r="J97" s="1">
        <f t="shared" si="3"/>
        <v>118.79017</v>
      </c>
      <c r="K97" s="1" t="s">
        <v>3942</v>
      </c>
      <c r="L97" s="5">
        <f t="shared" si="4"/>
        <v>0.1972</v>
      </c>
      <c r="M97" s="6" t="s">
        <v>5871</v>
      </c>
      <c r="N97" s="5">
        <f t="shared" si="5"/>
        <v>276</v>
      </c>
    </row>
    <row r="98">
      <c r="A98" s="6" t="s">
        <v>5010</v>
      </c>
      <c r="B98" s="6" t="s">
        <v>397</v>
      </c>
      <c r="C98" s="5">
        <f t="shared" si="1"/>
        <v>2</v>
      </c>
      <c r="D98" s="1" t="s">
        <v>116</v>
      </c>
      <c r="E98" s="1" t="s">
        <v>29</v>
      </c>
      <c r="F98" s="1" t="s">
        <v>21</v>
      </c>
      <c r="G98" s="1" t="s">
        <v>3943</v>
      </c>
      <c r="H98" s="5">
        <f t="shared" si="2"/>
        <v>29.5518</v>
      </c>
      <c r="I98" s="1" t="s">
        <v>3944</v>
      </c>
      <c r="J98" s="1">
        <f t="shared" si="3"/>
        <v>6283.969207</v>
      </c>
      <c r="K98" s="6" t="s">
        <v>5872</v>
      </c>
      <c r="L98" s="5">
        <f t="shared" si="4"/>
        <v>11.8206</v>
      </c>
      <c r="M98" s="6" t="s">
        <v>5873</v>
      </c>
      <c r="N98" s="5">
        <f t="shared" si="5"/>
        <v>3996</v>
      </c>
    </row>
    <row r="99">
      <c r="A99" s="6" t="s">
        <v>5010</v>
      </c>
      <c r="B99" s="6" t="s">
        <v>397</v>
      </c>
      <c r="C99" s="5">
        <f t="shared" si="1"/>
        <v>2</v>
      </c>
      <c r="D99" s="1" t="s">
        <v>116</v>
      </c>
      <c r="E99" s="1" t="s">
        <v>45</v>
      </c>
      <c r="F99" s="1" t="s">
        <v>49</v>
      </c>
      <c r="G99" s="6" t="s">
        <v>5874</v>
      </c>
      <c r="H99" s="5">
        <f t="shared" si="2"/>
        <v>2.2895</v>
      </c>
      <c r="I99" s="1" t="s">
        <v>3945</v>
      </c>
      <c r="J99" s="1">
        <f t="shared" si="3"/>
        <v>130.569642</v>
      </c>
      <c r="K99" s="1" t="s">
        <v>3946</v>
      </c>
      <c r="L99" s="5">
        <f t="shared" si="4"/>
        <v>0.5952</v>
      </c>
      <c r="M99" s="6" t="s">
        <v>5875</v>
      </c>
      <c r="N99" s="5">
        <f t="shared" si="5"/>
        <v>321</v>
      </c>
    </row>
    <row r="100">
      <c r="A100" s="6" t="s">
        <v>5010</v>
      </c>
      <c r="B100" s="6" t="s">
        <v>397</v>
      </c>
      <c r="C100" s="5">
        <f t="shared" si="1"/>
        <v>2</v>
      </c>
      <c r="D100" s="1" t="s">
        <v>116</v>
      </c>
      <c r="E100" s="1" t="s">
        <v>45</v>
      </c>
      <c r="F100" s="1" t="s">
        <v>17</v>
      </c>
      <c r="G100" s="1" t="s">
        <v>3947</v>
      </c>
      <c r="H100" s="5">
        <f t="shared" si="2"/>
        <v>26.0692</v>
      </c>
      <c r="I100" s="1" t="s">
        <v>3948</v>
      </c>
      <c r="J100" s="1">
        <f t="shared" si="3"/>
        <v>1788.133068</v>
      </c>
      <c r="K100" s="6" t="s">
        <v>5876</v>
      </c>
      <c r="L100" s="5">
        <f t="shared" si="4"/>
        <v>9.3849</v>
      </c>
      <c r="M100" s="6" t="s">
        <v>5877</v>
      </c>
      <c r="N100" s="5">
        <f t="shared" si="5"/>
        <v>1739</v>
      </c>
    </row>
    <row r="101">
      <c r="A101" s="6" t="s">
        <v>5010</v>
      </c>
      <c r="B101" s="6" t="s">
        <v>397</v>
      </c>
      <c r="C101" s="5">
        <f t="shared" si="1"/>
        <v>2</v>
      </c>
      <c r="D101" s="1" t="s">
        <v>116</v>
      </c>
      <c r="E101" s="1" t="s">
        <v>38</v>
      </c>
      <c r="F101" s="1" t="s">
        <v>39</v>
      </c>
      <c r="G101" s="6" t="s">
        <v>3949</v>
      </c>
      <c r="H101" s="5">
        <f t="shared" si="2"/>
        <v>10.0157</v>
      </c>
      <c r="I101" s="1" t="s">
        <v>3950</v>
      </c>
      <c r="J101" s="1">
        <f t="shared" si="3"/>
        <v>953.289157</v>
      </c>
      <c r="K101" s="6" t="s">
        <v>5878</v>
      </c>
      <c r="L101" s="5">
        <f t="shared" si="4"/>
        <v>1.8028</v>
      </c>
      <c r="M101" s="6" t="s">
        <v>5879</v>
      </c>
      <c r="N101" s="5">
        <f t="shared" si="5"/>
        <v>3804</v>
      </c>
    </row>
    <row r="102">
      <c r="A102" s="6" t="s">
        <v>5010</v>
      </c>
      <c r="B102" s="6" t="s">
        <v>397</v>
      </c>
      <c r="C102" s="5">
        <f t="shared" si="1"/>
        <v>2</v>
      </c>
      <c r="D102" s="1" t="s">
        <v>116</v>
      </c>
      <c r="E102" s="1" t="s">
        <v>48</v>
      </c>
      <c r="F102" s="1" t="s">
        <v>49</v>
      </c>
      <c r="G102" s="1" t="s">
        <v>3939</v>
      </c>
      <c r="H102" s="5">
        <f t="shared" si="2"/>
        <v>0.0114</v>
      </c>
      <c r="I102" s="1" t="s">
        <v>3951</v>
      </c>
      <c r="J102" s="1">
        <f t="shared" si="3"/>
        <v>4.713831</v>
      </c>
      <c r="K102" s="1" t="s">
        <v>3952</v>
      </c>
      <c r="L102" s="5">
        <f t="shared" si="4"/>
        <v>0.0032</v>
      </c>
      <c r="M102" s="6" t="s">
        <v>3552</v>
      </c>
      <c r="N102" s="5">
        <f t="shared" si="5"/>
        <v>5</v>
      </c>
    </row>
    <row r="103">
      <c r="A103" s="6" t="s">
        <v>5010</v>
      </c>
      <c r="B103" s="6" t="s">
        <v>397</v>
      </c>
      <c r="C103" s="5">
        <f t="shared" si="1"/>
        <v>2</v>
      </c>
      <c r="D103" s="1" t="s">
        <v>116</v>
      </c>
      <c r="E103" s="1" t="s">
        <v>48</v>
      </c>
      <c r="F103" s="1" t="s">
        <v>72</v>
      </c>
      <c r="G103" s="1" t="s">
        <v>3953</v>
      </c>
      <c r="H103" s="5">
        <f t="shared" si="2"/>
        <v>0.0077</v>
      </c>
      <c r="I103" s="1" t="s">
        <v>3954</v>
      </c>
      <c r="J103" s="1">
        <f t="shared" si="3"/>
        <v>2.390466</v>
      </c>
      <c r="K103" s="1" t="s">
        <v>880</v>
      </c>
      <c r="L103" s="5">
        <f t="shared" si="4"/>
        <v>0.0023</v>
      </c>
      <c r="M103" s="6" t="s">
        <v>600</v>
      </c>
      <c r="N103" s="5">
        <f t="shared" si="5"/>
        <v>7</v>
      </c>
    </row>
    <row r="104">
      <c r="A104" s="6" t="s">
        <v>5010</v>
      </c>
      <c r="B104" s="6" t="s">
        <v>397</v>
      </c>
      <c r="C104" s="5">
        <f t="shared" si="1"/>
        <v>2</v>
      </c>
      <c r="D104" s="1" t="s">
        <v>116</v>
      </c>
      <c r="E104" s="1" t="s">
        <v>48</v>
      </c>
      <c r="F104" s="1" t="s">
        <v>21</v>
      </c>
      <c r="G104" s="6" t="s">
        <v>5912</v>
      </c>
      <c r="H104" s="5">
        <f t="shared" si="2"/>
        <v>3.7361</v>
      </c>
      <c r="I104" s="1" t="s">
        <v>3955</v>
      </c>
      <c r="J104" s="1">
        <f t="shared" si="3"/>
        <v>756.533329</v>
      </c>
      <c r="K104" s="6" t="s">
        <v>5913</v>
      </c>
      <c r="L104" s="5">
        <f t="shared" si="4"/>
        <v>1.4945</v>
      </c>
      <c r="M104" s="6" t="s">
        <v>5914</v>
      </c>
      <c r="N104" s="5">
        <f t="shared" si="5"/>
        <v>411</v>
      </c>
    </row>
    <row r="105">
      <c r="A105" s="6" t="s">
        <v>5010</v>
      </c>
      <c r="B105" s="6" t="s">
        <v>397</v>
      </c>
      <c r="C105" s="5">
        <f t="shared" si="1"/>
        <v>2</v>
      </c>
      <c r="D105" s="1" t="s">
        <v>116</v>
      </c>
      <c r="E105" s="1" t="s">
        <v>147</v>
      </c>
      <c r="F105" s="1" t="s">
        <v>39</v>
      </c>
      <c r="G105" s="6" t="s">
        <v>5915</v>
      </c>
      <c r="H105" s="5">
        <f t="shared" si="2"/>
        <v>1.3058</v>
      </c>
      <c r="I105" s="1" t="s">
        <v>3956</v>
      </c>
      <c r="J105" s="1">
        <f t="shared" si="3"/>
        <v>401.388021</v>
      </c>
      <c r="K105" s="1" t="s">
        <v>965</v>
      </c>
      <c r="L105" s="5">
        <f t="shared" si="4"/>
        <v>0.2481</v>
      </c>
      <c r="M105" s="6" t="s">
        <v>4485</v>
      </c>
      <c r="N105" s="5">
        <f t="shared" si="5"/>
        <v>99</v>
      </c>
    </row>
    <row r="106">
      <c r="A106" s="6" t="s">
        <v>5010</v>
      </c>
      <c r="B106" s="6" t="s">
        <v>397</v>
      </c>
      <c r="C106" s="5">
        <f t="shared" si="1"/>
        <v>2</v>
      </c>
      <c r="D106" s="1" t="s">
        <v>116</v>
      </c>
      <c r="E106" s="1" t="s">
        <v>147</v>
      </c>
      <c r="F106" s="1" t="s">
        <v>17</v>
      </c>
      <c r="G106" s="1" t="s">
        <v>3957</v>
      </c>
      <c r="H106" s="5">
        <f t="shared" si="2"/>
        <v>0.0144</v>
      </c>
      <c r="I106" s="1" t="s">
        <v>3958</v>
      </c>
      <c r="J106" s="1">
        <f t="shared" si="3"/>
        <v>6.543679</v>
      </c>
      <c r="K106" s="1" t="s">
        <v>3959</v>
      </c>
      <c r="L106" s="5">
        <f t="shared" si="4"/>
        <v>0.0051</v>
      </c>
      <c r="M106" s="6" t="s">
        <v>2677</v>
      </c>
      <c r="N106" s="5">
        <f t="shared" si="5"/>
        <v>3</v>
      </c>
    </row>
    <row r="107">
      <c r="A107" s="6" t="s">
        <v>5010</v>
      </c>
      <c r="B107" s="6" t="s">
        <v>397</v>
      </c>
      <c r="C107" s="5">
        <f t="shared" si="1"/>
        <v>2</v>
      </c>
      <c r="D107" s="1" t="s">
        <v>116</v>
      </c>
      <c r="E107" s="1" t="s">
        <v>147</v>
      </c>
      <c r="F107" s="1" t="s">
        <v>21</v>
      </c>
      <c r="G107" s="1" t="s">
        <v>3960</v>
      </c>
      <c r="H107" s="5">
        <f t="shared" si="2"/>
        <v>0.0869</v>
      </c>
      <c r="I107" s="1" t="s">
        <v>3961</v>
      </c>
      <c r="J107" s="1">
        <f t="shared" si="3"/>
        <v>46.111162</v>
      </c>
      <c r="K107" s="1" t="s">
        <v>1775</v>
      </c>
      <c r="L107" s="5">
        <f t="shared" si="4"/>
        <v>0.0435</v>
      </c>
      <c r="M107" s="6" t="s">
        <v>5916</v>
      </c>
      <c r="N107" s="5">
        <f t="shared" si="5"/>
        <v>42</v>
      </c>
    </row>
    <row r="108">
      <c r="A108" s="6" t="s">
        <v>5010</v>
      </c>
      <c r="B108" s="6" t="s">
        <v>397</v>
      </c>
      <c r="C108" s="5">
        <f t="shared" si="1"/>
        <v>2</v>
      </c>
      <c r="D108" s="1" t="s">
        <v>116</v>
      </c>
      <c r="E108" s="1" t="s">
        <v>3962</v>
      </c>
      <c r="F108" s="1" t="s">
        <v>17</v>
      </c>
      <c r="G108" s="6" t="s">
        <v>5917</v>
      </c>
      <c r="H108" s="5">
        <f t="shared" si="2"/>
        <v>4.6976</v>
      </c>
      <c r="I108" s="1" t="s">
        <v>3963</v>
      </c>
      <c r="J108" s="1">
        <f t="shared" si="3"/>
        <v>410.970309</v>
      </c>
      <c r="K108" s="6" t="s">
        <v>5918</v>
      </c>
      <c r="L108" s="5">
        <f t="shared" si="4"/>
        <v>1.6441</v>
      </c>
      <c r="M108" s="6" t="s">
        <v>2256</v>
      </c>
      <c r="N108" s="5">
        <f t="shared" si="5"/>
        <v>2630</v>
      </c>
    </row>
    <row r="109">
      <c r="A109" s="6" t="s">
        <v>5010</v>
      </c>
      <c r="B109" s="6" t="s">
        <v>397</v>
      </c>
      <c r="C109" s="5">
        <f t="shared" si="1"/>
        <v>2</v>
      </c>
      <c r="D109" s="1" t="s">
        <v>116</v>
      </c>
      <c r="E109" s="1" t="s">
        <v>1851</v>
      </c>
      <c r="F109" s="1" t="s">
        <v>17</v>
      </c>
      <c r="G109" s="6" t="s">
        <v>5919</v>
      </c>
      <c r="H109" s="5">
        <f t="shared" si="2"/>
        <v>4.8779</v>
      </c>
      <c r="I109" s="1" t="s">
        <v>3964</v>
      </c>
      <c r="J109" s="1">
        <f t="shared" si="3"/>
        <v>342.937167</v>
      </c>
      <c r="K109" s="1" t="s">
        <v>3965</v>
      </c>
      <c r="L109" s="5">
        <f t="shared" si="4"/>
        <v>1.878</v>
      </c>
      <c r="M109" s="6" t="s">
        <v>4773</v>
      </c>
      <c r="N109" s="5">
        <f t="shared" si="5"/>
        <v>1629</v>
      </c>
    </row>
    <row r="110">
      <c r="A110" s="6" t="s">
        <v>5010</v>
      </c>
      <c r="B110" s="6" t="s">
        <v>397</v>
      </c>
      <c r="C110" s="5">
        <f t="shared" si="1"/>
        <v>2</v>
      </c>
      <c r="D110" s="1" t="s">
        <v>116</v>
      </c>
      <c r="E110" s="1" t="s">
        <v>1851</v>
      </c>
      <c r="F110" s="1" t="s">
        <v>21</v>
      </c>
      <c r="G110" s="1" t="s">
        <v>3966</v>
      </c>
      <c r="H110" s="5">
        <f t="shared" si="2"/>
        <v>0.2908</v>
      </c>
      <c r="I110" s="1" t="s">
        <v>3967</v>
      </c>
      <c r="J110" s="1">
        <f t="shared" si="3"/>
        <v>28.097594</v>
      </c>
      <c r="K110" s="1" t="s">
        <v>3968</v>
      </c>
      <c r="L110" s="5">
        <f t="shared" si="4"/>
        <v>0.1425</v>
      </c>
      <c r="M110" s="6" t="s">
        <v>5920</v>
      </c>
      <c r="N110" s="5">
        <f t="shared" si="5"/>
        <v>145</v>
      </c>
    </row>
    <row r="111">
      <c r="A111" s="6" t="s">
        <v>5010</v>
      </c>
      <c r="B111" s="6" t="s">
        <v>397</v>
      </c>
      <c r="C111" s="5">
        <f t="shared" si="1"/>
        <v>2</v>
      </c>
      <c r="D111" s="1" t="s">
        <v>116</v>
      </c>
      <c r="E111" s="1" t="s">
        <v>1830</v>
      </c>
      <c r="F111" s="1" t="s">
        <v>72</v>
      </c>
      <c r="G111" s="6" t="s">
        <v>5921</v>
      </c>
      <c r="H111" s="5">
        <f t="shared" si="2"/>
        <v>3.7243</v>
      </c>
      <c r="I111" s="1" t="s">
        <v>3969</v>
      </c>
      <c r="J111" s="1">
        <f t="shared" si="3"/>
        <v>298.288386</v>
      </c>
      <c r="K111" s="6" t="s">
        <v>5922</v>
      </c>
      <c r="L111" s="5">
        <f t="shared" si="4"/>
        <v>1.1918</v>
      </c>
      <c r="M111" s="6" t="s">
        <v>5923</v>
      </c>
      <c r="N111" s="5">
        <f t="shared" si="5"/>
        <v>2653</v>
      </c>
    </row>
    <row r="112">
      <c r="A112" s="6" t="s">
        <v>5010</v>
      </c>
      <c r="B112" s="6" t="s">
        <v>397</v>
      </c>
      <c r="C112" s="5">
        <f t="shared" si="1"/>
        <v>2</v>
      </c>
      <c r="D112" s="1" t="s">
        <v>116</v>
      </c>
      <c r="E112" s="1" t="s">
        <v>42</v>
      </c>
      <c r="F112" s="1" t="s">
        <v>17</v>
      </c>
      <c r="G112" s="1" t="s">
        <v>2429</v>
      </c>
      <c r="H112" s="5">
        <f t="shared" si="2"/>
        <v>1.193</v>
      </c>
      <c r="I112" s="1" t="s">
        <v>3970</v>
      </c>
      <c r="J112" s="1">
        <f t="shared" si="3"/>
        <v>256.508867</v>
      </c>
      <c r="K112" s="1" t="s">
        <v>3971</v>
      </c>
      <c r="L112" s="5">
        <f t="shared" si="4"/>
        <v>0.4414</v>
      </c>
      <c r="M112" s="6" t="s">
        <v>291</v>
      </c>
      <c r="N112" s="5">
        <f t="shared" si="5"/>
        <v>0</v>
      </c>
    </row>
    <row r="113">
      <c r="A113" s="6" t="s">
        <v>5010</v>
      </c>
      <c r="B113" s="6" t="s">
        <v>2677</v>
      </c>
      <c r="C113" s="5">
        <f t="shared" si="1"/>
        <v>3</v>
      </c>
      <c r="D113" s="1" t="s">
        <v>12</v>
      </c>
      <c r="E113" s="1" t="s">
        <v>13</v>
      </c>
      <c r="F113" s="1" t="s">
        <v>14</v>
      </c>
      <c r="G113" s="1" t="s">
        <v>3972</v>
      </c>
      <c r="H113" s="5">
        <f t="shared" si="2"/>
        <v>14.1119</v>
      </c>
      <c r="I113" s="1" t="s">
        <v>3973</v>
      </c>
      <c r="J113" s="1">
        <f t="shared" si="3"/>
        <v>1000.988615</v>
      </c>
      <c r="K113" s="6" t="s">
        <v>5924</v>
      </c>
      <c r="L113" s="5">
        <f t="shared" si="4"/>
        <v>2.9635</v>
      </c>
      <c r="M113" s="6" t="s">
        <v>3487</v>
      </c>
      <c r="N113" s="5">
        <f t="shared" si="5"/>
        <v>478</v>
      </c>
    </row>
    <row r="114">
      <c r="A114" s="6" t="s">
        <v>5010</v>
      </c>
      <c r="B114" s="6" t="s">
        <v>2677</v>
      </c>
      <c r="C114" s="5">
        <f t="shared" si="1"/>
        <v>3</v>
      </c>
      <c r="D114" s="1" t="s">
        <v>12</v>
      </c>
      <c r="E114" s="1" t="s">
        <v>13</v>
      </c>
      <c r="F114" s="1" t="s">
        <v>17</v>
      </c>
      <c r="G114" s="1" t="s">
        <v>3974</v>
      </c>
      <c r="H114" s="5">
        <f t="shared" si="2"/>
        <v>73.7461</v>
      </c>
      <c r="I114" s="1" t="s">
        <v>3975</v>
      </c>
      <c r="J114" s="1">
        <f t="shared" si="3"/>
        <v>7356.761192</v>
      </c>
      <c r="K114" s="1" t="s">
        <v>3976</v>
      </c>
      <c r="L114" s="5">
        <f t="shared" si="4"/>
        <v>25.8113</v>
      </c>
      <c r="M114" s="6" t="s">
        <v>4527</v>
      </c>
      <c r="N114" s="5">
        <f t="shared" si="5"/>
        <v>710</v>
      </c>
    </row>
    <row r="115">
      <c r="A115" s="6" t="s">
        <v>5010</v>
      </c>
      <c r="B115" s="6" t="s">
        <v>2677</v>
      </c>
      <c r="C115" s="5">
        <f t="shared" si="1"/>
        <v>3</v>
      </c>
      <c r="D115" s="1" t="s">
        <v>12</v>
      </c>
      <c r="E115" s="1" t="s">
        <v>13</v>
      </c>
      <c r="F115" s="1" t="s">
        <v>21</v>
      </c>
      <c r="G115" s="1" t="s">
        <v>3977</v>
      </c>
      <c r="H115" s="5">
        <f t="shared" si="2"/>
        <v>55.5542</v>
      </c>
      <c r="I115" s="1" t="s">
        <v>3978</v>
      </c>
      <c r="J115" s="1">
        <f t="shared" si="3"/>
        <v>6568.246391</v>
      </c>
      <c r="K115" s="1" t="s">
        <v>3979</v>
      </c>
      <c r="L115" s="5">
        <f t="shared" si="4"/>
        <v>27.7771</v>
      </c>
      <c r="M115" s="6" t="s">
        <v>5925</v>
      </c>
      <c r="N115" s="5">
        <f t="shared" si="5"/>
        <v>618</v>
      </c>
    </row>
    <row r="116">
      <c r="A116" s="6" t="s">
        <v>5010</v>
      </c>
      <c r="B116" s="6" t="s">
        <v>2677</v>
      </c>
      <c r="C116" s="5">
        <f t="shared" si="1"/>
        <v>3</v>
      </c>
      <c r="D116" s="1" t="s">
        <v>12</v>
      </c>
      <c r="E116" s="1" t="s">
        <v>29</v>
      </c>
      <c r="F116" s="1" t="s">
        <v>14</v>
      </c>
      <c r="G116" s="6" t="s">
        <v>3980</v>
      </c>
      <c r="H116" s="5">
        <f t="shared" si="2"/>
        <v>3.0953</v>
      </c>
      <c r="I116" s="1" t="s">
        <v>3981</v>
      </c>
      <c r="J116" s="1">
        <f t="shared" si="3"/>
        <v>327.837154</v>
      </c>
      <c r="K116" s="1" t="s">
        <v>3982</v>
      </c>
      <c r="L116" s="5">
        <f t="shared" si="4"/>
        <v>0.6191</v>
      </c>
      <c r="M116" s="6" t="s">
        <v>5926</v>
      </c>
      <c r="N116" s="5">
        <f t="shared" si="5"/>
        <v>92</v>
      </c>
    </row>
    <row r="117">
      <c r="A117" s="6" t="s">
        <v>5010</v>
      </c>
      <c r="B117" s="6" t="s">
        <v>2677</v>
      </c>
      <c r="C117" s="5">
        <f t="shared" si="1"/>
        <v>3</v>
      </c>
      <c r="D117" s="1" t="s">
        <v>12</v>
      </c>
      <c r="E117" s="1" t="s">
        <v>29</v>
      </c>
      <c r="F117" s="1" t="s">
        <v>21</v>
      </c>
      <c r="G117" s="1" t="s">
        <v>3983</v>
      </c>
      <c r="H117" s="5">
        <f t="shared" si="2"/>
        <v>45.207</v>
      </c>
      <c r="I117" s="1" t="s">
        <v>3984</v>
      </c>
      <c r="J117" s="1">
        <f t="shared" si="3"/>
        <v>9020.890311</v>
      </c>
      <c r="K117" s="1" t="s">
        <v>3985</v>
      </c>
      <c r="L117" s="5">
        <f t="shared" si="4"/>
        <v>18.0827</v>
      </c>
      <c r="M117" s="6" t="s">
        <v>5927</v>
      </c>
      <c r="N117" s="5">
        <f t="shared" si="5"/>
        <v>675</v>
      </c>
    </row>
    <row r="118">
      <c r="A118" s="6" t="s">
        <v>5010</v>
      </c>
      <c r="B118" s="6" t="s">
        <v>2677</v>
      </c>
      <c r="C118" s="5">
        <f t="shared" si="1"/>
        <v>3</v>
      </c>
      <c r="D118" s="1" t="s">
        <v>12</v>
      </c>
      <c r="E118" s="1" t="s">
        <v>38</v>
      </c>
      <c r="F118" s="1" t="s">
        <v>39</v>
      </c>
      <c r="G118" s="6" t="s">
        <v>5928</v>
      </c>
      <c r="H118" s="5">
        <f t="shared" si="2"/>
        <v>3.8064</v>
      </c>
      <c r="I118" s="1" t="s">
        <v>3986</v>
      </c>
      <c r="J118" s="1">
        <f t="shared" si="3"/>
        <v>424.69898</v>
      </c>
      <c r="K118" s="1" t="s">
        <v>1690</v>
      </c>
      <c r="L118" s="5">
        <f t="shared" si="4"/>
        <v>0.6851</v>
      </c>
      <c r="M118" s="6" t="s">
        <v>266</v>
      </c>
      <c r="N118" s="5">
        <f t="shared" si="5"/>
        <v>191</v>
      </c>
    </row>
    <row r="119">
      <c r="A119" s="6" t="s">
        <v>5010</v>
      </c>
      <c r="B119" s="6" t="s">
        <v>2677</v>
      </c>
      <c r="C119" s="5">
        <f t="shared" si="1"/>
        <v>3</v>
      </c>
      <c r="D119" s="1" t="s">
        <v>12</v>
      </c>
      <c r="E119" s="1" t="s">
        <v>48</v>
      </c>
      <c r="F119" s="1" t="s">
        <v>49</v>
      </c>
      <c r="G119" s="1" t="s">
        <v>1132</v>
      </c>
      <c r="H119" s="5">
        <f t="shared" si="2"/>
        <v>0.0135</v>
      </c>
      <c r="I119" s="1" t="s">
        <v>3987</v>
      </c>
      <c r="J119" s="1">
        <f t="shared" si="3"/>
        <v>4.180465</v>
      </c>
      <c r="K119" s="1" t="s">
        <v>1341</v>
      </c>
      <c r="L119" s="5">
        <f t="shared" si="4"/>
        <v>0.0038</v>
      </c>
      <c r="M119" s="6" t="s">
        <v>2672</v>
      </c>
      <c r="N119" s="5">
        <f t="shared" si="5"/>
        <v>8</v>
      </c>
    </row>
    <row r="120">
      <c r="A120" s="6" t="s">
        <v>5010</v>
      </c>
      <c r="B120" s="6" t="s">
        <v>2677</v>
      </c>
      <c r="C120" s="5">
        <f t="shared" si="1"/>
        <v>3</v>
      </c>
      <c r="D120" s="1" t="s">
        <v>12</v>
      </c>
      <c r="E120" s="1" t="s">
        <v>48</v>
      </c>
      <c r="F120" s="1" t="s">
        <v>21</v>
      </c>
      <c r="G120" s="1" t="s">
        <v>3988</v>
      </c>
      <c r="H120" s="5">
        <f t="shared" si="2"/>
        <v>2.299</v>
      </c>
      <c r="I120" s="1" t="s">
        <v>3989</v>
      </c>
      <c r="J120" s="1">
        <f t="shared" si="3"/>
        <v>346.640958</v>
      </c>
      <c r="K120" s="1" t="s">
        <v>3990</v>
      </c>
      <c r="L120" s="5">
        <f t="shared" si="4"/>
        <v>0.9196</v>
      </c>
      <c r="M120" s="6" t="s">
        <v>5929</v>
      </c>
      <c r="N120" s="5">
        <f t="shared" si="5"/>
        <v>169</v>
      </c>
    </row>
    <row r="121">
      <c r="A121" s="6" t="s">
        <v>5010</v>
      </c>
      <c r="B121" s="6" t="s">
        <v>2677</v>
      </c>
      <c r="C121" s="5">
        <f t="shared" si="1"/>
        <v>3</v>
      </c>
      <c r="D121" s="1" t="s">
        <v>12</v>
      </c>
      <c r="E121" s="1" t="s">
        <v>45</v>
      </c>
      <c r="F121" s="1" t="s">
        <v>49</v>
      </c>
      <c r="G121" s="1" t="s">
        <v>1341</v>
      </c>
      <c r="H121" s="5">
        <f t="shared" si="2"/>
        <v>0.0038</v>
      </c>
      <c r="I121" s="1" t="s">
        <v>3991</v>
      </c>
      <c r="J121" s="1">
        <f t="shared" si="3"/>
        <v>0.209196</v>
      </c>
      <c r="K121" s="1" t="s">
        <v>1962</v>
      </c>
      <c r="L121" s="5">
        <f t="shared" si="4"/>
        <v>0.001</v>
      </c>
      <c r="M121" s="6" t="s">
        <v>397</v>
      </c>
      <c r="N121" s="5">
        <f t="shared" si="5"/>
        <v>2</v>
      </c>
    </row>
    <row r="122">
      <c r="A122" s="6" t="s">
        <v>5010</v>
      </c>
      <c r="B122" s="6" t="s">
        <v>2677</v>
      </c>
      <c r="C122" s="5">
        <f t="shared" si="1"/>
        <v>3</v>
      </c>
      <c r="D122" s="1" t="s">
        <v>12</v>
      </c>
      <c r="E122" s="1" t="s">
        <v>45</v>
      </c>
      <c r="F122" s="1" t="s">
        <v>17</v>
      </c>
      <c r="G122" s="6" t="s">
        <v>5930</v>
      </c>
      <c r="H122" s="5">
        <f t="shared" si="2"/>
        <v>2.7622</v>
      </c>
      <c r="I122" s="1" t="s">
        <v>3992</v>
      </c>
      <c r="J122" s="1">
        <f t="shared" si="3"/>
        <v>225.403033</v>
      </c>
      <c r="K122" s="1" t="s">
        <v>3993</v>
      </c>
      <c r="L122" s="5">
        <f t="shared" si="4"/>
        <v>0.9944</v>
      </c>
      <c r="M122" s="6" t="s">
        <v>3169</v>
      </c>
      <c r="N122" s="5">
        <f t="shared" si="5"/>
        <v>148</v>
      </c>
    </row>
    <row r="123">
      <c r="A123" s="6" t="s">
        <v>5010</v>
      </c>
      <c r="B123" s="6" t="s">
        <v>2677</v>
      </c>
      <c r="C123" s="5">
        <f t="shared" si="1"/>
        <v>3</v>
      </c>
      <c r="D123" s="1" t="s">
        <v>12</v>
      </c>
      <c r="E123" s="1" t="s">
        <v>42</v>
      </c>
      <c r="F123" s="1" t="s">
        <v>17</v>
      </c>
      <c r="G123" s="1" t="s">
        <v>3994</v>
      </c>
      <c r="H123" s="5">
        <f t="shared" si="2"/>
        <v>0.7931</v>
      </c>
      <c r="I123" s="1" t="s">
        <v>3995</v>
      </c>
      <c r="J123" s="1">
        <f t="shared" si="3"/>
        <v>146.810783</v>
      </c>
      <c r="K123" s="1" t="s">
        <v>3996</v>
      </c>
      <c r="L123" s="5">
        <f t="shared" si="4"/>
        <v>0.2935</v>
      </c>
      <c r="M123" s="6" t="s">
        <v>2792</v>
      </c>
      <c r="N123" s="5">
        <f t="shared" si="5"/>
        <v>30</v>
      </c>
    </row>
    <row r="124">
      <c r="A124" s="6" t="s">
        <v>5010</v>
      </c>
      <c r="B124" s="6" t="s">
        <v>2677</v>
      </c>
      <c r="C124" s="5">
        <f t="shared" si="1"/>
        <v>3</v>
      </c>
      <c r="D124" s="1" t="s">
        <v>12</v>
      </c>
      <c r="E124" s="1" t="s">
        <v>1830</v>
      </c>
      <c r="F124" s="1" t="s">
        <v>72</v>
      </c>
      <c r="G124" s="6" t="s">
        <v>5931</v>
      </c>
      <c r="H124" s="5">
        <f t="shared" si="2"/>
        <v>1.2496</v>
      </c>
      <c r="I124" s="1" t="s">
        <v>3997</v>
      </c>
      <c r="J124" s="1">
        <f t="shared" si="3"/>
        <v>117.282172</v>
      </c>
      <c r="K124" s="1" t="s">
        <v>3998</v>
      </c>
      <c r="L124" s="5">
        <f t="shared" si="4"/>
        <v>0.3999</v>
      </c>
      <c r="M124" s="6" t="s">
        <v>5932</v>
      </c>
      <c r="N124" s="5">
        <f t="shared" si="5"/>
        <v>291</v>
      </c>
    </row>
    <row r="125">
      <c r="A125" s="6" t="s">
        <v>5010</v>
      </c>
      <c r="B125" s="6" t="s">
        <v>2677</v>
      </c>
      <c r="C125" s="5">
        <f t="shared" si="1"/>
        <v>3</v>
      </c>
      <c r="D125" s="1" t="s">
        <v>12</v>
      </c>
      <c r="E125" s="1" t="s">
        <v>848</v>
      </c>
      <c r="F125" s="1" t="s">
        <v>21</v>
      </c>
      <c r="G125" s="1" t="s">
        <v>3999</v>
      </c>
      <c r="H125" s="5">
        <f t="shared" si="2"/>
        <v>0.4511</v>
      </c>
      <c r="I125" s="1" t="s">
        <v>4000</v>
      </c>
      <c r="J125" s="1">
        <f t="shared" si="3"/>
        <v>82.92376</v>
      </c>
      <c r="K125" s="1" t="s">
        <v>4001</v>
      </c>
      <c r="L125" s="5">
        <f t="shared" si="4"/>
        <v>0.1804</v>
      </c>
      <c r="M125" s="6" t="s">
        <v>291</v>
      </c>
      <c r="N125" s="5">
        <f t="shared" si="5"/>
        <v>0</v>
      </c>
    </row>
    <row r="126">
      <c r="A126" s="6" t="s">
        <v>5010</v>
      </c>
      <c r="B126" s="6" t="s">
        <v>2677</v>
      </c>
      <c r="C126" s="5">
        <f t="shared" si="1"/>
        <v>3</v>
      </c>
      <c r="D126" s="1" t="s">
        <v>12</v>
      </c>
      <c r="E126" s="1" t="s">
        <v>3962</v>
      </c>
      <c r="F126" s="1" t="s">
        <v>17</v>
      </c>
      <c r="G126" s="1" t="s">
        <v>4002</v>
      </c>
      <c r="H126" s="5">
        <f t="shared" si="2"/>
        <v>0.8319</v>
      </c>
      <c r="I126" s="1" t="s">
        <v>4003</v>
      </c>
      <c r="J126" s="1">
        <f t="shared" si="3"/>
        <v>75.031017</v>
      </c>
      <c r="K126" s="1" t="s">
        <v>4004</v>
      </c>
      <c r="L126" s="5">
        <f t="shared" si="4"/>
        <v>0.2911</v>
      </c>
      <c r="M126" s="6" t="s">
        <v>2932</v>
      </c>
      <c r="N126" s="5">
        <f t="shared" si="5"/>
        <v>117</v>
      </c>
    </row>
    <row r="127">
      <c r="A127" s="6" t="s">
        <v>5010</v>
      </c>
      <c r="B127" s="6" t="s">
        <v>2677</v>
      </c>
      <c r="C127" s="5">
        <f t="shared" si="1"/>
        <v>3</v>
      </c>
      <c r="D127" s="1" t="s">
        <v>12</v>
      </c>
      <c r="E127" s="1" t="s">
        <v>56</v>
      </c>
      <c r="F127" s="1" t="s">
        <v>21</v>
      </c>
      <c r="G127" s="1" t="s">
        <v>4005</v>
      </c>
      <c r="H127" s="5">
        <f t="shared" si="2"/>
        <v>0.2807</v>
      </c>
      <c r="I127" s="1" t="s">
        <v>4006</v>
      </c>
      <c r="J127" s="1">
        <f t="shared" si="3"/>
        <v>64.890698</v>
      </c>
      <c r="K127" s="1" t="s">
        <v>4007</v>
      </c>
      <c r="L127" s="5">
        <f t="shared" si="4"/>
        <v>0.1123</v>
      </c>
      <c r="M127" s="6" t="s">
        <v>2705</v>
      </c>
      <c r="N127" s="5">
        <f t="shared" si="5"/>
        <v>128</v>
      </c>
    </row>
    <row r="128">
      <c r="A128" s="6" t="s">
        <v>5010</v>
      </c>
      <c r="B128" s="6" t="s">
        <v>2677</v>
      </c>
      <c r="C128" s="5">
        <f t="shared" si="1"/>
        <v>3</v>
      </c>
      <c r="D128" s="1" t="s">
        <v>68</v>
      </c>
      <c r="E128" s="1" t="s">
        <v>13</v>
      </c>
      <c r="F128" s="1" t="s">
        <v>14</v>
      </c>
      <c r="G128" s="1" t="s">
        <v>4008</v>
      </c>
      <c r="H128" s="5">
        <f t="shared" si="2"/>
        <v>52.4857</v>
      </c>
      <c r="I128" s="1" t="s">
        <v>4009</v>
      </c>
      <c r="J128" s="1">
        <f t="shared" si="3"/>
        <v>3593.978608</v>
      </c>
      <c r="K128" s="1" t="s">
        <v>4010</v>
      </c>
      <c r="L128" s="5">
        <f t="shared" si="4"/>
        <v>11.022</v>
      </c>
      <c r="M128" s="6" t="s">
        <v>4093</v>
      </c>
      <c r="N128" s="5">
        <f t="shared" si="5"/>
        <v>8349</v>
      </c>
    </row>
    <row r="129">
      <c r="A129" s="6" t="s">
        <v>5010</v>
      </c>
      <c r="B129" s="6" t="s">
        <v>2677</v>
      </c>
      <c r="C129" s="5">
        <f t="shared" si="1"/>
        <v>3</v>
      </c>
      <c r="D129" s="1" t="s">
        <v>68</v>
      </c>
      <c r="E129" s="1" t="s">
        <v>13</v>
      </c>
      <c r="F129" s="1" t="s">
        <v>17</v>
      </c>
      <c r="G129" s="1" t="s">
        <v>4011</v>
      </c>
      <c r="H129" s="5">
        <f t="shared" si="2"/>
        <v>62.9831</v>
      </c>
      <c r="I129" s="1" t="s">
        <v>4012</v>
      </c>
      <c r="J129" s="1">
        <f t="shared" si="3"/>
        <v>6762.738663</v>
      </c>
      <c r="K129" s="1" t="s">
        <v>4013</v>
      </c>
      <c r="L129" s="5">
        <f t="shared" si="4"/>
        <v>22.0441</v>
      </c>
      <c r="M129" s="6" t="s">
        <v>5933</v>
      </c>
      <c r="N129" s="5">
        <f t="shared" si="5"/>
        <v>9221</v>
      </c>
    </row>
    <row r="130">
      <c r="A130" s="6" t="s">
        <v>5010</v>
      </c>
      <c r="B130" s="6" t="s">
        <v>2677</v>
      </c>
      <c r="C130" s="5">
        <f t="shared" si="1"/>
        <v>3</v>
      </c>
      <c r="D130" s="1" t="s">
        <v>68</v>
      </c>
      <c r="E130" s="1" t="s">
        <v>13</v>
      </c>
      <c r="F130" s="1" t="s">
        <v>21</v>
      </c>
      <c r="G130" s="6" t="s">
        <v>5934</v>
      </c>
      <c r="H130" s="5">
        <f t="shared" si="2"/>
        <v>3.6111</v>
      </c>
      <c r="I130" s="1" t="s">
        <v>4014</v>
      </c>
      <c r="J130" s="1">
        <f t="shared" si="3"/>
        <v>602.117373</v>
      </c>
      <c r="K130" s="6" t="s">
        <v>5935</v>
      </c>
      <c r="L130" s="5">
        <f t="shared" si="4"/>
        <v>1.8055</v>
      </c>
      <c r="M130" s="6" t="s">
        <v>3491</v>
      </c>
      <c r="N130" s="5">
        <f t="shared" si="5"/>
        <v>786</v>
      </c>
    </row>
    <row r="131">
      <c r="A131" s="6" t="s">
        <v>5010</v>
      </c>
      <c r="B131" s="6" t="s">
        <v>2677</v>
      </c>
      <c r="C131" s="5">
        <f t="shared" si="1"/>
        <v>3</v>
      </c>
      <c r="D131" s="1" t="s">
        <v>68</v>
      </c>
      <c r="E131" s="1" t="s">
        <v>13</v>
      </c>
      <c r="F131" s="1" t="s">
        <v>25</v>
      </c>
      <c r="G131" s="1" t="s">
        <v>4015</v>
      </c>
      <c r="H131" s="5">
        <f t="shared" si="2"/>
        <v>0.3132</v>
      </c>
      <c r="I131" s="1" t="s">
        <v>4016</v>
      </c>
      <c r="J131" s="1">
        <f t="shared" si="3"/>
        <v>50.571637</v>
      </c>
      <c r="K131" s="1" t="s">
        <v>1463</v>
      </c>
      <c r="L131" s="5">
        <f t="shared" si="4"/>
        <v>0.2349</v>
      </c>
      <c r="M131" s="6" t="s">
        <v>626</v>
      </c>
      <c r="N131" s="5">
        <f t="shared" si="5"/>
        <v>179</v>
      </c>
    </row>
    <row r="132">
      <c r="A132" s="6" t="s">
        <v>5010</v>
      </c>
      <c r="B132" s="6" t="s">
        <v>2677</v>
      </c>
      <c r="C132" s="5">
        <f t="shared" si="1"/>
        <v>3</v>
      </c>
      <c r="D132" s="1" t="s">
        <v>68</v>
      </c>
      <c r="E132" s="1" t="s">
        <v>29</v>
      </c>
      <c r="F132" s="1" t="s">
        <v>14</v>
      </c>
      <c r="G132" s="1" t="s">
        <v>4017</v>
      </c>
      <c r="H132" s="5">
        <f t="shared" si="2"/>
        <v>0.6268</v>
      </c>
      <c r="I132" s="1" t="s">
        <v>4018</v>
      </c>
      <c r="J132" s="1">
        <f t="shared" si="3"/>
        <v>67.629072</v>
      </c>
      <c r="K132" s="1" t="s">
        <v>4019</v>
      </c>
      <c r="L132" s="5">
        <f t="shared" si="4"/>
        <v>0.1254</v>
      </c>
      <c r="M132" s="6" t="s">
        <v>5880</v>
      </c>
      <c r="N132" s="5">
        <f t="shared" si="5"/>
        <v>64</v>
      </c>
    </row>
    <row r="133">
      <c r="A133" s="6" t="s">
        <v>5010</v>
      </c>
      <c r="B133" s="6" t="s">
        <v>2677</v>
      </c>
      <c r="C133" s="5">
        <f t="shared" si="1"/>
        <v>3</v>
      </c>
      <c r="D133" s="1" t="s">
        <v>68</v>
      </c>
      <c r="E133" s="1" t="s">
        <v>29</v>
      </c>
      <c r="F133" s="1" t="s">
        <v>21</v>
      </c>
      <c r="G133" s="1" t="s">
        <v>4020</v>
      </c>
      <c r="H133" s="5">
        <f t="shared" si="2"/>
        <v>19.7052</v>
      </c>
      <c r="I133" s="1" t="s">
        <v>4021</v>
      </c>
      <c r="J133" s="1">
        <f t="shared" si="3"/>
        <v>3567.870595</v>
      </c>
      <c r="K133" s="6" t="s">
        <v>5936</v>
      </c>
      <c r="L133" s="5">
        <f t="shared" si="4"/>
        <v>7.8821</v>
      </c>
      <c r="M133" s="6" t="s">
        <v>5937</v>
      </c>
      <c r="N133" s="5">
        <f t="shared" si="5"/>
        <v>2934</v>
      </c>
    </row>
    <row r="134">
      <c r="A134" s="6" t="s">
        <v>5010</v>
      </c>
      <c r="B134" s="6" t="s">
        <v>2677</v>
      </c>
      <c r="C134" s="5">
        <f t="shared" si="1"/>
        <v>3</v>
      </c>
      <c r="D134" s="1" t="s">
        <v>68</v>
      </c>
      <c r="E134" s="1" t="s">
        <v>45</v>
      </c>
      <c r="F134" s="1" t="s">
        <v>49</v>
      </c>
      <c r="G134" s="6" t="s">
        <v>4022</v>
      </c>
      <c r="H134" s="5">
        <f t="shared" si="2"/>
        <v>1.1108</v>
      </c>
      <c r="I134" s="1" t="s">
        <v>4023</v>
      </c>
      <c r="J134" s="1">
        <f t="shared" si="3"/>
        <v>68.207659</v>
      </c>
      <c r="K134" s="1" t="s">
        <v>221</v>
      </c>
      <c r="L134" s="5">
        <f t="shared" si="4"/>
        <v>0.2888</v>
      </c>
      <c r="M134" s="6" t="s">
        <v>5938</v>
      </c>
      <c r="N134" s="5">
        <f t="shared" si="5"/>
        <v>136</v>
      </c>
    </row>
    <row r="135">
      <c r="A135" s="6" t="s">
        <v>5010</v>
      </c>
      <c r="B135" s="6" t="s">
        <v>2677</v>
      </c>
      <c r="C135" s="5">
        <f t="shared" si="1"/>
        <v>3</v>
      </c>
      <c r="D135" s="1" t="s">
        <v>68</v>
      </c>
      <c r="E135" s="1" t="s">
        <v>45</v>
      </c>
      <c r="F135" s="1" t="s">
        <v>17</v>
      </c>
      <c r="G135" s="6" t="s">
        <v>5939</v>
      </c>
      <c r="H135" s="5">
        <f t="shared" si="2"/>
        <v>11.5989</v>
      </c>
      <c r="I135" s="1" t="s">
        <v>4024</v>
      </c>
      <c r="J135" s="1">
        <f t="shared" si="3"/>
        <v>762.579249</v>
      </c>
      <c r="K135" s="6" t="s">
        <v>4025</v>
      </c>
      <c r="L135" s="5">
        <f t="shared" si="4"/>
        <v>4.1756</v>
      </c>
      <c r="M135" s="6" t="s">
        <v>5940</v>
      </c>
      <c r="N135" s="5">
        <f t="shared" si="5"/>
        <v>1371</v>
      </c>
    </row>
    <row r="136">
      <c r="A136" s="6" t="s">
        <v>5010</v>
      </c>
      <c r="B136" s="6" t="s">
        <v>2677</v>
      </c>
      <c r="C136" s="5">
        <f t="shared" si="1"/>
        <v>3</v>
      </c>
      <c r="D136" s="1" t="s">
        <v>68</v>
      </c>
      <c r="E136" s="1" t="s">
        <v>38</v>
      </c>
      <c r="F136" s="1" t="s">
        <v>39</v>
      </c>
      <c r="G136" s="1" t="s">
        <v>4026</v>
      </c>
      <c r="H136" s="5">
        <f t="shared" si="2"/>
        <v>5.496</v>
      </c>
      <c r="I136" s="1" t="s">
        <v>4027</v>
      </c>
      <c r="J136" s="1">
        <f t="shared" si="3"/>
        <v>517.770552</v>
      </c>
      <c r="K136" s="1" t="s">
        <v>4028</v>
      </c>
      <c r="L136" s="5">
        <f t="shared" si="4"/>
        <v>0.9893</v>
      </c>
      <c r="M136" s="6" t="s">
        <v>5941</v>
      </c>
      <c r="N136" s="5">
        <f t="shared" si="5"/>
        <v>2432</v>
      </c>
    </row>
    <row r="137">
      <c r="A137" s="6" t="s">
        <v>5010</v>
      </c>
      <c r="B137" s="6" t="s">
        <v>2677</v>
      </c>
      <c r="C137" s="5">
        <f t="shared" si="1"/>
        <v>3</v>
      </c>
      <c r="D137" s="1" t="s">
        <v>68</v>
      </c>
      <c r="E137" s="1" t="s">
        <v>1851</v>
      </c>
      <c r="F137" s="1" t="s">
        <v>17</v>
      </c>
      <c r="G137" s="6" t="s">
        <v>5942</v>
      </c>
      <c r="H137" s="5">
        <f t="shared" si="2"/>
        <v>3.3084</v>
      </c>
      <c r="I137" s="1" t="s">
        <v>4029</v>
      </c>
      <c r="J137" s="1">
        <f t="shared" si="3"/>
        <v>227.97836</v>
      </c>
      <c r="K137" s="6" t="s">
        <v>5943</v>
      </c>
      <c r="L137" s="5">
        <f t="shared" si="4"/>
        <v>1.2737</v>
      </c>
      <c r="M137" s="6" t="s">
        <v>5944</v>
      </c>
      <c r="N137" s="5">
        <f t="shared" si="5"/>
        <v>868</v>
      </c>
    </row>
    <row r="138">
      <c r="A138" s="6" t="s">
        <v>5010</v>
      </c>
      <c r="B138" s="6" t="s">
        <v>2677</v>
      </c>
      <c r="C138" s="5">
        <f t="shared" si="1"/>
        <v>3</v>
      </c>
      <c r="D138" s="1" t="s">
        <v>68</v>
      </c>
      <c r="E138" s="1" t="s">
        <v>1851</v>
      </c>
      <c r="F138" s="1" t="s">
        <v>21</v>
      </c>
      <c r="G138" s="1" t="s">
        <v>4030</v>
      </c>
      <c r="H138" s="5">
        <f t="shared" si="2"/>
        <v>0.1235</v>
      </c>
      <c r="I138" s="1" t="s">
        <v>4031</v>
      </c>
      <c r="J138" s="1">
        <f t="shared" si="3"/>
        <v>10.237458</v>
      </c>
      <c r="K138" s="1" t="s">
        <v>128</v>
      </c>
      <c r="L138" s="5">
        <f t="shared" si="4"/>
        <v>0.0605</v>
      </c>
      <c r="M138" s="6" t="s">
        <v>5945</v>
      </c>
      <c r="N138" s="5">
        <f t="shared" si="5"/>
        <v>147</v>
      </c>
    </row>
    <row r="139">
      <c r="A139" s="6" t="s">
        <v>5010</v>
      </c>
      <c r="B139" s="6" t="s">
        <v>2677</v>
      </c>
      <c r="C139" s="5">
        <f t="shared" si="1"/>
        <v>3</v>
      </c>
      <c r="D139" s="1" t="s">
        <v>68</v>
      </c>
      <c r="E139" s="1" t="s">
        <v>48</v>
      </c>
      <c r="F139" s="1" t="s">
        <v>49</v>
      </c>
      <c r="G139" s="1" t="s">
        <v>73</v>
      </c>
      <c r="H139" s="5">
        <f t="shared" si="2"/>
        <v>0.0013</v>
      </c>
      <c r="I139" s="1" t="s">
        <v>4032</v>
      </c>
      <c r="J139" s="1">
        <f t="shared" si="3"/>
        <v>0.489206</v>
      </c>
      <c r="K139" s="1" t="s">
        <v>75</v>
      </c>
      <c r="L139" s="5">
        <f t="shared" si="4"/>
        <v>0.0004</v>
      </c>
      <c r="M139" s="6" t="s">
        <v>2677</v>
      </c>
      <c r="N139" s="5">
        <f t="shared" si="5"/>
        <v>3</v>
      </c>
    </row>
    <row r="140">
      <c r="A140" s="6" t="s">
        <v>5010</v>
      </c>
      <c r="B140" s="6" t="s">
        <v>2677</v>
      </c>
      <c r="C140" s="5">
        <f t="shared" si="1"/>
        <v>3</v>
      </c>
      <c r="D140" s="1" t="s">
        <v>68</v>
      </c>
      <c r="E140" s="1" t="s">
        <v>48</v>
      </c>
      <c r="F140" s="1" t="s">
        <v>72</v>
      </c>
      <c r="G140" s="1" t="s">
        <v>207</v>
      </c>
      <c r="H140" s="5">
        <f t="shared" si="2"/>
        <v>0.0062</v>
      </c>
      <c r="I140" s="6" t="s">
        <v>6014</v>
      </c>
      <c r="J140" s="1">
        <f t="shared" si="3"/>
        <v>1.9124</v>
      </c>
      <c r="K140" s="1" t="s">
        <v>52</v>
      </c>
      <c r="L140" s="5">
        <f t="shared" si="4"/>
        <v>0.0019</v>
      </c>
      <c r="M140" s="6" t="s">
        <v>3552</v>
      </c>
      <c r="N140" s="5">
        <f t="shared" si="5"/>
        <v>5</v>
      </c>
    </row>
    <row r="141">
      <c r="A141" s="6" t="s">
        <v>5010</v>
      </c>
      <c r="B141" s="6" t="s">
        <v>2677</v>
      </c>
      <c r="C141" s="5">
        <f t="shared" si="1"/>
        <v>3</v>
      </c>
      <c r="D141" s="1" t="s">
        <v>68</v>
      </c>
      <c r="E141" s="1" t="s">
        <v>48</v>
      </c>
      <c r="F141" s="1" t="s">
        <v>21</v>
      </c>
      <c r="G141" s="6" t="s">
        <v>6015</v>
      </c>
      <c r="H141" s="5">
        <f t="shared" si="2"/>
        <v>1.2257</v>
      </c>
      <c r="I141" s="1" t="s">
        <v>4033</v>
      </c>
      <c r="J141" s="1">
        <f t="shared" si="3"/>
        <v>191.383313</v>
      </c>
      <c r="K141" s="1" t="s">
        <v>4034</v>
      </c>
      <c r="L141" s="5">
        <f t="shared" si="4"/>
        <v>0.4904</v>
      </c>
      <c r="M141" s="6" t="s">
        <v>6016</v>
      </c>
      <c r="N141" s="5">
        <f t="shared" si="5"/>
        <v>385</v>
      </c>
    </row>
    <row r="142">
      <c r="A142" s="6" t="s">
        <v>5010</v>
      </c>
      <c r="B142" s="6" t="s">
        <v>2677</v>
      </c>
      <c r="C142" s="5">
        <f t="shared" si="1"/>
        <v>3</v>
      </c>
      <c r="D142" s="1" t="s">
        <v>68</v>
      </c>
      <c r="E142" s="1" t="s">
        <v>1830</v>
      </c>
      <c r="F142" s="1" t="s">
        <v>72</v>
      </c>
      <c r="G142" s="6" t="s">
        <v>6017</v>
      </c>
      <c r="H142" s="5">
        <f t="shared" si="2"/>
        <v>2.2679</v>
      </c>
      <c r="I142" s="1" t="s">
        <v>4035</v>
      </c>
      <c r="J142" s="1">
        <f t="shared" si="3"/>
        <v>163.897989</v>
      </c>
      <c r="K142" s="1" t="s">
        <v>4036</v>
      </c>
      <c r="L142" s="5">
        <f t="shared" si="4"/>
        <v>0.7257</v>
      </c>
      <c r="M142" s="6" t="s">
        <v>6018</v>
      </c>
      <c r="N142" s="5">
        <f t="shared" si="5"/>
        <v>1604</v>
      </c>
    </row>
    <row r="143">
      <c r="A143" s="6" t="s">
        <v>5010</v>
      </c>
      <c r="B143" s="6" t="s">
        <v>2677</v>
      </c>
      <c r="C143" s="5">
        <f t="shared" si="1"/>
        <v>3</v>
      </c>
      <c r="D143" s="1" t="s">
        <v>68</v>
      </c>
      <c r="E143" s="1" t="s">
        <v>3962</v>
      </c>
      <c r="F143" s="1" t="s">
        <v>17</v>
      </c>
      <c r="G143" s="6" t="s">
        <v>6019</v>
      </c>
      <c r="H143" s="5">
        <f t="shared" si="2"/>
        <v>1.5232</v>
      </c>
      <c r="I143" s="1" t="s">
        <v>4037</v>
      </c>
      <c r="J143" s="1">
        <f t="shared" si="3"/>
        <v>136.057994</v>
      </c>
      <c r="K143" s="1" t="s">
        <v>4038</v>
      </c>
      <c r="L143" s="5">
        <f t="shared" si="4"/>
        <v>0.5331</v>
      </c>
      <c r="M143" s="6" t="s">
        <v>6020</v>
      </c>
      <c r="N143" s="5">
        <f t="shared" si="5"/>
        <v>642</v>
      </c>
    </row>
    <row r="144">
      <c r="A144" s="6" t="s">
        <v>5010</v>
      </c>
      <c r="B144" s="6" t="s">
        <v>2677</v>
      </c>
      <c r="C144" s="5">
        <f t="shared" si="1"/>
        <v>3</v>
      </c>
      <c r="D144" s="1" t="s">
        <v>68</v>
      </c>
      <c r="E144" s="1" t="s">
        <v>42</v>
      </c>
      <c r="F144" s="1" t="s">
        <v>17</v>
      </c>
      <c r="G144" s="1" t="s">
        <v>4039</v>
      </c>
      <c r="H144" s="5">
        <f t="shared" si="2"/>
        <v>0.6503</v>
      </c>
      <c r="I144" s="1" t="s">
        <v>4040</v>
      </c>
      <c r="J144" s="1">
        <f t="shared" si="3"/>
        <v>131.263071</v>
      </c>
      <c r="K144" s="1" t="s">
        <v>4041</v>
      </c>
      <c r="L144" s="5">
        <f t="shared" si="4"/>
        <v>0.2406</v>
      </c>
      <c r="M144" s="6" t="s">
        <v>291</v>
      </c>
      <c r="N144" s="5">
        <f t="shared" si="5"/>
        <v>0</v>
      </c>
    </row>
    <row r="145">
      <c r="A145" s="6" t="s">
        <v>5010</v>
      </c>
      <c r="B145" s="6" t="s">
        <v>2677</v>
      </c>
      <c r="C145" s="5">
        <f t="shared" si="1"/>
        <v>3</v>
      </c>
      <c r="D145" s="1" t="s">
        <v>68</v>
      </c>
      <c r="E145" s="1" t="s">
        <v>2104</v>
      </c>
      <c r="F145" s="1" t="s">
        <v>17</v>
      </c>
      <c r="G145" s="6" t="s">
        <v>4042</v>
      </c>
      <c r="H145" s="5">
        <f t="shared" si="2"/>
        <v>2.1043</v>
      </c>
      <c r="I145" s="1" t="s">
        <v>4044</v>
      </c>
      <c r="J145" s="1">
        <f t="shared" si="3"/>
        <v>110.584264</v>
      </c>
      <c r="K145" s="1" t="s">
        <v>4045</v>
      </c>
      <c r="L145" s="5">
        <f t="shared" si="4"/>
        <v>0.7365</v>
      </c>
      <c r="M145" s="6" t="s">
        <v>4534</v>
      </c>
      <c r="N145" s="5">
        <f t="shared" si="5"/>
        <v>454</v>
      </c>
    </row>
    <row r="146">
      <c r="A146" s="6" t="s">
        <v>5010</v>
      </c>
      <c r="B146" s="6" t="s">
        <v>2677</v>
      </c>
      <c r="C146" s="5">
        <f t="shared" si="1"/>
        <v>3</v>
      </c>
      <c r="D146" s="1" t="s">
        <v>116</v>
      </c>
      <c r="E146" s="1" t="s">
        <v>13</v>
      </c>
      <c r="F146" s="1" t="s">
        <v>14</v>
      </c>
      <c r="G146" s="1" t="s">
        <v>4046</v>
      </c>
      <c r="H146" s="5">
        <f t="shared" si="2"/>
        <v>161.9302</v>
      </c>
      <c r="I146" s="1" t="s">
        <v>4047</v>
      </c>
      <c r="J146" s="1">
        <f t="shared" si="3"/>
        <v>10159.89176</v>
      </c>
      <c r="K146" s="1" t="s">
        <v>4048</v>
      </c>
      <c r="L146" s="5">
        <f t="shared" si="4"/>
        <v>34.0053</v>
      </c>
      <c r="M146" s="6" t="s">
        <v>6021</v>
      </c>
      <c r="N146" s="5">
        <f t="shared" si="5"/>
        <v>16513</v>
      </c>
    </row>
    <row r="147">
      <c r="A147" s="6" t="s">
        <v>5010</v>
      </c>
      <c r="B147" s="6" t="s">
        <v>2677</v>
      </c>
      <c r="C147" s="5">
        <f t="shared" si="1"/>
        <v>3</v>
      </c>
      <c r="D147" s="1" t="s">
        <v>116</v>
      </c>
      <c r="E147" s="1" t="s">
        <v>13</v>
      </c>
      <c r="F147" s="1" t="s">
        <v>17</v>
      </c>
      <c r="G147" s="1" t="s">
        <v>4049</v>
      </c>
      <c r="H147" s="5">
        <f t="shared" si="2"/>
        <v>159.762</v>
      </c>
      <c r="I147" s="1" t="s">
        <v>4050</v>
      </c>
      <c r="J147" s="1">
        <f t="shared" si="3"/>
        <v>16676.61422</v>
      </c>
      <c r="K147" s="1" t="s">
        <v>4051</v>
      </c>
      <c r="L147" s="5">
        <f t="shared" si="4"/>
        <v>55.9166</v>
      </c>
      <c r="M147" s="6" t="s">
        <v>6022</v>
      </c>
      <c r="N147" s="5">
        <f t="shared" si="5"/>
        <v>17796</v>
      </c>
    </row>
    <row r="148">
      <c r="A148" s="6" t="s">
        <v>5010</v>
      </c>
      <c r="B148" s="6" t="s">
        <v>2677</v>
      </c>
      <c r="C148" s="5">
        <f t="shared" si="1"/>
        <v>3</v>
      </c>
      <c r="D148" s="1" t="s">
        <v>116</v>
      </c>
      <c r="E148" s="1" t="s">
        <v>13</v>
      </c>
      <c r="F148" s="1" t="s">
        <v>21</v>
      </c>
      <c r="G148" s="1" t="s">
        <v>4053</v>
      </c>
      <c r="H148" s="5">
        <f t="shared" si="2"/>
        <v>26.5525</v>
      </c>
      <c r="I148" s="1" t="s">
        <v>4054</v>
      </c>
      <c r="J148" s="1">
        <f t="shared" si="3"/>
        <v>3433.774729</v>
      </c>
      <c r="K148" s="1" t="s">
        <v>4055</v>
      </c>
      <c r="L148" s="5">
        <f t="shared" si="4"/>
        <v>13.2763</v>
      </c>
      <c r="M148" s="6" t="s">
        <v>6023</v>
      </c>
      <c r="N148" s="5">
        <f t="shared" si="5"/>
        <v>918</v>
      </c>
    </row>
    <row r="149">
      <c r="A149" s="6" t="s">
        <v>5010</v>
      </c>
      <c r="B149" s="6" t="s">
        <v>2677</v>
      </c>
      <c r="C149" s="5">
        <f t="shared" si="1"/>
        <v>3</v>
      </c>
      <c r="D149" s="1" t="s">
        <v>116</v>
      </c>
      <c r="E149" s="1" t="s">
        <v>13</v>
      </c>
      <c r="F149" s="1" t="s">
        <v>25</v>
      </c>
      <c r="G149" s="1" t="s">
        <v>4056</v>
      </c>
      <c r="H149" s="5">
        <f t="shared" si="2"/>
        <v>0.0162</v>
      </c>
      <c r="I149" s="1" t="s">
        <v>4057</v>
      </c>
      <c r="J149" s="1">
        <f t="shared" si="3"/>
        <v>3.358336</v>
      </c>
      <c r="K149" s="1" t="s">
        <v>4058</v>
      </c>
      <c r="L149" s="5">
        <f t="shared" si="4"/>
        <v>0.0122</v>
      </c>
      <c r="M149" s="6" t="s">
        <v>273</v>
      </c>
      <c r="N149" s="5">
        <f t="shared" si="5"/>
        <v>4</v>
      </c>
    </row>
    <row r="150">
      <c r="A150" s="6" t="s">
        <v>5010</v>
      </c>
      <c r="B150" s="6" t="s">
        <v>2677</v>
      </c>
      <c r="C150" s="5">
        <f t="shared" si="1"/>
        <v>3</v>
      </c>
      <c r="D150" s="1" t="s">
        <v>116</v>
      </c>
      <c r="E150" s="1" t="s">
        <v>29</v>
      </c>
      <c r="F150" s="1" t="s">
        <v>14</v>
      </c>
      <c r="G150" s="6" t="s">
        <v>6024</v>
      </c>
      <c r="H150" s="5">
        <f t="shared" si="2"/>
        <v>1.4626</v>
      </c>
      <c r="I150" s="1" t="s">
        <v>4059</v>
      </c>
      <c r="J150" s="1">
        <f t="shared" si="3"/>
        <v>186.268794</v>
      </c>
      <c r="K150" s="1" t="s">
        <v>4060</v>
      </c>
      <c r="L150" s="5">
        <f t="shared" si="4"/>
        <v>0.2925</v>
      </c>
      <c r="M150" s="6" t="s">
        <v>2544</v>
      </c>
      <c r="N150" s="5">
        <f t="shared" si="5"/>
        <v>281</v>
      </c>
    </row>
    <row r="151">
      <c r="A151" s="6" t="s">
        <v>5010</v>
      </c>
      <c r="B151" s="6" t="s">
        <v>2677</v>
      </c>
      <c r="C151" s="5">
        <f t="shared" si="1"/>
        <v>3</v>
      </c>
      <c r="D151" s="1" t="s">
        <v>116</v>
      </c>
      <c r="E151" s="1" t="s">
        <v>29</v>
      </c>
      <c r="F151" s="1" t="s">
        <v>21</v>
      </c>
      <c r="G151" s="1" t="s">
        <v>4061</v>
      </c>
      <c r="H151" s="5">
        <f t="shared" si="2"/>
        <v>73.7656</v>
      </c>
      <c r="I151" s="1" t="s">
        <v>4062</v>
      </c>
      <c r="J151" s="1">
        <f t="shared" si="3"/>
        <v>14237.19253</v>
      </c>
      <c r="K151" s="1" t="s">
        <v>4063</v>
      </c>
      <c r="L151" s="5">
        <f t="shared" si="4"/>
        <v>29.5063</v>
      </c>
      <c r="M151" s="6" t="s">
        <v>6025</v>
      </c>
      <c r="N151" s="5">
        <f t="shared" si="5"/>
        <v>5015</v>
      </c>
    </row>
    <row r="152">
      <c r="A152" s="6" t="s">
        <v>5010</v>
      </c>
      <c r="B152" s="6" t="s">
        <v>2677</v>
      </c>
      <c r="C152" s="5">
        <f t="shared" si="1"/>
        <v>3</v>
      </c>
      <c r="D152" s="1" t="s">
        <v>116</v>
      </c>
      <c r="E152" s="1" t="s">
        <v>45</v>
      </c>
      <c r="F152" s="1" t="s">
        <v>49</v>
      </c>
      <c r="G152" s="6" t="s">
        <v>6026</v>
      </c>
      <c r="H152" s="5">
        <f t="shared" si="2"/>
        <v>2.6452</v>
      </c>
      <c r="I152" s="1" t="s">
        <v>4064</v>
      </c>
      <c r="J152" s="1">
        <f t="shared" si="3"/>
        <v>160.448018</v>
      </c>
      <c r="K152" s="1" t="s">
        <v>4065</v>
      </c>
      <c r="L152" s="5">
        <f t="shared" si="4"/>
        <v>0.6877</v>
      </c>
      <c r="M152" s="6" t="s">
        <v>6027</v>
      </c>
      <c r="N152" s="5">
        <f t="shared" si="5"/>
        <v>335</v>
      </c>
    </row>
    <row r="153">
      <c r="A153" s="6" t="s">
        <v>5010</v>
      </c>
      <c r="B153" s="6" t="s">
        <v>2677</v>
      </c>
      <c r="C153" s="5">
        <f t="shared" si="1"/>
        <v>3</v>
      </c>
      <c r="D153" s="1" t="s">
        <v>116</v>
      </c>
      <c r="E153" s="1" t="s">
        <v>45</v>
      </c>
      <c r="F153" s="1" t="s">
        <v>17</v>
      </c>
      <c r="G153" s="1" t="s">
        <v>4066</v>
      </c>
      <c r="H153" s="5">
        <f t="shared" si="2"/>
        <v>32.6474</v>
      </c>
      <c r="I153" s="1" t="s">
        <v>4067</v>
      </c>
      <c r="J153" s="1">
        <f t="shared" si="3"/>
        <v>2284.922391</v>
      </c>
      <c r="K153" s="1" t="s">
        <v>4068</v>
      </c>
      <c r="L153" s="5">
        <f t="shared" si="4"/>
        <v>11.753</v>
      </c>
      <c r="M153" s="6" t="s">
        <v>6028</v>
      </c>
      <c r="N153" s="5">
        <f t="shared" si="5"/>
        <v>1770</v>
      </c>
    </row>
    <row r="154">
      <c r="A154" s="6" t="s">
        <v>5010</v>
      </c>
      <c r="B154" s="6" t="s">
        <v>2677</v>
      </c>
      <c r="C154" s="5">
        <f t="shared" si="1"/>
        <v>3</v>
      </c>
      <c r="D154" s="1" t="s">
        <v>116</v>
      </c>
      <c r="E154" s="1" t="s">
        <v>48</v>
      </c>
      <c r="F154" s="1" t="s">
        <v>49</v>
      </c>
      <c r="G154" s="1" t="s">
        <v>2803</v>
      </c>
      <c r="H154" s="5">
        <f t="shared" si="2"/>
        <v>0.0097</v>
      </c>
      <c r="I154" s="1" t="s">
        <v>4069</v>
      </c>
      <c r="J154" s="1">
        <f t="shared" si="3"/>
        <v>3.930093</v>
      </c>
      <c r="K154" s="1" t="s">
        <v>396</v>
      </c>
      <c r="L154" s="5">
        <f t="shared" si="4"/>
        <v>0.0027</v>
      </c>
      <c r="M154" s="6" t="s">
        <v>2672</v>
      </c>
      <c r="N154" s="5">
        <f t="shared" si="5"/>
        <v>8</v>
      </c>
    </row>
    <row r="155">
      <c r="A155" s="6" t="s">
        <v>5010</v>
      </c>
      <c r="B155" s="6" t="s">
        <v>2677</v>
      </c>
      <c r="C155" s="5">
        <f t="shared" si="1"/>
        <v>3</v>
      </c>
      <c r="D155" s="1" t="s">
        <v>116</v>
      </c>
      <c r="E155" s="1" t="s">
        <v>48</v>
      </c>
      <c r="F155" s="1" t="s">
        <v>72</v>
      </c>
      <c r="G155" s="1" t="s">
        <v>4070</v>
      </c>
      <c r="H155" s="5">
        <f t="shared" si="2"/>
        <v>0.043</v>
      </c>
      <c r="I155" s="1" t="s">
        <v>4071</v>
      </c>
      <c r="J155" s="1">
        <f t="shared" si="3"/>
        <v>13.459402</v>
      </c>
      <c r="K155" s="1" t="s">
        <v>3332</v>
      </c>
      <c r="L155" s="5">
        <f t="shared" si="4"/>
        <v>0.0129</v>
      </c>
      <c r="M155" s="6" t="s">
        <v>4500</v>
      </c>
      <c r="N155" s="5">
        <f t="shared" si="5"/>
        <v>15</v>
      </c>
    </row>
    <row r="156">
      <c r="A156" s="6" t="s">
        <v>5010</v>
      </c>
      <c r="B156" s="6" t="s">
        <v>2677</v>
      </c>
      <c r="C156" s="5">
        <f t="shared" si="1"/>
        <v>3</v>
      </c>
      <c r="D156" s="1" t="s">
        <v>116</v>
      </c>
      <c r="E156" s="1" t="s">
        <v>48</v>
      </c>
      <c r="F156" s="1" t="s">
        <v>21</v>
      </c>
      <c r="G156" s="6" t="s">
        <v>6029</v>
      </c>
      <c r="H156" s="5">
        <f t="shared" si="2"/>
        <v>4.5225</v>
      </c>
      <c r="I156" s="1" t="s">
        <v>4073</v>
      </c>
      <c r="J156" s="1">
        <f t="shared" si="3"/>
        <v>1072.683641</v>
      </c>
      <c r="K156" s="1" t="s">
        <v>4074</v>
      </c>
      <c r="L156" s="5">
        <f t="shared" si="4"/>
        <v>1.809</v>
      </c>
      <c r="M156" s="6" t="s">
        <v>6030</v>
      </c>
      <c r="N156" s="5">
        <f t="shared" si="5"/>
        <v>470</v>
      </c>
    </row>
    <row r="157">
      <c r="A157" s="6" t="s">
        <v>5010</v>
      </c>
      <c r="B157" s="6" t="s">
        <v>2677</v>
      </c>
      <c r="C157" s="5">
        <f t="shared" si="1"/>
        <v>3</v>
      </c>
      <c r="D157" s="1" t="s">
        <v>116</v>
      </c>
      <c r="E157" s="1" t="s">
        <v>3962</v>
      </c>
      <c r="F157" s="1" t="s">
        <v>17</v>
      </c>
      <c r="G157" s="6" t="s">
        <v>6031</v>
      </c>
      <c r="H157" s="5">
        <f t="shared" si="2"/>
        <v>10.7233</v>
      </c>
      <c r="I157" s="1" t="s">
        <v>4075</v>
      </c>
      <c r="J157" s="1">
        <f t="shared" si="3"/>
        <v>982.058829</v>
      </c>
      <c r="K157" s="6" t="s">
        <v>6032</v>
      </c>
      <c r="L157" s="5">
        <f t="shared" si="4"/>
        <v>3.7531</v>
      </c>
      <c r="M157" s="6" t="s">
        <v>6033</v>
      </c>
      <c r="N157" s="5">
        <f t="shared" si="5"/>
        <v>3545</v>
      </c>
    </row>
    <row r="158">
      <c r="A158" s="6" t="s">
        <v>5010</v>
      </c>
      <c r="B158" s="6" t="s">
        <v>2677</v>
      </c>
      <c r="C158" s="5">
        <f t="shared" si="1"/>
        <v>3</v>
      </c>
      <c r="D158" s="1" t="s">
        <v>116</v>
      </c>
      <c r="E158" s="1" t="s">
        <v>38</v>
      </c>
      <c r="F158" s="1" t="s">
        <v>39</v>
      </c>
      <c r="G158" s="6" t="s">
        <v>6034</v>
      </c>
      <c r="H158" s="5">
        <f t="shared" si="2"/>
        <v>9.3746</v>
      </c>
      <c r="I158" s="1" t="s">
        <v>4076</v>
      </c>
      <c r="J158" s="1">
        <f t="shared" si="3"/>
        <v>947.040142</v>
      </c>
      <c r="K158" s="6" t="s">
        <v>6035</v>
      </c>
      <c r="L158" s="5">
        <f t="shared" si="4"/>
        <v>1.6874</v>
      </c>
      <c r="M158" s="6" t="s">
        <v>6036</v>
      </c>
      <c r="N158" s="5">
        <f t="shared" si="5"/>
        <v>3564</v>
      </c>
    </row>
    <row r="159">
      <c r="A159" s="6" t="s">
        <v>5010</v>
      </c>
      <c r="B159" s="6" t="s">
        <v>2677</v>
      </c>
      <c r="C159" s="5">
        <f t="shared" si="1"/>
        <v>3</v>
      </c>
      <c r="D159" s="1" t="s">
        <v>116</v>
      </c>
      <c r="E159" s="1" t="s">
        <v>147</v>
      </c>
      <c r="F159" s="1" t="s">
        <v>39</v>
      </c>
      <c r="G159" s="6" t="s">
        <v>6037</v>
      </c>
      <c r="H159" s="5">
        <f t="shared" si="2"/>
        <v>2.2362</v>
      </c>
      <c r="I159" s="1" t="s">
        <v>4077</v>
      </c>
      <c r="J159" s="1">
        <f t="shared" si="3"/>
        <v>709.715146</v>
      </c>
      <c r="K159" s="1" t="s">
        <v>4078</v>
      </c>
      <c r="L159" s="5">
        <f t="shared" si="4"/>
        <v>0.4248</v>
      </c>
      <c r="M159" s="6" t="s">
        <v>3901</v>
      </c>
      <c r="N159" s="5">
        <f t="shared" si="5"/>
        <v>116</v>
      </c>
    </row>
    <row r="160">
      <c r="A160" s="6" t="s">
        <v>5010</v>
      </c>
      <c r="B160" s="6" t="s">
        <v>2677</v>
      </c>
      <c r="C160" s="5">
        <f t="shared" si="1"/>
        <v>3</v>
      </c>
      <c r="D160" s="1" t="s">
        <v>116</v>
      </c>
      <c r="E160" s="1" t="s">
        <v>147</v>
      </c>
      <c r="F160" s="1" t="s">
        <v>17</v>
      </c>
      <c r="G160" s="1" t="s">
        <v>4079</v>
      </c>
      <c r="H160" s="5">
        <f t="shared" si="2"/>
        <v>0.051</v>
      </c>
      <c r="I160" s="1" t="s">
        <v>4080</v>
      </c>
      <c r="J160" s="1">
        <f t="shared" si="3"/>
        <v>22.146691</v>
      </c>
      <c r="K160" s="1" t="s">
        <v>4081</v>
      </c>
      <c r="L160" s="5">
        <f t="shared" si="4"/>
        <v>0.018</v>
      </c>
      <c r="M160" s="6" t="s">
        <v>2521</v>
      </c>
      <c r="N160" s="5">
        <f t="shared" si="5"/>
        <v>6</v>
      </c>
    </row>
    <row r="161">
      <c r="A161" s="6" t="s">
        <v>5010</v>
      </c>
      <c r="B161" s="6" t="s">
        <v>2677</v>
      </c>
      <c r="C161" s="5">
        <f t="shared" si="1"/>
        <v>3</v>
      </c>
      <c r="D161" s="1" t="s">
        <v>116</v>
      </c>
      <c r="E161" s="1" t="s">
        <v>147</v>
      </c>
      <c r="F161" s="1" t="s">
        <v>21</v>
      </c>
      <c r="G161" s="1" t="s">
        <v>4082</v>
      </c>
      <c r="H161" s="5">
        <f t="shared" si="2"/>
        <v>0.1688</v>
      </c>
      <c r="I161" s="1" t="s">
        <v>4083</v>
      </c>
      <c r="J161" s="1">
        <f t="shared" si="3"/>
        <v>88.881426</v>
      </c>
      <c r="K161" s="1" t="s">
        <v>520</v>
      </c>
      <c r="L161" s="5">
        <f t="shared" si="4"/>
        <v>0.0844</v>
      </c>
      <c r="M161" s="6" t="s">
        <v>5880</v>
      </c>
      <c r="N161" s="5">
        <f t="shared" si="5"/>
        <v>64</v>
      </c>
    </row>
    <row r="162">
      <c r="A162" s="6" t="s">
        <v>5010</v>
      </c>
      <c r="B162" s="6" t="s">
        <v>2677</v>
      </c>
      <c r="C162" s="5">
        <f t="shared" si="1"/>
        <v>3</v>
      </c>
      <c r="D162" s="1" t="s">
        <v>116</v>
      </c>
      <c r="E162" s="1" t="s">
        <v>1830</v>
      </c>
      <c r="F162" s="1" t="s">
        <v>72</v>
      </c>
      <c r="G162" s="6" t="s">
        <v>6038</v>
      </c>
      <c r="H162" s="5">
        <f t="shared" si="2"/>
        <v>7.9659</v>
      </c>
      <c r="I162" s="1" t="s">
        <v>4084</v>
      </c>
      <c r="J162" s="1">
        <f t="shared" si="3"/>
        <v>521.416723</v>
      </c>
      <c r="K162" s="6" t="s">
        <v>6039</v>
      </c>
      <c r="L162" s="5">
        <f t="shared" si="4"/>
        <v>2.5491</v>
      </c>
      <c r="M162" s="6" t="s">
        <v>6040</v>
      </c>
      <c r="N162" s="5">
        <f t="shared" si="5"/>
        <v>3499</v>
      </c>
    </row>
    <row r="163">
      <c r="A163" s="6" t="s">
        <v>5010</v>
      </c>
      <c r="B163" s="6" t="s">
        <v>2677</v>
      </c>
      <c r="C163" s="5">
        <f t="shared" si="1"/>
        <v>3</v>
      </c>
      <c r="D163" s="1" t="s">
        <v>116</v>
      </c>
      <c r="E163" s="1" t="s">
        <v>158</v>
      </c>
      <c r="F163" s="1" t="s">
        <v>17</v>
      </c>
      <c r="G163" s="1" t="s">
        <v>4085</v>
      </c>
      <c r="H163" s="5">
        <f t="shared" si="2"/>
        <v>0.4466</v>
      </c>
      <c r="I163" s="1" t="s">
        <v>4086</v>
      </c>
      <c r="J163" s="1">
        <f t="shared" si="3"/>
        <v>200.891934</v>
      </c>
      <c r="K163" s="1" t="s">
        <v>4087</v>
      </c>
      <c r="L163" s="5">
        <f t="shared" si="4"/>
        <v>0.1563</v>
      </c>
      <c r="M163" s="6" t="s">
        <v>291</v>
      </c>
      <c r="N163" s="5">
        <f t="shared" si="5"/>
        <v>0</v>
      </c>
    </row>
    <row r="164">
      <c r="A164" s="6" t="s">
        <v>5010</v>
      </c>
      <c r="B164" s="6" t="s">
        <v>2677</v>
      </c>
      <c r="C164" s="5">
        <f t="shared" si="1"/>
        <v>3</v>
      </c>
      <c r="D164" s="1" t="s">
        <v>116</v>
      </c>
      <c r="E164" s="1" t="s">
        <v>158</v>
      </c>
      <c r="F164" s="1" t="s">
        <v>21</v>
      </c>
      <c r="G164" s="1" t="s">
        <v>4088</v>
      </c>
      <c r="H164" s="5">
        <f t="shared" si="2"/>
        <v>0.5306</v>
      </c>
      <c r="I164" s="1" t="s">
        <v>4089</v>
      </c>
      <c r="J164" s="1">
        <f t="shared" si="3"/>
        <v>290.884253</v>
      </c>
      <c r="K164" s="1" t="s">
        <v>4090</v>
      </c>
      <c r="L164" s="5">
        <f t="shared" si="4"/>
        <v>0.2229</v>
      </c>
      <c r="M164" s="6" t="s">
        <v>291</v>
      </c>
      <c r="N164" s="5">
        <f t="shared" si="5"/>
        <v>0</v>
      </c>
    </row>
    <row r="165">
      <c r="A165" s="6" t="s">
        <v>5010</v>
      </c>
      <c r="B165" s="6" t="s">
        <v>2677</v>
      </c>
      <c r="C165" s="5">
        <f t="shared" si="1"/>
        <v>3</v>
      </c>
      <c r="D165" s="1" t="s">
        <v>116</v>
      </c>
      <c r="E165" s="1" t="s">
        <v>1851</v>
      </c>
      <c r="F165" s="1" t="s">
        <v>17</v>
      </c>
      <c r="G165" s="6" t="s">
        <v>6041</v>
      </c>
      <c r="H165" s="5">
        <f t="shared" si="2"/>
        <v>5.4266</v>
      </c>
      <c r="I165" s="1" t="s">
        <v>4092</v>
      </c>
      <c r="J165" s="1">
        <f t="shared" si="3"/>
        <v>395.156842</v>
      </c>
      <c r="K165" s="6" t="s">
        <v>4094</v>
      </c>
      <c r="L165" s="5">
        <f t="shared" si="4"/>
        <v>2.0892</v>
      </c>
      <c r="M165" s="6" t="s">
        <v>3527</v>
      </c>
      <c r="N165" s="5">
        <f t="shared" si="5"/>
        <v>1692</v>
      </c>
    </row>
    <row r="166">
      <c r="A166" s="6" t="s">
        <v>5010</v>
      </c>
      <c r="B166" s="6" t="s">
        <v>2677</v>
      </c>
      <c r="C166" s="5">
        <f t="shared" si="1"/>
        <v>3</v>
      </c>
      <c r="D166" s="1" t="s">
        <v>116</v>
      </c>
      <c r="E166" s="1" t="s">
        <v>1851</v>
      </c>
      <c r="F166" s="1" t="s">
        <v>21</v>
      </c>
      <c r="G166" s="1" t="s">
        <v>4095</v>
      </c>
      <c r="H166" s="5">
        <f t="shared" si="2"/>
        <v>0.2713</v>
      </c>
      <c r="I166" s="1" t="s">
        <v>4096</v>
      </c>
      <c r="J166" s="1">
        <f t="shared" si="3"/>
        <v>25.76972</v>
      </c>
      <c r="K166" s="1" t="s">
        <v>4097</v>
      </c>
      <c r="L166" s="5">
        <f t="shared" si="4"/>
        <v>0.1329</v>
      </c>
      <c r="M166" s="6" t="s">
        <v>6042</v>
      </c>
      <c r="N166" s="5">
        <f t="shared" si="5"/>
        <v>135</v>
      </c>
    </row>
    <row r="167">
      <c r="A167" s="6" t="s">
        <v>5010</v>
      </c>
      <c r="B167" s="6" t="s">
        <v>273</v>
      </c>
      <c r="C167" s="5">
        <f t="shared" si="1"/>
        <v>4</v>
      </c>
      <c r="D167" s="1" t="s">
        <v>12</v>
      </c>
      <c r="E167" s="1" t="s">
        <v>13</v>
      </c>
      <c r="F167" s="1" t="s">
        <v>14</v>
      </c>
      <c r="G167" s="6" t="s">
        <v>6043</v>
      </c>
      <c r="H167" s="5">
        <f t="shared" si="2"/>
        <v>11.3379</v>
      </c>
      <c r="I167" s="1" t="s">
        <v>4098</v>
      </c>
      <c r="J167" s="1">
        <f t="shared" si="3"/>
        <v>820.416108</v>
      </c>
      <c r="K167" s="6" t="s">
        <v>6044</v>
      </c>
      <c r="L167" s="5">
        <f t="shared" si="4"/>
        <v>2.3809</v>
      </c>
      <c r="M167" s="6" t="s">
        <v>6045</v>
      </c>
      <c r="N167" s="5">
        <f t="shared" si="5"/>
        <v>442</v>
      </c>
    </row>
    <row r="168">
      <c r="A168" s="6" t="s">
        <v>5010</v>
      </c>
      <c r="B168" s="6" t="s">
        <v>273</v>
      </c>
      <c r="C168" s="5">
        <f t="shared" si="1"/>
        <v>4</v>
      </c>
      <c r="D168" s="1" t="s">
        <v>12</v>
      </c>
      <c r="E168" s="1" t="s">
        <v>13</v>
      </c>
      <c r="F168" s="1" t="s">
        <v>17</v>
      </c>
      <c r="G168" s="1" t="s">
        <v>4099</v>
      </c>
      <c r="H168" s="5">
        <f t="shared" si="2"/>
        <v>54.2457</v>
      </c>
      <c r="I168" s="1" t="s">
        <v>4100</v>
      </c>
      <c r="J168" s="1">
        <f t="shared" si="3"/>
        <v>5684.181431</v>
      </c>
      <c r="K168" s="1" t="s">
        <v>4101</v>
      </c>
      <c r="L168" s="5">
        <f t="shared" si="4"/>
        <v>18.986</v>
      </c>
      <c r="M168" s="6" t="s">
        <v>4795</v>
      </c>
      <c r="N168" s="5">
        <f t="shared" si="5"/>
        <v>679</v>
      </c>
    </row>
    <row r="169">
      <c r="A169" s="6" t="s">
        <v>5010</v>
      </c>
      <c r="B169" s="6" t="s">
        <v>273</v>
      </c>
      <c r="C169" s="5">
        <f t="shared" si="1"/>
        <v>4</v>
      </c>
      <c r="D169" s="1" t="s">
        <v>12</v>
      </c>
      <c r="E169" s="1" t="s">
        <v>13</v>
      </c>
      <c r="F169" s="1" t="s">
        <v>21</v>
      </c>
      <c r="G169" s="1" t="s">
        <v>4102</v>
      </c>
      <c r="H169" s="5">
        <f t="shared" si="2"/>
        <v>25.783</v>
      </c>
      <c r="I169" s="1" t="s">
        <v>4103</v>
      </c>
      <c r="J169" s="1">
        <f t="shared" si="3"/>
        <v>3564.350803</v>
      </c>
      <c r="K169" s="6" t="s">
        <v>6046</v>
      </c>
      <c r="L169" s="5">
        <f t="shared" si="4"/>
        <v>12.8916</v>
      </c>
      <c r="M169" s="6" t="s">
        <v>6047</v>
      </c>
      <c r="N169" s="5">
        <f t="shared" si="5"/>
        <v>538</v>
      </c>
    </row>
    <row r="170">
      <c r="A170" s="6" t="s">
        <v>5010</v>
      </c>
      <c r="B170" s="6" t="s">
        <v>273</v>
      </c>
      <c r="C170" s="5">
        <f t="shared" si="1"/>
        <v>4</v>
      </c>
      <c r="D170" s="1" t="s">
        <v>12</v>
      </c>
      <c r="E170" s="1" t="s">
        <v>29</v>
      </c>
      <c r="F170" s="1" t="s">
        <v>14</v>
      </c>
      <c r="G170" s="6" t="s">
        <v>4104</v>
      </c>
      <c r="H170" s="5">
        <f t="shared" si="2"/>
        <v>3.0257</v>
      </c>
      <c r="I170" s="1" t="s">
        <v>4105</v>
      </c>
      <c r="J170" s="1">
        <f t="shared" si="3"/>
        <v>318.203811</v>
      </c>
      <c r="K170" s="1" t="s">
        <v>4107</v>
      </c>
      <c r="L170" s="5">
        <f t="shared" si="4"/>
        <v>0.6051</v>
      </c>
      <c r="M170" s="6" t="s">
        <v>5926</v>
      </c>
      <c r="N170" s="5">
        <f t="shared" si="5"/>
        <v>92</v>
      </c>
    </row>
    <row r="171">
      <c r="A171" s="6" t="s">
        <v>5010</v>
      </c>
      <c r="B171" s="6" t="s">
        <v>273</v>
      </c>
      <c r="C171" s="5">
        <f t="shared" si="1"/>
        <v>4</v>
      </c>
      <c r="D171" s="1" t="s">
        <v>12</v>
      </c>
      <c r="E171" s="1" t="s">
        <v>29</v>
      </c>
      <c r="F171" s="1" t="s">
        <v>21</v>
      </c>
      <c r="G171" s="1" t="s">
        <v>4108</v>
      </c>
      <c r="H171" s="5">
        <f t="shared" si="2"/>
        <v>29.1363</v>
      </c>
      <c r="I171" s="1" t="s">
        <v>4109</v>
      </c>
      <c r="J171" s="1">
        <f t="shared" si="3"/>
        <v>6304.313433</v>
      </c>
      <c r="K171" s="6" t="s">
        <v>6048</v>
      </c>
      <c r="L171" s="5">
        <f t="shared" si="4"/>
        <v>11.6546</v>
      </c>
      <c r="M171" s="6" t="s">
        <v>3559</v>
      </c>
      <c r="N171" s="5">
        <f t="shared" si="5"/>
        <v>633</v>
      </c>
    </row>
    <row r="172">
      <c r="A172" s="6" t="s">
        <v>5010</v>
      </c>
      <c r="B172" s="6" t="s">
        <v>273</v>
      </c>
      <c r="C172" s="5">
        <f t="shared" si="1"/>
        <v>4</v>
      </c>
      <c r="D172" s="1" t="s">
        <v>12</v>
      </c>
      <c r="E172" s="1" t="s">
        <v>48</v>
      </c>
      <c r="F172" s="1" t="s">
        <v>49</v>
      </c>
      <c r="G172" s="1" t="s">
        <v>1523</v>
      </c>
      <c r="H172" s="5">
        <f t="shared" si="2"/>
        <v>0.0126</v>
      </c>
      <c r="I172" s="1" t="s">
        <v>4110</v>
      </c>
      <c r="J172" s="1">
        <f t="shared" si="3"/>
        <v>3.818633</v>
      </c>
      <c r="K172" s="1" t="s">
        <v>1719</v>
      </c>
      <c r="L172" s="5">
        <f t="shared" si="4"/>
        <v>0.0035</v>
      </c>
      <c r="M172" s="6" t="s">
        <v>600</v>
      </c>
      <c r="N172" s="5">
        <f t="shared" si="5"/>
        <v>7</v>
      </c>
    </row>
    <row r="173">
      <c r="A173" s="6" t="s">
        <v>5010</v>
      </c>
      <c r="B173" s="6" t="s">
        <v>273</v>
      </c>
      <c r="C173" s="5">
        <f t="shared" si="1"/>
        <v>4</v>
      </c>
      <c r="D173" s="1" t="s">
        <v>12</v>
      </c>
      <c r="E173" s="1" t="s">
        <v>48</v>
      </c>
      <c r="F173" s="1" t="s">
        <v>21</v>
      </c>
      <c r="G173" s="1" t="s">
        <v>4113</v>
      </c>
      <c r="H173" s="5">
        <f t="shared" si="2"/>
        <v>2.839</v>
      </c>
      <c r="I173" s="1" t="s">
        <v>4114</v>
      </c>
      <c r="J173" s="1">
        <f t="shared" si="3"/>
        <v>475.48094</v>
      </c>
      <c r="K173" s="6" t="s">
        <v>4115</v>
      </c>
      <c r="L173" s="5">
        <f t="shared" si="4"/>
        <v>1.1356</v>
      </c>
      <c r="M173" s="6" t="s">
        <v>4584</v>
      </c>
      <c r="N173" s="5">
        <f t="shared" si="5"/>
        <v>163</v>
      </c>
    </row>
    <row r="174">
      <c r="A174" s="6" t="s">
        <v>5010</v>
      </c>
      <c r="B174" s="6" t="s">
        <v>273</v>
      </c>
      <c r="C174" s="5">
        <f t="shared" si="1"/>
        <v>4</v>
      </c>
      <c r="D174" s="1" t="s">
        <v>12</v>
      </c>
      <c r="E174" s="1" t="s">
        <v>38</v>
      </c>
      <c r="F174" s="1" t="s">
        <v>39</v>
      </c>
      <c r="G174" s="6" t="s">
        <v>6049</v>
      </c>
      <c r="H174" s="5">
        <f t="shared" si="2"/>
        <v>1.7006</v>
      </c>
      <c r="I174" s="1" t="s">
        <v>4116</v>
      </c>
      <c r="J174" s="1">
        <f t="shared" si="3"/>
        <v>203.671087</v>
      </c>
      <c r="K174" s="1" t="s">
        <v>4117</v>
      </c>
      <c r="L174" s="5">
        <f t="shared" si="4"/>
        <v>0.3061</v>
      </c>
      <c r="M174" s="6" t="s">
        <v>2578</v>
      </c>
      <c r="N174" s="5">
        <f t="shared" si="5"/>
        <v>167</v>
      </c>
    </row>
    <row r="175">
      <c r="A175" s="6" t="s">
        <v>5010</v>
      </c>
      <c r="B175" s="6" t="s">
        <v>273</v>
      </c>
      <c r="C175" s="5">
        <f t="shared" si="1"/>
        <v>4</v>
      </c>
      <c r="D175" s="1" t="s">
        <v>12</v>
      </c>
      <c r="E175" s="1" t="s">
        <v>45</v>
      </c>
      <c r="F175" s="1" t="s">
        <v>49</v>
      </c>
      <c r="G175" s="1" t="s">
        <v>1717</v>
      </c>
      <c r="H175" s="5">
        <f t="shared" si="2"/>
        <v>0.0046</v>
      </c>
      <c r="I175" s="1" t="s">
        <v>4118</v>
      </c>
      <c r="J175" s="1">
        <f t="shared" si="3"/>
        <v>0.27464</v>
      </c>
      <c r="K175" s="1" t="s">
        <v>1813</v>
      </c>
      <c r="L175" s="5">
        <f t="shared" si="4"/>
        <v>0.0012</v>
      </c>
      <c r="M175" s="6" t="s">
        <v>186</v>
      </c>
      <c r="N175" s="5">
        <f t="shared" si="5"/>
        <v>1</v>
      </c>
    </row>
    <row r="176">
      <c r="A176" s="6" t="s">
        <v>5010</v>
      </c>
      <c r="B176" s="6" t="s">
        <v>273</v>
      </c>
      <c r="C176" s="5">
        <f t="shared" si="1"/>
        <v>4</v>
      </c>
      <c r="D176" s="1" t="s">
        <v>12</v>
      </c>
      <c r="E176" s="1" t="s">
        <v>45</v>
      </c>
      <c r="F176" s="1" t="s">
        <v>17</v>
      </c>
      <c r="G176" s="6" t="s">
        <v>6050</v>
      </c>
      <c r="H176" s="5">
        <f t="shared" si="2"/>
        <v>2.3275</v>
      </c>
      <c r="I176" s="1" t="s">
        <v>4119</v>
      </c>
      <c r="J176" s="1">
        <f t="shared" si="3"/>
        <v>195.828471</v>
      </c>
      <c r="K176" s="1" t="s">
        <v>4121</v>
      </c>
      <c r="L176" s="5">
        <f t="shared" si="4"/>
        <v>0.8379</v>
      </c>
      <c r="M176" s="6" t="s">
        <v>6051</v>
      </c>
      <c r="N176" s="5">
        <f t="shared" si="5"/>
        <v>140</v>
      </c>
    </row>
    <row r="177">
      <c r="A177" s="6" t="s">
        <v>5010</v>
      </c>
      <c r="B177" s="6" t="s">
        <v>273</v>
      </c>
      <c r="C177" s="5">
        <f t="shared" si="1"/>
        <v>4</v>
      </c>
      <c r="D177" s="1" t="s">
        <v>12</v>
      </c>
      <c r="E177" s="1" t="s">
        <v>42</v>
      </c>
      <c r="F177" s="1" t="s">
        <v>17</v>
      </c>
      <c r="G177" s="1" t="s">
        <v>4122</v>
      </c>
      <c r="H177" s="5">
        <f t="shared" si="2"/>
        <v>0.541</v>
      </c>
      <c r="I177" s="1" t="s">
        <v>4123</v>
      </c>
      <c r="J177" s="1">
        <f t="shared" si="3"/>
        <v>104.952492</v>
      </c>
      <c r="K177" s="1" t="s">
        <v>4125</v>
      </c>
      <c r="L177" s="5">
        <f t="shared" si="4"/>
        <v>0.2001</v>
      </c>
      <c r="M177" s="6" t="s">
        <v>291</v>
      </c>
      <c r="N177" s="5">
        <f t="shared" si="5"/>
        <v>0</v>
      </c>
    </row>
    <row r="178">
      <c r="A178" s="6" t="s">
        <v>5010</v>
      </c>
      <c r="B178" s="6" t="s">
        <v>273</v>
      </c>
      <c r="C178" s="5">
        <f t="shared" si="1"/>
        <v>4</v>
      </c>
      <c r="D178" s="1" t="s">
        <v>12</v>
      </c>
      <c r="E178" s="1" t="s">
        <v>4127</v>
      </c>
      <c r="F178" s="1" t="s">
        <v>17</v>
      </c>
      <c r="G178" s="6" t="s">
        <v>6052</v>
      </c>
      <c r="H178" s="5">
        <f t="shared" si="2"/>
        <v>1.4503</v>
      </c>
      <c r="I178" s="1" t="s">
        <v>4128</v>
      </c>
      <c r="J178" s="1">
        <f t="shared" si="3"/>
        <v>92.093955</v>
      </c>
      <c r="K178" s="1" t="s">
        <v>4129</v>
      </c>
      <c r="L178" s="5">
        <f t="shared" si="4"/>
        <v>0.5076</v>
      </c>
      <c r="M178" s="6" t="s">
        <v>3526</v>
      </c>
      <c r="N178" s="5">
        <f t="shared" si="5"/>
        <v>104</v>
      </c>
    </row>
    <row r="179">
      <c r="A179" s="6" t="s">
        <v>5010</v>
      </c>
      <c r="B179" s="6" t="s">
        <v>273</v>
      </c>
      <c r="C179" s="5">
        <f t="shared" si="1"/>
        <v>4</v>
      </c>
      <c r="D179" s="1" t="s">
        <v>12</v>
      </c>
      <c r="E179" s="1" t="s">
        <v>3962</v>
      </c>
      <c r="F179" s="1" t="s">
        <v>17</v>
      </c>
      <c r="G179" s="1" t="s">
        <v>4130</v>
      </c>
      <c r="H179" s="5">
        <f t="shared" si="2"/>
        <v>0.7924</v>
      </c>
      <c r="I179" s="1" t="s">
        <v>4131</v>
      </c>
      <c r="J179" s="1">
        <f t="shared" si="3"/>
        <v>73.897714</v>
      </c>
      <c r="K179" s="1" t="s">
        <v>4133</v>
      </c>
      <c r="L179" s="5">
        <f t="shared" si="4"/>
        <v>0.2774</v>
      </c>
      <c r="M179" s="6" t="s">
        <v>2932</v>
      </c>
      <c r="N179" s="5">
        <f t="shared" si="5"/>
        <v>117</v>
      </c>
    </row>
    <row r="180">
      <c r="A180" s="6" t="s">
        <v>5010</v>
      </c>
      <c r="B180" s="6" t="s">
        <v>273</v>
      </c>
      <c r="C180" s="5">
        <f t="shared" si="1"/>
        <v>4</v>
      </c>
      <c r="D180" s="1" t="s">
        <v>12</v>
      </c>
      <c r="E180" s="1" t="s">
        <v>1830</v>
      </c>
      <c r="F180" s="1" t="s">
        <v>72</v>
      </c>
      <c r="G180" s="1" t="s">
        <v>4135</v>
      </c>
      <c r="H180" s="5">
        <f t="shared" si="2"/>
        <v>0.4853</v>
      </c>
      <c r="I180" s="1" t="s">
        <v>4136</v>
      </c>
      <c r="J180" s="1">
        <f t="shared" si="3"/>
        <v>55.820227</v>
      </c>
      <c r="K180" s="1" t="s">
        <v>3159</v>
      </c>
      <c r="L180" s="5">
        <f t="shared" si="4"/>
        <v>0.1553</v>
      </c>
      <c r="M180" s="6" t="s">
        <v>3582</v>
      </c>
      <c r="N180" s="5">
        <f t="shared" si="5"/>
        <v>245</v>
      </c>
    </row>
    <row r="181">
      <c r="A181" s="6" t="s">
        <v>5010</v>
      </c>
      <c r="B181" s="6" t="s">
        <v>273</v>
      </c>
      <c r="C181" s="5">
        <f t="shared" si="1"/>
        <v>4</v>
      </c>
      <c r="D181" s="1" t="s">
        <v>12</v>
      </c>
      <c r="E181" s="1" t="s">
        <v>56</v>
      </c>
      <c r="F181" s="1" t="s">
        <v>21</v>
      </c>
      <c r="G181" s="1" t="s">
        <v>4137</v>
      </c>
      <c r="H181" s="5">
        <f t="shared" si="2"/>
        <v>0.2207</v>
      </c>
      <c r="I181" s="1" t="s">
        <v>4138</v>
      </c>
      <c r="J181" s="1">
        <f t="shared" si="3"/>
        <v>52.923911</v>
      </c>
      <c r="K181" s="1" t="s">
        <v>4140</v>
      </c>
      <c r="L181" s="5">
        <f t="shared" si="4"/>
        <v>0.0883</v>
      </c>
      <c r="M181" s="6" t="s">
        <v>6053</v>
      </c>
      <c r="N181" s="5">
        <f t="shared" si="5"/>
        <v>125</v>
      </c>
    </row>
    <row r="182">
      <c r="A182" s="6" t="s">
        <v>5010</v>
      </c>
      <c r="B182" s="6" t="s">
        <v>273</v>
      </c>
      <c r="C182" s="5">
        <f t="shared" si="1"/>
        <v>4</v>
      </c>
      <c r="D182" s="1" t="s">
        <v>68</v>
      </c>
      <c r="E182" s="1" t="s">
        <v>13</v>
      </c>
      <c r="F182" s="1" t="s">
        <v>14</v>
      </c>
      <c r="G182" s="1" t="s">
        <v>4141</v>
      </c>
      <c r="H182" s="5">
        <f t="shared" si="2"/>
        <v>41.0183</v>
      </c>
      <c r="I182" s="1" t="s">
        <v>4142</v>
      </c>
      <c r="J182" s="1">
        <f t="shared" si="3"/>
        <v>2841.10438</v>
      </c>
      <c r="K182" s="6" t="s">
        <v>6056</v>
      </c>
      <c r="L182" s="5">
        <f t="shared" si="4"/>
        <v>8.6138</v>
      </c>
      <c r="M182" s="6" t="s">
        <v>6057</v>
      </c>
      <c r="N182" s="5">
        <f t="shared" si="5"/>
        <v>7512</v>
      </c>
    </row>
    <row r="183">
      <c r="A183" s="6" t="s">
        <v>5010</v>
      </c>
      <c r="B183" s="6" t="s">
        <v>273</v>
      </c>
      <c r="C183" s="5">
        <f t="shared" si="1"/>
        <v>4</v>
      </c>
      <c r="D183" s="1" t="s">
        <v>68</v>
      </c>
      <c r="E183" s="1" t="s">
        <v>13</v>
      </c>
      <c r="F183" s="1" t="s">
        <v>17</v>
      </c>
      <c r="G183" s="1" t="s">
        <v>4144</v>
      </c>
      <c r="H183" s="5">
        <f t="shared" si="2"/>
        <v>61.0993</v>
      </c>
      <c r="I183" s="1" t="s">
        <v>4145</v>
      </c>
      <c r="J183" s="1">
        <f t="shared" si="3"/>
        <v>6623.000018</v>
      </c>
      <c r="K183" s="1" t="s">
        <v>4146</v>
      </c>
      <c r="L183" s="5">
        <f t="shared" si="4"/>
        <v>21.3847</v>
      </c>
      <c r="M183" s="6" t="s">
        <v>6058</v>
      </c>
      <c r="N183" s="5">
        <f t="shared" si="5"/>
        <v>8855</v>
      </c>
    </row>
    <row r="184">
      <c r="A184" s="6" t="s">
        <v>5010</v>
      </c>
      <c r="B184" s="6" t="s">
        <v>273</v>
      </c>
      <c r="C184" s="5">
        <f t="shared" si="1"/>
        <v>4</v>
      </c>
      <c r="D184" s="1" t="s">
        <v>68</v>
      </c>
      <c r="E184" s="1" t="s">
        <v>13</v>
      </c>
      <c r="F184" s="1" t="s">
        <v>21</v>
      </c>
      <c r="G184" s="6" t="s">
        <v>6059</v>
      </c>
      <c r="H184" s="5">
        <f t="shared" si="2"/>
        <v>2.8634</v>
      </c>
      <c r="I184" s="1" t="s">
        <v>4148</v>
      </c>
      <c r="J184" s="1">
        <f t="shared" si="3"/>
        <v>525.96028</v>
      </c>
      <c r="K184" s="6" t="s">
        <v>6060</v>
      </c>
      <c r="L184" s="5">
        <f t="shared" si="4"/>
        <v>1.4317</v>
      </c>
      <c r="M184" s="6" t="s">
        <v>6061</v>
      </c>
      <c r="N184" s="5">
        <f t="shared" si="5"/>
        <v>472</v>
      </c>
    </row>
    <row r="185">
      <c r="A185" s="6" t="s">
        <v>5010</v>
      </c>
      <c r="B185" s="6" t="s">
        <v>273</v>
      </c>
      <c r="C185" s="5">
        <f t="shared" si="1"/>
        <v>4</v>
      </c>
      <c r="D185" s="1" t="s">
        <v>68</v>
      </c>
      <c r="E185" s="1" t="s">
        <v>13</v>
      </c>
      <c r="F185" s="1" t="s">
        <v>25</v>
      </c>
      <c r="G185" s="1" t="s">
        <v>4149</v>
      </c>
      <c r="H185" s="5">
        <f t="shared" si="2"/>
        <v>0.303</v>
      </c>
      <c r="I185" s="1" t="s">
        <v>4150</v>
      </c>
      <c r="J185" s="1">
        <f t="shared" si="3"/>
        <v>48.940376</v>
      </c>
      <c r="K185" s="1" t="s">
        <v>4151</v>
      </c>
      <c r="L185" s="5">
        <f t="shared" si="4"/>
        <v>0.2273</v>
      </c>
      <c r="M185" s="6" t="s">
        <v>626</v>
      </c>
      <c r="N185" s="5">
        <f t="shared" si="5"/>
        <v>179</v>
      </c>
    </row>
    <row r="186">
      <c r="A186" s="6" t="s">
        <v>5010</v>
      </c>
      <c r="B186" s="6" t="s">
        <v>273</v>
      </c>
      <c r="C186" s="5">
        <f t="shared" si="1"/>
        <v>4</v>
      </c>
      <c r="D186" s="1" t="s">
        <v>68</v>
      </c>
      <c r="E186" s="1" t="s">
        <v>29</v>
      </c>
      <c r="F186" s="1" t="s">
        <v>14</v>
      </c>
      <c r="G186" s="6" t="s">
        <v>2314</v>
      </c>
      <c r="H186" s="5">
        <f t="shared" si="2"/>
        <v>1.0727</v>
      </c>
      <c r="I186" s="1" t="s">
        <v>4152</v>
      </c>
      <c r="J186" s="1">
        <f t="shared" si="3"/>
        <v>113.266212</v>
      </c>
      <c r="K186" s="1" t="s">
        <v>4153</v>
      </c>
      <c r="L186" s="5">
        <f t="shared" si="4"/>
        <v>0.2146</v>
      </c>
      <c r="M186" s="6" t="s">
        <v>3184</v>
      </c>
      <c r="N186" s="5">
        <f t="shared" si="5"/>
        <v>73</v>
      </c>
    </row>
    <row r="187">
      <c r="A187" s="6" t="s">
        <v>5010</v>
      </c>
      <c r="B187" s="6" t="s">
        <v>273</v>
      </c>
      <c r="C187" s="5">
        <f t="shared" si="1"/>
        <v>4</v>
      </c>
      <c r="D187" s="1" t="s">
        <v>68</v>
      </c>
      <c r="E187" s="1" t="s">
        <v>29</v>
      </c>
      <c r="F187" s="1" t="s">
        <v>21</v>
      </c>
      <c r="G187" s="1" t="s">
        <v>24</v>
      </c>
      <c r="H187" s="5">
        <f t="shared" si="2"/>
        <v>17.8592</v>
      </c>
      <c r="I187" s="1" t="s">
        <v>4154</v>
      </c>
      <c r="J187" s="1">
        <f t="shared" si="3"/>
        <v>3527.423164</v>
      </c>
      <c r="K187" s="6" t="s">
        <v>4155</v>
      </c>
      <c r="L187" s="5">
        <f t="shared" si="4"/>
        <v>7.1437</v>
      </c>
      <c r="M187" s="6" t="s">
        <v>6062</v>
      </c>
      <c r="N187" s="5">
        <f t="shared" si="5"/>
        <v>2396</v>
      </c>
    </row>
    <row r="188">
      <c r="A188" s="6" t="s">
        <v>5010</v>
      </c>
      <c r="B188" s="6" t="s">
        <v>273</v>
      </c>
      <c r="C188" s="5">
        <f t="shared" si="1"/>
        <v>4</v>
      </c>
      <c r="D188" s="1" t="s">
        <v>68</v>
      </c>
      <c r="E188" s="1" t="s">
        <v>45</v>
      </c>
      <c r="F188" s="1" t="s">
        <v>49</v>
      </c>
      <c r="G188" s="1" t="s">
        <v>4156</v>
      </c>
      <c r="H188" s="5">
        <f t="shared" si="2"/>
        <v>1.096</v>
      </c>
      <c r="I188" s="1" t="s">
        <v>4157</v>
      </c>
      <c r="J188" s="1">
        <f t="shared" si="3"/>
        <v>63.418239</v>
      </c>
      <c r="K188" s="1" t="s">
        <v>4159</v>
      </c>
      <c r="L188" s="5">
        <f t="shared" si="4"/>
        <v>0.285</v>
      </c>
      <c r="M188" s="6" t="s">
        <v>5078</v>
      </c>
      <c r="N188" s="5">
        <f t="shared" si="5"/>
        <v>155</v>
      </c>
    </row>
    <row r="189">
      <c r="A189" s="6" t="s">
        <v>5010</v>
      </c>
      <c r="B189" s="6" t="s">
        <v>273</v>
      </c>
      <c r="C189" s="5">
        <f t="shared" si="1"/>
        <v>4</v>
      </c>
      <c r="D189" s="1" t="s">
        <v>68</v>
      </c>
      <c r="E189" s="1" t="s">
        <v>45</v>
      </c>
      <c r="F189" s="1" t="s">
        <v>17</v>
      </c>
      <c r="G189" s="6" t="s">
        <v>4160</v>
      </c>
      <c r="H189" s="5">
        <f t="shared" si="2"/>
        <v>10.1778</v>
      </c>
      <c r="I189" s="1" t="s">
        <v>4161</v>
      </c>
      <c r="J189" s="1">
        <f t="shared" si="3"/>
        <v>634.861232</v>
      </c>
      <c r="K189" s="6" t="s">
        <v>6065</v>
      </c>
      <c r="L189" s="5">
        <f t="shared" si="4"/>
        <v>3.6641</v>
      </c>
      <c r="M189" s="6" t="s">
        <v>6066</v>
      </c>
      <c r="N189" s="5">
        <f t="shared" si="5"/>
        <v>1409</v>
      </c>
    </row>
    <row r="190">
      <c r="A190" s="6" t="s">
        <v>5010</v>
      </c>
      <c r="B190" s="6" t="s">
        <v>273</v>
      </c>
      <c r="C190" s="5">
        <f t="shared" si="1"/>
        <v>4</v>
      </c>
      <c r="D190" s="1" t="s">
        <v>68</v>
      </c>
      <c r="E190" s="1" t="s">
        <v>38</v>
      </c>
      <c r="F190" s="1" t="s">
        <v>39</v>
      </c>
      <c r="G190" s="6" t="s">
        <v>6067</v>
      </c>
      <c r="H190" s="5">
        <f t="shared" si="2"/>
        <v>4.4525</v>
      </c>
      <c r="I190" s="1" t="s">
        <v>4163</v>
      </c>
      <c r="J190" s="1">
        <f t="shared" si="3"/>
        <v>416.924196</v>
      </c>
      <c r="K190" s="1" t="s">
        <v>4164</v>
      </c>
      <c r="L190" s="5">
        <f t="shared" si="4"/>
        <v>0.8014</v>
      </c>
      <c r="M190" s="6" t="s">
        <v>2794</v>
      </c>
      <c r="N190" s="5">
        <f t="shared" si="5"/>
        <v>1675</v>
      </c>
    </row>
    <row r="191">
      <c r="A191" s="6" t="s">
        <v>5010</v>
      </c>
      <c r="B191" s="6" t="s">
        <v>273</v>
      </c>
      <c r="C191" s="5">
        <f t="shared" si="1"/>
        <v>4</v>
      </c>
      <c r="D191" s="1" t="s">
        <v>68</v>
      </c>
      <c r="E191" s="1" t="s">
        <v>1851</v>
      </c>
      <c r="F191" s="1" t="s">
        <v>17</v>
      </c>
      <c r="G191" s="1" t="s">
        <v>4165</v>
      </c>
      <c r="H191" s="5">
        <f t="shared" si="2"/>
        <v>2.022</v>
      </c>
      <c r="I191" s="1" t="s">
        <v>4166</v>
      </c>
      <c r="J191" s="1">
        <f t="shared" si="3"/>
        <v>142.501286</v>
      </c>
      <c r="K191" s="1" t="s">
        <v>4168</v>
      </c>
      <c r="L191" s="5">
        <f t="shared" si="4"/>
        <v>0.7784</v>
      </c>
      <c r="M191" s="6" t="s">
        <v>6069</v>
      </c>
      <c r="N191" s="5">
        <f t="shared" si="5"/>
        <v>883</v>
      </c>
    </row>
    <row r="192">
      <c r="A192" s="6" t="s">
        <v>5010</v>
      </c>
      <c r="B192" s="6" t="s">
        <v>273</v>
      </c>
      <c r="C192" s="5">
        <f t="shared" si="1"/>
        <v>4</v>
      </c>
      <c r="D192" s="1" t="s">
        <v>68</v>
      </c>
      <c r="E192" s="1" t="s">
        <v>1851</v>
      </c>
      <c r="F192" s="1" t="s">
        <v>21</v>
      </c>
      <c r="G192" s="6" t="s">
        <v>6070</v>
      </c>
      <c r="H192" s="5">
        <f t="shared" si="2"/>
        <v>1.6967</v>
      </c>
      <c r="I192" s="1" t="s">
        <v>4169</v>
      </c>
      <c r="J192" s="1">
        <f t="shared" si="3"/>
        <v>141.081872</v>
      </c>
      <c r="K192" s="1" t="s">
        <v>4170</v>
      </c>
      <c r="L192" s="5">
        <f t="shared" si="4"/>
        <v>0.8314</v>
      </c>
      <c r="M192" s="6" t="s">
        <v>2544</v>
      </c>
      <c r="N192" s="5">
        <f t="shared" si="5"/>
        <v>281</v>
      </c>
    </row>
    <row r="193">
      <c r="A193" s="6" t="s">
        <v>5010</v>
      </c>
      <c r="B193" s="6" t="s">
        <v>273</v>
      </c>
      <c r="C193" s="5">
        <f t="shared" si="1"/>
        <v>4</v>
      </c>
      <c r="D193" s="1" t="s">
        <v>68</v>
      </c>
      <c r="E193" s="1" t="s">
        <v>48</v>
      </c>
      <c r="F193" s="1" t="s">
        <v>49</v>
      </c>
      <c r="G193" s="1" t="s">
        <v>1460</v>
      </c>
      <c r="H193" s="5">
        <f t="shared" si="2"/>
        <v>0.002</v>
      </c>
      <c r="I193" s="1" t="s">
        <v>4171</v>
      </c>
      <c r="J193" s="1">
        <f t="shared" si="3"/>
        <v>0.895596</v>
      </c>
      <c r="K193" s="1" t="s">
        <v>373</v>
      </c>
      <c r="L193" s="5">
        <f t="shared" si="4"/>
        <v>0.0006</v>
      </c>
      <c r="M193" s="6" t="s">
        <v>397</v>
      </c>
      <c r="N193" s="5">
        <f t="shared" si="5"/>
        <v>2</v>
      </c>
    </row>
    <row r="194">
      <c r="A194" s="6" t="s">
        <v>5010</v>
      </c>
      <c r="B194" s="6" t="s">
        <v>273</v>
      </c>
      <c r="C194" s="5">
        <f t="shared" si="1"/>
        <v>4</v>
      </c>
      <c r="D194" s="1" t="s">
        <v>68</v>
      </c>
      <c r="E194" s="1" t="s">
        <v>48</v>
      </c>
      <c r="F194" s="1" t="s">
        <v>72</v>
      </c>
      <c r="G194" s="1" t="s">
        <v>414</v>
      </c>
      <c r="H194" s="5">
        <f t="shared" si="2"/>
        <v>0.0007</v>
      </c>
      <c r="I194" s="1" t="s">
        <v>4172</v>
      </c>
      <c r="J194" s="1">
        <f t="shared" si="3"/>
        <v>0.238702</v>
      </c>
      <c r="K194" s="1" t="s">
        <v>376</v>
      </c>
      <c r="L194" s="5">
        <f t="shared" si="4"/>
        <v>0.0002</v>
      </c>
      <c r="M194" s="6" t="s">
        <v>397</v>
      </c>
      <c r="N194" s="5">
        <f t="shared" si="5"/>
        <v>2</v>
      </c>
    </row>
    <row r="195">
      <c r="A195" s="6" t="s">
        <v>5010</v>
      </c>
      <c r="B195" s="6" t="s">
        <v>273</v>
      </c>
      <c r="C195" s="5">
        <f t="shared" si="1"/>
        <v>4</v>
      </c>
      <c r="D195" s="1" t="s">
        <v>68</v>
      </c>
      <c r="E195" s="1" t="s">
        <v>48</v>
      </c>
      <c r="F195" s="1" t="s">
        <v>21</v>
      </c>
      <c r="G195" s="6" t="s">
        <v>6104</v>
      </c>
      <c r="H195" s="5">
        <f t="shared" si="2"/>
        <v>1.2879</v>
      </c>
      <c r="I195" s="1" t="s">
        <v>4173</v>
      </c>
      <c r="J195" s="1">
        <f t="shared" si="3"/>
        <v>227.064729</v>
      </c>
      <c r="K195" s="1" t="s">
        <v>4174</v>
      </c>
      <c r="L195" s="5">
        <f t="shared" si="4"/>
        <v>0.5152</v>
      </c>
      <c r="M195" s="6" t="s">
        <v>6107</v>
      </c>
      <c r="N195" s="5">
        <f t="shared" si="5"/>
        <v>388</v>
      </c>
    </row>
    <row r="196">
      <c r="A196" s="6" t="s">
        <v>5010</v>
      </c>
      <c r="B196" s="6" t="s">
        <v>273</v>
      </c>
      <c r="C196" s="5">
        <f t="shared" si="1"/>
        <v>4</v>
      </c>
      <c r="D196" s="1" t="s">
        <v>68</v>
      </c>
      <c r="E196" s="1" t="s">
        <v>3962</v>
      </c>
      <c r="F196" s="1" t="s">
        <v>17</v>
      </c>
      <c r="G196" s="6" t="s">
        <v>6108</v>
      </c>
      <c r="H196" s="5">
        <f t="shared" si="2"/>
        <v>1.6755</v>
      </c>
      <c r="I196" s="1" t="s">
        <v>4175</v>
      </c>
      <c r="J196" s="1">
        <f t="shared" si="3"/>
        <v>152.961334</v>
      </c>
      <c r="K196" s="1" t="s">
        <v>4176</v>
      </c>
      <c r="L196" s="5">
        <f t="shared" si="4"/>
        <v>0.5864</v>
      </c>
      <c r="M196" s="6" t="s">
        <v>6109</v>
      </c>
      <c r="N196" s="5">
        <f t="shared" si="5"/>
        <v>814</v>
      </c>
    </row>
    <row r="197">
      <c r="A197" s="6" t="s">
        <v>5010</v>
      </c>
      <c r="B197" s="6" t="s">
        <v>273</v>
      </c>
      <c r="C197" s="5">
        <f t="shared" si="1"/>
        <v>4</v>
      </c>
      <c r="D197" s="1" t="s">
        <v>68</v>
      </c>
      <c r="E197" s="1" t="s">
        <v>1830</v>
      </c>
      <c r="F197" s="1" t="s">
        <v>72</v>
      </c>
      <c r="G197" s="6" t="s">
        <v>6110</v>
      </c>
      <c r="H197" s="5">
        <f t="shared" si="2"/>
        <v>1.2133</v>
      </c>
      <c r="I197" s="1" t="s">
        <v>4177</v>
      </c>
      <c r="J197" s="1">
        <f t="shared" si="3"/>
        <v>95.999383</v>
      </c>
      <c r="K197" s="1" t="s">
        <v>1804</v>
      </c>
      <c r="L197" s="5">
        <f t="shared" si="4"/>
        <v>0.3882</v>
      </c>
      <c r="M197" s="6" t="s">
        <v>6113</v>
      </c>
      <c r="N197" s="5">
        <f t="shared" si="5"/>
        <v>1026</v>
      </c>
    </row>
    <row r="198">
      <c r="A198" s="6" t="s">
        <v>5010</v>
      </c>
      <c r="B198" s="6" t="s">
        <v>273</v>
      </c>
      <c r="C198" s="5">
        <f t="shared" si="1"/>
        <v>4</v>
      </c>
      <c r="D198" s="1" t="s">
        <v>68</v>
      </c>
      <c r="E198" s="1" t="s">
        <v>4127</v>
      </c>
      <c r="F198" s="1" t="s">
        <v>17</v>
      </c>
      <c r="G198" s="6" t="s">
        <v>4179</v>
      </c>
      <c r="H198" s="5">
        <f t="shared" si="2"/>
        <v>1.1159</v>
      </c>
      <c r="I198" s="1" t="s">
        <v>4180</v>
      </c>
      <c r="J198" s="1">
        <f t="shared" si="3"/>
        <v>89.912221</v>
      </c>
      <c r="K198" s="1" t="s">
        <v>3230</v>
      </c>
      <c r="L198" s="5">
        <f t="shared" si="4"/>
        <v>0.3905</v>
      </c>
      <c r="M198" s="6" t="s">
        <v>4225</v>
      </c>
      <c r="N198" s="5">
        <f t="shared" si="5"/>
        <v>566</v>
      </c>
    </row>
    <row r="199">
      <c r="A199" s="6" t="s">
        <v>5010</v>
      </c>
      <c r="B199" s="6" t="s">
        <v>273</v>
      </c>
      <c r="C199" s="5">
        <f t="shared" si="1"/>
        <v>4</v>
      </c>
      <c r="D199" s="1" t="s">
        <v>68</v>
      </c>
      <c r="E199" s="1" t="s">
        <v>32</v>
      </c>
      <c r="F199" s="1" t="s">
        <v>14</v>
      </c>
      <c r="G199" s="6" t="s">
        <v>6117</v>
      </c>
      <c r="H199" s="5">
        <f t="shared" si="2"/>
        <v>1.2441</v>
      </c>
      <c r="I199" s="1" t="s">
        <v>4181</v>
      </c>
      <c r="J199" s="1">
        <f t="shared" si="3"/>
        <v>83.254229</v>
      </c>
      <c r="K199" s="1" t="s">
        <v>2262</v>
      </c>
      <c r="L199" s="5">
        <f t="shared" si="4"/>
        <v>0.2862</v>
      </c>
      <c r="M199" s="6" t="s">
        <v>291</v>
      </c>
      <c r="N199" s="5">
        <f t="shared" si="5"/>
        <v>0</v>
      </c>
    </row>
    <row r="200">
      <c r="A200" s="6" t="s">
        <v>5010</v>
      </c>
      <c r="B200" s="6" t="s">
        <v>273</v>
      </c>
      <c r="C200" s="5">
        <f t="shared" si="1"/>
        <v>4</v>
      </c>
      <c r="D200" s="1" t="s">
        <v>68</v>
      </c>
      <c r="E200" s="1" t="s">
        <v>32</v>
      </c>
      <c r="F200" s="1" t="s">
        <v>21</v>
      </c>
      <c r="G200" s="1" t="s">
        <v>1449</v>
      </c>
      <c r="H200" s="5">
        <f t="shared" si="2"/>
        <v>0.0076</v>
      </c>
      <c r="I200" s="1" t="s">
        <v>4182</v>
      </c>
      <c r="J200" s="1">
        <f t="shared" si="3"/>
        <v>1.029136</v>
      </c>
      <c r="K200" s="1" t="s">
        <v>2411</v>
      </c>
      <c r="L200" s="5">
        <f t="shared" si="4"/>
        <v>0.0034</v>
      </c>
      <c r="M200" s="6" t="s">
        <v>291</v>
      </c>
      <c r="N200" s="5">
        <f t="shared" si="5"/>
        <v>0</v>
      </c>
    </row>
    <row r="201">
      <c r="A201" s="6" t="s">
        <v>5010</v>
      </c>
      <c r="B201" s="6" t="s">
        <v>273</v>
      </c>
      <c r="C201" s="5">
        <f t="shared" si="1"/>
        <v>4</v>
      </c>
      <c r="D201" s="1" t="s">
        <v>116</v>
      </c>
      <c r="E201" s="1" t="s">
        <v>13</v>
      </c>
      <c r="F201" s="1" t="s">
        <v>14</v>
      </c>
      <c r="G201" s="1" t="s">
        <v>4183</v>
      </c>
      <c r="H201" s="5">
        <f t="shared" si="2"/>
        <v>94.0721</v>
      </c>
      <c r="I201" s="1" t="s">
        <v>4184</v>
      </c>
      <c r="J201" s="1">
        <f t="shared" si="3"/>
        <v>6235.15773</v>
      </c>
      <c r="K201" s="1" t="s">
        <v>4185</v>
      </c>
      <c r="L201" s="5">
        <f t="shared" si="4"/>
        <v>19.7551</v>
      </c>
      <c r="M201" s="6" t="s">
        <v>6119</v>
      </c>
      <c r="N201" s="5">
        <f t="shared" si="5"/>
        <v>13935</v>
      </c>
    </row>
    <row r="202">
      <c r="A202" s="6" t="s">
        <v>5010</v>
      </c>
      <c r="B202" s="6" t="s">
        <v>273</v>
      </c>
      <c r="C202" s="5">
        <f t="shared" si="1"/>
        <v>4</v>
      </c>
      <c r="D202" s="1" t="s">
        <v>116</v>
      </c>
      <c r="E202" s="1" t="s">
        <v>13</v>
      </c>
      <c r="F202" s="1" t="s">
        <v>17</v>
      </c>
      <c r="G202" s="1" t="s">
        <v>4187</v>
      </c>
      <c r="H202" s="5">
        <f t="shared" si="2"/>
        <v>150.4402</v>
      </c>
      <c r="I202" s="1" t="s">
        <v>4188</v>
      </c>
      <c r="J202" s="1">
        <f t="shared" si="3"/>
        <v>15700.3821</v>
      </c>
      <c r="K202" s="1" t="s">
        <v>4189</v>
      </c>
      <c r="L202" s="5">
        <f t="shared" si="4"/>
        <v>52.6541</v>
      </c>
      <c r="M202" s="6" t="s">
        <v>6120</v>
      </c>
      <c r="N202" s="5">
        <f t="shared" si="5"/>
        <v>17610</v>
      </c>
    </row>
    <row r="203">
      <c r="A203" s="6" t="s">
        <v>5010</v>
      </c>
      <c r="B203" s="6" t="s">
        <v>273</v>
      </c>
      <c r="C203" s="5">
        <f t="shared" si="1"/>
        <v>4</v>
      </c>
      <c r="D203" s="1" t="s">
        <v>116</v>
      </c>
      <c r="E203" s="1" t="s">
        <v>13</v>
      </c>
      <c r="F203" s="1" t="s">
        <v>21</v>
      </c>
      <c r="G203" s="6" t="s">
        <v>6121</v>
      </c>
      <c r="H203" s="5">
        <f t="shared" si="2"/>
        <v>12.1963</v>
      </c>
      <c r="I203" s="1" t="s">
        <v>4190</v>
      </c>
      <c r="J203" s="1">
        <f t="shared" si="3"/>
        <v>1938.389976</v>
      </c>
      <c r="K203" s="6" t="s">
        <v>4191</v>
      </c>
      <c r="L203" s="5">
        <f t="shared" si="4"/>
        <v>6.0981</v>
      </c>
      <c r="M203" s="6" t="s">
        <v>6122</v>
      </c>
      <c r="N203" s="5">
        <f t="shared" si="5"/>
        <v>971</v>
      </c>
    </row>
    <row r="204">
      <c r="A204" s="6" t="s">
        <v>5010</v>
      </c>
      <c r="B204" s="6" t="s">
        <v>273</v>
      </c>
      <c r="C204" s="5">
        <f t="shared" si="1"/>
        <v>4</v>
      </c>
      <c r="D204" s="1" t="s">
        <v>116</v>
      </c>
      <c r="E204" s="1" t="s">
        <v>13</v>
      </c>
      <c r="F204" s="1" t="s">
        <v>25</v>
      </c>
      <c r="G204" s="1" t="s">
        <v>4193</v>
      </c>
      <c r="H204" s="5">
        <f t="shared" si="2"/>
        <v>0.0157</v>
      </c>
      <c r="I204" s="1" t="s">
        <v>4194</v>
      </c>
      <c r="J204" s="1">
        <f t="shared" si="3"/>
        <v>3.249992</v>
      </c>
      <c r="K204" s="1" t="s">
        <v>287</v>
      </c>
      <c r="L204" s="5">
        <f t="shared" si="4"/>
        <v>0.0118</v>
      </c>
      <c r="M204" s="6" t="s">
        <v>273</v>
      </c>
      <c r="N204" s="5">
        <f t="shared" si="5"/>
        <v>4</v>
      </c>
    </row>
    <row r="205">
      <c r="A205" s="6" t="s">
        <v>5010</v>
      </c>
      <c r="B205" s="6" t="s">
        <v>273</v>
      </c>
      <c r="C205" s="5">
        <f t="shared" si="1"/>
        <v>4</v>
      </c>
      <c r="D205" s="1" t="s">
        <v>116</v>
      </c>
      <c r="E205" s="1" t="s">
        <v>29</v>
      </c>
      <c r="F205" s="1" t="s">
        <v>14</v>
      </c>
      <c r="G205" s="6" t="s">
        <v>5195</v>
      </c>
      <c r="H205" s="5">
        <f t="shared" si="2"/>
        <v>1.2804</v>
      </c>
      <c r="I205" s="1" t="s">
        <v>4195</v>
      </c>
      <c r="J205" s="1">
        <f t="shared" si="3"/>
        <v>166.170232</v>
      </c>
      <c r="K205" s="1" t="s">
        <v>4196</v>
      </c>
      <c r="L205" s="5">
        <f t="shared" si="4"/>
        <v>0.2561</v>
      </c>
      <c r="M205" s="6" t="s">
        <v>6123</v>
      </c>
      <c r="N205" s="5">
        <f t="shared" si="5"/>
        <v>230</v>
      </c>
    </row>
    <row r="206">
      <c r="A206" s="6" t="s">
        <v>5010</v>
      </c>
      <c r="B206" s="6" t="s">
        <v>273</v>
      </c>
      <c r="C206" s="5">
        <f t="shared" si="1"/>
        <v>4</v>
      </c>
      <c r="D206" s="1" t="s">
        <v>116</v>
      </c>
      <c r="E206" s="1" t="s">
        <v>29</v>
      </c>
      <c r="F206" s="1" t="s">
        <v>21</v>
      </c>
      <c r="G206" s="1" t="s">
        <v>4197</v>
      </c>
      <c r="H206" s="5">
        <f t="shared" si="2"/>
        <v>41.0715</v>
      </c>
      <c r="I206" s="1" t="s">
        <v>4198</v>
      </c>
      <c r="J206" s="1">
        <f t="shared" si="3"/>
        <v>8986.126968</v>
      </c>
      <c r="K206" s="1" t="s">
        <v>4199</v>
      </c>
      <c r="L206" s="5">
        <f t="shared" si="4"/>
        <v>16.4286</v>
      </c>
      <c r="M206" s="6" t="s">
        <v>6125</v>
      </c>
      <c r="N206" s="5">
        <f t="shared" si="5"/>
        <v>4466</v>
      </c>
    </row>
    <row r="207">
      <c r="A207" s="6" t="s">
        <v>5010</v>
      </c>
      <c r="B207" s="6" t="s">
        <v>273</v>
      </c>
      <c r="C207" s="5">
        <f t="shared" si="1"/>
        <v>4</v>
      </c>
      <c r="D207" s="1" t="s">
        <v>116</v>
      </c>
      <c r="E207" s="1" t="s">
        <v>45</v>
      </c>
      <c r="F207" s="1" t="s">
        <v>49</v>
      </c>
      <c r="G207" s="6" t="s">
        <v>6126</v>
      </c>
      <c r="H207" s="5">
        <f t="shared" si="2"/>
        <v>2.6467</v>
      </c>
      <c r="I207" s="1" t="s">
        <v>4200</v>
      </c>
      <c r="J207" s="1">
        <f t="shared" si="3"/>
        <v>152.979037</v>
      </c>
      <c r="K207" s="1" t="s">
        <v>1928</v>
      </c>
      <c r="L207" s="5">
        <f t="shared" si="4"/>
        <v>0.6881</v>
      </c>
      <c r="M207" s="6" t="s">
        <v>3571</v>
      </c>
      <c r="N207" s="5">
        <f t="shared" si="5"/>
        <v>337</v>
      </c>
    </row>
    <row r="208">
      <c r="A208" s="6" t="s">
        <v>5010</v>
      </c>
      <c r="B208" s="6" t="s">
        <v>273</v>
      </c>
      <c r="C208" s="5">
        <f t="shared" si="1"/>
        <v>4</v>
      </c>
      <c r="D208" s="1" t="s">
        <v>116</v>
      </c>
      <c r="E208" s="1" t="s">
        <v>45</v>
      </c>
      <c r="F208" s="1" t="s">
        <v>17</v>
      </c>
      <c r="G208" s="1" t="s">
        <v>4251</v>
      </c>
      <c r="H208" s="5">
        <f t="shared" si="2"/>
        <v>32.6462</v>
      </c>
      <c r="I208" s="1" t="s">
        <v>4252</v>
      </c>
      <c r="J208" s="1">
        <f t="shared" si="3"/>
        <v>2037.907029</v>
      </c>
      <c r="K208" s="6" t="s">
        <v>6128</v>
      </c>
      <c r="L208" s="5">
        <f t="shared" si="4"/>
        <v>11.7526</v>
      </c>
      <c r="M208" s="6" t="s">
        <v>4817</v>
      </c>
      <c r="N208" s="5">
        <f t="shared" si="5"/>
        <v>1760</v>
      </c>
    </row>
    <row r="209">
      <c r="A209" s="6" t="s">
        <v>5010</v>
      </c>
      <c r="B209" s="6" t="s">
        <v>273</v>
      </c>
      <c r="C209" s="5">
        <f t="shared" si="1"/>
        <v>4</v>
      </c>
      <c r="D209" s="1" t="s">
        <v>116</v>
      </c>
      <c r="E209" s="1" t="s">
        <v>48</v>
      </c>
      <c r="F209" s="1" t="s">
        <v>49</v>
      </c>
      <c r="G209" s="1" t="s">
        <v>608</v>
      </c>
      <c r="H209" s="5">
        <f t="shared" si="2"/>
        <v>0.0052</v>
      </c>
      <c r="I209" s="1" t="s">
        <v>4256</v>
      </c>
      <c r="J209" s="1">
        <f t="shared" si="3"/>
        <v>2.054427</v>
      </c>
      <c r="K209" s="1" t="s">
        <v>1056</v>
      </c>
      <c r="L209" s="5">
        <f t="shared" si="4"/>
        <v>0.0014</v>
      </c>
      <c r="M209" s="6" t="s">
        <v>273</v>
      </c>
      <c r="N209" s="5">
        <f t="shared" si="5"/>
        <v>4</v>
      </c>
    </row>
    <row r="210">
      <c r="A210" s="6" t="s">
        <v>5010</v>
      </c>
      <c r="B210" s="6" t="s">
        <v>273</v>
      </c>
      <c r="C210" s="5">
        <f t="shared" si="1"/>
        <v>4</v>
      </c>
      <c r="D210" s="1" t="s">
        <v>116</v>
      </c>
      <c r="E210" s="1" t="s">
        <v>48</v>
      </c>
      <c r="F210" s="1" t="s">
        <v>72</v>
      </c>
      <c r="G210" s="1" t="s">
        <v>4257</v>
      </c>
      <c r="H210" s="5">
        <f t="shared" si="2"/>
        <v>0.0773</v>
      </c>
      <c r="I210" s="1" t="s">
        <v>4258</v>
      </c>
      <c r="J210" s="1">
        <f t="shared" si="3"/>
        <v>23.693545</v>
      </c>
      <c r="K210" s="1" t="s">
        <v>782</v>
      </c>
      <c r="L210" s="5">
        <f t="shared" si="4"/>
        <v>0.0232</v>
      </c>
      <c r="M210" s="6" t="s">
        <v>3549</v>
      </c>
      <c r="N210" s="5">
        <f t="shared" si="5"/>
        <v>28</v>
      </c>
    </row>
    <row r="211">
      <c r="A211" s="6" t="s">
        <v>5010</v>
      </c>
      <c r="B211" s="6" t="s">
        <v>273</v>
      </c>
      <c r="C211" s="5">
        <f t="shared" si="1"/>
        <v>4</v>
      </c>
      <c r="D211" s="1" t="s">
        <v>116</v>
      </c>
      <c r="E211" s="1" t="s">
        <v>48</v>
      </c>
      <c r="F211" s="1" t="s">
        <v>21</v>
      </c>
      <c r="G211" s="6" t="s">
        <v>6129</v>
      </c>
      <c r="H211" s="5">
        <f t="shared" si="2"/>
        <v>4.3507</v>
      </c>
      <c r="I211" s="1" t="s">
        <v>4259</v>
      </c>
      <c r="J211" s="1">
        <f t="shared" si="3"/>
        <v>1098.941175</v>
      </c>
      <c r="K211" s="6" t="s">
        <v>6130</v>
      </c>
      <c r="L211" s="5">
        <f t="shared" si="4"/>
        <v>1.7402</v>
      </c>
      <c r="M211" s="6" t="s">
        <v>6131</v>
      </c>
      <c r="N211" s="5">
        <f t="shared" si="5"/>
        <v>426</v>
      </c>
    </row>
    <row r="212">
      <c r="A212" s="6" t="s">
        <v>5010</v>
      </c>
      <c r="B212" s="6" t="s">
        <v>273</v>
      </c>
      <c r="C212" s="5">
        <f t="shared" si="1"/>
        <v>4</v>
      </c>
      <c r="D212" s="1" t="s">
        <v>116</v>
      </c>
      <c r="E212" s="1" t="s">
        <v>3962</v>
      </c>
      <c r="F212" s="1" t="s">
        <v>17</v>
      </c>
      <c r="G212" s="6" t="s">
        <v>6132</v>
      </c>
      <c r="H212" s="5">
        <f t="shared" si="2"/>
        <v>10.2876</v>
      </c>
      <c r="I212" s="1" t="s">
        <v>4260</v>
      </c>
      <c r="J212" s="1">
        <f t="shared" si="3"/>
        <v>955.543497</v>
      </c>
      <c r="K212" s="6" t="s">
        <v>6133</v>
      </c>
      <c r="L212" s="5">
        <f t="shared" si="4"/>
        <v>3.6007</v>
      </c>
      <c r="M212" s="6" t="s">
        <v>6134</v>
      </c>
      <c r="N212" s="5">
        <f t="shared" si="5"/>
        <v>3276</v>
      </c>
    </row>
    <row r="213">
      <c r="A213" s="6" t="s">
        <v>5010</v>
      </c>
      <c r="B213" s="6" t="s">
        <v>273</v>
      </c>
      <c r="C213" s="5">
        <f t="shared" si="1"/>
        <v>4</v>
      </c>
      <c r="D213" s="1" t="s">
        <v>116</v>
      </c>
      <c r="E213" s="1" t="s">
        <v>147</v>
      </c>
      <c r="F213" s="1" t="s">
        <v>39</v>
      </c>
      <c r="G213" s="6" t="s">
        <v>6135</v>
      </c>
      <c r="H213" s="5">
        <f t="shared" si="2"/>
        <v>2.2897</v>
      </c>
      <c r="I213" s="1" t="s">
        <v>4261</v>
      </c>
      <c r="J213" s="1">
        <f t="shared" si="3"/>
        <v>723.549708</v>
      </c>
      <c r="K213" s="1" t="s">
        <v>4262</v>
      </c>
      <c r="L213" s="5">
        <f t="shared" si="4"/>
        <v>0.435</v>
      </c>
      <c r="M213" s="6" t="s">
        <v>2571</v>
      </c>
      <c r="N213" s="5">
        <f t="shared" si="5"/>
        <v>122</v>
      </c>
    </row>
    <row r="214">
      <c r="A214" s="6" t="s">
        <v>5010</v>
      </c>
      <c r="B214" s="6" t="s">
        <v>273</v>
      </c>
      <c r="C214" s="5">
        <f t="shared" si="1"/>
        <v>4</v>
      </c>
      <c r="D214" s="1" t="s">
        <v>116</v>
      </c>
      <c r="E214" s="1" t="s">
        <v>147</v>
      </c>
      <c r="F214" s="1" t="s">
        <v>17</v>
      </c>
      <c r="G214" s="1" t="s">
        <v>4263</v>
      </c>
      <c r="H214" s="5">
        <f t="shared" si="2"/>
        <v>0.024</v>
      </c>
      <c r="I214" s="1" t="s">
        <v>4264</v>
      </c>
      <c r="J214" s="1">
        <f t="shared" si="3"/>
        <v>10.674282</v>
      </c>
      <c r="K214" s="1" t="s">
        <v>1605</v>
      </c>
      <c r="L214" s="5">
        <f t="shared" si="4"/>
        <v>0.0086</v>
      </c>
      <c r="M214" s="6" t="s">
        <v>2521</v>
      </c>
      <c r="N214" s="5">
        <f t="shared" si="5"/>
        <v>6</v>
      </c>
    </row>
    <row r="215">
      <c r="A215" s="6" t="s">
        <v>5010</v>
      </c>
      <c r="B215" s="6" t="s">
        <v>273</v>
      </c>
      <c r="C215" s="5">
        <f t="shared" si="1"/>
        <v>4</v>
      </c>
      <c r="D215" s="1" t="s">
        <v>116</v>
      </c>
      <c r="E215" s="1" t="s">
        <v>147</v>
      </c>
      <c r="F215" s="1" t="s">
        <v>21</v>
      </c>
      <c r="G215" s="1" t="s">
        <v>4265</v>
      </c>
      <c r="H215" s="5">
        <f t="shared" si="2"/>
        <v>0.1361</v>
      </c>
      <c r="I215" s="1" t="s">
        <v>4266</v>
      </c>
      <c r="J215" s="1">
        <f t="shared" si="3"/>
        <v>71.973048</v>
      </c>
      <c r="K215" s="1" t="s">
        <v>4268</v>
      </c>
      <c r="L215" s="5">
        <f t="shared" si="4"/>
        <v>0.068</v>
      </c>
      <c r="M215" s="6" t="s">
        <v>4786</v>
      </c>
      <c r="N215" s="5">
        <f t="shared" si="5"/>
        <v>52</v>
      </c>
    </row>
    <row r="216">
      <c r="A216" s="6" t="s">
        <v>5010</v>
      </c>
      <c r="B216" s="6" t="s">
        <v>273</v>
      </c>
      <c r="C216" s="5">
        <f t="shared" si="1"/>
        <v>4</v>
      </c>
      <c r="D216" s="1" t="s">
        <v>116</v>
      </c>
      <c r="E216" s="1" t="s">
        <v>38</v>
      </c>
      <c r="F216" s="1" t="s">
        <v>39</v>
      </c>
      <c r="G216" s="6" t="s">
        <v>6136</v>
      </c>
      <c r="H216" s="5">
        <f t="shared" si="2"/>
        <v>6.2296</v>
      </c>
      <c r="I216" s="1" t="s">
        <v>4269</v>
      </c>
      <c r="J216" s="1">
        <f t="shared" si="3"/>
        <v>631.506543</v>
      </c>
      <c r="K216" s="6" t="s">
        <v>4271</v>
      </c>
      <c r="L216" s="5">
        <f t="shared" si="4"/>
        <v>1.1213</v>
      </c>
      <c r="M216" s="6" t="s">
        <v>6137</v>
      </c>
      <c r="N216" s="5">
        <f t="shared" si="5"/>
        <v>2641</v>
      </c>
    </row>
    <row r="217">
      <c r="A217" s="6" t="s">
        <v>5010</v>
      </c>
      <c r="B217" s="6" t="s">
        <v>273</v>
      </c>
      <c r="C217" s="5">
        <f t="shared" si="1"/>
        <v>4</v>
      </c>
      <c r="D217" s="1" t="s">
        <v>116</v>
      </c>
      <c r="E217" s="1" t="s">
        <v>42</v>
      </c>
      <c r="F217" s="1" t="s">
        <v>17</v>
      </c>
      <c r="G217" s="6" t="s">
        <v>6138</v>
      </c>
      <c r="H217" s="5">
        <f t="shared" si="2"/>
        <v>2.4324</v>
      </c>
      <c r="I217" s="1" t="s">
        <v>4272</v>
      </c>
      <c r="J217" s="1">
        <f t="shared" si="3"/>
        <v>528.577778</v>
      </c>
      <c r="K217" s="1" t="s">
        <v>4273</v>
      </c>
      <c r="L217" s="5">
        <f t="shared" si="4"/>
        <v>0.9</v>
      </c>
      <c r="M217" s="6" t="s">
        <v>291</v>
      </c>
      <c r="N217" s="5">
        <f t="shared" si="5"/>
        <v>0</v>
      </c>
    </row>
    <row r="218">
      <c r="A218" s="6" t="s">
        <v>5010</v>
      </c>
      <c r="B218" s="6" t="s">
        <v>273</v>
      </c>
      <c r="C218" s="5">
        <f t="shared" si="1"/>
        <v>4</v>
      </c>
      <c r="D218" s="1" t="s">
        <v>116</v>
      </c>
      <c r="E218" s="1" t="s">
        <v>158</v>
      </c>
      <c r="F218" s="1" t="s">
        <v>17</v>
      </c>
      <c r="G218" s="1" t="s">
        <v>4274</v>
      </c>
      <c r="H218" s="5">
        <f t="shared" si="2"/>
        <v>0.434</v>
      </c>
      <c r="I218" s="1" t="s">
        <v>4275</v>
      </c>
      <c r="J218" s="1">
        <f t="shared" si="3"/>
        <v>183.839274</v>
      </c>
      <c r="K218" s="1" t="s">
        <v>4276</v>
      </c>
      <c r="L218" s="5">
        <f t="shared" si="4"/>
        <v>0.1519</v>
      </c>
      <c r="M218" s="6" t="s">
        <v>291</v>
      </c>
      <c r="N218" s="5">
        <f t="shared" si="5"/>
        <v>0</v>
      </c>
    </row>
    <row r="219">
      <c r="A219" s="6" t="s">
        <v>5010</v>
      </c>
      <c r="B219" s="6" t="s">
        <v>273</v>
      </c>
      <c r="C219" s="5">
        <f t="shared" si="1"/>
        <v>4</v>
      </c>
      <c r="D219" s="1" t="s">
        <v>116</v>
      </c>
      <c r="E219" s="1" t="s">
        <v>158</v>
      </c>
      <c r="F219" s="1" t="s">
        <v>21</v>
      </c>
      <c r="G219" s="1" t="s">
        <v>4278</v>
      </c>
      <c r="H219" s="5">
        <f t="shared" si="2"/>
        <v>0.5333</v>
      </c>
      <c r="I219" s="1" t="s">
        <v>4279</v>
      </c>
      <c r="J219" s="1">
        <f t="shared" si="3"/>
        <v>288.943805</v>
      </c>
      <c r="K219" s="1" t="s">
        <v>4280</v>
      </c>
      <c r="L219" s="5">
        <f t="shared" si="4"/>
        <v>0.224</v>
      </c>
      <c r="M219" s="6" t="s">
        <v>291</v>
      </c>
      <c r="N219" s="5">
        <f t="shared" si="5"/>
        <v>0</v>
      </c>
    </row>
    <row r="220">
      <c r="A220" s="6" t="s">
        <v>5010</v>
      </c>
      <c r="B220" s="6" t="s">
        <v>273</v>
      </c>
      <c r="C220" s="5">
        <f t="shared" si="1"/>
        <v>4</v>
      </c>
      <c r="D220" s="1" t="s">
        <v>116</v>
      </c>
      <c r="E220" s="1" t="s">
        <v>1851</v>
      </c>
      <c r="F220" s="1" t="s">
        <v>17</v>
      </c>
      <c r="G220" s="6" t="s">
        <v>4613</v>
      </c>
      <c r="H220" s="5">
        <f t="shared" si="2"/>
        <v>5.2129</v>
      </c>
      <c r="I220" s="1" t="s">
        <v>4281</v>
      </c>
      <c r="J220" s="1">
        <f t="shared" si="3"/>
        <v>362.237206</v>
      </c>
      <c r="K220" s="1" t="s">
        <v>4282</v>
      </c>
      <c r="L220" s="5">
        <f t="shared" si="4"/>
        <v>2.007</v>
      </c>
      <c r="M220" s="6" t="s">
        <v>3578</v>
      </c>
      <c r="N220" s="5">
        <f t="shared" si="5"/>
        <v>1569</v>
      </c>
    </row>
    <row r="221">
      <c r="A221" s="6" t="s">
        <v>5010</v>
      </c>
      <c r="B221" s="6" t="s">
        <v>273</v>
      </c>
      <c r="C221" s="5">
        <f t="shared" si="1"/>
        <v>4</v>
      </c>
      <c r="D221" s="1" t="s">
        <v>116</v>
      </c>
      <c r="E221" s="1" t="s">
        <v>1851</v>
      </c>
      <c r="F221" s="1" t="s">
        <v>21</v>
      </c>
      <c r="G221" s="1" t="s">
        <v>4283</v>
      </c>
      <c r="H221" s="5">
        <f t="shared" si="2"/>
        <v>0.4653</v>
      </c>
      <c r="I221" s="1" t="s">
        <v>4284</v>
      </c>
      <c r="J221" s="1">
        <f t="shared" si="3"/>
        <v>42.914679</v>
      </c>
      <c r="K221" s="1" t="s">
        <v>4285</v>
      </c>
      <c r="L221" s="5">
        <f t="shared" si="4"/>
        <v>0.228</v>
      </c>
      <c r="M221" s="6" t="s">
        <v>5732</v>
      </c>
      <c r="N221" s="5">
        <f t="shared" si="5"/>
        <v>130</v>
      </c>
    </row>
    <row r="222">
      <c r="A222" s="6" t="s">
        <v>5010</v>
      </c>
      <c r="B222" s="6" t="s">
        <v>3552</v>
      </c>
      <c r="C222" s="5">
        <f t="shared" si="1"/>
        <v>5</v>
      </c>
      <c r="D222" s="1" t="s">
        <v>12</v>
      </c>
      <c r="E222" s="1" t="s">
        <v>13</v>
      </c>
      <c r="F222" s="1" t="s">
        <v>14</v>
      </c>
      <c r="G222" s="6" t="s">
        <v>6139</v>
      </c>
      <c r="H222" s="5">
        <f t="shared" si="2"/>
        <v>10.4227</v>
      </c>
      <c r="I222" s="1" t="s">
        <v>4287</v>
      </c>
      <c r="J222" s="1">
        <f t="shared" si="3"/>
        <v>773.766541</v>
      </c>
      <c r="K222" s="6" t="s">
        <v>4288</v>
      </c>
      <c r="L222" s="5">
        <f t="shared" si="4"/>
        <v>2.1888</v>
      </c>
      <c r="M222" s="6" t="s">
        <v>6140</v>
      </c>
      <c r="N222" s="5">
        <f t="shared" si="5"/>
        <v>423</v>
      </c>
    </row>
    <row r="223">
      <c r="A223" s="6" t="s">
        <v>5010</v>
      </c>
      <c r="B223" s="6" t="s">
        <v>3552</v>
      </c>
      <c r="C223" s="5">
        <f t="shared" si="1"/>
        <v>5</v>
      </c>
      <c r="D223" s="1" t="s">
        <v>12</v>
      </c>
      <c r="E223" s="1" t="s">
        <v>13</v>
      </c>
      <c r="F223" s="1" t="s">
        <v>17</v>
      </c>
      <c r="G223" s="1" t="s">
        <v>4289</v>
      </c>
      <c r="H223" s="5">
        <f t="shared" si="2"/>
        <v>42.728</v>
      </c>
      <c r="I223" s="1" t="s">
        <v>4290</v>
      </c>
      <c r="J223" s="1">
        <f t="shared" si="3"/>
        <v>4568.309267</v>
      </c>
      <c r="K223" s="1" t="s">
        <v>4291</v>
      </c>
      <c r="L223" s="5">
        <f t="shared" si="4"/>
        <v>14.9549</v>
      </c>
      <c r="M223" s="6" t="s">
        <v>6141</v>
      </c>
      <c r="N223" s="5">
        <f t="shared" si="5"/>
        <v>677</v>
      </c>
    </row>
    <row r="224">
      <c r="A224" s="6" t="s">
        <v>5010</v>
      </c>
      <c r="B224" s="6" t="s">
        <v>3552</v>
      </c>
      <c r="C224" s="5">
        <f t="shared" si="1"/>
        <v>5</v>
      </c>
      <c r="D224" s="1" t="s">
        <v>12</v>
      </c>
      <c r="E224" s="1" t="s">
        <v>13</v>
      </c>
      <c r="F224" s="1" t="s">
        <v>21</v>
      </c>
      <c r="G224" s="1" t="s">
        <v>4292</v>
      </c>
      <c r="H224" s="5">
        <f t="shared" si="2"/>
        <v>38.6723</v>
      </c>
      <c r="I224" s="1" t="s">
        <v>4293</v>
      </c>
      <c r="J224" s="1">
        <f t="shared" si="3"/>
        <v>4738.784354</v>
      </c>
      <c r="K224" s="1" t="s">
        <v>4294</v>
      </c>
      <c r="L224" s="5">
        <f t="shared" si="4"/>
        <v>19.3361</v>
      </c>
      <c r="M224" s="6" t="s">
        <v>6142</v>
      </c>
      <c r="N224" s="5">
        <f t="shared" si="5"/>
        <v>554</v>
      </c>
    </row>
    <row r="225">
      <c r="A225" s="6" t="s">
        <v>5010</v>
      </c>
      <c r="B225" s="6" t="s">
        <v>3552</v>
      </c>
      <c r="C225" s="5">
        <f t="shared" si="1"/>
        <v>5</v>
      </c>
      <c r="D225" s="1" t="s">
        <v>12</v>
      </c>
      <c r="E225" s="1" t="s">
        <v>29</v>
      </c>
      <c r="F225" s="1" t="s">
        <v>14</v>
      </c>
      <c r="G225" s="6" t="s">
        <v>6143</v>
      </c>
      <c r="H225" s="5">
        <f t="shared" si="2"/>
        <v>1.3643</v>
      </c>
      <c r="I225" s="1" t="s">
        <v>4296</v>
      </c>
      <c r="J225" s="1">
        <f t="shared" si="3"/>
        <v>146.524473</v>
      </c>
      <c r="K225" s="1" t="s">
        <v>2391</v>
      </c>
      <c r="L225" s="5">
        <f t="shared" si="4"/>
        <v>0.2729</v>
      </c>
      <c r="M225" s="6" t="s">
        <v>746</v>
      </c>
      <c r="N225" s="5">
        <f t="shared" si="5"/>
        <v>89</v>
      </c>
    </row>
    <row r="226">
      <c r="A226" s="6" t="s">
        <v>5010</v>
      </c>
      <c r="B226" s="6" t="s">
        <v>3552</v>
      </c>
      <c r="C226" s="5">
        <f t="shared" si="1"/>
        <v>5</v>
      </c>
      <c r="D226" s="1" t="s">
        <v>12</v>
      </c>
      <c r="E226" s="1" t="s">
        <v>29</v>
      </c>
      <c r="F226" s="1" t="s">
        <v>21</v>
      </c>
      <c r="G226" s="1" t="s">
        <v>4298</v>
      </c>
      <c r="H226" s="5">
        <f t="shared" si="2"/>
        <v>34.1818</v>
      </c>
      <c r="I226" s="1" t="s">
        <v>4299</v>
      </c>
      <c r="J226" s="1">
        <f t="shared" si="3"/>
        <v>6829.434676</v>
      </c>
      <c r="K226" s="1" t="s">
        <v>4300</v>
      </c>
      <c r="L226" s="5">
        <f t="shared" si="4"/>
        <v>13.6727</v>
      </c>
      <c r="M226" s="6" t="s">
        <v>4585</v>
      </c>
      <c r="N226" s="5">
        <f t="shared" si="5"/>
        <v>649</v>
      </c>
    </row>
    <row r="227">
      <c r="A227" s="6" t="s">
        <v>5010</v>
      </c>
      <c r="B227" s="6" t="s">
        <v>3552</v>
      </c>
      <c r="C227" s="5">
        <f t="shared" si="1"/>
        <v>5</v>
      </c>
      <c r="D227" s="1" t="s">
        <v>12</v>
      </c>
      <c r="E227" s="1" t="s">
        <v>48</v>
      </c>
      <c r="F227" s="1" t="s">
        <v>49</v>
      </c>
      <c r="G227" s="1" t="s">
        <v>2069</v>
      </c>
      <c r="H227" s="5">
        <f t="shared" si="2"/>
        <v>0.0119</v>
      </c>
      <c r="I227" s="1" t="s">
        <v>4301</v>
      </c>
      <c r="J227" s="1">
        <f t="shared" si="3"/>
        <v>3.743044</v>
      </c>
      <c r="K227" s="1" t="s">
        <v>2411</v>
      </c>
      <c r="L227" s="5">
        <f t="shared" si="4"/>
        <v>0.0034</v>
      </c>
      <c r="M227" s="6" t="s">
        <v>3927</v>
      </c>
      <c r="N227" s="5">
        <f t="shared" si="5"/>
        <v>9</v>
      </c>
    </row>
    <row r="228">
      <c r="A228" s="6" t="s">
        <v>5010</v>
      </c>
      <c r="B228" s="6" t="s">
        <v>3552</v>
      </c>
      <c r="C228" s="5">
        <f t="shared" si="1"/>
        <v>5</v>
      </c>
      <c r="D228" s="1" t="s">
        <v>12</v>
      </c>
      <c r="E228" s="1" t="s">
        <v>48</v>
      </c>
      <c r="F228" s="1" t="s">
        <v>21</v>
      </c>
      <c r="G228" s="6" t="s">
        <v>6144</v>
      </c>
      <c r="H228" s="5">
        <f t="shared" si="2"/>
        <v>4.3142</v>
      </c>
      <c r="I228" s="1" t="s">
        <v>4303</v>
      </c>
      <c r="J228" s="1">
        <f t="shared" si="3"/>
        <v>760.294077</v>
      </c>
      <c r="K228" s="6" t="s">
        <v>6145</v>
      </c>
      <c r="L228" s="5">
        <f t="shared" si="4"/>
        <v>1.7256</v>
      </c>
      <c r="M228" s="6" t="s">
        <v>3681</v>
      </c>
      <c r="N228" s="5">
        <f t="shared" si="5"/>
        <v>166</v>
      </c>
    </row>
    <row r="229">
      <c r="A229" s="6" t="s">
        <v>5010</v>
      </c>
      <c r="B229" s="6" t="s">
        <v>3552</v>
      </c>
      <c r="C229" s="5">
        <f t="shared" si="1"/>
        <v>5</v>
      </c>
      <c r="D229" s="1" t="s">
        <v>12</v>
      </c>
      <c r="E229" s="1" t="s">
        <v>38</v>
      </c>
      <c r="F229" s="1" t="s">
        <v>39</v>
      </c>
      <c r="G229" s="6" t="s">
        <v>6146</v>
      </c>
      <c r="H229" s="5">
        <f t="shared" si="2"/>
        <v>1.6699</v>
      </c>
      <c r="I229" s="1" t="s">
        <v>4305</v>
      </c>
      <c r="J229" s="1">
        <f t="shared" si="3"/>
        <v>200.276349</v>
      </c>
      <c r="K229" s="1" t="s">
        <v>4306</v>
      </c>
      <c r="L229" s="5">
        <f t="shared" si="4"/>
        <v>0.3006</v>
      </c>
      <c r="M229" s="6" t="s">
        <v>6147</v>
      </c>
      <c r="N229" s="5">
        <f t="shared" si="5"/>
        <v>159</v>
      </c>
    </row>
    <row r="230">
      <c r="A230" s="6" t="s">
        <v>5010</v>
      </c>
      <c r="B230" s="6" t="s">
        <v>3552</v>
      </c>
      <c r="C230" s="5">
        <f t="shared" si="1"/>
        <v>5</v>
      </c>
      <c r="D230" s="1" t="s">
        <v>12</v>
      </c>
      <c r="E230" s="1" t="s">
        <v>45</v>
      </c>
      <c r="F230" s="1" t="s">
        <v>49</v>
      </c>
      <c r="G230" s="1" t="s">
        <v>1465</v>
      </c>
      <c r="H230" s="5">
        <f t="shared" si="2"/>
        <v>0.0619</v>
      </c>
      <c r="I230" s="1" t="s">
        <v>4308</v>
      </c>
      <c r="J230" s="1">
        <f t="shared" si="3"/>
        <v>3.624223</v>
      </c>
      <c r="K230" s="1" t="s">
        <v>4309</v>
      </c>
      <c r="L230" s="5">
        <f t="shared" si="4"/>
        <v>0.0161</v>
      </c>
      <c r="M230" s="6" t="s">
        <v>2521</v>
      </c>
      <c r="N230" s="5">
        <f t="shared" si="5"/>
        <v>6</v>
      </c>
    </row>
    <row r="231">
      <c r="A231" s="6" t="s">
        <v>5010</v>
      </c>
      <c r="B231" s="6" t="s">
        <v>3552</v>
      </c>
      <c r="C231" s="5">
        <f t="shared" si="1"/>
        <v>5</v>
      </c>
      <c r="D231" s="1" t="s">
        <v>12</v>
      </c>
      <c r="E231" s="1" t="s">
        <v>45</v>
      </c>
      <c r="F231" s="1" t="s">
        <v>17</v>
      </c>
      <c r="G231" s="6" t="s">
        <v>6148</v>
      </c>
      <c r="H231" s="5">
        <f t="shared" si="2"/>
        <v>2.3174</v>
      </c>
      <c r="I231" s="1" t="s">
        <v>4310</v>
      </c>
      <c r="J231" s="1">
        <f t="shared" si="3"/>
        <v>190.920762</v>
      </c>
      <c r="K231" s="1" t="s">
        <v>4311</v>
      </c>
      <c r="L231" s="5">
        <f t="shared" si="4"/>
        <v>0.8343</v>
      </c>
      <c r="M231" s="6" t="s">
        <v>3683</v>
      </c>
      <c r="N231" s="5">
        <f t="shared" si="5"/>
        <v>151</v>
      </c>
    </row>
    <row r="232">
      <c r="A232" s="6" t="s">
        <v>5010</v>
      </c>
      <c r="B232" s="6" t="s">
        <v>3552</v>
      </c>
      <c r="C232" s="5">
        <f t="shared" si="1"/>
        <v>5</v>
      </c>
      <c r="D232" s="1" t="s">
        <v>12</v>
      </c>
      <c r="E232" s="1" t="s">
        <v>4127</v>
      </c>
      <c r="F232" s="1" t="s">
        <v>17</v>
      </c>
      <c r="G232" s="6" t="s">
        <v>6149</v>
      </c>
      <c r="H232" s="5">
        <f t="shared" si="2"/>
        <v>2.8145</v>
      </c>
      <c r="I232" s="1" t="s">
        <v>4313</v>
      </c>
      <c r="J232" s="1">
        <f t="shared" si="3"/>
        <v>192.815258</v>
      </c>
      <c r="K232" s="1" t="s">
        <v>4315</v>
      </c>
      <c r="L232" s="5">
        <f t="shared" si="4"/>
        <v>0.9851</v>
      </c>
      <c r="M232" s="6" t="s">
        <v>6150</v>
      </c>
      <c r="N232" s="5">
        <f t="shared" si="5"/>
        <v>132</v>
      </c>
    </row>
    <row r="233">
      <c r="A233" s="6" t="s">
        <v>5010</v>
      </c>
      <c r="B233" s="6" t="s">
        <v>3552</v>
      </c>
      <c r="C233" s="5">
        <f t="shared" si="1"/>
        <v>5</v>
      </c>
      <c r="D233" s="1" t="s">
        <v>12</v>
      </c>
      <c r="E233" s="1" t="s">
        <v>42</v>
      </c>
      <c r="F233" s="1" t="s">
        <v>17</v>
      </c>
      <c r="G233" s="1" t="s">
        <v>4316</v>
      </c>
      <c r="H233" s="5">
        <f t="shared" si="2"/>
        <v>0.4574</v>
      </c>
      <c r="I233" s="1" t="s">
        <v>4318</v>
      </c>
      <c r="J233" s="1">
        <f t="shared" si="3"/>
        <v>88.075675</v>
      </c>
      <c r="K233" s="1" t="s">
        <v>4320</v>
      </c>
      <c r="L233" s="5">
        <f t="shared" si="4"/>
        <v>0.1692</v>
      </c>
      <c r="M233" s="6" t="s">
        <v>291</v>
      </c>
      <c r="N233" s="5">
        <f t="shared" si="5"/>
        <v>0</v>
      </c>
    </row>
    <row r="234">
      <c r="A234" s="6" t="s">
        <v>5010</v>
      </c>
      <c r="B234" s="6" t="s">
        <v>3552</v>
      </c>
      <c r="C234" s="5">
        <f t="shared" si="1"/>
        <v>5</v>
      </c>
      <c r="D234" s="1" t="s">
        <v>12</v>
      </c>
      <c r="E234" s="1" t="s">
        <v>3962</v>
      </c>
      <c r="F234" s="1" t="s">
        <v>17</v>
      </c>
      <c r="G234" s="1" t="s">
        <v>4321</v>
      </c>
      <c r="H234" s="5">
        <f t="shared" si="2"/>
        <v>0.7986</v>
      </c>
      <c r="I234" s="1" t="s">
        <v>4322</v>
      </c>
      <c r="J234" s="1">
        <f t="shared" si="3"/>
        <v>74.260342</v>
      </c>
      <c r="K234" s="1" t="s">
        <v>4323</v>
      </c>
      <c r="L234" s="5">
        <f t="shared" si="4"/>
        <v>0.2795</v>
      </c>
      <c r="M234" s="6" t="s">
        <v>4719</v>
      </c>
      <c r="N234" s="5">
        <f t="shared" si="5"/>
        <v>109</v>
      </c>
    </row>
    <row r="235">
      <c r="A235" s="6" t="s">
        <v>5010</v>
      </c>
      <c r="B235" s="6" t="s">
        <v>3552</v>
      </c>
      <c r="C235" s="5">
        <f t="shared" si="1"/>
        <v>5</v>
      </c>
      <c r="D235" s="1" t="s">
        <v>12</v>
      </c>
      <c r="E235" s="1" t="s">
        <v>1830</v>
      </c>
      <c r="F235" s="1" t="s">
        <v>72</v>
      </c>
      <c r="G235" s="1" t="s">
        <v>4325</v>
      </c>
      <c r="H235" s="5">
        <f t="shared" si="2"/>
        <v>0.4573</v>
      </c>
      <c r="I235" s="1" t="s">
        <v>4326</v>
      </c>
      <c r="J235" s="1">
        <f t="shared" si="3"/>
        <v>52.727248</v>
      </c>
      <c r="K235" s="1" t="s">
        <v>4327</v>
      </c>
      <c r="L235" s="5">
        <f t="shared" si="4"/>
        <v>0.1463</v>
      </c>
      <c r="M235" s="6" t="s">
        <v>2551</v>
      </c>
      <c r="N235" s="5">
        <f t="shared" si="5"/>
        <v>234</v>
      </c>
    </row>
    <row r="236">
      <c r="A236" s="6" t="s">
        <v>5010</v>
      </c>
      <c r="B236" s="6" t="s">
        <v>3552</v>
      </c>
      <c r="C236" s="5">
        <f t="shared" si="1"/>
        <v>5</v>
      </c>
      <c r="D236" s="1" t="s">
        <v>12</v>
      </c>
      <c r="E236" s="1" t="s">
        <v>56</v>
      </c>
      <c r="F236" s="1" t="s">
        <v>21</v>
      </c>
      <c r="G236" s="1" t="s">
        <v>4328</v>
      </c>
      <c r="H236" s="5">
        <f t="shared" si="2"/>
        <v>0.1885</v>
      </c>
      <c r="I236" s="1" t="s">
        <v>4329</v>
      </c>
      <c r="J236" s="1">
        <f t="shared" si="3"/>
        <v>45.304416</v>
      </c>
      <c r="K236" s="1" t="s">
        <v>989</v>
      </c>
      <c r="L236" s="5">
        <f t="shared" si="4"/>
        <v>0.0754</v>
      </c>
      <c r="M236" s="6" t="s">
        <v>2932</v>
      </c>
      <c r="N236" s="5">
        <f t="shared" si="5"/>
        <v>117</v>
      </c>
    </row>
    <row r="237">
      <c r="A237" s="6" t="s">
        <v>5010</v>
      </c>
      <c r="B237" s="6" t="s">
        <v>3552</v>
      </c>
      <c r="C237" s="5">
        <f t="shared" si="1"/>
        <v>5</v>
      </c>
      <c r="D237" s="1" t="s">
        <v>68</v>
      </c>
      <c r="E237" s="1" t="s">
        <v>13</v>
      </c>
      <c r="F237" s="1" t="s">
        <v>14</v>
      </c>
      <c r="G237" s="1" t="s">
        <v>4330</v>
      </c>
      <c r="H237" s="5">
        <f t="shared" si="2"/>
        <v>38.1428</v>
      </c>
      <c r="I237" s="1" t="s">
        <v>4331</v>
      </c>
      <c r="J237" s="1">
        <f t="shared" si="3"/>
        <v>2383.271661</v>
      </c>
      <c r="K237" s="6" t="s">
        <v>6151</v>
      </c>
      <c r="L237" s="5">
        <f t="shared" si="4"/>
        <v>8.01</v>
      </c>
      <c r="M237" s="6" t="s">
        <v>6152</v>
      </c>
      <c r="N237" s="5">
        <f t="shared" si="5"/>
        <v>6985</v>
      </c>
    </row>
    <row r="238">
      <c r="A238" s="6" t="s">
        <v>5010</v>
      </c>
      <c r="B238" s="6" t="s">
        <v>3552</v>
      </c>
      <c r="C238" s="5">
        <f t="shared" si="1"/>
        <v>5</v>
      </c>
      <c r="D238" s="1" t="s">
        <v>68</v>
      </c>
      <c r="E238" s="1" t="s">
        <v>13</v>
      </c>
      <c r="F238" s="1" t="s">
        <v>17</v>
      </c>
      <c r="G238" s="1" t="s">
        <v>4332</v>
      </c>
      <c r="H238" s="5">
        <f t="shared" si="2"/>
        <v>62.5334</v>
      </c>
      <c r="I238" s="1" t="s">
        <v>4333</v>
      </c>
      <c r="J238" s="1">
        <f t="shared" si="3"/>
        <v>6723.164019</v>
      </c>
      <c r="K238" s="1" t="s">
        <v>4335</v>
      </c>
      <c r="L238" s="5">
        <f t="shared" si="4"/>
        <v>21.8865</v>
      </c>
      <c r="M238" s="6" t="s">
        <v>6153</v>
      </c>
      <c r="N238" s="5">
        <f t="shared" si="5"/>
        <v>8839</v>
      </c>
    </row>
    <row r="239">
      <c r="A239" s="6" t="s">
        <v>5010</v>
      </c>
      <c r="B239" s="6" t="s">
        <v>3552</v>
      </c>
      <c r="C239" s="5">
        <f t="shared" si="1"/>
        <v>5</v>
      </c>
      <c r="D239" s="1" t="s">
        <v>68</v>
      </c>
      <c r="E239" s="1" t="s">
        <v>13</v>
      </c>
      <c r="F239" s="1" t="s">
        <v>21</v>
      </c>
      <c r="G239" s="6" t="s">
        <v>6154</v>
      </c>
      <c r="H239" s="5">
        <f t="shared" si="2"/>
        <v>2.8616</v>
      </c>
      <c r="I239" s="1" t="s">
        <v>4336</v>
      </c>
      <c r="J239" s="1">
        <f t="shared" si="3"/>
        <v>523.029817</v>
      </c>
      <c r="K239" s="6" t="s">
        <v>6155</v>
      </c>
      <c r="L239" s="5">
        <f t="shared" si="4"/>
        <v>1.4308</v>
      </c>
      <c r="M239" s="6" t="s">
        <v>6156</v>
      </c>
      <c r="N239" s="5">
        <f t="shared" si="5"/>
        <v>438</v>
      </c>
    </row>
    <row r="240">
      <c r="A240" s="6" t="s">
        <v>5010</v>
      </c>
      <c r="B240" s="6" t="s">
        <v>3552</v>
      </c>
      <c r="C240" s="5">
        <f t="shared" si="1"/>
        <v>5</v>
      </c>
      <c r="D240" s="1" t="s">
        <v>68</v>
      </c>
      <c r="E240" s="1" t="s">
        <v>13</v>
      </c>
      <c r="F240" s="1" t="s">
        <v>25</v>
      </c>
      <c r="G240" s="1" t="s">
        <v>4338</v>
      </c>
      <c r="H240" s="5">
        <f t="shared" si="2"/>
        <v>0.2933</v>
      </c>
      <c r="I240" s="1" t="s">
        <v>4339</v>
      </c>
      <c r="J240" s="1">
        <f t="shared" si="3"/>
        <v>47.36375</v>
      </c>
      <c r="K240" s="1" t="s">
        <v>3128</v>
      </c>
      <c r="L240" s="5">
        <f t="shared" si="4"/>
        <v>0.2199</v>
      </c>
      <c r="M240" s="6" t="s">
        <v>765</v>
      </c>
      <c r="N240" s="5">
        <f t="shared" si="5"/>
        <v>168</v>
      </c>
    </row>
    <row r="241">
      <c r="A241" s="6" t="s">
        <v>5010</v>
      </c>
      <c r="B241" s="6" t="s">
        <v>3552</v>
      </c>
      <c r="C241" s="5">
        <f t="shared" si="1"/>
        <v>5</v>
      </c>
      <c r="D241" s="1" t="s">
        <v>68</v>
      </c>
      <c r="E241" s="1" t="s">
        <v>29</v>
      </c>
      <c r="F241" s="1" t="s">
        <v>14</v>
      </c>
      <c r="G241" s="1" t="s">
        <v>4341</v>
      </c>
      <c r="H241" s="5">
        <f t="shared" si="2"/>
        <v>0.5615</v>
      </c>
      <c r="I241" s="1" t="s">
        <v>4342</v>
      </c>
      <c r="J241" s="1">
        <f t="shared" si="3"/>
        <v>72.253721</v>
      </c>
      <c r="K241" s="1" t="s">
        <v>4007</v>
      </c>
      <c r="L241" s="5">
        <f t="shared" si="4"/>
        <v>0.1123</v>
      </c>
      <c r="M241" s="6" t="s">
        <v>2981</v>
      </c>
      <c r="N241" s="5">
        <f t="shared" si="5"/>
        <v>72</v>
      </c>
    </row>
    <row r="242">
      <c r="A242" s="6" t="s">
        <v>5010</v>
      </c>
      <c r="B242" s="6" t="s">
        <v>3552</v>
      </c>
      <c r="C242" s="5">
        <f t="shared" si="1"/>
        <v>5</v>
      </c>
      <c r="D242" s="1" t="s">
        <v>68</v>
      </c>
      <c r="E242" s="1" t="s">
        <v>29</v>
      </c>
      <c r="F242" s="1" t="s">
        <v>21</v>
      </c>
      <c r="G242" s="6" t="s">
        <v>6157</v>
      </c>
      <c r="H242" s="5">
        <f t="shared" si="2"/>
        <v>11.3387</v>
      </c>
      <c r="I242" s="1" t="s">
        <v>4364</v>
      </c>
      <c r="J242" s="1">
        <f t="shared" si="3"/>
        <v>2381.702329</v>
      </c>
      <c r="K242" s="6" t="s">
        <v>6158</v>
      </c>
      <c r="L242" s="5">
        <f t="shared" si="4"/>
        <v>4.5355</v>
      </c>
      <c r="M242" s="6" t="s">
        <v>4787</v>
      </c>
      <c r="N242" s="5">
        <f t="shared" si="5"/>
        <v>1918</v>
      </c>
    </row>
    <row r="243">
      <c r="A243" s="6" t="s">
        <v>5010</v>
      </c>
      <c r="B243" s="6" t="s">
        <v>3552</v>
      </c>
      <c r="C243" s="5">
        <f t="shared" si="1"/>
        <v>5</v>
      </c>
      <c r="D243" s="1" t="s">
        <v>68</v>
      </c>
      <c r="E243" s="1" t="s">
        <v>45</v>
      </c>
      <c r="F243" s="1" t="s">
        <v>49</v>
      </c>
      <c r="G243" s="6" t="s">
        <v>4365</v>
      </c>
      <c r="H243" s="5">
        <f t="shared" si="2"/>
        <v>1.0163</v>
      </c>
      <c r="I243" s="1" t="s">
        <v>4366</v>
      </c>
      <c r="J243" s="1">
        <f t="shared" si="3"/>
        <v>58.583002</v>
      </c>
      <c r="K243" s="1" t="s">
        <v>4367</v>
      </c>
      <c r="L243" s="5">
        <f t="shared" si="4"/>
        <v>0.2642</v>
      </c>
      <c r="M243" s="6" t="s">
        <v>6091</v>
      </c>
      <c r="N243" s="5">
        <f t="shared" si="5"/>
        <v>134</v>
      </c>
    </row>
    <row r="244">
      <c r="A244" s="6" t="s">
        <v>5010</v>
      </c>
      <c r="B244" s="6" t="s">
        <v>3552</v>
      </c>
      <c r="C244" s="5">
        <f t="shared" si="1"/>
        <v>5</v>
      </c>
      <c r="D244" s="1" t="s">
        <v>68</v>
      </c>
      <c r="E244" s="1" t="s">
        <v>45</v>
      </c>
      <c r="F244" s="1" t="s">
        <v>17</v>
      </c>
      <c r="G244" s="6" t="s">
        <v>6159</v>
      </c>
      <c r="H244" s="5">
        <f t="shared" si="2"/>
        <v>5.2722</v>
      </c>
      <c r="I244" s="1" t="s">
        <v>4368</v>
      </c>
      <c r="J244" s="1">
        <f t="shared" si="3"/>
        <v>410.251949</v>
      </c>
      <c r="K244" s="6" t="s">
        <v>6160</v>
      </c>
      <c r="L244" s="5">
        <f t="shared" si="4"/>
        <v>1.8979</v>
      </c>
      <c r="M244" s="6" t="s">
        <v>6161</v>
      </c>
      <c r="N244" s="5">
        <f t="shared" si="5"/>
        <v>1380</v>
      </c>
    </row>
    <row r="245">
      <c r="A245" s="6" t="s">
        <v>5010</v>
      </c>
      <c r="B245" s="6" t="s">
        <v>3552</v>
      </c>
      <c r="C245" s="5">
        <f t="shared" si="1"/>
        <v>5</v>
      </c>
      <c r="D245" s="1" t="s">
        <v>68</v>
      </c>
      <c r="E245" s="1" t="s">
        <v>4127</v>
      </c>
      <c r="F245" s="1" t="s">
        <v>17</v>
      </c>
      <c r="G245" s="6" t="s">
        <v>6162</v>
      </c>
      <c r="H245" s="5">
        <f t="shared" si="2"/>
        <v>4.7601</v>
      </c>
      <c r="I245" s="1" t="s">
        <v>4369</v>
      </c>
      <c r="J245" s="1">
        <f t="shared" si="3"/>
        <v>382.141359</v>
      </c>
      <c r="K245" s="6" t="s">
        <v>6163</v>
      </c>
      <c r="L245" s="5">
        <f t="shared" si="4"/>
        <v>1.6661</v>
      </c>
      <c r="M245" s="6" t="s">
        <v>6164</v>
      </c>
      <c r="N245" s="5">
        <f t="shared" si="5"/>
        <v>870</v>
      </c>
    </row>
    <row r="246">
      <c r="A246" s="6" t="s">
        <v>5010</v>
      </c>
      <c r="B246" s="6" t="s">
        <v>3552</v>
      </c>
      <c r="C246" s="5">
        <f t="shared" si="1"/>
        <v>5</v>
      </c>
      <c r="D246" s="1" t="s">
        <v>68</v>
      </c>
      <c r="E246" s="1" t="s">
        <v>38</v>
      </c>
      <c r="F246" s="1" t="s">
        <v>39</v>
      </c>
      <c r="G246" s="6" t="s">
        <v>6165</v>
      </c>
      <c r="H246" s="5">
        <f t="shared" si="2"/>
        <v>3.8741</v>
      </c>
      <c r="I246" s="1" t="s">
        <v>4370</v>
      </c>
      <c r="J246" s="1">
        <f t="shared" si="3"/>
        <v>350.53213</v>
      </c>
      <c r="K246" s="1" t="s">
        <v>4371</v>
      </c>
      <c r="L246" s="5">
        <f t="shared" si="4"/>
        <v>0.6973</v>
      </c>
      <c r="M246" s="6" t="s">
        <v>6166</v>
      </c>
      <c r="N246" s="5">
        <f t="shared" si="5"/>
        <v>1441</v>
      </c>
    </row>
    <row r="247">
      <c r="A247" s="6" t="s">
        <v>5010</v>
      </c>
      <c r="B247" s="6" t="s">
        <v>3552</v>
      </c>
      <c r="C247" s="5">
        <f t="shared" si="1"/>
        <v>5</v>
      </c>
      <c r="D247" s="1" t="s">
        <v>68</v>
      </c>
      <c r="E247" s="1" t="s">
        <v>48</v>
      </c>
      <c r="F247" s="1" t="s">
        <v>49</v>
      </c>
      <c r="G247" s="1" t="s">
        <v>414</v>
      </c>
      <c r="H247" s="5">
        <f t="shared" si="2"/>
        <v>0.0007</v>
      </c>
      <c r="I247" s="1" t="s">
        <v>4372</v>
      </c>
      <c r="J247" s="1">
        <f t="shared" si="3"/>
        <v>0.296985</v>
      </c>
      <c r="K247" s="1" t="s">
        <v>376</v>
      </c>
      <c r="L247" s="5">
        <f t="shared" si="4"/>
        <v>0.0002</v>
      </c>
      <c r="M247" s="6" t="s">
        <v>397</v>
      </c>
      <c r="N247" s="5">
        <f t="shared" si="5"/>
        <v>2</v>
      </c>
    </row>
    <row r="248">
      <c r="A248" s="6" t="s">
        <v>5010</v>
      </c>
      <c r="B248" s="6" t="s">
        <v>3552</v>
      </c>
      <c r="C248" s="5">
        <f t="shared" si="1"/>
        <v>5</v>
      </c>
      <c r="D248" s="1" t="s">
        <v>68</v>
      </c>
      <c r="E248" s="1" t="s">
        <v>48</v>
      </c>
      <c r="F248" s="1" t="s">
        <v>72</v>
      </c>
      <c r="G248" s="1" t="s">
        <v>4373</v>
      </c>
      <c r="H248" s="5">
        <f t="shared" si="2"/>
        <v>0.0092</v>
      </c>
      <c r="I248" s="1" t="s">
        <v>4374</v>
      </c>
      <c r="J248" s="1">
        <f t="shared" si="3"/>
        <v>2.811444</v>
      </c>
      <c r="K248" s="1" t="s">
        <v>1886</v>
      </c>
      <c r="L248" s="5">
        <f t="shared" si="4"/>
        <v>0.0028</v>
      </c>
      <c r="M248" s="6" t="s">
        <v>2591</v>
      </c>
      <c r="N248" s="5">
        <f t="shared" si="5"/>
        <v>11</v>
      </c>
    </row>
    <row r="249">
      <c r="A249" s="6" t="s">
        <v>5010</v>
      </c>
      <c r="B249" s="6" t="s">
        <v>3552</v>
      </c>
      <c r="C249" s="5">
        <f t="shared" si="1"/>
        <v>5</v>
      </c>
      <c r="D249" s="1" t="s">
        <v>68</v>
      </c>
      <c r="E249" s="1" t="s">
        <v>48</v>
      </c>
      <c r="F249" s="1" t="s">
        <v>21</v>
      </c>
      <c r="G249" s="6" t="s">
        <v>6167</v>
      </c>
      <c r="H249" s="5">
        <f t="shared" si="2"/>
        <v>1.3945</v>
      </c>
      <c r="I249" s="1" t="s">
        <v>4375</v>
      </c>
      <c r="J249" s="1">
        <f t="shared" si="3"/>
        <v>246.065794</v>
      </c>
      <c r="K249" s="1" t="s">
        <v>4376</v>
      </c>
      <c r="L249" s="5">
        <f t="shared" si="4"/>
        <v>0.5578</v>
      </c>
      <c r="M249" s="6" t="s">
        <v>6168</v>
      </c>
      <c r="N249" s="5">
        <f t="shared" si="5"/>
        <v>345</v>
      </c>
    </row>
    <row r="250">
      <c r="A250" s="6" t="s">
        <v>5010</v>
      </c>
      <c r="B250" s="6" t="s">
        <v>3552</v>
      </c>
      <c r="C250" s="5">
        <f t="shared" si="1"/>
        <v>5</v>
      </c>
      <c r="D250" s="1" t="s">
        <v>68</v>
      </c>
      <c r="E250" s="1" t="s">
        <v>1851</v>
      </c>
      <c r="F250" s="1" t="s">
        <v>17</v>
      </c>
      <c r="G250" s="6" t="s">
        <v>4377</v>
      </c>
      <c r="H250" s="5">
        <f t="shared" si="2"/>
        <v>3.0453</v>
      </c>
      <c r="I250" s="1" t="s">
        <v>4378</v>
      </c>
      <c r="J250" s="1">
        <f t="shared" si="3"/>
        <v>174.863686</v>
      </c>
      <c r="K250" s="6" t="s">
        <v>4379</v>
      </c>
      <c r="L250" s="5">
        <f t="shared" si="4"/>
        <v>1.1724</v>
      </c>
      <c r="M250" s="6" t="s">
        <v>6169</v>
      </c>
      <c r="N250" s="5">
        <f t="shared" si="5"/>
        <v>915</v>
      </c>
    </row>
    <row r="251">
      <c r="A251" s="6" t="s">
        <v>5010</v>
      </c>
      <c r="B251" s="6" t="s">
        <v>3552</v>
      </c>
      <c r="C251" s="5">
        <f t="shared" si="1"/>
        <v>5</v>
      </c>
      <c r="D251" s="1" t="s">
        <v>68</v>
      </c>
      <c r="E251" s="1" t="s">
        <v>1851</v>
      </c>
      <c r="F251" s="1" t="s">
        <v>21</v>
      </c>
      <c r="G251" s="1" t="s">
        <v>4380</v>
      </c>
      <c r="H251" s="5">
        <f t="shared" si="2"/>
        <v>0.3384</v>
      </c>
      <c r="I251" s="1" t="s">
        <v>4381</v>
      </c>
      <c r="J251" s="1">
        <f t="shared" si="3"/>
        <v>24.139055</v>
      </c>
      <c r="K251" s="1" t="s">
        <v>4382</v>
      </c>
      <c r="L251" s="5">
        <f t="shared" si="4"/>
        <v>0.1658</v>
      </c>
      <c r="M251" s="6" t="s">
        <v>6170</v>
      </c>
      <c r="N251" s="5">
        <f t="shared" si="5"/>
        <v>144</v>
      </c>
    </row>
    <row r="252">
      <c r="A252" s="6" t="s">
        <v>5010</v>
      </c>
      <c r="B252" s="6" t="s">
        <v>3552</v>
      </c>
      <c r="C252" s="5">
        <f t="shared" si="1"/>
        <v>5</v>
      </c>
      <c r="D252" s="1" t="s">
        <v>68</v>
      </c>
      <c r="E252" s="1" t="s">
        <v>3962</v>
      </c>
      <c r="F252" s="1" t="s">
        <v>17</v>
      </c>
      <c r="G252" s="6" t="s">
        <v>6171</v>
      </c>
      <c r="H252" s="5">
        <f t="shared" si="2"/>
        <v>1.4164</v>
      </c>
      <c r="I252" s="1" t="s">
        <v>4383</v>
      </c>
      <c r="J252" s="1">
        <f t="shared" si="3"/>
        <v>129.822771</v>
      </c>
      <c r="K252" s="1" t="s">
        <v>4384</v>
      </c>
      <c r="L252" s="5">
        <f t="shared" si="4"/>
        <v>0.4957</v>
      </c>
      <c r="M252" s="6" t="s">
        <v>4235</v>
      </c>
      <c r="N252" s="5">
        <f t="shared" si="5"/>
        <v>529</v>
      </c>
    </row>
    <row r="253">
      <c r="A253" s="6" t="s">
        <v>5010</v>
      </c>
      <c r="B253" s="6" t="s">
        <v>3552</v>
      </c>
      <c r="C253" s="5">
        <f t="shared" si="1"/>
        <v>5</v>
      </c>
      <c r="D253" s="1" t="s">
        <v>68</v>
      </c>
      <c r="E253" s="1" t="s">
        <v>1830</v>
      </c>
      <c r="F253" s="1" t="s">
        <v>72</v>
      </c>
      <c r="G253" s="6" t="s">
        <v>6172</v>
      </c>
      <c r="H253" s="5">
        <f t="shared" si="2"/>
        <v>1.3728</v>
      </c>
      <c r="I253" s="1" t="s">
        <v>4385</v>
      </c>
      <c r="J253" s="1">
        <f t="shared" si="3"/>
        <v>107.913191</v>
      </c>
      <c r="K253" s="1" t="s">
        <v>4386</v>
      </c>
      <c r="L253" s="5">
        <f t="shared" si="4"/>
        <v>0.4393</v>
      </c>
      <c r="M253" s="6" t="s">
        <v>6173</v>
      </c>
      <c r="N253" s="5">
        <f t="shared" si="5"/>
        <v>1203</v>
      </c>
    </row>
    <row r="254">
      <c r="A254" s="6" t="s">
        <v>5010</v>
      </c>
      <c r="B254" s="6" t="s">
        <v>3552</v>
      </c>
      <c r="C254" s="5">
        <f t="shared" si="1"/>
        <v>5</v>
      </c>
      <c r="D254" s="1" t="s">
        <v>68</v>
      </c>
      <c r="E254" s="1" t="s">
        <v>2104</v>
      </c>
      <c r="F254" s="1" t="s">
        <v>17</v>
      </c>
      <c r="G254" s="6" t="s">
        <v>6174</v>
      </c>
      <c r="H254" s="5">
        <f t="shared" si="2"/>
        <v>1.5552</v>
      </c>
      <c r="I254" s="1" t="s">
        <v>4387</v>
      </c>
      <c r="J254" s="1">
        <f t="shared" si="3"/>
        <v>76.888582</v>
      </c>
      <c r="K254" s="1" t="s">
        <v>4388</v>
      </c>
      <c r="L254" s="5">
        <f t="shared" si="4"/>
        <v>0.5444</v>
      </c>
      <c r="M254" s="6" t="s">
        <v>6175</v>
      </c>
      <c r="N254" s="5">
        <f t="shared" si="5"/>
        <v>336</v>
      </c>
    </row>
    <row r="255">
      <c r="A255" s="6" t="s">
        <v>5010</v>
      </c>
      <c r="B255" s="6" t="s">
        <v>3552</v>
      </c>
      <c r="C255" s="5">
        <f t="shared" si="1"/>
        <v>5</v>
      </c>
      <c r="D255" s="1" t="s">
        <v>116</v>
      </c>
      <c r="E255" s="1" t="s">
        <v>13</v>
      </c>
      <c r="F255" s="1" t="s">
        <v>14</v>
      </c>
      <c r="G255" s="1" t="s">
        <v>4390</v>
      </c>
      <c r="H255" s="5">
        <f t="shared" si="2"/>
        <v>83.0088</v>
      </c>
      <c r="I255" s="1" t="s">
        <v>4391</v>
      </c>
      <c r="J255" s="1">
        <f t="shared" si="3"/>
        <v>5184.360197</v>
      </c>
      <c r="K255" s="1" t="s">
        <v>4392</v>
      </c>
      <c r="L255" s="5">
        <f t="shared" si="4"/>
        <v>17.4319</v>
      </c>
      <c r="M255" s="6" t="s">
        <v>6176</v>
      </c>
      <c r="N255" s="5">
        <f t="shared" si="5"/>
        <v>12256</v>
      </c>
    </row>
    <row r="256">
      <c r="A256" s="6" t="s">
        <v>5010</v>
      </c>
      <c r="B256" s="6" t="s">
        <v>3552</v>
      </c>
      <c r="C256" s="5">
        <f t="shared" si="1"/>
        <v>5</v>
      </c>
      <c r="D256" s="1" t="s">
        <v>116</v>
      </c>
      <c r="E256" s="1" t="s">
        <v>13</v>
      </c>
      <c r="F256" s="1" t="s">
        <v>17</v>
      </c>
      <c r="G256" s="1" t="s">
        <v>4393</v>
      </c>
      <c r="H256" s="5">
        <f t="shared" si="2"/>
        <v>139.1166</v>
      </c>
      <c r="I256" s="1" t="s">
        <v>4394</v>
      </c>
      <c r="J256" s="1">
        <f t="shared" si="3"/>
        <v>14277.08856</v>
      </c>
      <c r="K256" s="1" t="s">
        <v>4395</v>
      </c>
      <c r="L256" s="5">
        <f t="shared" si="4"/>
        <v>48.6907</v>
      </c>
      <c r="M256" s="6" t="s">
        <v>6177</v>
      </c>
      <c r="N256" s="5">
        <f t="shared" si="5"/>
        <v>18024</v>
      </c>
    </row>
    <row r="257">
      <c r="A257" s="6" t="s">
        <v>5010</v>
      </c>
      <c r="B257" s="6" t="s">
        <v>3552</v>
      </c>
      <c r="C257" s="5">
        <f t="shared" si="1"/>
        <v>5</v>
      </c>
      <c r="D257" s="1" t="s">
        <v>116</v>
      </c>
      <c r="E257" s="1" t="s">
        <v>13</v>
      </c>
      <c r="F257" s="1" t="s">
        <v>21</v>
      </c>
      <c r="G257" s="6" t="s">
        <v>6178</v>
      </c>
      <c r="H257" s="5">
        <f t="shared" si="2"/>
        <v>11.2546</v>
      </c>
      <c r="I257" s="1" t="s">
        <v>4396</v>
      </c>
      <c r="J257" s="1">
        <f t="shared" si="3"/>
        <v>1644.230536</v>
      </c>
      <c r="K257" s="6" t="s">
        <v>6179</v>
      </c>
      <c r="L257" s="5">
        <f t="shared" si="4"/>
        <v>5.6273</v>
      </c>
      <c r="M257" s="6" t="s">
        <v>6180</v>
      </c>
      <c r="N257" s="5">
        <f t="shared" si="5"/>
        <v>891</v>
      </c>
    </row>
    <row r="258">
      <c r="A258" s="6" t="s">
        <v>5010</v>
      </c>
      <c r="B258" s="6" t="s">
        <v>3552</v>
      </c>
      <c r="C258" s="5">
        <f t="shared" si="1"/>
        <v>5</v>
      </c>
      <c r="D258" s="1" t="s">
        <v>116</v>
      </c>
      <c r="E258" s="1" t="s">
        <v>13</v>
      </c>
      <c r="F258" s="1" t="s">
        <v>25</v>
      </c>
      <c r="G258" s="1" t="s">
        <v>4398</v>
      </c>
      <c r="H258" s="5">
        <f t="shared" si="2"/>
        <v>0.0173</v>
      </c>
      <c r="I258" s="1" t="s">
        <v>4399</v>
      </c>
      <c r="J258" s="1">
        <f t="shared" si="3"/>
        <v>3.582185</v>
      </c>
      <c r="K258" s="1" t="s">
        <v>2801</v>
      </c>
      <c r="L258" s="5">
        <f t="shared" si="4"/>
        <v>0.013</v>
      </c>
      <c r="M258" s="6" t="s">
        <v>3552</v>
      </c>
      <c r="N258" s="5">
        <f t="shared" si="5"/>
        <v>5</v>
      </c>
    </row>
    <row r="259">
      <c r="A259" s="6" t="s">
        <v>5010</v>
      </c>
      <c r="B259" s="6" t="s">
        <v>3552</v>
      </c>
      <c r="C259" s="5">
        <f t="shared" si="1"/>
        <v>5</v>
      </c>
      <c r="D259" s="1" t="s">
        <v>116</v>
      </c>
      <c r="E259" s="1" t="s">
        <v>29</v>
      </c>
      <c r="F259" s="1" t="s">
        <v>14</v>
      </c>
      <c r="G259" s="6" t="s">
        <v>6181</v>
      </c>
      <c r="H259" s="5">
        <f t="shared" si="2"/>
        <v>1.2908</v>
      </c>
      <c r="I259" s="1" t="s">
        <v>4401</v>
      </c>
      <c r="J259" s="1">
        <f t="shared" si="3"/>
        <v>183.721912</v>
      </c>
      <c r="K259" s="1" t="s">
        <v>4402</v>
      </c>
      <c r="L259" s="5">
        <f t="shared" si="4"/>
        <v>0.2582</v>
      </c>
      <c r="M259" s="6" t="s">
        <v>6182</v>
      </c>
      <c r="N259" s="5">
        <f t="shared" si="5"/>
        <v>293</v>
      </c>
    </row>
    <row r="260">
      <c r="A260" s="6" t="s">
        <v>5010</v>
      </c>
      <c r="B260" s="6" t="s">
        <v>3552</v>
      </c>
      <c r="C260" s="5">
        <f t="shared" si="1"/>
        <v>5</v>
      </c>
      <c r="D260" s="1" t="s">
        <v>116</v>
      </c>
      <c r="E260" s="1" t="s">
        <v>29</v>
      </c>
      <c r="F260" s="1" t="s">
        <v>21</v>
      </c>
      <c r="G260" s="1" t="s">
        <v>4403</v>
      </c>
      <c r="H260" s="5">
        <f t="shared" si="2"/>
        <v>30.6972</v>
      </c>
      <c r="I260" s="1" t="s">
        <v>4405</v>
      </c>
      <c r="J260" s="1">
        <f t="shared" si="3"/>
        <v>6818.829617</v>
      </c>
      <c r="K260" s="6" t="s">
        <v>6183</v>
      </c>
      <c r="L260" s="5">
        <f t="shared" si="4"/>
        <v>12.2789</v>
      </c>
      <c r="M260" s="6" t="s">
        <v>6184</v>
      </c>
      <c r="N260" s="5">
        <f t="shared" si="5"/>
        <v>4051</v>
      </c>
    </row>
    <row r="261">
      <c r="A261" s="6" t="s">
        <v>5010</v>
      </c>
      <c r="B261" s="6" t="s">
        <v>3552</v>
      </c>
      <c r="C261" s="5">
        <f t="shared" si="1"/>
        <v>5</v>
      </c>
      <c r="D261" s="1" t="s">
        <v>116</v>
      </c>
      <c r="E261" s="1" t="s">
        <v>45</v>
      </c>
      <c r="F261" s="1" t="s">
        <v>49</v>
      </c>
      <c r="G261" s="6" t="s">
        <v>6185</v>
      </c>
      <c r="H261" s="5">
        <f t="shared" si="2"/>
        <v>2.7366</v>
      </c>
      <c r="I261" s="1" t="s">
        <v>4407</v>
      </c>
      <c r="J261" s="1">
        <f t="shared" si="3"/>
        <v>157.761561</v>
      </c>
      <c r="K261" s="1" t="s">
        <v>3106</v>
      </c>
      <c r="L261" s="5">
        <f t="shared" si="4"/>
        <v>0.7115</v>
      </c>
      <c r="M261" s="6" t="s">
        <v>4744</v>
      </c>
      <c r="N261" s="5">
        <f t="shared" si="5"/>
        <v>352</v>
      </c>
    </row>
    <row r="262">
      <c r="A262" s="6" t="s">
        <v>5010</v>
      </c>
      <c r="B262" s="6" t="s">
        <v>3552</v>
      </c>
      <c r="C262" s="5">
        <f t="shared" si="1"/>
        <v>5</v>
      </c>
      <c r="D262" s="1" t="s">
        <v>116</v>
      </c>
      <c r="E262" s="1" t="s">
        <v>45</v>
      </c>
      <c r="F262" s="1" t="s">
        <v>17</v>
      </c>
      <c r="G262" s="1" t="s">
        <v>4408</v>
      </c>
      <c r="H262" s="5">
        <f t="shared" si="2"/>
        <v>23.6977</v>
      </c>
      <c r="I262" s="1" t="s">
        <v>4409</v>
      </c>
      <c r="J262" s="1">
        <f t="shared" si="3"/>
        <v>1670.173912</v>
      </c>
      <c r="K262" s="6" t="s">
        <v>6186</v>
      </c>
      <c r="L262" s="5">
        <f t="shared" si="4"/>
        <v>8.5312</v>
      </c>
      <c r="M262" s="6" t="s">
        <v>6187</v>
      </c>
      <c r="N262" s="5">
        <f t="shared" si="5"/>
        <v>1669</v>
      </c>
    </row>
    <row r="263">
      <c r="A263" s="6" t="s">
        <v>5010</v>
      </c>
      <c r="B263" s="6" t="s">
        <v>3552</v>
      </c>
      <c r="C263" s="5">
        <f t="shared" si="1"/>
        <v>5</v>
      </c>
      <c r="D263" s="1" t="s">
        <v>116</v>
      </c>
      <c r="E263" s="1" t="s">
        <v>48</v>
      </c>
      <c r="F263" s="1" t="s">
        <v>49</v>
      </c>
      <c r="G263" s="1" t="s">
        <v>142</v>
      </c>
      <c r="H263" s="5">
        <f t="shared" si="2"/>
        <v>0.0088</v>
      </c>
      <c r="I263" s="1" t="s">
        <v>4410</v>
      </c>
      <c r="J263" s="1">
        <f t="shared" si="3"/>
        <v>3.545319</v>
      </c>
      <c r="K263" s="1" t="s">
        <v>426</v>
      </c>
      <c r="L263" s="5">
        <f t="shared" si="4"/>
        <v>0.0025</v>
      </c>
      <c r="M263" s="6" t="s">
        <v>2521</v>
      </c>
      <c r="N263" s="5">
        <f t="shared" si="5"/>
        <v>6</v>
      </c>
    </row>
    <row r="264">
      <c r="A264" s="6" t="s">
        <v>5010</v>
      </c>
      <c r="B264" s="6" t="s">
        <v>3552</v>
      </c>
      <c r="C264" s="5">
        <f t="shared" si="1"/>
        <v>5</v>
      </c>
      <c r="D264" s="1" t="s">
        <v>116</v>
      </c>
      <c r="E264" s="1" t="s">
        <v>48</v>
      </c>
      <c r="F264" s="1" t="s">
        <v>72</v>
      </c>
      <c r="G264" s="1" t="s">
        <v>654</v>
      </c>
      <c r="H264" s="5">
        <f t="shared" si="2"/>
        <v>0.0585</v>
      </c>
      <c r="I264" s="1" t="s">
        <v>4411</v>
      </c>
      <c r="J264" s="1">
        <f t="shared" si="3"/>
        <v>17.701399</v>
      </c>
      <c r="K264" s="1" t="s">
        <v>2030</v>
      </c>
      <c r="L264" s="5">
        <f t="shared" si="4"/>
        <v>0.0176</v>
      </c>
      <c r="M264" s="6" t="s">
        <v>4805</v>
      </c>
      <c r="N264" s="5">
        <f t="shared" si="5"/>
        <v>33</v>
      </c>
    </row>
    <row r="265">
      <c r="A265" s="6" t="s">
        <v>5010</v>
      </c>
      <c r="B265" s="6" t="s">
        <v>3552</v>
      </c>
      <c r="C265" s="5">
        <f t="shared" si="1"/>
        <v>5</v>
      </c>
      <c r="D265" s="1" t="s">
        <v>116</v>
      </c>
      <c r="E265" s="1" t="s">
        <v>48</v>
      </c>
      <c r="F265" s="1" t="s">
        <v>21</v>
      </c>
      <c r="G265" s="6" t="s">
        <v>6188</v>
      </c>
      <c r="H265" s="5">
        <f t="shared" si="2"/>
        <v>4.6614</v>
      </c>
      <c r="I265" s="1" t="s">
        <v>4412</v>
      </c>
      <c r="J265" s="1">
        <f t="shared" si="3"/>
        <v>1070.070585</v>
      </c>
      <c r="K265" s="6" t="s">
        <v>6189</v>
      </c>
      <c r="L265" s="5">
        <f t="shared" si="4"/>
        <v>1.8646</v>
      </c>
      <c r="M265" s="6" t="s">
        <v>6190</v>
      </c>
      <c r="N265" s="5">
        <f t="shared" si="5"/>
        <v>447</v>
      </c>
    </row>
    <row r="266">
      <c r="A266" s="6" t="s">
        <v>5010</v>
      </c>
      <c r="B266" s="6" t="s">
        <v>3552</v>
      </c>
      <c r="C266" s="5">
        <f t="shared" si="1"/>
        <v>5</v>
      </c>
      <c r="D266" s="1" t="s">
        <v>116</v>
      </c>
      <c r="E266" s="1" t="s">
        <v>3962</v>
      </c>
      <c r="F266" s="1" t="s">
        <v>17</v>
      </c>
      <c r="G266" s="6" t="s">
        <v>6191</v>
      </c>
      <c r="H266" s="5">
        <f t="shared" si="2"/>
        <v>10.0082</v>
      </c>
      <c r="I266" s="1" t="s">
        <v>4414</v>
      </c>
      <c r="J266" s="1">
        <f t="shared" si="3"/>
        <v>934.2562</v>
      </c>
      <c r="K266" s="6" t="s">
        <v>6192</v>
      </c>
      <c r="L266" s="5">
        <f t="shared" si="4"/>
        <v>3.5029</v>
      </c>
      <c r="M266" s="6" t="s">
        <v>6193</v>
      </c>
      <c r="N266" s="5">
        <f t="shared" si="5"/>
        <v>3211</v>
      </c>
    </row>
    <row r="267">
      <c r="A267" s="6" t="s">
        <v>5010</v>
      </c>
      <c r="B267" s="6" t="s">
        <v>3552</v>
      </c>
      <c r="C267" s="5">
        <f t="shared" si="1"/>
        <v>5</v>
      </c>
      <c r="D267" s="1" t="s">
        <v>116</v>
      </c>
      <c r="E267" s="1" t="s">
        <v>38</v>
      </c>
      <c r="F267" s="1" t="s">
        <v>39</v>
      </c>
      <c r="G267" s="6" t="s">
        <v>6194</v>
      </c>
      <c r="H267" s="5">
        <f t="shared" si="2"/>
        <v>6.4933</v>
      </c>
      <c r="I267" s="1" t="s">
        <v>4415</v>
      </c>
      <c r="J267" s="1">
        <f t="shared" si="3"/>
        <v>637.886115</v>
      </c>
      <c r="K267" s="6" t="s">
        <v>4416</v>
      </c>
      <c r="L267" s="5">
        <f t="shared" si="4"/>
        <v>1.1688</v>
      </c>
      <c r="M267" s="6" t="s">
        <v>6195</v>
      </c>
      <c r="N267" s="5">
        <f t="shared" si="5"/>
        <v>2563</v>
      </c>
    </row>
    <row r="268">
      <c r="A268" s="6" t="s">
        <v>5010</v>
      </c>
      <c r="B268" s="6" t="s">
        <v>3552</v>
      </c>
      <c r="C268" s="5">
        <f t="shared" si="1"/>
        <v>5</v>
      </c>
      <c r="D268" s="1" t="s">
        <v>116</v>
      </c>
      <c r="E268" s="1" t="s">
        <v>147</v>
      </c>
      <c r="F268" s="1" t="s">
        <v>39</v>
      </c>
      <c r="G268" s="6" t="s">
        <v>6196</v>
      </c>
      <c r="H268" s="5">
        <f t="shared" si="2"/>
        <v>1.5366</v>
      </c>
      <c r="I268" s="1" t="s">
        <v>4418</v>
      </c>
      <c r="J268" s="1">
        <f t="shared" si="3"/>
        <v>489.37299</v>
      </c>
      <c r="K268" s="1" t="s">
        <v>4420</v>
      </c>
      <c r="L268" s="5">
        <f t="shared" si="4"/>
        <v>0.2919</v>
      </c>
      <c r="M268" s="6" t="s">
        <v>2664</v>
      </c>
      <c r="N268" s="5">
        <f t="shared" si="5"/>
        <v>121</v>
      </c>
    </row>
    <row r="269">
      <c r="A269" s="6" t="s">
        <v>5010</v>
      </c>
      <c r="B269" s="6" t="s">
        <v>3552</v>
      </c>
      <c r="C269" s="5">
        <f t="shared" si="1"/>
        <v>5</v>
      </c>
      <c r="D269" s="1" t="s">
        <v>116</v>
      </c>
      <c r="E269" s="1" t="s">
        <v>147</v>
      </c>
      <c r="F269" s="1" t="s">
        <v>17</v>
      </c>
      <c r="G269" s="1" t="s">
        <v>4421</v>
      </c>
      <c r="H269" s="5">
        <f t="shared" si="2"/>
        <v>0.0253</v>
      </c>
      <c r="I269" s="1" t="s">
        <v>4422</v>
      </c>
      <c r="J269" s="1">
        <f t="shared" si="3"/>
        <v>11.949414</v>
      </c>
      <c r="K269" s="1" t="s">
        <v>4423</v>
      </c>
      <c r="L269" s="5">
        <f t="shared" si="4"/>
        <v>0.009</v>
      </c>
      <c r="M269" s="6" t="s">
        <v>2521</v>
      </c>
      <c r="N269" s="5">
        <f t="shared" si="5"/>
        <v>6</v>
      </c>
    </row>
    <row r="270">
      <c r="A270" s="6" t="s">
        <v>5010</v>
      </c>
      <c r="B270" s="6" t="s">
        <v>3552</v>
      </c>
      <c r="C270" s="5">
        <f t="shared" si="1"/>
        <v>5</v>
      </c>
      <c r="D270" s="1" t="s">
        <v>116</v>
      </c>
      <c r="E270" s="1" t="s">
        <v>147</v>
      </c>
      <c r="F270" s="1" t="s">
        <v>21</v>
      </c>
      <c r="G270" s="1" t="s">
        <v>4424</v>
      </c>
      <c r="H270" s="5">
        <f t="shared" si="2"/>
        <v>0.0909</v>
      </c>
      <c r="I270" s="1" t="s">
        <v>4425</v>
      </c>
      <c r="J270" s="1">
        <f t="shared" si="3"/>
        <v>47.841618</v>
      </c>
      <c r="K270" s="1" t="s">
        <v>889</v>
      </c>
      <c r="L270" s="5">
        <f t="shared" si="4"/>
        <v>0.0455</v>
      </c>
      <c r="M270" s="6" t="s">
        <v>4786</v>
      </c>
      <c r="N270" s="5">
        <f t="shared" si="5"/>
        <v>52</v>
      </c>
    </row>
    <row r="271">
      <c r="A271" s="6" t="s">
        <v>5010</v>
      </c>
      <c r="B271" s="6" t="s">
        <v>3552</v>
      </c>
      <c r="C271" s="5">
        <f t="shared" si="1"/>
        <v>5</v>
      </c>
      <c r="D271" s="1" t="s">
        <v>116</v>
      </c>
      <c r="E271" s="1" t="s">
        <v>4127</v>
      </c>
      <c r="F271" s="1" t="s">
        <v>17</v>
      </c>
      <c r="G271" s="6" t="s">
        <v>4426</v>
      </c>
      <c r="H271" s="5">
        <f t="shared" si="2"/>
        <v>4.1804</v>
      </c>
      <c r="I271" s="1" t="s">
        <v>4427</v>
      </c>
      <c r="J271" s="1">
        <f t="shared" si="3"/>
        <v>344.140954</v>
      </c>
      <c r="K271" s="6" t="s">
        <v>6197</v>
      </c>
      <c r="L271" s="5">
        <f t="shared" si="4"/>
        <v>1.4631</v>
      </c>
      <c r="M271" s="6" t="s">
        <v>4615</v>
      </c>
      <c r="N271" s="5">
        <f t="shared" si="5"/>
        <v>641</v>
      </c>
    </row>
    <row r="272">
      <c r="A272" s="6" t="s">
        <v>5010</v>
      </c>
      <c r="B272" s="6" t="s">
        <v>3552</v>
      </c>
      <c r="C272" s="5">
        <f t="shared" si="1"/>
        <v>5</v>
      </c>
      <c r="D272" s="1" t="s">
        <v>116</v>
      </c>
      <c r="E272" s="1" t="s">
        <v>1851</v>
      </c>
      <c r="F272" s="1" t="s">
        <v>17</v>
      </c>
      <c r="G272" s="6" t="s">
        <v>6198</v>
      </c>
      <c r="H272" s="5">
        <f t="shared" si="2"/>
        <v>4.5991</v>
      </c>
      <c r="I272" s="1" t="s">
        <v>4429</v>
      </c>
      <c r="J272" s="1">
        <f t="shared" si="3"/>
        <v>302.883131</v>
      </c>
      <c r="K272" s="6" t="s">
        <v>6199</v>
      </c>
      <c r="L272" s="5">
        <f t="shared" si="4"/>
        <v>1.7706</v>
      </c>
      <c r="M272" s="6" t="s">
        <v>6200</v>
      </c>
      <c r="N272" s="5">
        <f t="shared" si="5"/>
        <v>1506</v>
      </c>
    </row>
    <row r="273">
      <c r="A273" s="6" t="s">
        <v>5010</v>
      </c>
      <c r="B273" s="6" t="s">
        <v>3552</v>
      </c>
      <c r="C273" s="5">
        <f t="shared" si="1"/>
        <v>5</v>
      </c>
      <c r="D273" s="1" t="s">
        <v>116</v>
      </c>
      <c r="E273" s="1" t="s">
        <v>1851</v>
      </c>
      <c r="F273" s="1" t="s">
        <v>21</v>
      </c>
      <c r="G273" s="1" t="s">
        <v>4436</v>
      </c>
      <c r="H273" s="5">
        <f t="shared" si="2"/>
        <v>0.3958</v>
      </c>
      <c r="I273" s="1" t="s">
        <v>4437</v>
      </c>
      <c r="J273" s="1">
        <f t="shared" si="3"/>
        <v>36.618056</v>
      </c>
      <c r="K273" s="1" t="s">
        <v>4438</v>
      </c>
      <c r="L273" s="5">
        <f t="shared" si="4"/>
        <v>0.1939</v>
      </c>
      <c r="M273" s="6" t="s">
        <v>6053</v>
      </c>
      <c r="N273" s="5">
        <f t="shared" si="5"/>
        <v>125</v>
      </c>
    </row>
    <row r="274">
      <c r="A274" s="6" t="s">
        <v>5010</v>
      </c>
      <c r="B274" s="6" t="s">
        <v>3552</v>
      </c>
      <c r="C274" s="5">
        <f t="shared" si="1"/>
        <v>5</v>
      </c>
      <c r="D274" s="1" t="s">
        <v>116</v>
      </c>
      <c r="E274" s="1" t="s">
        <v>158</v>
      </c>
      <c r="F274" s="1" t="s">
        <v>17</v>
      </c>
      <c r="G274" s="1" t="s">
        <v>4440</v>
      </c>
      <c r="H274" s="5">
        <f t="shared" si="2"/>
        <v>0.4543</v>
      </c>
      <c r="I274" s="1" t="s">
        <v>4441</v>
      </c>
      <c r="J274" s="1">
        <f t="shared" si="3"/>
        <v>194.672956</v>
      </c>
      <c r="K274" s="1" t="s">
        <v>4442</v>
      </c>
      <c r="L274" s="5">
        <f t="shared" si="4"/>
        <v>0.159</v>
      </c>
      <c r="M274" s="6" t="s">
        <v>291</v>
      </c>
      <c r="N274" s="5">
        <f t="shared" si="5"/>
        <v>0</v>
      </c>
    </row>
    <row r="275">
      <c r="A275" s="6" t="s">
        <v>5010</v>
      </c>
      <c r="B275" s="6" t="s">
        <v>3552</v>
      </c>
      <c r="C275" s="5">
        <f t="shared" si="1"/>
        <v>5</v>
      </c>
      <c r="D275" s="1" t="s">
        <v>116</v>
      </c>
      <c r="E275" s="1" t="s">
        <v>158</v>
      </c>
      <c r="F275" s="1" t="s">
        <v>21</v>
      </c>
      <c r="G275" s="1" t="s">
        <v>4443</v>
      </c>
      <c r="H275" s="5">
        <f t="shared" si="2"/>
        <v>0.1734</v>
      </c>
      <c r="I275" s="1" t="s">
        <v>4444</v>
      </c>
      <c r="J275" s="1">
        <f t="shared" si="3"/>
        <v>100.229246</v>
      </c>
      <c r="K275" s="1" t="s">
        <v>1244</v>
      </c>
      <c r="L275" s="5">
        <f t="shared" si="4"/>
        <v>0.0728</v>
      </c>
      <c r="M275" s="6" t="s">
        <v>291</v>
      </c>
      <c r="N275" s="5">
        <f t="shared" si="5"/>
        <v>0</v>
      </c>
    </row>
    <row r="276">
      <c r="A276" s="6" t="s">
        <v>5010</v>
      </c>
      <c r="B276" s="6" t="s">
        <v>2521</v>
      </c>
      <c r="C276" s="5">
        <f t="shared" si="1"/>
        <v>6</v>
      </c>
      <c r="D276" s="1" t="s">
        <v>12</v>
      </c>
      <c r="E276" s="1" t="s">
        <v>13</v>
      </c>
      <c r="F276" s="1" t="s">
        <v>14</v>
      </c>
      <c r="G276" s="6" t="s">
        <v>6201</v>
      </c>
      <c r="H276" s="5">
        <f t="shared" si="2"/>
        <v>7.5261</v>
      </c>
      <c r="I276" s="1" t="s">
        <v>4445</v>
      </c>
      <c r="J276" s="1">
        <f t="shared" si="3"/>
        <v>562.876647</v>
      </c>
      <c r="K276" s="6" t="s">
        <v>6202</v>
      </c>
      <c r="L276" s="5">
        <f t="shared" si="4"/>
        <v>1.5805</v>
      </c>
      <c r="M276" s="6" t="s">
        <v>6203</v>
      </c>
      <c r="N276" s="5">
        <f t="shared" si="5"/>
        <v>403</v>
      </c>
    </row>
    <row r="277">
      <c r="A277" s="6" t="s">
        <v>5010</v>
      </c>
      <c r="B277" s="6" t="s">
        <v>2521</v>
      </c>
      <c r="C277" s="5">
        <f t="shared" si="1"/>
        <v>6</v>
      </c>
      <c r="D277" s="1" t="s">
        <v>12</v>
      </c>
      <c r="E277" s="1" t="s">
        <v>13</v>
      </c>
      <c r="F277" s="1" t="s">
        <v>17</v>
      </c>
      <c r="G277" s="1" t="s">
        <v>4446</v>
      </c>
      <c r="H277" s="5">
        <f t="shared" si="2"/>
        <v>56.8652</v>
      </c>
      <c r="I277" s="1" t="s">
        <v>4447</v>
      </c>
      <c r="J277" s="1">
        <f t="shared" si="3"/>
        <v>5681.495903</v>
      </c>
      <c r="K277" s="1" t="s">
        <v>4448</v>
      </c>
      <c r="L277" s="5">
        <f t="shared" si="4"/>
        <v>19.9028</v>
      </c>
      <c r="M277" s="6" t="s">
        <v>6204</v>
      </c>
      <c r="N277" s="5">
        <f t="shared" si="5"/>
        <v>681</v>
      </c>
    </row>
    <row r="278">
      <c r="A278" s="6" t="s">
        <v>5010</v>
      </c>
      <c r="B278" s="6" t="s">
        <v>2521</v>
      </c>
      <c r="C278" s="5">
        <f t="shared" si="1"/>
        <v>6</v>
      </c>
      <c r="D278" s="1" t="s">
        <v>12</v>
      </c>
      <c r="E278" s="1" t="s">
        <v>13</v>
      </c>
      <c r="F278" s="1" t="s">
        <v>21</v>
      </c>
      <c r="G278" s="1" t="s">
        <v>4449</v>
      </c>
      <c r="H278" s="5">
        <f t="shared" si="2"/>
        <v>22.7316</v>
      </c>
      <c r="I278" s="1" t="s">
        <v>4451</v>
      </c>
      <c r="J278" s="1">
        <f t="shared" si="3"/>
        <v>2922.396679</v>
      </c>
      <c r="K278" s="6" t="s">
        <v>6205</v>
      </c>
      <c r="L278" s="5">
        <f t="shared" si="4"/>
        <v>11.3659</v>
      </c>
      <c r="M278" s="6" t="s">
        <v>2720</v>
      </c>
      <c r="N278" s="5">
        <f t="shared" si="5"/>
        <v>558</v>
      </c>
    </row>
    <row r="279">
      <c r="A279" s="6" t="s">
        <v>5010</v>
      </c>
      <c r="B279" s="6" t="s">
        <v>2521</v>
      </c>
      <c r="C279" s="5">
        <f t="shared" si="1"/>
        <v>6</v>
      </c>
      <c r="D279" s="1" t="s">
        <v>12</v>
      </c>
      <c r="E279" s="1" t="s">
        <v>29</v>
      </c>
      <c r="F279" s="1" t="s">
        <v>14</v>
      </c>
      <c r="G279" s="6" t="s">
        <v>4452</v>
      </c>
      <c r="H279" s="5">
        <f t="shared" si="2"/>
        <v>1.1255</v>
      </c>
      <c r="I279" s="1" t="s">
        <v>4453</v>
      </c>
      <c r="J279" s="1">
        <f t="shared" si="3"/>
        <v>121.087477</v>
      </c>
      <c r="K279" s="1" t="s">
        <v>4454</v>
      </c>
      <c r="L279" s="5">
        <f t="shared" si="4"/>
        <v>0.2251</v>
      </c>
      <c r="M279" s="6" t="s">
        <v>4218</v>
      </c>
      <c r="N279" s="5">
        <f t="shared" si="5"/>
        <v>85</v>
      </c>
    </row>
    <row r="280">
      <c r="A280" s="6" t="s">
        <v>5010</v>
      </c>
      <c r="B280" s="6" t="s">
        <v>2521</v>
      </c>
      <c r="C280" s="5">
        <f t="shared" si="1"/>
        <v>6</v>
      </c>
      <c r="D280" s="1" t="s">
        <v>12</v>
      </c>
      <c r="E280" s="1" t="s">
        <v>29</v>
      </c>
      <c r="F280" s="1" t="s">
        <v>21</v>
      </c>
      <c r="G280" s="1" t="s">
        <v>4455</v>
      </c>
      <c r="H280" s="5">
        <f t="shared" si="2"/>
        <v>27.2284</v>
      </c>
      <c r="I280" s="1" t="s">
        <v>4456</v>
      </c>
      <c r="J280" s="1">
        <f t="shared" si="3"/>
        <v>5610.048795</v>
      </c>
      <c r="K280" s="6" t="s">
        <v>6206</v>
      </c>
      <c r="L280" s="5">
        <f t="shared" si="4"/>
        <v>10.8914</v>
      </c>
      <c r="M280" s="6" t="s">
        <v>6207</v>
      </c>
      <c r="N280" s="5">
        <f t="shared" si="5"/>
        <v>636</v>
      </c>
    </row>
    <row r="281">
      <c r="A281" s="6" t="s">
        <v>5010</v>
      </c>
      <c r="B281" s="6" t="s">
        <v>2521</v>
      </c>
      <c r="C281" s="5">
        <f t="shared" si="1"/>
        <v>6</v>
      </c>
      <c r="D281" s="1" t="s">
        <v>12</v>
      </c>
      <c r="E281" s="1" t="s">
        <v>48</v>
      </c>
      <c r="F281" s="1" t="s">
        <v>49</v>
      </c>
      <c r="G281" s="1" t="s">
        <v>4459</v>
      </c>
      <c r="H281" s="5">
        <f t="shared" si="2"/>
        <v>0.0095</v>
      </c>
      <c r="I281" s="1" t="s">
        <v>4460</v>
      </c>
      <c r="J281" s="1">
        <f t="shared" si="3"/>
        <v>2.881198</v>
      </c>
      <c r="K281" s="1" t="s">
        <v>396</v>
      </c>
      <c r="L281" s="5">
        <f t="shared" si="4"/>
        <v>0.0027</v>
      </c>
      <c r="M281" s="6" t="s">
        <v>2672</v>
      </c>
      <c r="N281" s="5">
        <f t="shared" si="5"/>
        <v>8</v>
      </c>
    </row>
    <row r="282">
      <c r="A282" s="6" t="s">
        <v>5010</v>
      </c>
      <c r="B282" s="6" t="s">
        <v>2521</v>
      </c>
      <c r="C282" s="5">
        <f t="shared" si="1"/>
        <v>6</v>
      </c>
      <c r="D282" s="1" t="s">
        <v>12</v>
      </c>
      <c r="E282" s="1" t="s">
        <v>48</v>
      </c>
      <c r="F282" s="1" t="s">
        <v>21</v>
      </c>
      <c r="G282" s="6" t="s">
        <v>4461</v>
      </c>
      <c r="H282" s="5">
        <f t="shared" si="2"/>
        <v>3.1193</v>
      </c>
      <c r="I282" s="1" t="s">
        <v>4463</v>
      </c>
      <c r="J282" s="1">
        <f t="shared" si="3"/>
        <v>536.896802</v>
      </c>
      <c r="K282" s="6" t="s">
        <v>6208</v>
      </c>
      <c r="L282" s="5">
        <f t="shared" si="4"/>
        <v>1.2478</v>
      </c>
      <c r="M282" s="6" t="s">
        <v>3681</v>
      </c>
      <c r="N282" s="5">
        <f t="shared" si="5"/>
        <v>166</v>
      </c>
    </row>
    <row r="283">
      <c r="A283" s="6" t="s">
        <v>5010</v>
      </c>
      <c r="B283" s="6" t="s">
        <v>2521</v>
      </c>
      <c r="C283" s="5">
        <f t="shared" si="1"/>
        <v>6</v>
      </c>
      <c r="D283" s="1" t="s">
        <v>12</v>
      </c>
      <c r="E283" s="1" t="s">
        <v>38</v>
      </c>
      <c r="F283" s="1" t="s">
        <v>39</v>
      </c>
      <c r="G283" s="6" t="s">
        <v>5870</v>
      </c>
      <c r="H283" s="5">
        <f t="shared" si="2"/>
        <v>1.9763</v>
      </c>
      <c r="I283" s="1" t="s">
        <v>4465</v>
      </c>
      <c r="J283" s="1">
        <f t="shared" si="3"/>
        <v>231.508429</v>
      </c>
      <c r="K283" s="1" t="s">
        <v>4466</v>
      </c>
      <c r="L283" s="5">
        <f t="shared" si="4"/>
        <v>0.3557</v>
      </c>
      <c r="M283" s="6" t="s">
        <v>6209</v>
      </c>
      <c r="N283" s="5">
        <f t="shared" si="5"/>
        <v>189</v>
      </c>
    </row>
    <row r="284">
      <c r="A284" s="6" t="s">
        <v>5010</v>
      </c>
      <c r="B284" s="6" t="s">
        <v>2521</v>
      </c>
      <c r="C284" s="5">
        <f t="shared" si="1"/>
        <v>6</v>
      </c>
      <c r="D284" s="1" t="s">
        <v>12</v>
      </c>
      <c r="E284" s="1" t="s">
        <v>45</v>
      </c>
      <c r="F284" s="1" t="s">
        <v>49</v>
      </c>
      <c r="G284" s="1" t="s">
        <v>4467</v>
      </c>
      <c r="H284" s="5">
        <f t="shared" si="2"/>
        <v>0.0432</v>
      </c>
      <c r="I284" s="1" t="s">
        <v>4468</v>
      </c>
      <c r="J284" s="1">
        <f t="shared" si="3"/>
        <v>2.459027</v>
      </c>
      <c r="K284" s="1" t="s">
        <v>4469</v>
      </c>
      <c r="L284" s="5">
        <f t="shared" si="4"/>
        <v>0.0112</v>
      </c>
      <c r="M284" s="6" t="s">
        <v>3552</v>
      </c>
      <c r="N284" s="5">
        <f t="shared" si="5"/>
        <v>5</v>
      </c>
    </row>
    <row r="285">
      <c r="A285" s="6" t="s">
        <v>5010</v>
      </c>
      <c r="B285" s="6" t="s">
        <v>2521</v>
      </c>
      <c r="C285" s="5">
        <f t="shared" si="1"/>
        <v>6</v>
      </c>
      <c r="D285" s="1" t="s">
        <v>12</v>
      </c>
      <c r="E285" s="1" t="s">
        <v>45</v>
      </c>
      <c r="F285" s="1" t="s">
        <v>17</v>
      </c>
      <c r="G285" s="6" t="s">
        <v>6210</v>
      </c>
      <c r="H285" s="5">
        <f t="shared" si="2"/>
        <v>1.9364</v>
      </c>
      <c r="I285" s="1" t="s">
        <v>4470</v>
      </c>
      <c r="J285" s="1">
        <f t="shared" si="3"/>
        <v>166.33235</v>
      </c>
      <c r="K285" s="1" t="s">
        <v>4471</v>
      </c>
      <c r="L285" s="5">
        <f t="shared" si="4"/>
        <v>0.6971</v>
      </c>
      <c r="M285" s="6" t="s">
        <v>6211</v>
      </c>
      <c r="N285" s="5">
        <f t="shared" si="5"/>
        <v>156</v>
      </c>
    </row>
    <row r="286">
      <c r="A286" s="6" t="s">
        <v>5010</v>
      </c>
      <c r="B286" s="6" t="s">
        <v>2521</v>
      </c>
      <c r="C286" s="5">
        <f t="shared" si="1"/>
        <v>6</v>
      </c>
      <c r="D286" s="1" t="s">
        <v>12</v>
      </c>
      <c r="E286" s="1" t="s">
        <v>42</v>
      </c>
      <c r="F286" s="1" t="s">
        <v>17</v>
      </c>
      <c r="G286" s="1" t="s">
        <v>4472</v>
      </c>
      <c r="H286" s="5">
        <f t="shared" si="2"/>
        <v>0.756</v>
      </c>
      <c r="I286" s="1" t="s">
        <v>4473</v>
      </c>
      <c r="J286" s="1">
        <f t="shared" si="3"/>
        <v>130.466006</v>
      </c>
      <c r="K286" s="1" t="s">
        <v>4474</v>
      </c>
      <c r="L286" s="5">
        <f t="shared" si="4"/>
        <v>0.2797</v>
      </c>
      <c r="M286" s="6" t="s">
        <v>291</v>
      </c>
      <c r="N286" s="5">
        <f t="shared" si="5"/>
        <v>0</v>
      </c>
    </row>
    <row r="287">
      <c r="A287" s="6" t="s">
        <v>5010</v>
      </c>
      <c r="B287" s="6" t="s">
        <v>2521</v>
      </c>
      <c r="C287" s="5">
        <f t="shared" si="1"/>
        <v>6</v>
      </c>
      <c r="D287" s="1" t="s">
        <v>12</v>
      </c>
      <c r="E287" s="1" t="s">
        <v>4127</v>
      </c>
      <c r="F287" s="1" t="s">
        <v>17</v>
      </c>
      <c r="G287" s="6" t="s">
        <v>6212</v>
      </c>
      <c r="H287" s="5">
        <f t="shared" si="2"/>
        <v>1.3609</v>
      </c>
      <c r="I287" s="1" t="s">
        <v>4476</v>
      </c>
      <c r="J287" s="1">
        <f t="shared" si="3"/>
        <v>99.192219</v>
      </c>
      <c r="K287" s="1" t="s">
        <v>4478</v>
      </c>
      <c r="L287" s="5">
        <f t="shared" si="4"/>
        <v>0.4763</v>
      </c>
      <c r="M287" s="6" t="s">
        <v>3179</v>
      </c>
      <c r="N287" s="5">
        <f t="shared" si="5"/>
        <v>123</v>
      </c>
    </row>
    <row r="288">
      <c r="A288" s="6" t="s">
        <v>5010</v>
      </c>
      <c r="B288" s="6" t="s">
        <v>2521</v>
      </c>
      <c r="C288" s="5">
        <f t="shared" si="1"/>
        <v>6</v>
      </c>
      <c r="D288" s="1" t="s">
        <v>12</v>
      </c>
      <c r="E288" s="1" t="s">
        <v>848</v>
      </c>
      <c r="F288" s="1" t="s">
        <v>21</v>
      </c>
      <c r="G288" s="1" t="s">
        <v>4479</v>
      </c>
      <c r="H288" s="5">
        <f t="shared" si="2"/>
        <v>0.5159</v>
      </c>
      <c r="I288" s="1" t="s">
        <v>4480</v>
      </c>
      <c r="J288" s="1">
        <f t="shared" si="3"/>
        <v>65.759904</v>
      </c>
      <c r="K288" s="1" t="s">
        <v>4482</v>
      </c>
      <c r="L288" s="5">
        <f t="shared" si="4"/>
        <v>0.2064</v>
      </c>
      <c r="M288" s="6" t="s">
        <v>291</v>
      </c>
      <c r="N288" s="5">
        <f t="shared" si="5"/>
        <v>0</v>
      </c>
    </row>
    <row r="289">
      <c r="A289" s="6" t="s">
        <v>5010</v>
      </c>
      <c r="B289" s="6" t="s">
        <v>2521</v>
      </c>
      <c r="C289" s="5">
        <f t="shared" si="1"/>
        <v>6</v>
      </c>
      <c r="D289" s="1" t="s">
        <v>12</v>
      </c>
      <c r="E289" s="1" t="s">
        <v>3962</v>
      </c>
      <c r="F289" s="1" t="s">
        <v>17</v>
      </c>
      <c r="G289" s="1" t="s">
        <v>4483</v>
      </c>
      <c r="H289" s="5">
        <f t="shared" si="2"/>
        <v>0.6942</v>
      </c>
      <c r="I289" s="1" t="s">
        <v>4484</v>
      </c>
      <c r="J289" s="1">
        <f t="shared" si="3"/>
        <v>64.158082</v>
      </c>
      <c r="K289" s="1" t="s">
        <v>1291</v>
      </c>
      <c r="L289" s="5">
        <f t="shared" si="4"/>
        <v>0.2429</v>
      </c>
      <c r="M289" s="6" t="s">
        <v>3004</v>
      </c>
      <c r="N289" s="5">
        <f t="shared" si="5"/>
        <v>111</v>
      </c>
    </row>
    <row r="290">
      <c r="A290" s="6" t="s">
        <v>5010</v>
      </c>
      <c r="B290" s="6" t="s">
        <v>2521</v>
      </c>
      <c r="C290" s="5">
        <f t="shared" si="1"/>
        <v>6</v>
      </c>
      <c r="D290" s="1" t="s">
        <v>12</v>
      </c>
      <c r="E290" s="1" t="s">
        <v>56</v>
      </c>
      <c r="F290" s="1" t="s">
        <v>21</v>
      </c>
      <c r="G290" s="1" t="s">
        <v>4486</v>
      </c>
      <c r="H290" s="5">
        <f t="shared" si="2"/>
        <v>0.205</v>
      </c>
      <c r="I290" s="1" t="s">
        <v>4487</v>
      </c>
      <c r="J290" s="1">
        <f t="shared" si="3"/>
        <v>47.942005</v>
      </c>
      <c r="K290" s="1" t="s">
        <v>568</v>
      </c>
      <c r="L290" s="5">
        <f t="shared" si="4"/>
        <v>0.082</v>
      </c>
      <c r="M290" s="6" t="s">
        <v>6213</v>
      </c>
      <c r="N290" s="5">
        <f t="shared" si="5"/>
        <v>129</v>
      </c>
    </row>
    <row r="291">
      <c r="A291" s="6" t="s">
        <v>5010</v>
      </c>
      <c r="B291" s="6" t="s">
        <v>2521</v>
      </c>
      <c r="C291" s="5">
        <f t="shared" si="1"/>
        <v>6</v>
      </c>
      <c r="D291" s="1" t="s">
        <v>68</v>
      </c>
      <c r="E291" s="1" t="s">
        <v>13</v>
      </c>
      <c r="F291" s="1" t="s">
        <v>14</v>
      </c>
      <c r="G291" s="1" t="s">
        <v>4489</v>
      </c>
      <c r="H291" s="5">
        <f t="shared" si="2"/>
        <v>23.0084</v>
      </c>
      <c r="I291" s="1" t="s">
        <v>4490</v>
      </c>
      <c r="J291" s="1">
        <f t="shared" si="3"/>
        <v>1685.635691</v>
      </c>
      <c r="K291" s="6" t="s">
        <v>6214</v>
      </c>
      <c r="L291" s="5">
        <f t="shared" si="4"/>
        <v>4.8318</v>
      </c>
      <c r="M291" s="6" t="s">
        <v>6215</v>
      </c>
      <c r="N291" s="5">
        <f t="shared" si="5"/>
        <v>5156</v>
      </c>
    </row>
    <row r="292">
      <c r="A292" s="6" t="s">
        <v>5010</v>
      </c>
      <c r="B292" s="6" t="s">
        <v>2521</v>
      </c>
      <c r="C292" s="5">
        <f t="shared" si="1"/>
        <v>6</v>
      </c>
      <c r="D292" s="1" t="s">
        <v>68</v>
      </c>
      <c r="E292" s="1" t="s">
        <v>13</v>
      </c>
      <c r="F292" s="1" t="s">
        <v>17</v>
      </c>
      <c r="G292" s="1" t="s">
        <v>4492</v>
      </c>
      <c r="H292" s="5">
        <f t="shared" si="2"/>
        <v>49.5326</v>
      </c>
      <c r="I292" s="1" t="s">
        <v>4493</v>
      </c>
      <c r="J292" s="1">
        <f t="shared" si="3"/>
        <v>5592.503082</v>
      </c>
      <c r="K292" s="1" t="s">
        <v>4494</v>
      </c>
      <c r="L292" s="5">
        <f t="shared" si="4"/>
        <v>17.3364</v>
      </c>
      <c r="M292" s="6" t="s">
        <v>6216</v>
      </c>
      <c r="N292" s="5">
        <f t="shared" si="5"/>
        <v>9047</v>
      </c>
    </row>
    <row r="293">
      <c r="A293" s="6" t="s">
        <v>5010</v>
      </c>
      <c r="B293" s="6" t="s">
        <v>2521</v>
      </c>
      <c r="C293" s="5">
        <f t="shared" si="1"/>
        <v>6</v>
      </c>
      <c r="D293" s="1" t="s">
        <v>68</v>
      </c>
      <c r="E293" s="1" t="s">
        <v>13</v>
      </c>
      <c r="F293" s="1" t="s">
        <v>21</v>
      </c>
      <c r="G293" s="6" t="s">
        <v>6217</v>
      </c>
      <c r="H293" s="5">
        <f t="shared" si="2"/>
        <v>1.6843</v>
      </c>
      <c r="I293" s="1" t="s">
        <v>4495</v>
      </c>
      <c r="J293" s="1">
        <f t="shared" si="3"/>
        <v>272.150799</v>
      </c>
      <c r="K293" s="1" t="s">
        <v>4496</v>
      </c>
      <c r="L293" s="5">
        <f t="shared" si="4"/>
        <v>0.8422</v>
      </c>
      <c r="M293" s="6" t="s">
        <v>6218</v>
      </c>
      <c r="N293" s="5">
        <f t="shared" si="5"/>
        <v>405</v>
      </c>
    </row>
    <row r="294">
      <c r="A294" s="6" t="s">
        <v>5010</v>
      </c>
      <c r="B294" s="6" t="s">
        <v>2521</v>
      </c>
      <c r="C294" s="5">
        <f t="shared" si="1"/>
        <v>6</v>
      </c>
      <c r="D294" s="1" t="s">
        <v>68</v>
      </c>
      <c r="E294" s="1" t="s">
        <v>13</v>
      </c>
      <c r="F294" s="1" t="s">
        <v>25</v>
      </c>
      <c r="G294" s="1" t="s">
        <v>4497</v>
      </c>
      <c r="H294" s="5">
        <f t="shared" si="2"/>
        <v>0.2838</v>
      </c>
      <c r="I294" s="1" t="s">
        <v>4498</v>
      </c>
      <c r="J294" s="1">
        <f t="shared" si="3"/>
        <v>45.835925</v>
      </c>
      <c r="K294" s="1" t="s">
        <v>4499</v>
      </c>
      <c r="L294" s="5">
        <f t="shared" si="4"/>
        <v>0.2128</v>
      </c>
      <c r="M294" s="6" t="s">
        <v>765</v>
      </c>
      <c r="N294" s="5">
        <f t="shared" si="5"/>
        <v>168</v>
      </c>
    </row>
    <row r="295">
      <c r="A295" s="6" t="s">
        <v>5010</v>
      </c>
      <c r="B295" s="6" t="s">
        <v>2521</v>
      </c>
      <c r="C295" s="5">
        <f t="shared" si="1"/>
        <v>6</v>
      </c>
      <c r="D295" s="1" t="s">
        <v>68</v>
      </c>
      <c r="E295" s="1" t="s">
        <v>29</v>
      </c>
      <c r="F295" s="1" t="s">
        <v>14</v>
      </c>
      <c r="G295" s="1" t="s">
        <v>4501</v>
      </c>
      <c r="H295" s="5">
        <f t="shared" si="2"/>
        <v>0.4136</v>
      </c>
      <c r="I295" s="1" t="s">
        <v>4502</v>
      </c>
      <c r="J295" s="1">
        <f t="shared" si="3"/>
        <v>55.049286</v>
      </c>
      <c r="K295" s="1" t="s">
        <v>3058</v>
      </c>
      <c r="L295" s="5">
        <f t="shared" si="4"/>
        <v>0.0827</v>
      </c>
      <c r="M295" s="6" t="s">
        <v>4348</v>
      </c>
      <c r="N295" s="5">
        <f t="shared" si="5"/>
        <v>79</v>
      </c>
    </row>
    <row r="296">
      <c r="A296" s="6" t="s">
        <v>5010</v>
      </c>
      <c r="B296" s="6" t="s">
        <v>2521</v>
      </c>
      <c r="C296" s="5">
        <f t="shared" si="1"/>
        <v>6</v>
      </c>
      <c r="D296" s="1" t="s">
        <v>68</v>
      </c>
      <c r="E296" s="1" t="s">
        <v>29</v>
      </c>
      <c r="F296" s="1" t="s">
        <v>21</v>
      </c>
      <c r="G296" s="6" t="s">
        <v>4503</v>
      </c>
      <c r="H296" s="5">
        <f t="shared" si="2"/>
        <v>10.0684</v>
      </c>
      <c r="I296" s="1" t="s">
        <v>4504</v>
      </c>
      <c r="J296" s="1">
        <f t="shared" si="3"/>
        <v>1936.799692</v>
      </c>
      <c r="K296" s="6" t="s">
        <v>4505</v>
      </c>
      <c r="L296" s="5">
        <f t="shared" si="4"/>
        <v>4.0274</v>
      </c>
      <c r="M296" s="6" t="s">
        <v>6219</v>
      </c>
      <c r="N296" s="5">
        <f t="shared" si="5"/>
        <v>1724</v>
      </c>
    </row>
    <row r="297">
      <c r="A297" s="6" t="s">
        <v>5010</v>
      </c>
      <c r="B297" s="6" t="s">
        <v>2521</v>
      </c>
      <c r="C297" s="5">
        <f t="shared" si="1"/>
        <v>6</v>
      </c>
      <c r="D297" s="1" t="s">
        <v>68</v>
      </c>
      <c r="E297" s="1" t="s">
        <v>45</v>
      </c>
      <c r="F297" s="1" t="s">
        <v>49</v>
      </c>
      <c r="G297" s="1" t="s">
        <v>4506</v>
      </c>
      <c r="H297" s="5">
        <f t="shared" si="2"/>
        <v>0.7601</v>
      </c>
      <c r="I297" s="1" t="s">
        <v>4507</v>
      </c>
      <c r="J297" s="1">
        <f t="shared" si="3"/>
        <v>47.310042</v>
      </c>
      <c r="K297" s="1" t="s">
        <v>4509</v>
      </c>
      <c r="L297" s="5">
        <f t="shared" si="4"/>
        <v>0.1977</v>
      </c>
      <c r="M297" s="6" t="s">
        <v>6150</v>
      </c>
      <c r="N297" s="5">
        <f t="shared" si="5"/>
        <v>132</v>
      </c>
    </row>
    <row r="298">
      <c r="A298" s="6" t="s">
        <v>5010</v>
      </c>
      <c r="B298" s="6" t="s">
        <v>2521</v>
      </c>
      <c r="C298" s="5">
        <f t="shared" si="1"/>
        <v>6</v>
      </c>
      <c r="D298" s="1" t="s">
        <v>68</v>
      </c>
      <c r="E298" s="1" t="s">
        <v>45</v>
      </c>
      <c r="F298" s="1" t="s">
        <v>17</v>
      </c>
      <c r="G298" s="6" t="s">
        <v>6220</v>
      </c>
      <c r="H298" s="5">
        <f t="shared" si="2"/>
        <v>4.6069</v>
      </c>
      <c r="I298" s="1" t="s">
        <v>4510</v>
      </c>
      <c r="J298" s="1">
        <f t="shared" si="3"/>
        <v>358.479509</v>
      </c>
      <c r="K298" s="6" t="s">
        <v>6221</v>
      </c>
      <c r="L298" s="5">
        <f t="shared" si="4"/>
        <v>1.6584</v>
      </c>
      <c r="M298" s="6" t="s">
        <v>6222</v>
      </c>
      <c r="N298" s="5">
        <f t="shared" si="5"/>
        <v>1378</v>
      </c>
    </row>
    <row r="299">
      <c r="A299" s="6" t="s">
        <v>5010</v>
      </c>
      <c r="B299" s="6" t="s">
        <v>2521</v>
      </c>
      <c r="C299" s="5">
        <f t="shared" si="1"/>
        <v>6</v>
      </c>
      <c r="D299" s="1" t="s">
        <v>68</v>
      </c>
      <c r="E299" s="1" t="s">
        <v>38</v>
      </c>
      <c r="F299" s="1" t="s">
        <v>39</v>
      </c>
      <c r="G299" s="6" t="s">
        <v>6223</v>
      </c>
      <c r="H299" s="5">
        <f t="shared" si="2"/>
        <v>3.7427</v>
      </c>
      <c r="I299" s="1" t="s">
        <v>4511</v>
      </c>
      <c r="J299" s="1">
        <f t="shared" si="3"/>
        <v>338.563089</v>
      </c>
      <c r="K299" s="1" t="s">
        <v>4513</v>
      </c>
      <c r="L299" s="5">
        <f t="shared" si="4"/>
        <v>0.6737</v>
      </c>
      <c r="M299" s="6" t="s">
        <v>6224</v>
      </c>
      <c r="N299" s="5">
        <f t="shared" si="5"/>
        <v>1548</v>
      </c>
    </row>
    <row r="300">
      <c r="A300" s="6" t="s">
        <v>5010</v>
      </c>
      <c r="B300" s="6" t="s">
        <v>2521</v>
      </c>
      <c r="C300" s="5">
        <f t="shared" si="1"/>
        <v>6</v>
      </c>
      <c r="D300" s="1" t="s">
        <v>68</v>
      </c>
      <c r="E300" s="1" t="s">
        <v>4127</v>
      </c>
      <c r="F300" s="1" t="s">
        <v>17</v>
      </c>
      <c r="G300" s="6" t="s">
        <v>6225</v>
      </c>
      <c r="H300" s="5">
        <f t="shared" si="2"/>
        <v>2.3031</v>
      </c>
      <c r="I300" s="1" t="s">
        <v>4514</v>
      </c>
      <c r="J300" s="1">
        <f t="shared" si="3"/>
        <v>185.188337</v>
      </c>
      <c r="K300" s="1" t="s">
        <v>4515</v>
      </c>
      <c r="L300" s="5">
        <f t="shared" si="4"/>
        <v>0.8061</v>
      </c>
      <c r="M300" s="6" t="s">
        <v>2871</v>
      </c>
      <c r="N300" s="5">
        <f t="shared" si="5"/>
        <v>800</v>
      </c>
    </row>
    <row r="301">
      <c r="A301" s="6" t="s">
        <v>5010</v>
      </c>
      <c r="B301" s="6" t="s">
        <v>2521</v>
      </c>
      <c r="C301" s="5">
        <f t="shared" si="1"/>
        <v>6</v>
      </c>
      <c r="D301" s="1" t="s">
        <v>68</v>
      </c>
      <c r="E301" s="1" t="s">
        <v>1851</v>
      </c>
      <c r="F301" s="1" t="s">
        <v>17</v>
      </c>
      <c r="G301" s="6" t="s">
        <v>6226</v>
      </c>
      <c r="H301" s="5">
        <f t="shared" si="2"/>
        <v>2.3916</v>
      </c>
      <c r="I301" s="1" t="s">
        <v>4516</v>
      </c>
      <c r="J301" s="1">
        <f t="shared" si="3"/>
        <v>125.774255</v>
      </c>
      <c r="K301" s="1" t="s">
        <v>4517</v>
      </c>
      <c r="L301" s="5">
        <f t="shared" si="4"/>
        <v>0.9208</v>
      </c>
      <c r="M301" s="6" t="s">
        <v>6227</v>
      </c>
      <c r="N301" s="5">
        <f t="shared" si="5"/>
        <v>735</v>
      </c>
    </row>
    <row r="302">
      <c r="A302" s="6" t="s">
        <v>5010</v>
      </c>
      <c r="B302" s="6" t="s">
        <v>2521</v>
      </c>
      <c r="C302" s="5">
        <f t="shared" si="1"/>
        <v>6</v>
      </c>
      <c r="D302" s="1" t="s">
        <v>68</v>
      </c>
      <c r="E302" s="1" t="s">
        <v>1851</v>
      </c>
      <c r="F302" s="1" t="s">
        <v>21</v>
      </c>
      <c r="G302" s="1" t="s">
        <v>4519</v>
      </c>
      <c r="H302" s="5">
        <f t="shared" si="2"/>
        <v>0.3448</v>
      </c>
      <c r="I302" s="1" t="s">
        <v>4520</v>
      </c>
      <c r="J302" s="1">
        <f t="shared" si="3"/>
        <v>24.544915</v>
      </c>
      <c r="K302" s="1" t="s">
        <v>4521</v>
      </c>
      <c r="L302" s="5">
        <f t="shared" si="4"/>
        <v>0.1689</v>
      </c>
      <c r="M302" s="6" t="s">
        <v>6228</v>
      </c>
      <c r="N302" s="5">
        <f t="shared" si="5"/>
        <v>139</v>
      </c>
    </row>
    <row r="303">
      <c r="A303" s="6" t="s">
        <v>5010</v>
      </c>
      <c r="B303" s="6" t="s">
        <v>2521</v>
      </c>
      <c r="C303" s="5">
        <f t="shared" si="1"/>
        <v>6</v>
      </c>
      <c r="D303" s="1" t="s">
        <v>68</v>
      </c>
      <c r="E303" s="1" t="s">
        <v>48</v>
      </c>
      <c r="F303" s="1" t="s">
        <v>49</v>
      </c>
      <c r="G303" s="1" t="s">
        <v>73</v>
      </c>
      <c r="H303" s="5">
        <f t="shared" si="2"/>
        <v>0.0013</v>
      </c>
      <c r="I303" s="1" t="s">
        <v>4522</v>
      </c>
      <c r="J303" s="1">
        <f t="shared" si="3"/>
        <v>0.436692</v>
      </c>
      <c r="K303" s="1" t="s">
        <v>75</v>
      </c>
      <c r="L303" s="5">
        <f t="shared" si="4"/>
        <v>0.0004</v>
      </c>
      <c r="M303" s="6" t="s">
        <v>291</v>
      </c>
      <c r="N303" s="5">
        <f t="shared" si="5"/>
        <v>0</v>
      </c>
    </row>
    <row r="304">
      <c r="A304" s="6" t="s">
        <v>5010</v>
      </c>
      <c r="B304" s="6" t="s">
        <v>2521</v>
      </c>
      <c r="C304" s="5">
        <f t="shared" si="1"/>
        <v>6</v>
      </c>
      <c r="D304" s="1" t="s">
        <v>68</v>
      </c>
      <c r="E304" s="1" t="s">
        <v>48</v>
      </c>
      <c r="F304" s="1" t="s">
        <v>72</v>
      </c>
      <c r="G304" s="1" t="s">
        <v>1279</v>
      </c>
      <c r="H304" s="5">
        <f t="shared" si="2"/>
        <v>0.0057</v>
      </c>
      <c r="I304" s="1" t="s">
        <v>4523</v>
      </c>
      <c r="J304" s="1">
        <f t="shared" si="3"/>
        <v>1.798287</v>
      </c>
      <c r="K304" s="1" t="s">
        <v>144</v>
      </c>
      <c r="L304" s="5">
        <f t="shared" si="4"/>
        <v>0.0017</v>
      </c>
      <c r="M304" s="6" t="s">
        <v>291</v>
      </c>
      <c r="N304" s="5">
        <f t="shared" si="5"/>
        <v>0</v>
      </c>
    </row>
    <row r="305">
      <c r="A305" s="6" t="s">
        <v>5010</v>
      </c>
      <c r="B305" s="6" t="s">
        <v>2521</v>
      </c>
      <c r="C305" s="5">
        <f t="shared" si="1"/>
        <v>6</v>
      </c>
      <c r="D305" s="1" t="s">
        <v>68</v>
      </c>
      <c r="E305" s="1" t="s">
        <v>48</v>
      </c>
      <c r="F305" s="1" t="s">
        <v>21</v>
      </c>
      <c r="G305" s="1" t="s">
        <v>4633</v>
      </c>
      <c r="H305" s="5">
        <f t="shared" si="2"/>
        <v>0.7973</v>
      </c>
      <c r="I305" s="1" t="s">
        <v>4634</v>
      </c>
      <c r="J305" s="1">
        <f t="shared" si="3"/>
        <v>130.889304</v>
      </c>
      <c r="K305" s="1" t="s">
        <v>1842</v>
      </c>
      <c r="L305" s="5">
        <f t="shared" si="4"/>
        <v>0.3189</v>
      </c>
      <c r="M305" s="6" t="s">
        <v>291</v>
      </c>
      <c r="N305" s="5">
        <f t="shared" si="5"/>
        <v>0</v>
      </c>
    </row>
    <row r="306">
      <c r="A306" s="6" t="s">
        <v>5010</v>
      </c>
      <c r="B306" s="6" t="s">
        <v>2521</v>
      </c>
      <c r="C306" s="5">
        <f t="shared" si="1"/>
        <v>6</v>
      </c>
      <c r="D306" s="1" t="s">
        <v>68</v>
      </c>
      <c r="E306" s="1" t="s">
        <v>3962</v>
      </c>
      <c r="F306" s="1" t="s">
        <v>17</v>
      </c>
      <c r="G306" s="6" t="s">
        <v>6264</v>
      </c>
      <c r="H306" s="5">
        <f t="shared" si="2"/>
        <v>1.3516</v>
      </c>
      <c r="I306" s="1" t="s">
        <v>4636</v>
      </c>
      <c r="J306" s="1">
        <f t="shared" si="3"/>
        <v>123.076725</v>
      </c>
      <c r="K306" s="1" t="s">
        <v>4637</v>
      </c>
      <c r="L306" s="5">
        <f t="shared" si="4"/>
        <v>0.4731</v>
      </c>
      <c r="M306" s="6" t="s">
        <v>2509</v>
      </c>
      <c r="N306" s="5">
        <f t="shared" si="5"/>
        <v>569</v>
      </c>
    </row>
    <row r="307">
      <c r="A307" s="6" t="s">
        <v>5010</v>
      </c>
      <c r="B307" s="6" t="s">
        <v>2521</v>
      </c>
      <c r="C307" s="5">
        <f t="shared" si="1"/>
        <v>6</v>
      </c>
      <c r="D307" s="1" t="s">
        <v>68</v>
      </c>
      <c r="E307" s="1" t="s">
        <v>1830</v>
      </c>
      <c r="F307" s="1" t="s">
        <v>72</v>
      </c>
      <c r="G307" s="1" t="s">
        <v>4638</v>
      </c>
      <c r="H307" s="5">
        <f t="shared" si="2"/>
        <v>0.7768</v>
      </c>
      <c r="I307" s="1" t="s">
        <v>4639</v>
      </c>
      <c r="J307" s="1">
        <f t="shared" si="3"/>
        <v>77.288938</v>
      </c>
      <c r="K307" s="1" t="s">
        <v>4640</v>
      </c>
      <c r="L307" s="5">
        <f t="shared" si="4"/>
        <v>0.2486</v>
      </c>
      <c r="M307" s="6" t="s">
        <v>6265</v>
      </c>
      <c r="N307" s="5">
        <f t="shared" si="5"/>
        <v>548</v>
      </c>
    </row>
    <row r="308">
      <c r="A308" s="6" t="s">
        <v>5010</v>
      </c>
      <c r="B308" s="6" t="s">
        <v>2521</v>
      </c>
      <c r="C308" s="5">
        <f t="shared" si="1"/>
        <v>6</v>
      </c>
      <c r="D308" s="1" t="s">
        <v>68</v>
      </c>
      <c r="E308" s="1" t="s">
        <v>32</v>
      </c>
      <c r="F308" s="1" t="s">
        <v>14</v>
      </c>
      <c r="G308" s="6" t="s">
        <v>4641</v>
      </c>
      <c r="H308" s="5">
        <f t="shared" si="2"/>
        <v>1.1194</v>
      </c>
      <c r="I308" s="1" t="s">
        <v>4642</v>
      </c>
      <c r="J308" s="1">
        <f t="shared" si="3"/>
        <v>73.262568</v>
      </c>
      <c r="K308" s="1" t="s">
        <v>4643</v>
      </c>
      <c r="L308" s="5">
        <f t="shared" si="4"/>
        <v>0.2575</v>
      </c>
      <c r="M308" s="6" t="s">
        <v>291</v>
      </c>
      <c r="N308" s="5">
        <f t="shared" si="5"/>
        <v>0</v>
      </c>
    </row>
    <row r="309">
      <c r="A309" s="6" t="s">
        <v>5010</v>
      </c>
      <c r="B309" s="6" t="s">
        <v>2521</v>
      </c>
      <c r="C309" s="5">
        <f t="shared" si="1"/>
        <v>6</v>
      </c>
      <c r="D309" s="1" t="s">
        <v>68</v>
      </c>
      <c r="E309" s="1" t="s">
        <v>32</v>
      </c>
      <c r="F309" s="1" t="s">
        <v>21</v>
      </c>
      <c r="G309" s="1" t="s">
        <v>396</v>
      </c>
      <c r="H309" s="5">
        <f t="shared" si="2"/>
        <v>0.0027</v>
      </c>
      <c r="I309" s="1" t="s">
        <v>4644</v>
      </c>
      <c r="J309" s="1">
        <f t="shared" si="3"/>
        <v>0.424094</v>
      </c>
      <c r="K309" s="1" t="s">
        <v>1813</v>
      </c>
      <c r="L309" s="5">
        <f t="shared" si="4"/>
        <v>0.0012</v>
      </c>
      <c r="M309" s="6" t="s">
        <v>291</v>
      </c>
      <c r="N309" s="5">
        <f t="shared" si="5"/>
        <v>0</v>
      </c>
    </row>
    <row r="310">
      <c r="A310" s="6" t="s">
        <v>5010</v>
      </c>
      <c r="B310" s="6" t="s">
        <v>2521</v>
      </c>
      <c r="C310" s="5">
        <f t="shared" si="1"/>
        <v>6</v>
      </c>
      <c r="D310" s="1" t="s">
        <v>116</v>
      </c>
      <c r="E310" s="1" t="s">
        <v>13</v>
      </c>
      <c r="F310" s="1" t="s">
        <v>14</v>
      </c>
      <c r="G310" s="1" t="s">
        <v>4645</v>
      </c>
      <c r="H310" s="5">
        <f t="shared" si="2"/>
        <v>51.0212</v>
      </c>
      <c r="I310" s="1" t="s">
        <v>4646</v>
      </c>
      <c r="J310" s="1">
        <f t="shared" si="3"/>
        <v>3597.991186</v>
      </c>
      <c r="K310" s="6" t="s">
        <v>6266</v>
      </c>
      <c r="L310" s="5">
        <f t="shared" si="4"/>
        <v>10.7144</v>
      </c>
      <c r="M310" s="6" t="s">
        <v>6267</v>
      </c>
      <c r="N310" s="5">
        <f t="shared" si="5"/>
        <v>9488</v>
      </c>
    </row>
    <row r="311">
      <c r="A311" s="6" t="s">
        <v>5010</v>
      </c>
      <c r="B311" s="6" t="s">
        <v>2521</v>
      </c>
      <c r="C311" s="5">
        <f t="shared" si="1"/>
        <v>6</v>
      </c>
      <c r="D311" s="1" t="s">
        <v>116</v>
      </c>
      <c r="E311" s="1" t="s">
        <v>13</v>
      </c>
      <c r="F311" s="1" t="s">
        <v>17</v>
      </c>
      <c r="G311" s="1" t="s">
        <v>4647</v>
      </c>
      <c r="H311" s="5">
        <f t="shared" si="2"/>
        <v>107.7345</v>
      </c>
      <c r="I311" s="1" t="s">
        <v>4648</v>
      </c>
      <c r="J311" s="1">
        <f t="shared" si="3"/>
        <v>12022.1688</v>
      </c>
      <c r="K311" s="1" t="s">
        <v>4649</v>
      </c>
      <c r="L311" s="5">
        <f t="shared" si="4"/>
        <v>37.707</v>
      </c>
      <c r="M311" s="6" t="s">
        <v>6268</v>
      </c>
      <c r="N311" s="5">
        <f t="shared" si="5"/>
        <v>17303</v>
      </c>
    </row>
    <row r="312">
      <c r="A312" s="6" t="s">
        <v>5010</v>
      </c>
      <c r="B312" s="6" t="s">
        <v>2521</v>
      </c>
      <c r="C312" s="5">
        <f t="shared" si="1"/>
        <v>6</v>
      </c>
      <c r="D312" s="1" t="s">
        <v>116</v>
      </c>
      <c r="E312" s="1" t="s">
        <v>13</v>
      </c>
      <c r="F312" s="1" t="s">
        <v>21</v>
      </c>
      <c r="G312" s="6" t="s">
        <v>4650</v>
      </c>
      <c r="H312" s="5">
        <f t="shared" si="2"/>
        <v>7.0644</v>
      </c>
      <c r="I312" s="1" t="s">
        <v>4651</v>
      </c>
      <c r="J312" s="1">
        <f t="shared" si="3"/>
        <v>1132.86316</v>
      </c>
      <c r="K312" s="6" t="s">
        <v>6269</v>
      </c>
      <c r="L312" s="5">
        <f t="shared" si="4"/>
        <v>3.5321</v>
      </c>
      <c r="M312" s="6" t="s">
        <v>6301</v>
      </c>
      <c r="N312" s="5">
        <f t="shared" si="5"/>
        <v>824</v>
      </c>
    </row>
    <row r="313">
      <c r="A313" s="6" t="s">
        <v>5010</v>
      </c>
      <c r="B313" s="6" t="s">
        <v>2521</v>
      </c>
      <c r="C313" s="5">
        <f t="shared" si="1"/>
        <v>6</v>
      </c>
      <c r="D313" s="1" t="s">
        <v>116</v>
      </c>
      <c r="E313" s="1" t="s">
        <v>13</v>
      </c>
      <c r="F313" s="1" t="s">
        <v>25</v>
      </c>
      <c r="G313" s="1" t="s">
        <v>1418</v>
      </c>
      <c r="H313" s="5">
        <f t="shared" si="2"/>
        <v>0.0168</v>
      </c>
      <c r="I313" s="1" t="s">
        <v>4652</v>
      </c>
      <c r="J313" s="1">
        <f t="shared" si="3"/>
        <v>3.46668</v>
      </c>
      <c r="K313" s="1" t="s">
        <v>1523</v>
      </c>
      <c r="L313" s="5">
        <f t="shared" si="4"/>
        <v>0.0126</v>
      </c>
      <c r="M313" s="6" t="s">
        <v>3552</v>
      </c>
      <c r="N313" s="5">
        <f t="shared" si="5"/>
        <v>5</v>
      </c>
    </row>
    <row r="314">
      <c r="A314" s="6" t="s">
        <v>5010</v>
      </c>
      <c r="B314" s="6" t="s">
        <v>2521</v>
      </c>
      <c r="C314" s="5">
        <f t="shared" si="1"/>
        <v>6</v>
      </c>
      <c r="D314" s="1" t="s">
        <v>116</v>
      </c>
      <c r="E314" s="1" t="s">
        <v>29</v>
      </c>
      <c r="F314" s="1" t="s">
        <v>14</v>
      </c>
      <c r="G314" s="6" t="s">
        <v>6302</v>
      </c>
      <c r="H314" s="5">
        <f t="shared" si="2"/>
        <v>1.5532</v>
      </c>
      <c r="I314" s="1" t="s">
        <v>4653</v>
      </c>
      <c r="J314" s="1">
        <f t="shared" si="3"/>
        <v>186.218269</v>
      </c>
      <c r="K314" s="1" t="s">
        <v>4654</v>
      </c>
      <c r="L314" s="5">
        <f t="shared" si="4"/>
        <v>0.3106</v>
      </c>
      <c r="M314" s="6" t="s">
        <v>5871</v>
      </c>
      <c r="N314" s="5">
        <f t="shared" si="5"/>
        <v>276</v>
      </c>
    </row>
    <row r="315">
      <c r="A315" s="6" t="s">
        <v>5010</v>
      </c>
      <c r="B315" s="6" t="s">
        <v>2521</v>
      </c>
      <c r="C315" s="5">
        <f t="shared" si="1"/>
        <v>6</v>
      </c>
      <c r="D315" s="1" t="s">
        <v>116</v>
      </c>
      <c r="E315" s="1" t="s">
        <v>29</v>
      </c>
      <c r="F315" s="1" t="s">
        <v>21</v>
      </c>
      <c r="G315" s="1" t="s">
        <v>4656</v>
      </c>
      <c r="H315" s="5">
        <f t="shared" si="2"/>
        <v>29.5306</v>
      </c>
      <c r="I315" s="1" t="s">
        <v>4657</v>
      </c>
      <c r="J315" s="1">
        <f t="shared" si="3"/>
        <v>6132.884335</v>
      </c>
      <c r="K315" s="6" t="s">
        <v>6303</v>
      </c>
      <c r="L315" s="5">
        <f t="shared" si="4"/>
        <v>11.8122</v>
      </c>
      <c r="M315" s="6" t="s">
        <v>6304</v>
      </c>
      <c r="N315" s="5">
        <f t="shared" si="5"/>
        <v>4155</v>
      </c>
    </row>
    <row r="316">
      <c r="A316" s="6" t="s">
        <v>5010</v>
      </c>
      <c r="B316" s="6" t="s">
        <v>2521</v>
      </c>
      <c r="C316" s="5">
        <f t="shared" si="1"/>
        <v>6</v>
      </c>
      <c r="D316" s="1" t="s">
        <v>116</v>
      </c>
      <c r="E316" s="1" t="s">
        <v>45</v>
      </c>
      <c r="F316" s="1" t="s">
        <v>49</v>
      </c>
      <c r="G316" s="6" t="s">
        <v>6305</v>
      </c>
      <c r="H316" s="5">
        <f t="shared" si="2"/>
        <v>2.2017</v>
      </c>
      <c r="I316" s="1" t="s">
        <v>4658</v>
      </c>
      <c r="J316" s="1">
        <f t="shared" si="3"/>
        <v>135.541072</v>
      </c>
      <c r="K316" s="1" t="s">
        <v>4659</v>
      </c>
      <c r="L316" s="5">
        <f t="shared" si="4"/>
        <v>0.5724</v>
      </c>
      <c r="M316" s="6" t="s">
        <v>5860</v>
      </c>
      <c r="N316" s="5">
        <f t="shared" si="5"/>
        <v>359</v>
      </c>
    </row>
    <row r="317">
      <c r="A317" s="6" t="s">
        <v>5010</v>
      </c>
      <c r="B317" s="6" t="s">
        <v>2521</v>
      </c>
      <c r="C317" s="5">
        <f t="shared" si="1"/>
        <v>6</v>
      </c>
      <c r="D317" s="1" t="s">
        <v>116</v>
      </c>
      <c r="E317" s="1" t="s">
        <v>45</v>
      </c>
      <c r="F317" s="1" t="s">
        <v>17</v>
      </c>
      <c r="G317" s="6" t="s">
        <v>6306</v>
      </c>
      <c r="H317" s="5">
        <f t="shared" si="2"/>
        <v>11.8421</v>
      </c>
      <c r="I317" s="1" t="s">
        <v>4660</v>
      </c>
      <c r="J317" s="1">
        <f t="shared" si="3"/>
        <v>998.023275</v>
      </c>
      <c r="K317" s="6" t="s">
        <v>6307</v>
      </c>
      <c r="L317" s="5">
        <f t="shared" si="4"/>
        <v>4.2631</v>
      </c>
      <c r="M317" s="6" t="s">
        <v>6308</v>
      </c>
      <c r="N317" s="5">
        <f t="shared" si="5"/>
        <v>1694</v>
      </c>
    </row>
    <row r="318">
      <c r="A318" s="6" t="s">
        <v>5010</v>
      </c>
      <c r="B318" s="6" t="s">
        <v>2521</v>
      </c>
      <c r="C318" s="5">
        <f t="shared" si="1"/>
        <v>6</v>
      </c>
      <c r="D318" s="1" t="s">
        <v>116</v>
      </c>
      <c r="E318" s="1" t="s">
        <v>3962</v>
      </c>
      <c r="F318" s="1" t="s">
        <v>17</v>
      </c>
      <c r="G318" s="1" t="s">
        <v>4662</v>
      </c>
      <c r="H318" s="5">
        <f t="shared" si="2"/>
        <v>8.194</v>
      </c>
      <c r="I318" s="1" t="s">
        <v>4663</v>
      </c>
      <c r="J318" s="1">
        <f t="shared" si="3"/>
        <v>763.411125</v>
      </c>
      <c r="K318" s="6" t="s">
        <v>6309</v>
      </c>
      <c r="L318" s="5">
        <f t="shared" si="4"/>
        <v>2.8679</v>
      </c>
      <c r="M318" s="6" t="s">
        <v>6310</v>
      </c>
      <c r="N318" s="5">
        <f t="shared" si="5"/>
        <v>2990</v>
      </c>
    </row>
    <row r="319">
      <c r="A319" s="6" t="s">
        <v>5010</v>
      </c>
      <c r="B319" s="6" t="s">
        <v>2521</v>
      </c>
      <c r="C319" s="5">
        <f t="shared" si="1"/>
        <v>6</v>
      </c>
      <c r="D319" s="1" t="s">
        <v>116</v>
      </c>
      <c r="E319" s="1" t="s">
        <v>48</v>
      </c>
      <c r="F319" s="1" t="s">
        <v>49</v>
      </c>
      <c r="G319" s="1" t="s">
        <v>1331</v>
      </c>
      <c r="H319" s="5">
        <f t="shared" si="2"/>
        <v>0.004</v>
      </c>
      <c r="I319" s="1" t="s">
        <v>4664</v>
      </c>
      <c r="J319" s="1">
        <f t="shared" si="3"/>
        <v>1.783766</v>
      </c>
      <c r="K319" s="1" t="s">
        <v>479</v>
      </c>
      <c r="L319" s="5">
        <f t="shared" si="4"/>
        <v>0.0011</v>
      </c>
      <c r="M319" s="6" t="s">
        <v>2677</v>
      </c>
      <c r="N319" s="5">
        <f t="shared" si="5"/>
        <v>3</v>
      </c>
    </row>
    <row r="320">
      <c r="A320" s="6" t="s">
        <v>5010</v>
      </c>
      <c r="B320" s="6" t="s">
        <v>2521</v>
      </c>
      <c r="C320" s="5">
        <f t="shared" si="1"/>
        <v>6</v>
      </c>
      <c r="D320" s="1" t="s">
        <v>116</v>
      </c>
      <c r="E320" s="1" t="s">
        <v>48</v>
      </c>
      <c r="F320" s="1" t="s">
        <v>72</v>
      </c>
      <c r="G320" s="1" t="s">
        <v>4665</v>
      </c>
      <c r="H320" s="5">
        <f t="shared" si="2"/>
        <v>0.0437</v>
      </c>
      <c r="I320" s="1" t="s">
        <v>4666</v>
      </c>
      <c r="J320" s="1">
        <f t="shared" si="3"/>
        <v>12.487819</v>
      </c>
      <c r="K320" s="1" t="s">
        <v>4667</v>
      </c>
      <c r="L320" s="5">
        <f t="shared" si="4"/>
        <v>0.0131</v>
      </c>
      <c r="M320" s="6" t="s">
        <v>5801</v>
      </c>
      <c r="N320" s="5">
        <f t="shared" si="5"/>
        <v>31</v>
      </c>
    </row>
    <row r="321">
      <c r="A321" s="6" t="s">
        <v>5010</v>
      </c>
      <c r="B321" s="6" t="s">
        <v>2521</v>
      </c>
      <c r="C321" s="5">
        <f t="shared" si="1"/>
        <v>6</v>
      </c>
      <c r="D321" s="1" t="s">
        <v>116</v>
      </c>
      <c r="E321" s="1" t="s">
        <v>48</v>
      </c>
      <c r="F321" s="1" t="s">
        <v>21</v>
      </c>
      <c r="G321" s="6" t="s">
        <v>4668</v>
      </c>
      <c r="H321" s="5">
        <f t="shared" si="2"/>
        <v>2.0888</v>
      </c>
      <c r="I321" s="1" t="s">
        <v>4669</v>
      </c>
      <c r="J321" s="1">
        <f t="shared" si="3"/>
        <v>570.032862</v>
      </c>
      <c r="K321" s="1" t="s">
        <v>4670</v>
      </c>
      <c r="L321" s="5">
        <f t="shared" si="4"/>
        <v>0.8355</v>
      </c>
      <c r="M321" s="6" t="s">
        <v>3611</v>
      </c>
      <c r="N321" s="5">
        <f t="shared" si="5"/>
        <v>353</v>
      </c>
    </row>
    <row r="322">
      <c r="A322" s="6" t="s">
        <v>5010</v>
      </c>
      <c r="B322" s="6" t="s">
        <v>2521</v>
      </c>
      <c r="C322" s="5">
        <f t="shared" si="1"/>
        <v>6</v>
      </c>
      <c r="D322" s="1" t="s">
        <v>116</v>
      </c>
      <c r="E322" s="1" t="s">
        <v>38</v>
      </c>
      <c r="F322" s="1" t="s">
        <v>39</v>
      </c>
      <c r="G322" s="6" t="s">
        <v>6311</v>
      </c>
      <c r="H322" s="5">
        <f t="shared" si="2"/>
        <v>5.4623</v>
      </c>
      <c r="I322" s="1" t="s">
        <v>4672</v>
      </c>
      <c r="J322" s="1">
        <f t="shared" si="3"/>
        <v>528.67611</v>
      </c>
      <c r="K322" s="1" t="s">
        <v>4673</v>
      </c>
      <c r="L322" s="5">
        <f t="shared" si="4"/>
        <v>0.9833</v>
      </c>
      <c r="M322" s="6" t="s">
        <v>6312</v>
      </c>
      <c r="N322" s="5">
        <f t="shared" si="5"/>
        <v>2267</v>
      </c>
    </row>
    <row r="323">
      <c r="A323" s="6" t="s">
        <v>5010</v>
      </c>
      <c r="B323" s="6" t="s">
        <v>2521</v>
      </c>
      <c r="C323" s="5">
        <f t="shared" si="1"/>
        <v>6</v>
      </c>
      <c r="D323" s="1" t="s">
        <v>116</v>
      </c>
      <c r="E323" s="1" t="s">
        <v>1851</v>
      </c>
      <c r="F323" s="1" t="s">
        <v>17</v>
      </c>
      <c r="G323" s="6" t="s">
        <v>6313</v>
      </c>
      <c r="H323" s="5">
        <f t="shared" si="2"/>
        <v>6.5873</v>
      </c>
      <c r="I323" s="1" t="s">
        <v>4674</v>
      </c>
      <c r="J323" s="1">
        <f t="shared" si="3"/>
        <v>378.791908</v>
      </c>
      <c r="K323" s="6" t="s">
        <v>6314</v>
      </c>
      <c r="L323" s="5">
        <f t="shared" si="4"/>
        <v>2.5361</v>
      </c>
      <c r="M323" s="6" t="s">
        <v>4297</v>
      </c>
      <c r="N323" s="5">
        <f t="shared" si="5"/>
        <v>1670</v>
      </c>
    </row>
    <row r="324">
      <c r="A324" s="6" t="s">
        <v>5010</v>
      </c>
      <c r="B324" s="6" t="s">
        <v>2521</v>
      </c>
      <c r="C324" s="5">
        <f t="shared" si="1"/>
        <v>6</v>
      </c>
      <c r="D324" s="1" t="s">
        <v>116</v>
      </c>
      <c r="E324" s="1" t="s">
        <v>1851</v>
      </c>
      <c r="F324" s="1" t="s">
        <v>21</v>
      </c>
      <c r="G324" s="1" t="s">
        <v>4676</v>
      </c>
      <c r="H324" s="5">
        <f t="shared" si="2"/>
        <v>0.3579</v>
      </c>
      <c r="I324" s="1" t="s">
        <v>4677</v>
      </c>
      <c r="J324" s="1">
        <f t="shared" si="3"/>
        <v>31.427352</v>
      </c>
      <c r="K324" s="1" t="s">
        <v>4678</v>
      </c>
      <c r="L324" s="5">
        <f t="shared" si="4"/>
        <v>0.1754</v>
      </c>
      <c r="M324" s="6" t="s">
        <v>5294</v>
      </c>
      <c r="N324" s="5">
        <f t="shared" si="5"/>
        <v>112</v>
      </c>
    </row>
    <row r="325">
      <c r="A325" s="6" t="s">
        <v>5010</v>
      </c>
      <c r="B325" s="6" t="s">
        <v>2521</v>
      </c>
      <c r="C325" s="5">
        <f t="shared" si="1"/>
        <v>6</v>
      </c>
      <c r="D325" s="1" t="s">
        <v>116</v>
      </c>
      <c r="E325" s="1" t="s">
        <v>147</v>
      </c>
      <c r="F325" s="1" t="s">
        <v>39</v>
      </c>
      <c r="G325" s="6" t="s">
        <v>4679</v>
      </c>
      <c r="H325" s="5">
        <f t="shared" si="2"/>
        <v>1.1775</v>
      </c>
      <c r="I325" s="1" t="s">
        <v>4680</v>
      </c>
      <c r="J325" s="1">
        <f t="shared" si="3"/>
        <v>383.185945</v>
      </c>
      <c r="K325" s="1" t="s">
        <v>684</v>
      </c>
      <c r="L325" s="5">
        <f t="shared" si="4"/>
        <v>0.2237</v>
      </c>
      <c r="M325" s="6" t="s">
        <v>3600</v>
      </c>
      <c r="N325" s="5">
        <f t="shared" si="5"/>
        <v>106</v>
      </c>
    </row>
    <row r="326">
      <c r="A326" s="6" t="s">
        <v>5010</v>
      </c>
      <c r="B326" s="6" t="s">
        <v>2521</v>
      </c>
      <c r="C326" s="5">
        <f t="shared" si="1"/>
        <v>6</v>
      </c>
      <c r="D326" s="1" t="s">
        <v>116</v>
      </c>
      <c r="E326" s="1" t="s">
        <v>147</v>
      </c>
      <c r="F326" s="1" t="s">
        <v>17</v>
      </c>
      <c r="G326" s="1" t="s">
        <v>4681</v>
      </c>
      <c r="H326" s="5">
        <f t="shared" si="2"/>
        <v>0.0141</v>
      </c>
      <c r="I326" s="1" t="s">
        <v>4682</v>
      </c>
      <c r="J326" s="1">
        <f t="shared" si="3"/>
        <v>6.649438</v>
      </c>
      <c r="K326" s="1" t="s">
        <v>4684</v>
      </c>
      <c r="L326" s="5">
        <f t="shared" si="4"/>
        <v>0.0049</v>
      </c>
      <c r="M326" s="6" t="s">
        <v>273</v>
      </c>
      <c r="N326" s="5">
        <f t="shared" si="5"/>
        <v>4</v>
      </c>
    </row>
    <row r="327">
      <c r="A327" s="6" t="s">
        <v>5010</v>
      </c>
      <c r="B327" s="6" t="s">
        <v>2521</v>
      </c>
      <c r="C327" s="5">
        <f t="shared" si="1"/>
        <v>6</v>
      </c>
      <c r="D327" s="1" t="s">
        <v>116</v>
      </c>
      <c r="E327" s="1" t="s">
        <v>147</v>
      </c>
      <c r="F327" s="1" t="s">
        <v>21</v>
      </c>
      <c r="G327" s="1" t="s">
        <v>4685</v>
      </c>
      <c r="H327" s="5">
        <f t="shared" si="2"/>
        <v>0.0464</v>
      </c>
      <c r="I327" s="1" t="s">
        <v>4686</v>
      </c>
      <c r="J327" s="1">
        <f t="shared" si="3"/>
        <v>24.763261</v>
      </c>
      <c r="K327" s="1" t="s">
        <v>782</v>
      </c>
      <c r="L327" s="5">
        <f t="shared" si="4"/>
        <v>0.0232</v>
      </c>
      <c r="M327" s="6" t="s">
        <v>4718</v>
      </c>
      <c r="N327" s="5">
        <f t="shared" si="5"/>
        <v>37</v>
      </c>
    </row>
    <row r="328">
      <c r="A328" s="6" t="s">
        <v>5010</v>
      </c>
      <c r="B328" s="6" t="s">
        <v>2521</v>
      </c>
      <c r="C328" s="5">
        <f t="shared" si="1"/>
        <v>6</v>
      </c>
      <c r="D328" s="1" t="s">
        <v>116</v>
      </c>
      <c r="E328" s="1" t="s">
        <v>42</v>
      </c>
      <c r="F328" s="1" t="s">
        <v>17</v>
      </c>
      <c r="G328" s="6" t="s">
        <v>6315</v>
      </c>
      <c r="H328" s="5">
        <f t="shared" si="2"/>
        <v>1.2146</v>
      </c>
      <c r="I328" s="1" t="s">
        <v>4687</v>
      </c>
      <c r="J328" s="1">
        <f t="shared" si="3"/>
        <v>247.163292</v>
      </c>
      <c r="K328" s="1" t="s">
        <v>4688</v>
      </c>
      <c r="L328" s="5">
        <f t="shared" si="4"/>
        <v>0.4494</v>
      </c>
      <c r="M328" s="6" t="s">
        <v>291</v>
      </c>
      <c r="N328" s="5">
        <f t="shared" si="5"/>
        <v>0</v>
      </c>
    </row>
    <row r="329">
      <c r="A329" s="6" t="s">
        <v>5010</v>
      </c>
      <c r="B329" s="6" t="s">
        <v>2521</v>
      </c>
      <c r="C329" s="5">
        <f t="shared" si="1"/>
        <v>6</v>
      </c>
      <c r="D329" s="1" t="s">
        <v>116</v>
      </c>
      <c r="E329" s="1" t="s">
        <v>158</v>
      </c>
      <c r="F329" s="1" t="s">
        <v>17</v>
      </c>
      <c r="G329" s="1" t="s">
        <v>4689</v>
      </c>
      <c r="H329" s="5">
        <f t="shared" si="2"/>
        <v>0.2906</v>
      </c>
      <c r="I329" s="1" t="s">
        <v>4690</v>
      </c>
      <c r="J329" s="1">
        <f t="shared" si="3"/>
        <v>122.495486</v>
      </c>
      <c r="K329" s="1" t="s">
        <v>4691</v>
      </c>
      <c r="L329" s="5">
        <f t="shared" si="4"/>
        <v>0.1017</v>
      </c>
      <c r="M329" s="6" t="s">
        <v>291</v>
      </c>
      <c r="N329" s="5">
        <f t="shared" si="5"/>
        <v>0</v>
      </c>
    </row>
    <row r="330">
      <c r="A330" s="6" t="s">
        <v>5010</v>
      </c>
      <c r="B330" s="6" t="s">
        <v>2521</v>
      </c>
      <c r="C330" s="5">
        <f t="shared" si="1"/>
        <v>6</v>
      </c>
      <c r="D330" s="1" t="s">
        <v>116</v>
      </c>
      <c r="E330" s="1" t="s">
        <v>158</v>
      </c>
      <c r="F330" s="1" t="s">
        <v>21</v>
      </c>
      <c r="G330" s="1" t="s">
        <v>4692</v>
      </c>
      <c r="H330" s="5">
        <f t="shared" si="2"/>
        <v>0.1318</v>
      </c>
      <c r="I330" s="1" t="s">
        <v>4693</v>
      </c>
      <c r="J330" s="1">
        <f t="shared" si="3"/>
        <v>74.971474</v>
      </c>
      <c r="K330" s="1" t="s">
        <v>4695</v>
      </c>
      <c r="L330" s="5">
        <f t="shared" si="4"/>
        <v>0.0553</v>
      </c>
      <c r="M330" s="6" t="s">
        <v>291</v>
      </c>
      <c r="N330" s="5">
        <f t="shared" si="5"/>
        <v>0</v>
      </c>
    </row>
    <row r="331">
      <c r="A331" s="6" t="s">
        <v>5010</v>
      </c>
      <c r="B331" s="6" t="s">
        <v>600</v>
      </c>
      <c r="C331" s="5">
        <f t="shared" si="1"/>
        <v>7</v>
      </c>
      <c r="D331" s="1" t="s">
        <v>12</v>
      </c>
      <c r="E331" s="1" t="s">
        <v>13</v>
      </c>
      <c r="F331" s="1" t="s">
        <v>14</v>
      </c>
      <c r="G331" s="6" t="s">
        <v>6316</v>
      </c>
      <c r="H331" s="5">
        <f t="shared" si="2"/>
        <v>7.9512</v>
      </c>
      <c r="I331" s="1" t="s">
        <v>4696</v>
      </c>
      <c r="J331" s="1">
        <f t="shared" si="3"/>
        <v>593.09146</v>
      </c>
      <c r="K331" s="6" t="s">
        <v>6317</v>
      </c>
      <c r="L331" s="5">
        <f t="shared" si="4"/>
        <v>1.6698</v>
      </c>
      <c r="M331" s="6" t="s">
        <v>6318</v>
      </c>
      <c r="N331" s="5">
        <f t="shared" si="5"/>
        <v>431</v>
      </c>
    </row>
    <row r="332">
      <c r="A332" s="6" t="s">
        <v>5010</v>
      </c>
      <c r="B332" s="6" t="s">
        <v>600</v>
      </c>
      <c r="C332" s="5">
        <f t="shared" si="1"/>
        <v>7</v>
      </c>
      <c r="D332" s="1" t="s">
        <v>12</v>
      </c>
      <c r="E332" s="1" t="s">
        <v>13</v>
      </c>
      <c r="F332" s="1" t="s">
        <v>17</v>
      </c>
      <c r="G332" s="1" t="s">
        <v>4697</v>
      </c>
      <c r="H332" s="5">
        <f t="shared" si="2"/>
        <v>38.0089</v>
      </c>
      <c r="I332" s="1" t="s">
        <v>4698</v>
      </c>
      <c r="J332" s="1">
        <f t="shared" si="3"/>
        <v>4003.448941</v>
      </c>
      <c r="K332" s="1" t="s">
        <v>4699</v>
      </c>
      <c r="L332" s="5">
        <f t="shared" si="4"/>
        <v>13.3033</v>
      </c>
      <c r="M332" s="6" t="s">
        <v>4475</v>
      </c>
      <c r="N332" s="5">
        <f t="shared" si="5"/>
        <v>654</v>
      </c>
    </row>
    <row r="333">
      <c r="A333" s="6" t="s">
        <v>5010</v>
      </c>
      <c r="B333" s="6" t="s">
        <v>600</v>
      </c>
      <c r="C333" s="5">
        <f t="shared" si="1"/>
        <v>7</v>
      </c>
      <c r="D333" s="1" t="s">
        <v>12</v>
      </c>
      <c r="E333" s="1" t="s">
        <v>13</v>
      </c>
      <c r="F333" s="1" t="s">
        <v>21</v>
      </c>
      <c r="G333" s="1" t="s">
        <v>4700</v>
      </c>
      <c r="H333" s="5">
        <f t="shared" si="2"/>
        <v>24.3086</v>
      </c>
      <c r="I333" s="1" t="s">
        <v>4701</v>
      </c>
      <c r="J333" s="1">
        <f t="shared" si="3"/>
        <v>3206.174313</v>
      </c>
      <c r="K333" s="6" t="s">
        <v>4702</v>
      </c>
      <c r="L333" s="5">
        <f t="shared" si="4"/>
        <v>12.1544</v>
      </c>
      <c r="M333" s="6" t="s">
        <v>5800</v>
      </c>
      <c r="N333" s="5">
        <f t="shared" si="5"/>
        <v>540</v>
      </c>
    </row>
    <row r="334">
      <c r="A334" s="6" t="s">
        <v>5010</v>
      </c>
      <c r="B334" s="6" t="s">
        <v>600</v>
      </c>
      <c r="C334" s="5">
        <f t="shared" si="1"/>
        <v>7</v>
      </c>
      <c r="D334" s="1" t="s">
        <v>12</v>
      </c>
      <c r="E334" s="1" t="s">
        <v>29</v>
      </c>
      <c r="F334" s="1" t="s">
        <v>14</v>
      </c>
      <c r="G334" s="1" t="s">
        <v>4703</v>
      </c>
      <c r="H334" s="5">
        <f t="shared" si="2"/>
        <v>1.267</v>
      </c>
      <c r="I334" s="1" t="s">
        <v>4705</v>
      </c>
      <c r="J334" s="1">
        <f t="shared" si="3"/>
        <v>121.739067</v>
      </c>
      <c r="K334" s="1" t="s">
        <v>2562</v>
      </c>
      <c r="L334" s="5">
        <f t="shared" si="4"/>
        <v>0.2534</v>
      </c>
      <c r="M334" s="6" t="s">
        <v>5539</v>
      </c>
      <c r="N334" s="5">
        <f t="shared" si="5"/>
        <v>81</v>
      </c>
    </row>
    <row r="335">
      <c r="A335" s="6" t="s">
        <v>5010</v>
      </c>
      <c r="B335" s="6" t="s">
        <v>600</v>
      </c>
      <c r="C335" s="5">
        <f t="shared" si="1"/>
        <v>7</v>
      </c>
      <c r="D335" s="1" t="s">
        <v>12</v>
      </c>
      <c r="E335" s="1" t="s">
        <v>29</v>
      </c>
      <c r="F335" s="1" t="s">
        <v>21</v>
      </c>
      <c r="G335" s="1" t="s">
        <v>4706</v>
      </c>
      <c r="H335" s="5">
        <f t="shared" si="2"/>
        <v>40.5318</v>
      </c>
      <c r="I335" s="1" t="s">
        <v>4707</v>
      </c>
      <c r="J335" s="1">
        <f t="shared" si="3"/>
        <v>7236.981536</v>
      </c>
      <c r="K335" s="1" t="s">
        <v>4709</v>
      </c>
      <c r="L335" s="5">
        <f t="shared" si="4"/>
        <v>16.2127</v>
      </c>
      <c r="M335" s="6" t="s">
        <v>6319</v>
      </c>
      <c r="N335" s="5">
        <f t="shared" si="5"/>
        <v>627</v>
      </c>
    </row>
    <row r="336">
      <c r="A336" s="6" t="s">
        <v>5010</v>
      </c>
      <c r="B336" s="6" t="s">
        <v>600</v>
      </c>
      <c r="C336" s="5">
        <f t="shared" si="1"/>
        <v>7</v>
      </c>
      <c r="D336" s="1" t="s">
        <v>12</v>
      </c>
      <c r="E336" s="1" t="s">
        <v>48</v>
      </c>
      <c r="F336" s="1" t="s">
        <v>49</v>
      </c>
      <c r="G336" s="1" t="s">
        <v>4684</v>
      </c>
      <c r="H336" s="5">
        <f t="shared" si="2"/>
        <v>0.0049</v>
      </c>
      <c r="I336" s="1" t="s">
        <v>4710</v>
      </c>
      <c r="J336" s="1">
        <f t="shared" si="3"/>
        <v>1.591611</v>
      </c>
      <c r="K336" s="1" t="s">
        <v>1056</v>
      </c>
      <c r="L336" s="5">
        <f t="shared" si="4"/>
        <v>0.0014</v>
      </c>
      <c r="M336" s="6" t="s">
        <v>2521</v>
      </c>
      <c r="N336" s="5">
        <f t="shared" si="5"/>
        <v>6</v>
      </c>
    </row>
    <row r="337">
      <c r="A337" s="6" t="s">
        <v>5010</v>
      </c>
      <c r="B337" s="6" t="s">
        <v>600</v>
      </c>
      <c r="C337" s="5">
        <f t="shared" si="1"/>
        <v>7</v>
      </c>
      <c r="D337" s="1" t="s">
        <v>12</v>
      </c>
      <c r="E337" s="1" t="s">
        <v>48</v>
      </c>
      <c r="F337" s="1" t="s">
        <v>21</v>
      </c>
      <c r="G337" s="6" t="s">
        <v>6320</v>
      </c>
      <c r="H337" s="5">
        <f t="shared" si="2"/>
        <v>2.5055</v>
      </c>
      <c r="I337" s="1" t="s">
        <v>4711</v>
      </c>
      <c r="J337" s="1">
        <f t="shared" si="3"/>
        <v>410.215547</v>
      </c>
      <c r="K337" s="6" t="s">
        <v>6321</v>
      </c>
      <c r="L337" s="5">
        <f t="shared" si="4"/>
        <v>1.0021</v>
      </c>
      <c r="M337" s="6" t="s">
        <v>765</v>
      </c>
      <c r="N337" s="5">
        <f t="shared" si="5"/>
        <v>168</v>
      </c>
    </row>
    <row r="338">
      <c r="A338" s="6" t="s">
        <v>5010</v>
      </c>
      <c r="B338" s="6" t="s">
        <v>600</v>
      </c>
      <c r="C338" s="5">
        <f t="shared" si="1"/>
        <v>7</v>
      </c>
      <c r="D338" s="1" t="s">
        <v>12</v>
      </c>
      <c r="E338" s="1" t="s">
        <v>38</v>
      </c>
      <c r="F338" s="1" t="s">
        <v>39</v>
      </c>
      <c r="G338" s="1" t="s">
        <v>4712</v>
      </c>
      <c r="H338" s="5">
        <f t="shared" si="2"/>
        <v>2.336</v>
      </c>
      <c r="I338" s="1" t="s">
        <v>4713</v>
      </c>
      <c r="J338" s="1">
        <f t="shared" si="3"/>
        <v>263.524314</v>
      </c>
      <c r="K338" s="1" t="s">
        <v>4714</v>
      </c>
      <c r="L338" s="5">
        <f t="shared" si="4"/>
        <v>0.4205</v>
      </c>
      <c r="M338" s="6" t="s">
        <v>4635</v>
      </c>
      <c r="N338" s="5">
        <f t="shared" si="5"/>
        <v>176</v>
      </c>
    </row>
    <row r="339">
      <c r="A339" s="6" t="s">
        <v>5010</v>
      </c>
      <c r="B339" s="6" t="s">
        <v>600</v>
      </c>
      <c r="C339" s="5">
        <f t="shared" si="1"/>
        <v>7</v>
      </c>
      <c r="D339" s="1" t="s">
        <v>12</v>
      </c>
      <c r="E339" s="1" t="s">
        <v>45</v>
      </c>
      <c r="F339" s="1" t="s">
        <v>49</v>
      </c>
      <c r="G339" s="1" t="s">
        <v>128</v>
      </c>
      <c r="H339" s="5">
        <f t="shared" si="2"/>
        <v>0.0605</v>
      </c>
      <c r="I339" s="1" t="s">
        <v>4715</v>
      </c>
      <c r="J339" s="1">
        <f t="shared" si="3"/>
        <v>3.309734</v>
      </c>
      <c r="K339" s="1" t="s">
        <v>4193</v>
      </c>
      <c r="L339" s="5">
        <f t="shared" si="4"/>
        <v>0.0157</v>
      </c>
      <c r="M339" s="6" t="s">
        <v>2521</v>
      </c>
      <c r="N339" s="5">
        <f t="shared" si="5"/>
        <v>6</v>
      </c>
    </row>
    <row r="340">
      <c r="A340" s="6" t="s">
        <v>5010</v>
      </c>
      <c r="B340" s="6" t="s">
        <v>600</v>
      </c>
      <c r="C340" s="5">
        <f t="shared" si="1"/>
        <v>7</v>
      </c>
      <c r="D340" s="1" t="s">
        <v>12</v>
      </c>
      <c r="E340" s="1" t="s">
        <v>45</v>
      </c>
      <c r="F340" s="1" t="s">
        <v>17</v>
      </c>
      <c r="G340" s="6" t="s">
        <v>6322</v>
      </c>
      <c r="H340" s="5">
        <f t="shared" si="2"/>
        <v>2.6689</v>
      </c>
      <c r="I340" s="1" t="s">
        <v>4828</v>
      </c>
      <c r="J340" s="1">
        <f t="shared" si="3"/>
        <v>170.500217</v>
      </c>
      <c r="K340" s="1" t="s">
        <v>4829</v>
      </c>
      <c r="L340" s="5">
        <f t="shared" si="4"/>
        <v>0.9608</v>
      </c>
      <c r="M340" s="6" t="s">
        <v>6323</v>
      </c>
      <c r="N340" s="5">
        <f t="shared" si="5"/>
        <v>157</v>
      </c>
    </row>
    <row r="341">
      <c r="A341" s="6" t="s">
        <v>5010</v>
      </c>
      <c r="B341" s="6" t="s">
        <v>600</v>
      </c>
      <c r="C341" s="5">
        <f t="shared" si="1"/>
        <v>7</v>
      </c>
      <c r="D341" s="1" t="s">
        <v>12</v>
      </c>
      <c r="E341" s="1" t="s">
        <v>4127</v>
      </c>
      <c r="F341" s="1" t="s">
        <v>17</v>
      </c>
      <c r="G341" s="6" t="s">
        <v>6324</v>
      </c>
      <c r="H341" s="5">
        <f t="shared" si="2"/>
        <v>1.5616</v>
      </c>
      <c r="I341" s="1" t="s">
        <v>4830</v>
      </c>
      <c r="J341" s="1">
        <f t="shared" si="3"/>
        <v>116.544716</v>
      </c>
      <c r="K341" s="1" t="s">
        <v>4831</v>
      </c>
      <c r="L341" s="5">
        <f t="shared" si="4"/>
        <v>0.5466</v>
      </c>
      <c r="M341" s="6" t="s">
        <v>3836</v>
      </c>
      <c r="N341" s="5">
        <f t="shared" si="5"/>
        <v>107</v>
      </c>
    </row>
    <row r="342">
      <c r="A342" s="6" t="s">
        <v>5010</v>
      </c>
      <c r="B342" s="6" t="s">
        <v>600</v>
      </c>
      <c r="C342" s="5">
        <f t="shared" si="1"/>
        <v>7</v>
      </c>
      <c r="D342" s="1" t="s">
        <v>12</v>
      </c>
      <c r="E342" s="1" t="s">
        <v>42</v>
      </c>
      <c r="F342" s="1" t="s">
        <v>17</v>
      </c>
      <c r="G342" s="1" t="s">
        <v>4832</v>
      </c>
      <c r="H342" s="5">
        <f t="shared" si="2"/>
        <v>0.6761</v>
      </c>
      <c r="I342" s="1" t="s">
        <v>4833</v>
      </c>
      <c r="J342" s="1">
        <f t="shared" si="3"/>
        <v>116.102321</v>
      </c>
      <c r="K342" s="1" t="s">
        <v>4834</v>
      </c>
      <c r="L342" s="5">
        <f t="shared" si="4"/>
        <v>0.2502</v>
      </c>
      <c r="M342" s="6" t="s">
        <v>291</v>
      </c>
      <c r="N342" s="5">
        <f t="shared" si="5"/>
        <v>0</v>
      </c>
    </row>
    <row r="343">
      <c r="A343" s="6" t="s">
        <v>5010</v>
      </c>
      <c r="B343" s="6" t="s">
        <v>600</v>
      </c>
      <c r="C343" s="5">
        <f t="shared" si="1"/>
        <v>7</v>
      </c>
      <c r="D343" s="1" t="s">
        <v>12</v>
      </c>
      <c r="E343" s="1" t="s">
        <v>56</v>
      </c>
      <c r="F343" s="1" t="s">
        <v>21</v>
      </c>
      <c r="G343" s="1" t="s">
        <v>4835</v>
      </c>
      <c r="H343" s="5">
        <f t="shared" si="2"/>
        <v>0.4468</v>
      </c>
      <c r="I343" s="1" t="s">
        <v>4837</v>
      </c>
      <c r="J343" s="1">
        <f t="shared" si="3"/>
        <v>74.509653</v>
      </c>
      <c r="K343" s="1" t="s">
        <v>4838</v>
      </c>
      <c r="L343" s="5">
        <f t="shared" si="4"/>
        <v>0.1787</v>
      </c>
      <c r="M343" s="6" t="s">
        <v>6325</v>
      </c>
      <c r="N343" s="5">
        <f t="shared" si="5"/>
        <v>146</v>
      </c>
    </row>
    <row r="344">
      <c r="A344" s="6" t="s">
        <v>5010</v>
      </c>
      <c r="B344" s="6" t="s">
        <v>600</v>
      </c>
      <c r="C344" s="5">
        <f t="shared" si="1"/>
        <v>7</v>
      </c>
      <c r="D344" s="1" t="s">
        <v>12</v>
      </c>
      <c r="E344" s="1" t="s">
        <v>3962</v>
      </c>
      <c r="F344" s="1" t="s">
        <v>17</v>
      </c>
      <c r="G344" s="1" t="s">
        <v>4839</v>
      </c>
      <c r="H344" s="5">
        <f t="shared" si="2"/>
        <v>0.8097</v>
      </c>
      <c r="I344" s="1" t="s">
        <v>4840</v>
      </c>
      <c r="J344" s="1">
        <f t="shared" si="3"/>
        <v>70.919378</v>
      </c>
      <c r="K344" s="1" t="s">
        <v>4841</v>
      </c>
      <c r="L344" s="5">
        <f t="shared" si="4"/>
        <v>0.2833</v>
      </c>
      <c r="M344" s="6" t="s">
        <v>2709</v>
      </c>
      <c r="N344" s="5">
        <f t="shared" si="5"/>
        <v>114</v>
      </c>
    </row>
    <row r="345">
      <c r="A345" s="6" t="s">
        <v>5010</v>
      </c>
      <c r="B345" s="6" t="s">
        <v>600</v>
      </c>
      <c r="C345" s="5">
        <f t="shared" si="1"/>
        <v>7</v>
      </c>
      <c r="D345" s="1" t="s">
        <v>12</v>
      </c>
      <c r="E345" s="1" t="s">
        <v>4842</v>
      </c>
      <c r="F345" s="1" t="s">
        <v>17</v>
      </c>
      <c r="G345" s="1" t="s">
        <v>4843</v>
      </c>
      <c r="H345" s="5">
        <f t="shared" si="2"/>
        <v>0.6055</v>
      </c>
      <c r="I345" s="1" t="s">
        <v>4844</v>
      </c>
      <c r="J345" s="1">
        <f t="shared" si="3"/>
        <v>36.580792</v>
      </c>
      <c r="K345" s="1" t="s">
        <v>4846</v>
      </c>
      <c r="L345" s="5">
        <f t="shared" si="4"/>
        <v>0.2119</v>
      </c>
      <c r="M345" s="6" t="s">
        <v>291</v>
      </c>
      <c r="N345" s="5">
        <f t="shared" si="5"/>
        <v>0</v>
      </c>
    </row>
    <row r="346">
      <c r="A346" s="6" t="s">
        <v>5010</v>
      </c>
      <c r="B346" s="6" t="s">
        <v>600</v>
      </c>
      <c r="C346" s="5">
        <f t="shared" si="1"/>
        <v>7</v>
      </c>
      <c r="D346" s="1" t="s">
        <v>68</v>
      </c>
      <c r="E346" s="1" t="s">
        <v>13</v>
      </c>
      <c r="F346" s="1" t="s">
        <v>14</v>
      </c>
      <c r="G346" s="1" t="s">
        <v>4847</v>
      </c>
      <c r="H346" s="5">
        <f t="shared" si="2"/>
        <v>21.6452</v>
      </c>
      <c r="I346" s="1" t="s">
        <v>4848</v>
      </c>
      <c r="J346" s="1">
        <f t="shared" si="3"/>
        <v>1619.21498</v>
      </c>
      <c r="K346" s="6" t="s">
        <v>6326</v>
      </c>
      <c r="L346" s="5">
        <f t="shared" si="4"/>
        <v>4.5455</v>
      </c>
      <c r="M346" s="6" t="s">
        <v>6327</v>
      </c>
      <c r="N346" s="5">
        <f t="shared" si="5"/>
        <v>4711</v>
      </c>
    </row>
    <row r="347">
      <c r="A347" s="6" t="s">
        <v>5010</v>
      </c>
      <c r="B347" s="6" t="s">
        <v>600</v>
      </c>
      <c r="C347" s="5">
        <f t="shared" si="1"/>
        <v>7</v>
      </c>
      <c r="D347" s="1" t="s">
        <v>68</v>
      </c>
      <c r="E347" s="1" t="s">
        <v>13</v>
      </c>
      <c r="F347" s="1" t="s">
        <v>17</v>
      </c>
      <c r="G347" s="1" t="s">
        <v>4849</v>
      </c>
      <c r="H347" s="5">
        <f t="shared" si="2"/>
        <v>59.8725</v>
      </c>
      <c r="I347" s="1" t="s">
        <v>4850</v>
      </c>
      <c r="J347" s="1">
        <f t="shared" si="3"/>
        <v>6284.66363</v>
      </c>
      <c r="K347" s="1" t="s">
        <v>4851</v>
      </c>
      <c r="L347" s="5">
        <f t="shared" si="4"/>
        <v>20.9554</v>
      </c>
      <c r="M347" s="6" t="s">
        <v>6328</v>
      </c>
      <c r="N347" s="5">
        <f t="shared" si="5"/>
        <v>9650</v>
      </c>
    </row>
    <row r="348">
      <c r="A348" s="6" t="s">
        <v>5010</v>
      </c>
      <c r="B348" s="6" t="s">
        <v>600</v>
      </c>
      <c r="C348" s="5">
        <f t="shared" si="1"/>
        <v>7</v>
      </c>
      <c r="D348" s="1" t="s">
        <v>68</v>
      </c>
      <c r="E348" s="1" t="s">
        <v>13</v>
      </c>
      <c r="F348" s="1" t="s">
        <v>21</v>
      </c>
      <c r="G348" s="6" t="s">
        <v>6329</v>
      </c>
      <c r="H348" s="5">
        <f t="shared" si="2"/>
        <v>1.7909</v>
      </c>
      <c r="I348" s="1" t="s">
        <v>4852</v>
      </c>
      <c r="J348" s="1">
        <f t="shared" si="3"/>
        <v>304.384897</v>
      </c>
      <c r="K348" s="1" t="s">
        <v>4853</v>
      </c>
      <c r="L348" s="5">
        <f t="shared" si="4"/>
        <v>0.8954</v>
      </c>
      <c r="M348" s="6" t="s">
        <v>5225</v>
      </c>
      <c r="N348" s="5">
        <f t="shared" si="5"/>
        <v>432</v>
      </c>
    </row>
    <row r="349">
      <c r="A349" s="6" t="s">
        <v>5010</v>
      </c>
      <c r="B349" s="6" t="s">
        <v>600</v>
      </c>
      <c r="C349" s="5">
        <f t="shared" si="1"/>
        <v>7</v>
      </c>
      <c r="D349" s="1" t="s">
        <v>68</v>
      </c>
      <c r="E349" s="1" t="s">
        <v>13</v>
      </c>
      <c r="F349" s="1" t="s">
        <v>25</v>
      </c>
      <c r="G349" s="1" t="s">
        <v>4338</v>
      </c>
      <c r="H349" s="5">
        <f t="shared" si="2"/>
        <v>0.2933</v>
      </c>
      <c r="I349" s="1" t="s">
        <v>4339</v>
      </c>
      <c r="J349" s="1">
        <f t="shared" si="3"/>
        <v>47.36375</v>
      </c>
      <c r="K349" s="1" t="s">
        <v>3128</v>
      </c>
      <c r="L349" s="5">
        <f t="shared" si="4"/>
        <v>0.2199</v>
      </c>
      <c r="M349" s="6" t="s">
        <v>765</v>
      </c>
      <c r="N349" s="5">
        <f t="shared" si="5"/>
        <v>168</v>
      </c>
    </row>
    <row r="350">
      <c r="A350" s="6" t="s">
        <v>5010</v>
      </c>
      <c r="B350" s="6" t="s">
        <v>600</v>
      </c>
      <c r="C350" s="5">
        <f t="shared" si="1"/>
        <v>7</v>
      </c>
      <c r="D350" s="1" t="s">
        <v>68</v>
      </c>
      <c r="E350" s="1" t="s">
        <v>29</v>
      </c>
      <c r="F350" s="1" t="s">
        <v>14</v>
      </c>
      <c r="G350" s="1" t="s">
        <v>4854</v>
      </c>
      <c r="H350" s="5">
        <f t="shared" si="2"/>
        <v>0.486</v>
      </c>
      <c r="I350" s="1" t="s">
        <v>4855</v>
      </c>
      <c r="J350" s="1">
        <f t="shared" si="3"/>
        <v>65.735039</v>
      </c>
      <c r="K350" s="1" t="s">
        <v>4856</v>
      </c>
      <c r="L350" s="5">
        <f t="shared" si="4"/>
        <v>0.0972</v>
      </c>
      <c r="M350" s="6" t="s">
        <v>4716</v>
      </c>
      <c r="N350" s="5">
        <f t="shared" si="5"/>
        <v>83</v>
      </c>
    </row>
    <row r="351">
      <c r="A351" s="6" t="s">
        <v>5010</v>
      </c>
      <c r="B351" s="6" t="s">
        <v>600</v>
      </c>
      <c r="C351" s="5">
        <f t="shared" si="1"/>
        <v>7</v>
      </c>
      <c r="D351" s="1" t="s">
        <v>68</v>
      </c>
      <c r="E351" s="1" t="s">
        <v>29</v>
      </c>
      <c r="F351" s="1" t="s">
        <v>21</v>
      </c>
      <c r="G351" s="6" t="s">
        <v>6330</v>
      </c>
      <c r="H351" s="5">
        <f t="shared" si="2"/>
        <v>10.2943</v>
      </c>
      <c r="I351" s="1" t="s">
        <v>4857</v>
      </c>
      <c r="J351" s="1">
        <f t="shared" si="3"/>
        <v>1980.956217</v>
      </c>
      <c r="K351" s="6" t="s">
        <v>4858</v>
      </c>
      <c r="L351" s="5">
        <f t="shared" si="4"/>
        <v>4.1177</v>
      </c>
      <c r="M351" s="6" t="s">
        <v>6331</v>
      </c>
      <c r="N351" s="5">
        <f t="shared" si="5"/>
        <v>1693</v>
      </c>
    </row>
    <row r="352">
      <c r="A352" s="6" t="s">
        <v>5010</v>
      </c>
      <c r="B352" s="6" t="s">
        <v>600</v>
      </c>
      <c r="C352" s="5">
        <f t="shared" si="1"/>
        <v>7</v>
      </c>
      <c r="D352" s="1" t="s">
        <v>68</v>
      </c>
      <c r="E352" s="1" t="s">
        <v>45</v>
      </c>
      <c r="F352" s="1" t="s">
        <v>49</v>
      </c>
      <c r="G352" s="6" t="s">
        <v>4860</v>
      </c>
      <c r="H352" s="5">
        <f t="shared" si="2"/>
        <v>1.0439</v>
      </c>
      <c r="I352" s="1" t="s">
        <v>4861</v>
      </c>
      <c r="J352" s="1">
        <f t="shared" si="3"/>
        <v>59.966876</v>
      </c>
      <c r="K352" s="1" t="s">
        <v>4862</v>
      </c>
      <c r="L352" s="5">
        <f t="shared" si="4"/>
        <v>0.2715</v>
      </c>
      <c r="M352" s="6" t="s">
        <v>5338</v>
      </c>
      <c r="N352" s="5">
        <f t="shared" si="5"/>
        <v>133</v>
      </c>
    </row>
    <row r="353">
      <c r="A353" s="6" t="s">
        <v>5010</v>
      </c>
      <c r="B353" s="6" t="s">
        <v>600</v>
      </c>
      <c r="C353" s="5">
        <f t="shared" si="1"/>
        <v>7</v>
      </c>
      <c r="D353" s="1" t="s">
        <v>68</v>
      </c>
      <c r="E353" s="1" t="s">
        <v>45</v>
      </c>
      <c r="F353" s="1" t="s">
        <v>17</v>
      </c>
      <c r="G353" s="6" t="s">
        <v>6332</v>
      </c>
      <c r="H353" s="5">
        <f t="shared" si="2"/>
        <v>6.6272</v>
      </c>
      <c r="I353" s="1" t="s">
        <v>4863</v>
      </c>
      <c r="J353" s="1">
        <f t="shared" si="3"/>
        <v>438.452184</v>
      </c>
      <c r="K353" s="6" t="s">
        <v>6333</v>
      </c>
      <c r="L353" s="5">
        <f t="shared" si="4"/>
        <v>2.3858</v>
      </c>
      <c r="M353" s="6" t="s">
        <v>6334</v>
      </c>
      <c r="N353" s="5">
        <f t="shared" si="5"/>
        <v>1430</v>
      </c>
    </row>
    <row r="354">
      <c r="A354" s="6" t="s">
        <v>5010</v>
      </c>
      <c r="B354" s="6" t="s">
        <v>600</v>
      </c>
      <c r="C354" s="5">
        <f t="shared" si="1"/>
        <v>7</v>
      </c>
      <c r="D354" s="1" t="s">
        <v>68</v>
      </c>
      <c r="E354" s="1" t="s">
        <v>38</v>
      </c>
      <c r="F354" s="1" t="s">
        <v>39</v>
      </c>
      <c r="G354" s="6" t="s">
        <v>6335</v>
      </c>
      <c r="H354" s="5">
        <f t="shared" si="2"/>
        <v>3.7983</v>
      </c>
      <c r="I354" s="1" t="s">
        <v>4864</v>
      </c>
      <c r="J354" s="1">
        <f t="shared" si="3"/>
        <v>348.845767</v>
      </c>
      <c r="K354" s="1" t="s">
        <v>4866</v>
      </c>
      <c r="L354" s="5">
        <f t="shared" si="4"/>
        <v>0.6837</v>
      </c>
      <c r="M354" s="6" t="s">
        <v>6336</v>
      </c>
      <c r="N354" s="5">
        <f t="shared" si="5"/>
        <v>1365</v>
      </c>
    </row>
    <row r="355">
      <c r="A355" s="6" t="s">
        <v>5010</v>
      </c>
      <c r="B355" s="6" t="s">
        <v>600</v>
      </c>
      <c r="C355" s="5">
        <f t="shared" si="1"/>
        <v>7</v>
      </c>
      <c r="D355" s="1" t="s">
        <v>68</v>
      </c>
      <c r="E355" s="1" t="s">
        <v>1851</v>
      </c>
      <c r="F355" s="1" t="s">
        <v>17</v>
      </c>
      <c r="G355" s="1" t="s">
        <v>2101</v>
      </c>
      <c r="H355" s="5">
        <f t="shared" si="2"/>
        <v>2.667</v>
      </c>
      <c r="I355" s="1" t="s">
        <v>4868</v>
      </c>
      <c r="J355" s="1">
        <f t="shared" si="3"/>
        <v>157.555681</v>
      </c>
      <c r="K355" s="6" t="s">
        <v>1172</v>
      </c>
      <c r="L355" s="5">
        <f t="shared" si="4"/>
        <v>1.0267</v>
      </c>
      <c r="M355" s="6" t="s">
        <v>2791</v>
      </c>
      <c r="N355" s="5">
        <f t="shared" si="5"/>
        <v>780</v>
      </c>
    </row>
    <row r="356">
      <c r="A356" s="6" t="s">
        <v>5010</v>
      </c>
      <c r="B356" s="6" t="s">
        <v>600</v>
      </c>
      <c r="C356" s="5">
        <f t="shared" si="1"/>
        <v>7</v>
      </c>
      <c r="D356" s="1" t="s">
        <v>68</v>
      </c>
      <c r="E356" s="1" t="s">
        <v>1851</v>
      </c>
      <c r="F356" s="1" t="s">
        <v>21</v>
      </c>
      <c r="G356" s="1" t="s">
        <v>4870</v>
      </c>
      <c r="H356" s="5">
        <f t="shared" si="2"/>
        <v>0.3178</v>
      </c>
      <c r="I356" s="1" t="s">
        <v>4871</v>
      </c>
      <c r="J356" s="1">
        <f t="shared" si="3"/>
        <v>22.29946</v>
      </c>
      <c r="K356" s="1" t="s">
        <v>4872</v>
      </c>
      <c r="L356" s="5">
        <f t="shared" si="4"/>
        <v>0.1557</v>
      </c>
      <c r="M356" s="6" t="s">
        <v>6325</v>
      </c>
      <c r="N356" s="5">
        <f t="shared" si="5"/>
        <v>146</v>
      </c>
    </row>
    <row r="357">
      <c r="A357" s="6" t="s">
        <v>5010</v>
      </c>
      <c r="B357" s="6" t="s">
        <v>600</v>
      </c>
      <c r="C357" s="5">
        <f t="shared" si="1"/>
        <v>7</v>
      </c>
      <c r="D357" s="1" t="s">
        <v>68</v>
      </c>
      <c r="E357" s="1" t="s">
        <v>42</v>
      </c>
      <c r="F357" s="1" t="s">
        <v>17</v>
      </c>
      <c r="G357" s="1" t="s">
        <v>4873</v>
      </c>
      <c r="H357" s="5">
        <f t="shared" si="2"/>
        <v>0.7056</v>
      </c>
      <c r="I357" s="1" t="s">
        <v>4874</v>
      </c>
      <c r="J357" s="1">
        <f t="shared" si="3"/>
        <v>148.367583</v>
      </c>
      <c r="K357" s="1" t="s">
        <v>3921</v>
      </c>
      <c r="L357" s="5">
        <f t="shared" si="4"/>
        <v>0.2611</v>
      </c>
      <c r="M357" s="6" t="s">
        <v>291</v>
      </c>
      <c r="N357" s="5">
        <f t="shared" si="5"/>
        <v>0</v>
      </c>
    </row>
    <row r="358">
      <c r="A358" s="6" t="s">
        <v>5010</v>
      </c>
      <c r="B358" s="6" t="s">
        <v>600</v>
      </c>
      <c r="C358" s="5">
        <f t="shared" si="1"/>
        <v>7</v>
      </c>
      <c r="D358" s="1" t="s">
        <v>68</v>
      </c>
      <c r="E358" s="1" t="s">
        <v>3962</v>
      </c>
      <c r="F358" s="1" t="s">
        <v>17</v>
      </c>
      <c r="G358" s="6" t="s">
        <v>6337</v>
      </c>
      <c r="H358" s="5">
        <f t="shared" si="2"/>
        <v>1.2556</v>
      </c>
      <c r="I358" s="1" t="s">
        <v>4875</v>
      </c>
      <c r="J358" s="1">
        <f t="shared" si="3"/>
        <v>115.030749</v>
      </c>
      <c r="K358" s="1" t="s">
        <v>4876</v>
      </c>
      <c r="L358" s="5">
        <f t="shared" si="4"/>
        <v>0.4395</v>
      </c>
      <c r="M358" s="6" t="s">
        <v>6142</v>
      </c>
      <c r="N358" s="5">
        <f t="shared" si="5"/>
        <v>554</v>
      </c>
    </row>
    <row r="359">
      <c r="A359" s="6" t="s">
        <v>5010</v>
      </c>
      <c r="B359" s="6" t="s">
        <v>600</v>
      </c>
      <c r="C359" s="5">
        <f t="shared" si="1"/>
        <v>7</v>
      </c>
      <c r="D359" s="1" t="s">
        <v>68</v>
      </c>
      <c r="E359" s="1" t="s">
        <v>4127</v>
      </c>
      <c r="F359" s="1" t="s">
        <v>17</v>
      </c>
      <c r="G359" s="6" t="s">
        <v>4877</v>
      </c>
      <c r="H359" s="5">
        <f t="shared" si="2"/>
        <v>1.0859</v>
      </c>
      <c r="I359" s="1" t="s">
        <v>4878</v>
      </c>
      <c r="J359" s="1">
        <f t="shared" si="3"/>
        <v>87.554178</v>
      </c>
      <c r="K359" s="1" t="s">
        <v>4879</v>
      </c>
      <c r="L359" s="5">
        <f t="shared" si="4"/>
        <v>0.3801</v>
      </c>
      <c r="M359" s="6" t="s">
        <v>728</v>
      </c>
      <c r="N359" s="5">
        <f t="shared" si="5"/>
        <v>525</v>
      </c>
    </row>
    <row r="360">
      <c r="A360" s="6" t="s">
        <v>5010</v>
      </c>
      <c r="B360" s="6" t="s">
        <v>600</v>
      </c>
      <c r="C360" s="5">
        <f t="shared" si="1"/>
        <v>7</v>
      </c>
      <c r="D360" s="1" t="s">
        <v>68</v>
      </c>
      <c r="E360" s="1" t="s">
        <v>48</v>
      </c>
      <c r="F360" s="1" t="s">
        <v>49</v>
      </c>
      <c r="G360" s="1" t="s">
        <v>414</v>
      </c>
      <c r="H360" s="5">
        <f t="shared" si="2"/>
        <v>0.0007</v>
      </c>
      <c r="I360" s="1" t="s">
        <v>4880</v>
      </c>
      <c r="J360" s="1">
        <f t="shared" si="3"/>
        <v>0.279082</v>
      </c>
      <c r="K360" s="1" t="s">
        <v>376</v>
      </c>
      <c r="L360" s="5">
        <f t="shared" si="4"/>
        <v>0.0002</v>
      </c>
      <c r="M360" s="6" t="s">
        <v>291</v>
      </c>
      <c r="N360" s="5">
        <f t="shared" si="5"/>
        <v>0</v>
      </c>
    </row>
    <row r="361">
      <c r="A361" s="6" t="s">
        <v>5010</v>
      </c>
      <c r="B361" s="6" t="s">
        <v>600</v>
      </c>
      <c r="C361" s="5">
        <f t="shared" si="1"/>
        <v>7</v>
      </c>
      <c r="D361" s="1" t="s">
        <v>68</v>
      </c>
      <c r="E361" s="1" t="s">
        <v>48</v>
      </c>
      <c r="F361" s="1" t="s">
        <v>72</v>
      </c>
      <c r="G361" s="1" t="s">
        <v>3855</v>
      </c>
      <c r="H361" s="5">
        <f t="shared" si="2"/>
        <v>0.0039</v>
      </c>
      <c r="I361" s="1" t="s">
        <v>4881</v>
      </c>
      <c r="J361" s="1">
        <f t="shared" si="3"/>
        <v>1.31538</v>
      </c>
      <c r="K361" s="1" t="s">
        <v>1813</v>
      </c>
      <c r="L361" s="5">
        <f t="shared" si="4"/>
        <v>0.0012</v>
      </c>
      <c r="M361" s="6" t="s">
        <v>291</v>
      </c>
      <c r="N361" s="5">
        <f t="shared" si="5"/>
        <v>0</v>
      </c>
    </row>
    <row r="362">
      <c r="A362" s="6" t="s">
        <v>5010</v>
      </c>
      <c r="B362" s="6" t="s">
        <v>600</v>
      </c>
      <c r="C362" s="5">
        <f t="shared" si="1"/>
        <v>7</v>
      </c>
      <c r="D362" s="1" t="s">
        <v>68</v>
      </c>
      <c r="E362" s="1" t="s">
        <v>48</v>
      </c>
      <c r="F362" s="1" t="s">
        <v>21</v>
      </c>
      <c r="G362" s="1" t="s">
        <v>4882</v>
      </c>
      <c r="H362" s="5">
        <f t="shared" si="2"/>
        <v>0.5415</v>
      </c>
      <c r="I362" s="1" t="s">
        <v>4883</v>
      </c>
      <c r="J362" s="1">
        <f t="shared" si="3"/>
        <v>82.367585</v>
      </c>
      <c r="K362" s="1" t="s">
        <v>4885</v>
      </c>
      <c r="L362" s="5">
        <f t="shared" si="4"/>
        <v>0.2166</v>
      </c>
      <c r="M362" s="6" t="s">
        <v>291</v>
      </c>
      <c r="N362" s="5">
        <f t="shared" si="5"/>
        <v>0</v>
      </c>
    </row>
    <row r="363">
      <c r="A363" s="6" t="s">
        <v>5010</v>
      </c>
      <c r="B363" s="6" t="s">
        <v>600</v>
      </c>
      <c r="C363" s="5">
        <f t="shared" si="1"/>
        <v>7</v>
      </c>
      <c r="D363" s="1" t="s">
        <v>68</v>
      </c>
      <c r="E363" s="1" t="s">
        <v>32</v>
      </c>
      <c r="F363" s="1" t="s">
        <v>14</v>
      </c>
      <c r="G363" s="6" t="s">
        <v>6338</v>
      </c>
      <c r="H363" s="5">
        <f t="shared" si="2"/>
        <v>1.2143</v>
      </c>
      <c r="I363" s="1" t="s">
        <v>4887</v>
      </c>
      <c r="J363" s="1">
        <f t="shared" si="3"/>
        <v>80.504517</v>
      </c>
      <c r="K363" s="1" t="s">
        <v>4888</v>
      </c>
      <c r="L363" s="5">
        <f t="shared" si="4"/>
        <v>0.2793</v>
      </c>
      <c r="M363" s="6" t="s">
        <v>291</v>
      </c>
      <c r="N363" s="5">
        <f t="shared" si="5"/>
        <v>0</v>
      </c>
    </row>
    <row r="364">
      <c r="A364" s="6" t="s">
        <v>5010</v>
      </c>
      <c r="B364" s="6" t="s">
        <v>600</v>
      </c>
      <c r="C364" s="5">
        <f t="shared" si="1"/>
        <v>7</v>
      </c>
      <c r="D364" s="1" t="s">
        <v>68</v>
      </c>
      <c r="E364" s="1" t="s">
        <v>32</v>
      </c>
      <c r="F364" s="1" t="s">
        <v>21</v>
      </c>
      <c r="G364" s="1" t="s">
        <v>414</v>
      </c>
      <c r="H364" s="5">
        <f t="shared" si="2"/>
        <v>0.0007</v>
      </c>
      <c r="I364" s="1" t="s">
        <v>4890</v>
      </c>
      <c r="J364" s="1">
        <f t="shared" si="3"/>
        <v>0.106023</v>
      </c>
      <c r="K364" s="1" t="s">
        <v>333</v>
      </c>
      <c r="L364" s="5">
        <f t="shared" si="4"/>
        <v>0.0003</v>
      </c>
      <c r="M364" s="6" t="s">
        <v>291</v>
      </c>
      <c r="N364" s="5">
        <f t="shared" si="5"/>
        <v>0</v>
      </c>
    </row>
    <row r="365">
      <c r="A365" s="6" t="s">
        <v>5010</v>
      </c>
      <c r="B365" s="6" t="s">
        <v>600</v>
      </c>
      <c r="C365" s="5">
        <f t="shared" si="1"/>
        <v>7</v>
      </c>
      <c r="D365" s="1" t="s">
        <v>116</v>
      </c>
      <c r="E365" s="1" t="s">
        <v>13</v>
      </c>
      <c r="F365" s="1" t="s">
        <v>14</v>
      </c>
      <c r="G365" s="1" t="s">
        <v>4892</v>
      </c>
      <c r="H365" s="5">
        <f t="shared" si="2"/>
        <v>40.0903</v>
      </c>
      <c r="I365" s="1" t="s">
        <v>4893</v>
      </c>
      <c r="J365" s="1">
        <f t="shared" si="3"/>
        <v>2873.741751</v>
      </c>
      <c r="K365" s="6" t="s">
        <v>6339</v>
      </c>
      <c r="L365" s="5">
        <f t="shared" si="4"/>
        <v>8.4189</v>
      </c>
      <c r="M365" s="6" t="s">
        <v>6340</v>
      </c>
      <c r="N365" s="5">
        <f t="shared" si="5"/>
        <v>7904</v>
      </c>
    </row>
    <row r="366">
      <c r="A366" s="6" t="s">
        <v>5010</v>
      </c>
      <c r="B366" s="6" t="s">
        <v>600</v>
      </c>
      <c r="C366" s="5">
        <f t="shared" si="1"/>
        <v>7</v>
      </c>
      <c r="D366" s="1" t="s">
        <v>116</v>
      </c>
      <c r="E366" s="1" t="s">
        <v>13</v>
      </c>
      <c r="F366" s="1" t="s">
        <v>17</v>
      </c>
      <c r="G366" s="1" t="s">
        <v>4894</v>
      </c>
      <c r="H366" s="5">
        <f t="shared" si="2"/>
        <v>154.4919</v>
      </c>
      <c r="I366" s="1" t="s">
        <v>4895</v>
      </c>
      <c r="J366" s="1">
        <f t="shared" si="3"/>
        <v>15221.22025</v>
      </c>
      <c r="K366" s="1" t="s">
        <v>4896</v>
      </c>
      <c r="L366" s="5">
        <f t="shared" si="4"/>
        <v>54.0723</v>
      </c>
      <c r="M366" s="6" t="s">
        <v>6341</v>
      </c>
      <c r="N366" s="5">
        <f t="shared" si="5"/>
        <v>18868</v>
      </c>
    </row>
    <row r="367">
      <c r="A367" s="6" t="s">
        <v>5010</v>
      </c>
      <c r="B367" s="6" t="s">
        <v>600</v>
      </c>
      <c r="C367" s="5">
        <f t="shared" si="1"/>
        <v>7</v>
      </c>
      <c r="D367" s="1" t="s">
        <v>116</v>
      </c>
      <c r="E367" s="1" t="s">
        <v>13</v>
      </c>
      <c r="F367" s="1" t="s">
        <v>21</v>
      </c>
      <c r="G367" s="6" t="s">
        <v>6342</v>
      </c>
      <c r="H367" s="5">
        <f t="shared" si="2"/>
        <v>8.9411</v>
      </c>
      <c r="I367" s="1" t="s">
        <v>4897</v>
      </c>
      <c r="J367" s="1">
        <f t="shared" si="3"/>
        <v>1254.763085</v>
      </c>
      <c r="K367" s="6" t="s">
        <v>6343</v>
      </c>
      <c r="L367" s="5">
        <f t="shared" si="4"/>
        <v>4.4704</v>
      </c>
      <c r="M367" s="6" t="s">
        <v>6344</v>
      </c>
      <c r="N367" s="5">
        <f t="shared" si="5"/>
        <v>724</v>
      </c>
    </row>
    <row r="368">
      <c r="A368" s="6" t="s">
        <v>5010</v>
      </c>
      <c r="B368" s="6" t="s">
        <v>600</v>
      </c>
      <c r="C368" s="5">
        <f t="shared" si="1"/>
        <v>7</v>
      </c>
      <c r="D368" s="1" t="s">
        <v>116</v>
      </c>
      <c r="E368" s="1" t="s">
        <v>13</v>
      </c>
      <c r="F368" s="1" t="s">
        <v>25</v>
      </c>
      <c r="G368" s="1" t="s">
        <v>4398</v>
      </c>
      <c r="H368" s="5">
        <f t="shared" si="2"/>
        <v>0.0173</v>
      </c>
      <c r="I368" s="1" t="s">
        <v>4399</v>
      </c>
      <c r="J368" s="1">
        <f t="shared" si="3"/>
        <v>3.582185</v>
      </c>
      <c r="K368" s="1" t="s">
        <v>2801</v>
      </c>
      <c r="L368" s="5">
        <f t="shared" si="4"/>
        <v>0.013</v>
      </c>
      <c r="M368" s="6" t="s">
        <v>3552</v>
      </c>
      <c r="N368" s="5">
        <f t="shared" si="5"/>
        <v>5</v>
      </c>
    </row>
    <row r="369">
      <c r="A369" s="6" t="s">
        <v>5010</v>
      </c>
      <c r="B369" s="6" t="s">
        <v>600</v>
      </c>
      <c r="C369" s="5">
        <f t="shared" si="1"/>
        <v>7</v>
      </c>
      <c r="D369" s="1" t="s">
        <v>116</v>
      </c>
      <c r="E369" s="1" t="s">
        <v>29</v>
      </c>
      <c r="F369" s="1" t="s">
        <v>14</v>
      </c>
      <c r="G369" s="6" t="s">
        <v>6345</v>
      </c>
      <c r="H369" s="5">
        <f t="shared" si="2"/>
        <v>1.0061</v>
      </c>
      <c r="I369" s="1" t="s">
        <v>4898</v>
      </c>
      <c r="J369" s="1">
        <f t="shared" si="3"/>
        <v>141.818135</v>
      </c>
      <c r="K369" s="1" t="s">
        <v>4899</v>
      </c>
      <c r="L369" s="5">
        <f t="shared" si="4"/>
        <v>0.2012</v>
      </c>
      <c r="M369" s="6" t="s">
        <v>6346</v>
      </c>
      <c r="N369" s="5">
        <f t="shared" si="5"/>
        <v>224</v>
      </c>
    </row>
    <row r="370">
      <c r="A370" s="6" t="s">
        <v>5010</v>
      </c>
      <c r="B370" s="6" t="s">
        <v>600</v>
      </c>
      <c r="C370" s="5">
        <f t="shared" si="1"/>
        <v>7</v>
      </c>
      <c r="D370" s="1" t="s">
        <v>116</v>
      </c>
      <c r="E370" s="1" t="s">
        <v>29</v>
      </c>
      <c r="F370" s="1" t="s">
        <v>21</v>
      </c>
      <c r="G370" s="1" t="s">
        <v>4900</v>
      </c>
      <c r="H370" s="5">
        <f t="shared" si="2"/>
        <v>40.7108</v>
      </c>
      <c r="I370" s="1" t="s">
        <v>4901</v>
      </c>
      <c r="J370" s="1">
        <f t="shared" si="3"/>
        <v>7831.706976</v>
      </c>
      <c r="K370" s="1" t="s">
        <v>4902</v>
      </c>
      <c r="L370" s="5">
        <f t="shared" si="4"/>
        <v>16.2843</v>
      </c>
      <c r="M370" s="6" t="s">
        <v>6347</v>
      </c>
      <c r="N370" s="5">
        <f t="shared" si="5"/>
        <v>3981</v>
      </c>
    </row>
    <row r="371">
      <c r="A371" s="6" t="s">
        <v>5010</v>
      </c>
      <c r="B371" s="6" t="s">
        <v>600</v>
      </c>
      <c r="C371" s="5">
        <f t="shared" si="1"/>
        <v>7</v>
      </c>
      <c r="D371" s="1" t="s">
        <v>116</v>
      </c>
      <c r="E371" s="1" t="s">
        <v>45</v>
      </c>
      <c r="F371" s="1" t="s">
        <v>49</v>
      </c>
      <c r="G371" s="6" t="s">
        <v>6348</v>
      </c>
      <c r="H371" s="5">
        <f t="shared" si="2"/>
        <v>2.8408</v>
      </c>
      <c r="I371" s="1" t="s">
        <v>4903</v>
      </c>
      <c r="J371" s="1">
        <f t="shared" si="3"/>
        <v>162.031473</v>
      </c>
      <c r="K371" s="1" t="s">
        <v>4904</v>
      </c>
      <c r="L371" s="5">
        <f t="shared" si="4"/>
        <v>0.7386</v>
      </c>
      <c r="M371" s="6" t="s">
        <v>6349</v>
      </c>
      <c r="N371" s="5">
        <f t="shared" si="5"/>
        <v>357</v>
      </c>
    </row>
    <row r="372">
      <c r="A372" s="6" t="s">
        <v>5010</v>
      </c>
      <c r="B372" s="6" t="s">
        <v>600</v>
      </c>
      <c r="C372" s="5">
        <f t="shared" si="1"/>
        <v>7</v>
      </c>
      <c r="D372" s="1" t="s">
        <v>116</v>
      </c>
      <c r="E372" s="1" t="s">
        <v>45</v>
      </c>
      <c r="F372" s="1" t="s">
        <v>17</v>
      </c>
      <c r="G372" s="1" t="s">
        <v>4905</v>
      </c>
      <c r="H372" s="5">
        <f t="shared" si="2"/>
        <v>23.9214</v>
      </c>
      <c r="I372" s="1" t="s">
        <v>4906</v>
      </c>
      <c r="J372" s="1">
        <f t="shared" si="3"/>
        <v>1649.091699</v>
      </c>
      <c r="K372" s="6" t="s">
        <v>6350</v>
      </c>
      <c r="L372" s="5">
        <f t="shared" si="4"/>
        <v>8.6118</v>
      </c>
      <c r="M372" s="6" t="s">
        <v>6351</v>
      </c>
      <c r="N372" s="5">
        <f t="shared" si="5"/>
        <v>1727</v>
      </c>
    </row>
    <row r="373">
      <c r="A373" s="6" t="s">
        <v>5010</v>
      </c>
      <c r="B373" s="6" t="s">
        <v>600</v>
      </c>
      <c r="C373" s="5">
        <f t="shared" si="1"/>
        <v>7</v>
      </c>
      <c r="D373" s="1" t="s">
        <v>116</v>
      </c>
      <c r="E373" s="1" t="s">
        <v>3962</v>
      </c>
      <c r="F373" s="1" t="s">
        <v>17</v>
      </c>
      <c r="G373" s="6" t="s">
        <v>4907</v>
      </c>
      <c r="H373" s="5">
        <f t="shared" si="2"/>
        <v>9.1713</v>
      </c>
      <c r="I373" s="1" t="s">
        <v>4908</v>
      </c>
      <c r="J373" s="1">
        <f t="shared" si="3"/>
        <v>848.269895</v>
      </c>
      <c r="K373" s="6" t="s">
        <v>6352</v>
      </c>
      <c r="L373" s="5">
        <f t="shared" si="4"/>
        <v>3.2099</v>
      </c>
      <c r="M373" s="6" t="s">
        <v>6353</v>
      </c>
      <c r="N373" s="5">
        <f t="shared" si="5"/>
        <v>3168</v>
      </c>
    </row>
    <row r="374">
      <c r="A374" s="6" t="s">
        <v>5010</v>
      </c>
      <c r="B374" s="6" t="s">
        <v>600</v>
      </c>
      <c r="C374" s="5">
        <f t="shared" si="1"/>
        <v>7</v>
      </c>
      <c r="D374" s="1" t="s">
        <v>116</v>
      </c>
      <c r="E374" s="1" t="s">
        <v>48</v>
      </c>
      <c r="F374" s="1" t="s">
        <v>49</v>
      </c>
      <c r="G374" s="1" t="s">
        <v>1056</v>
      </c>
      <c r="H374" s="5">
        <f t="shared" si="2"/>
        <v>0.0014</v>
      </c>
      <c r="I374" s="1" t="s">
        <v>4909</v>
      </c>
      <c r="J374" s="1">
        <f t="shared" si="3"/>
        <v>0.525873</v>
      </c>
      <c r="K374" s="1" t="s">
        <v>75</v>
      </c>
      <c r="L374" s="5">
        <f t="shared" si="4"/>
        <v>0.0004</v>
      </c>
      <c r="M374" s="6" t="s">
        <v>397</v>
      </c>
      <c r="N374" s="5">
        <f t="shared" si="5"/>
        <v>2</v>
      </c>
    </row>
    <row r="375">
      <c r="A375" s="6" t="s">
        <v>5010</v>
      </c>
      <c r="B375" s="6" t="s">
        <v>600</v>
      </c>
      <c r="C375" s="5">
        <f t="shared" si="1"/>
        <v>7</v>
      </c>
      <c r="D375" s="1" t="s">
        <v>116</v>
      </c>
      <c r="E375" s="1" t="s">
        <v>48</v>
      </c>
      <c r="F375" s="1" t="s">
        <v>72</v>
      </c>
      <c r="G375" s="1" t="s">
        <v>4910</v>
      </c>
      <c r="H375" s="5">
        <f t="shared" si="2"/>
        <v>0.0231</v>
      </c>
      <c r="I375" s="1" t="s">
        <v>4911</v>
      </c>
      <c r="J375" s="1">
        <f t="shared" si="3"/>
        <v>7.314819</v>
      </c>
      <c r="K375" s="1" t="s">
        <v>1777</v>
      </c>
      <c r="L375" s="5">
        <f t="shared" si="4"/>
        <v>0.007</v>
      </c>
      <c r="M375" s="6" t="s">
        <v>211</v>
      </c>
      <c r="N375" s="5">
        <f t="shared" si="5"/>
        <v>29</v>
      </c>
    </row>
    <row r="376">
      <c r="A376" s="6" t="s">
        <v>5010</v>
      </c>
      <c r="B376" s="6" t="s">
        <v>600</v>
      </c>
      <c r="C376" s="5">
        <f t="shared" si="1"/>
        <v>7</v>
      </c>
      <c r="D376" s="1" t="s">
        <v>116</v>
      </c>
      <c r="E376" s="1" t="s">
        <v>48</v>
      </c>
      <c r="F376" s="1" t="s">
        <v>21</v>
      </c>
      <c r="G376" s="6" t="s">
        <v>2618</v>
      </c>
      <c r="H376" s="5">
        <f t="shared" si="2"/>
        <v>2.3618</v>
      </c>
      <c r="I376" s="1" t="s">
        <v>4912</v>
      </c>
      <c r="J376" s="1">
        <f t="shared" si="3"/>
        <v>597.382523</v>
      </c>
      <c r="K376" s="1" t="s">
        <v>4913</v>
      </c>
      <c r="L376" s="5">
        <f t="shared" si="4"/>
        <v>0.9447</v>
      </c>
      <c r="M376" s="6" t="s">
        <v>3521</v>
      </c>
      <c r="N376" s="5">
        <f t="shared" si="5"/>
        <v>406</v>
      </c>
    </row>
    <row r="377">
      <c r="A377" s="6" t="s">
        <v>5010</v>
      </c>
      <c r="B377" s="6" t="s">
        <v>600</v>
      </c>
      <c r="C377" s="5">
        <f t="shared" si="1"/>
        <v>7</v>
      </c>
      <c r="D377" s="1" t="s">
        <v>116</v>
      </c>
      <c r="E377" s="1" t="s">
        <v>38</v>
      </c>
      <c r="F377" s="1" t="s">
        <v>39</v>
      </c>
      <c r="G377" s="1" t="s">
        <v>4914</v>
      </c>
      <c r="H377" s="5">
        <f t="shared" si="2"/>
        <v>5.221</v>
      </c>
      <c r="I377" s="1" t="s">
        <v>4915</v>
      </c>
      <c r="J377" s="1">
        <f t="shared" si="3"/>
        <v>520.676349</v>
      </c>
      <c r="K377" s="1" t="s">
        <v>4916</v>
      </c>
      <c r="L377" s="5">
        <f t="shared" si="4"/>
        <v>0.9398</v>
      </c>
      <c r="M377" s="6" t="s">
        <v>6354</v>
      </c>
      <c r="N377" s="5">
        <f t="shared" si="5"/>
        <v>2169</v>
      </c>
    </row>
    <row r="378">
      <c r="A378" s="6" t="s">
        <v>5010</v>
      </c>
      <c r="B378" s="6" t="s">
        <v>600</v>
      </c>
      <c r="C378" s="5">
        <f t="shared" si="1"/>
        <v>7</v>
      </c>
      <c r="D378" s="1" t="s">
        <v>116</v>
      </c>
      <c r="E378" s="1" t="s">
        <v>1851</v>
      </c>
      <c r="F378" s="1" t="s">
        <v>17</v>
      </c>
      <c r="G378" s="6" t="s">
        <v>6355</v>
      </c>
      <c r="H378" s="5">
        <f t="shared" si="2"/>
        <v>5.7889</v>
      </c>
      <c r="I378" s="1" t="s">
        <v>4917</v>
      </c>
      <c r="J378" s="1">
        <f t="shared" si="3"/>
        <v>309.182473</v>
      </c>
      <c r="K378" s="6" t="s">
        <v>6356</v>
      </c>
      <c r="L378" s="5">
        <f t="shared" si="4"/>
        <v>2.2287</v>
      </c>
      <c r="M378" s="6" t="s">
        <v>6357</v>
      </c>
      <c r="N378" s="5">
        <f t="shared" si="5"/>
        <v>1453</v>
      </c>
    </row>
    <row r="379">
      <c r="A379" s="6" t="s">
        <v>5010</v>
      </c>
      <c r="B379" s="6" t="s">
        <v>600</v>
      </c>
      <c r="C379" s="5">
        <f t="shared" si="1"/>
        <v>7</v>
      </c>
      <c r="D379" s="1" t="s">
        <v>116</v>
      </c>
      <c r="E379" s="1" t="s">
        <v>1851</v>
      </c>
      <c r="F379" s="1" t="s">
        <v>21</v>
      </c>
      <c r="G379" s="1" t="s">
        <v>4918</v>
      </c>
      <c r="H379" s="5">
        <f t="shared" si="2"/>
        <v>0.4008</v>
      </c>
      <c r="I379" s="1" t="s">
        <v>4919</v>
      </c>
      <c r="J379" s="1">
        <f t="shared" si="3"/>
        <v>36.390825</v>
      </c>
      <c r="K379" s="1" t="s">
        <v>4920</v>
      </c>
      <c r="L379" s="5">
        <f t="shared" si="4"/>
        <v>0.1964</v>
      </c>
      <c r="M379" s="6" t="s">
        <v>4719</v>
      </c>
      <c r="N379" s="5">
        <f t="shared" si="5"/>
        <v>109</v>
      </c>
    </row>
    <row r="380">
      <c r="A380" s="6" t="s">
        <v>5010</v>
      </c>
      <c r="B380" s="6" t="s">
        <v>600</v>
      </c>
      <c r="C380" s="5">
        <f t="shared" si="1"/>
        <v>7</v>
      </c>
      <c r="D380" s="1" t="s">
        <v>116</v>
      </c>
      <c r="E380" s="1" t="s">
        <v>147</v>
      </c>
      <c r="F380" s="1" t="s">
        <v>39</v>
      </c>
      <c r="G380" s="1" t="s">
        <v>4921</v>
      </c>
      <c r="H380" s="5">
        <f t="shared" si="2"/>
        <v>0.9701</v>
      </c>
      <c r="I380" s="1" t="s">
        <v>4922</v>
      </c>
      <c r="J380" s="1">
        <f t="shared" si="3"/>
        <v>318.702764</v>
      </c>
      <c r="K380" s="1" t="s">
        <v>4923</v>
      </c>
      <c r="L380" s="5">
        <f t="shared" si="4"/>
        <v>0.1843</v>
      </c>
      <c r="M380" s="6" t="s">
        <v>4485</v>
      </c>
      <c r="N380" s="5">
        <f t="shared" si="5"/>
        <v>99</v>
      </c>
    </row>
    <row r="381">
      <c r="A381" s="6" t="s">
        <v>5010</v>
      </c>
      <c r="B381" s="6" t="s">
        <v>600</v>
      </c>
      <c r="C381" s="5">
        <f t="shared" si="1"/>
        <v>7</v>
      </c>
      <c r="D381" s="1" t="s">
        <v>116</v>
      </c>
      <c r="E381" s="1" t="s">
        <v>147</v>
      </c>
      <c r="F381" s="1" t="s">
        <v>17</v>
      </c>
      <c r="G381" s="1" t="s">
        <v>3953</v>
      </c>
      <c r="H381" s="5">
        <f t="shared" si="2"/>
        <v>0.0077</v>
      </c>
      <c r="I381" s="1" t="s">
        <v>4924</v>
      </c>
      <c r="J381" s="1">
        <f t="shared" si="3"/>
        <v>3.731573</v>
      </c>
      <c r="K381" s="1" t="s">
        <v>396</v>
      </c>
      <c r="L381" s="5">
        <f t="shared" si="4"/>
        <v>0.0027</v>
      </c>
      <c r="M381" s="6" t="s">
        <v>2677</v>
      </c>
      <c r="N381" s="5">
        <f t="shared" si="5"/>
        <v>3</v>
      </c>
    </row>
    <row r="382">
      <c r="A382" s="6" t="s">
        <v>5010</v>
      </c>
      <c r="B382" s="6" t="s">
        <v>600</v>
      </c>
      <c r="C382" s="5">
        <f t="shared" si="1"/>
        <v>7</v>
      </c>
      <c r="D382" s="1" t="s">
        <v>116</v>
      </c>
      <c r="E382" s="1" t="s">
        <v>147</v>
      </c>
      <c r="F382" s="1" t="s">
        <v>21</v>
      </c>
      <c r="G382" s="1" t="s">
        <v>4925</v>
      </c>
      <c r="H382" s="5">
        <f t="shared" si="2"/>
        <v>0.0418</v>
      </c>
      <c r="I382" s="1" t="s">
        <v>4926</v>
      </c>
      <c r="J382" s="1">
        <f t="shared" si="3"/>
        <v>22.339708</v>
      </c>
      <c r="K382" s="1" t="s">
        <v>4927</v>
      </c>
      <c r="L382" s="5">
        <f t="shared" si="4"/>
        <v>0.021</v>
      </c>
      <c r="M382" s="6" t="s">
        <v>5523</v>
      </c>
      <c r="N382" s="5">
        <f t="shared" si="5"/>
        <v>36</v>
      </c>
    </row>
    <row r="383">
      <c r="A383" s="6" t="s">
        <v>5010</v>
      </c>
      <c r="B383" s="6" t="s">
        <v>600</v>
      </c>
      <c r="C383" s="5">
        <f t="shared" si="1"/>
        <v>7</v>
      </c>
      <c r="D383" s="1" t="s">
        <v>116</v>
      </c>
      <c r="E383" s="1" t="s">
        <v>4842</v>
      </c>
      <c r="F383" s="1" t="s">
        <v>17</v>
      </c>
      <c r="G383" s="6" t="s">
        <v>6358</v>
      </c>
      <c r="H383" s="5">
        <f t="shared" si="2"/>
        <v>3.8847</v>
      </c>
      <c r="I383" s="1" t="s">
        <v>4928</v>
      </c>
      <c r="J383" s="1">
        <f t="shared" si="3"/>
        <v>224.618831</v>
      </c>
      <c r="K383" s="6" t="s">
        <v>6359</v>
      </c>
      <c r="L383" s="5">
        <f t="shared" si="4"/>
        <v>1.3597</v>
      </c>
      <c r="M383" s="6" t="s">
        <v>291</v>
      </c>
      <c r="N383" s="5">
        <f t="shared" si="5"/>
        <v>0</v>
      </c>
    </row>
    <row r="384">
      <c r="A384" s="6" t="s">
        <v>5010</v>
      </c>
      <c r="B384" s="6" t="s">
        <v>600</v>
      </c>
      <c r="C384" s="5">
        <f t="shared" si="1"/>
        <v>7</v>
      </c>
      <c r="D384" s="1" t="s">
        <v>116</v>
      </c>
      <c r="E384" s="1" t="s">
        <v>4929</v>
      </c>
      <c r="F384" s="1" t="s">
        <v>21</v>
      </c>
      <c r="G384" s="6" t="s">
        <v>4930</v>
      </c>
      <c r="H384" s="5">
        <f t="shared" si="2"/>
        <v>1.0334</v>
      </c>
      <c r="I384" s="1" t="s">
        <v>4931</v>
      </c>
      <c r="J384" s="1">
        <f t="shared" si="3"/>
        <v>198.984905</v>
      </c>
      <c r="K384" s="1" t="s">
        <v>4932</v>
      </c>
      <c r="L384" s="5">
        <f t="shared" si="4"/>
        <v>0.4133</v>
      </c>
      <c r="M384" s="6" t="s">
        <v>291</v>
      </c>
      <c r="N384" s="5">
        <f t="shared" si="5"/>
        <v>0</v>
      </c>
    </row>
    <row r="385">
      <c r="A385" s="6" t="s">
        <v>5010</v>
      </c>
      <c r="B385" s="6" t="s">
        <v>2672</v>
      </c>
      <c r="C385" s="5">
        <f t="shared" si="1"/>
        <v>8</v>
      </c>
      <c r="D385" s="1" t="s">
        <v>12</v>
      </c>
      <c r="E385" s="1" t="s">
        <v>13</v>
      </c>
      <c r="F385" s="1" t="s">
        <v>14</v>
      </c>
      <c r="G385" s="6" t="s">
        <v>4933</v>
      </c>
      <c r="H385" s="5">
        <f t="shared" si="2"/>
        <v>8.0893</v>
      </c>
      <c r="I385" s="1" t="s">
        <v>4934</v>
      </c>
      <c r="J385" s="1">
        <f t="shared" si="3"/>
        <v>594.588783</v>
      </c>
      <c r="K385" s="6" t="s">
        <v>6360</v>
      </c>
      <c r="L385" s="5">
        <f t="shared" si="4"/>
        <v>1.6988</v>
      </c>
      <c r="M385" s="6" t="s">
        <v>6086</v>
      </c>
      <c r="N385" s="5">
        <f t="shared" si="5"/>
        <v>408</v>
      </c>
    </row>
    <row r="386">
      <c r="A386" s="6" t="s">
        <v>5010</v>
      </c>
      <c r="B386" s="6" t="s">
        <v>2672</v>
      </c>
      <c r="C386" s="5">
        <f t="shared" si="1"/>
        <v>8</v>
      </c>
      <c r="D386" s="1" t="s">
        <v>12</v>
      </c>
      <c r="E386" s="1" t="s">
        <v>13</v>
      </c>
      <c r="F386" s="1" t="s">
        <v>17</v>
      </c>
      <c r="G386" s="1" t="s">
        <v>4935</v>
      </c>
      <c r="H386" s="5">
        <f t="shared" si="2"/>
        <v>30.6216</v>
      </c>
      <c r="I386" s="1" t="s">
        <v>4936</v>
      </c>
      <c r="J386" s="1">
        <f t="shared" si="3"/>
        <v>3368.865598</v>
      </c>
      <c r="K386" s="6" t="s">
        <v>6361</v>
      </c>
      <c r="L386" s="5">
        <f t="shared" si="4"/>
        <v>10.7176</v>
      </c>
      <c r="M386" s="6" t="s">
        <v>6207</v>
      </c>
      <c r="N386" s="5">
        <f t="shared" si="5"/>
        <v>636</v>
      </c>
    </row>
    <row r="387">
      <c r="A387" s="6" t="s">
        <v>5010</v>
      </c>
      <c r="B387" s="6" t="s">
        <v>2672</v>
      </c>
      <c r="C387" s="5">
        <f t="shared" si="1"/>
        <v>8</v>
      </c>
      <c r="D387" s="1" t="s">
        <v>12</v>
      </c>
      <c r="E387" s="1" t="s">
        <v>13</v>
      </c>
      <c r="F387" s="1" t="s">
        <v>21</v>
      </c>
      <c r="G387" s="1" t="s">
        <v>4937</v>
      </c>
      <c r="H387" s="5">
        <f t="shared" si="2"/>
        <v>26.0514</v>
      </c>
      <c r="I387" s="1" t="s">
        <v>4938</v>
      </c>
      <c r="J387" s="1">
        <f t="shared" si="3"/>
        <v>3372.173873</v>
      </c>
      <c r="K387" s="1" t="s">
        <v>4939</v>
      </c>
      <c r="L387" s="5">
        <f t="shared" si="4"/>
        <v>13.0236</v>
      </c>
      <c r="M387" s="6" t="s">
        <v>3620</v>
      </c>
      <c r="N387" s="5">
        <f t="shared" si="5"/>
        <v>490</v>
      </c>
    </row>
    <row r="388">
      <c r="A388" s="6" t="s">
        <v>5010</v>
      </c>
      <c r="B388" s="6" t="s">
        <v>2672</v>
      </c>
      <c r="C388" s="5">
        <f t="shared" si="1"/>
        <v>8</v>
      </c>
      <c r="D388" s="1" t="s">
        <v>12</v>
      </c>
      <c r="E388" s="1" t="s">
        <v>29</v>
      </c>
      <c r="F388" s="1" t="s">
        <v>14</v>
      </c>
      <c r="G388" s="1" t="s">
        <v>4940</v>
      </c>
      <c r="H388" s="5">
        <f t="shared" si="2"/>
        <v>0.4655</v>
      </c>
      <c r="I388" s="1" t="s">
        <v>4941</v>
      </c>
      <c r="J388" s="1">
        <f t="shared" si="3"/>
        <v>39.605675</v>
      </c>
      <c r="K388" s="1" t="s">
        <v>4942</v>
      </c>
      <c r="L388" s="5">
        <f t="shared" si="4"/>
        <v>0.0932</v>
      </c>
      <c r="M388" s="6" t="s">
        <v>2988</v>
      </c>
      <c r="N388" s="5">
        <f t="shared" si="5"/>
        <v>65</v>
      </c>
    </row>
    <row r="389">
      <c r="A389" s="6" t="s">
        <v>5010</v>
      </c>
      <c r="B389" s="6" t="s">
        <v>2672</v>
      </c>
      <c r="C389" s="5">
        <f t="shared" si="1"/>
        <v>8</v>
      </c>
      <c r="D389" s="1" t="s">
        <v>12</v>
      </c>
      <c r="E389" s="1" t="s">
        <v>29</v>
      </c>
      <c r="F389" s="1" t="s">
        <v>21</v>
      </c>
      <c r="G389" s="1" t="s">
        <v>4943</v>
      </c>
      <c r="H389" s="5">
        <f t="shared" si="2"/>
        <v>28.0768</v>
      </c>
      <c r="I389" s="1" t="s">
        <v>4944</v>
      </c>
      <c r="J389" s="1">
        <f t="shared" si="3"/>
        <v>5767.139737</v>
      </c>
      <c r="K389" s="6" t="s">
        <v>6362</v>
      </c>
      <c r="L389" s="5">
        <f t="shared" si="4"/>
        <v>11.2308</v>
      </c>
      <c r="M389" s="6" t="s">
        <v>3615</v>
      </c>
      <c r="N389" s="5">
        <f t="shared" si="5"/>
        <v>620</v>
      </c>
    </row>
    <row r="390">
      <c r="A390" s="6" t="s">
        <v>5010</v>
      </c>
      <c r="B390" s="6" t="s">
        <v>2672</v>
      </c>
      <c r="C390" s="5">
        <f t="shared" si="1"/>
        <v>8</v>
      </c>
      <c r="D390" s="1" t="s">
        <v>12</v>
      </c>
      <c r="E390" s="1" t="s">
        <v>48</v>
      </c>
      <c r="F390" s="1" t="s">
        <v>49</v>
      </c>
      <c r="G390" s="1" t="s">
        <v>396</v>
      </c>
      <c r="H390" s="5">
        <f t="shared" si="2"/>
        <v>0.0027</v>
      </c>
      <c r="I390" s="1" t="s">
        <v>4945</v>
      </c>
      <c r="J390" s="1">
        <f t="shared" si="3"/>
        <v>0.850839</v>
      </c>
      <c r="K390" s="1" t="s">
        <v>414</v>
      </c>
      <c r="L390" s="5">
        <f t="shared" si="4"/>
        <v>0.0007</v>
      </c>
      <c r="M390" s="6" t="s">
        <v>273</v>
      </c>
      <c r="N390" s="5">
        <f t="shared" si="5"/>
        <v>4</v>
      </c>
    </row>
    <row r="391">
      <c r="A391" s="6" t="s">
        <v>5010</v>
      </c>
      <c r="B391" s="6" t="s">
        <v>2672</v>
      </c>
      <c r="C391" s="5">
        <f t="shared" si="1"/>
        <v>8</v>
      </c>
      <c r="D391" s="1" t="s">
        <v>12</v>
      </c>
      <c r="E391" s="1" t="s">
        <v>48</v>
      </c>
      <c r="F391" s="1" t="s">
        <v>21</v>
      </c>
      <c r="G391" s="6" t="s">
        <v>6363</v>
      </c>
      <c r="H391" s="5">
        <f t="shared" si="2"/>
        <v>2.3601</v>
      </c>
      <c r="I391" s="1" t="s">
        <v>4946</v>
      </c>
      <c r="J391" s="1">
        <f t="shared" si="3"/>
        <v>370.523807</v>
      </c>
      <c r="K391" s="1" t="s">
        <v>4947</v>
      </c>
      <c r="L391" s="5">
        <f t="shared" si="4"/>
        <v>0.944</v>
      </c>
      <c r="M391" s="6" t="s">
        <v>765</v>
      </c>
      <c r="N391" s="5">
        <f t="shared" si="5"/>
        <v>168</v>
      </c>
    </row>
    <row r="392">
      <c r="A392" s="6" t="s">
        <v>5010</v>
      </c>
      <c r="B392" s="6" t="s">
        <v>2672</v>
      </c>
      <c r="C392" s="5">
        <f t="shared" si="1"/>
        <v>8</v>
      </c>
      <c r="D392" s="1" t="s">
        <v>12</v>
      </c>
      <c r="E392" s="1" t="s">
        <v>38</v>
      </c>
      <c r="F392" s="1" t="s">
        <v>39</v>
      </c>
      <c r="G392" s="6" t="s">
        <v>6364</v>
      </c>
      <c r="H392" s="5">
        <f t="shared" si="2"/>
        <v>3.3197</v>
      </c>
      <c r="I392" s="1" t="s">
        <v>4948</v>
      </c>
      <c r="J392" s="1">
        <f t="shared" si="3"/>
        <v>345.179241</v>
      </c>
      <c r="K392" s="1" t="s">
        <v>4949</v>
      </c>
      <c r="L392" s="5">
        <f t="shared" si="4"/>
        <v>0.5976</v>
      </c>
      <c r="M392" s="6" t="s">
        <v>3681</v>
      </c>
      <c r="N392" s="5">
        <f t="shared" si="5"/>
        <v>166</v>
      </c>
    </row>
    <row r="393">
      <c r="A393" s="6" t="s">
        <v>5010</v>
      </c>
      <c r="B393" s="6" t="s">
        <v>2672</v>
      </c>
      <c r="C393" s="5">
        <f t="shared" si="1"/>
        <v>8</v>
      </c>
      <c r="D393" s="1" t="s">
        <v>12</v>
      </c>
      <c r="E393" s="1" t="s">
        <v>45</v>
      </c>
      <c r="F393" s="1" t="s">
        <v>49</v>
      </c>
      <c r="G393" s="1" t="s">
        <v>4950</v>
      </c>
      <c r="H393" s="5">
        <f t="shared" si="2"/>
        <v>0.0414</v>
      </c>
      <c r="I393" s="1" t="s">
        <v>4951</v>
      </c>
      <c r="J393" s="1">
        <f t="shared" si="3"/>
        <v>2.198378</v>
      </c>
      <c r="K393" s="1" t="s">
        <v>4952</v>
      </c>
      <c r="L393" s="5">
        <f t="shared" si="4"/>
        <v>0.0107</v>
      </c>
      <c r="M393" s="6" t="s">
        <v>273</v>
      </c>
      <c r="N393" s="5">
        <f t="shared" si="5"/>
        <v>4</v>
      </c>
    </row>
    <row r="394">
      <c r="A394" s="6" t="s">
        <v>5010</v>
      </c>
      <c r="B394" s="6" t="s">
        <v>2672</v>
      </c>
      <c r="C394" s="5">
        <f t="shared" si="1"/>
        <v>8</v>
      </c>
      <c r="D394" s="1" t="s">
        <v>12</v>
      </c>
      <c r="E394" s="1" t="s">
        <v>45</v>
      </c>
      <c r="F394" s="1" t="s">
        <v>17</v>
      </c>
      <c r="G394" s="6" t="s">
        <v>6365</v>
      </c>
      <c r="H394" s="5">
        <f t="shared" si="2"/>
        <v>2.4137</v>
      </c>
      <c r="I394" s="1" t="s">
        <v>4953</v>
      </c>
      <c r="J394" s="1">
        <f t="shared" si="3"/>
        <v>161.854701</v>
      </c>
      <c r="K394" s="1" t="s">
        <v>4954</v>
      </c>
      <c r="L394" s="5">
        <f t="shared" si="4"/>
        <v>0.8689</v>
      </c>
      <c r="M394" s="6" t="s">
        <v>6211</v>
      </c>
      <c r="N394" s="5">
        <f t="shared" si="5"/>
        <v>156</v>
      </c>
    </row>
    <row r="395">
      <c r="A395" s="6" t="s">
        <v>5010</v>
      </c>
      <c r="B395" s="6" t="s">
        <v>2672</v>
      </c>
      <c r="C395" s="5">
        <f t="shared" si="1"/>
        <v>8</v>
      </c>
      <c r="D395" s="1" t="s">
        <v>12</v>
      </c>
      <c r="E395" s="1" t="s">
        <v>4955</v>
      </c>
      <c r="F395" s="1" t="s">
        <v>49</v>
      </c>
      <c r="G395" s="1" t="s">
        <v>4956</v>
      </c>
      <c r="H395" s="5">
        <f t="shared" si="2"/>
        <v>2.399</v>
      </c>
      <c r="I395" s="1" t="s">
        <v>4957</v>
      </c>
      <c r="J395" s="1">
        <f t="shared" si="3"/>
        <v>145.440369</v>
      </c>
      <c r="K395" s="1" t="s">
        <v>4958</v>
      </c>
      <c r="L395" s="5">
        <f t="shared" si="4"/>
        <v>0.5997</v>
      </c>
      <c r="M395" s="6" t="s">
        <v>291</v>
      </c>
      <c r="N395" s="5">
        <f t="shared" si="5"/>
        <v>0</v>
      </c>
    </row>
    <row r="396">
      <c r="A396" s="6" t="s">
        <v>5010</v>
      </c>
      <c r="B396" s="6" t="s">
        <v>2672</v>
      </c>
      <c r="C396" s="5">
        <f t="shared" si="1"/>
        <v>8</v>
      </c>
      <c r="D396" s="1" t="s">
        <v>12</v>
      </c>
      <c r="E396" s="1" t="s">
        <v>4842</v>
      </c>
      <c r="F396" s="1" t="s">
        <v>17</v>
      </c>
      <c r="G396" s="6" t="s">
        <v>4959</v>
      </c>
      <c r="H396" s="5">
        <f t="shared" si="2"/>
        <v>2.0727</v>
      </c>
      <c r="I396" s="1" t="s">
        <v>4960</v>
      </c>
      <c r="J396" s="1">
        <f t="shared" si="3"/>
        <v>109.779905</v>
      </c>
      <c r="K396" s="1" t="s">
        <v>4961</v>
      </c>
      <c r="L396" s="5">
        <f t="shared" si="4"/>
        <v>0.7254</v>
      </c>
      <c r="M396" s="6" t="s">
        <v>291</v>
      </c>
      <c r="N396" s="5">
        <f t="shared" si="5"/>
        <v>0</v>
      </c>
    </row>
    <row r="397">
      <c r="A397" s="6" t="s">
        <v>5010</v>
      </c>
      <c r="B397" s="6" t="s">
        <v>2672</v>
      </c>
      <c r="C397" s="5">
        <f t="shared" si="1"/>
        <v>8</v>
      </c>
      <c r="D397" s="1" t="s">
        <v>12</v>
      </c>
      <c r="E397" s="1" t="s">
        <v>4127</v>
      </c>
      <c r="F397" s="1" t="s">
        <v>17</v>
      </c>
      <c r="G397" s="6" t="s">
        <v>4962</v>
      </c>
      <c r="H397" s="5">
        <f t="shared" si="2"/>
        <v>1.1654</v>
      </c>
      <c r="I397" s="1" t="s">
        <v>4963</v>
      </c>
      <c r="J397" s="1">
        <f t="shared" si="3"/>
        <v>91.105465</v>
      </c>
      <c r="K397" s="1" t="s">
        <v>4964</v>
      </c>
      <c r="L397" s="5">
        <f t="shared" si="4"/>
        <v>0.4078</v>
      </c>
      <c r="M397" s="6" t="s">
        <v>4218</v>
      </c>
      <c r="N397" s="5">
        <f t="shared" si="5"/>
        <v>85</v>
      </c>
    </row>
    <row r="398">
      <c r="A398" s="6" t="s">
        <v>5010</v>
      </c>
      <c r="B398" s="6" t="s">
        <v>2672</v>
      </c>
      <c r="C398" s="5">
        <f t="shared" si="1"/>
        <v>8</v>
      </c>
      <c r="D398" s="1" t="s">
        <v>12</v>
      </c>
      <c r="E398" s="1" t="s">
        <v>3962</v>
      </c>
      <c r="F398" s="1" t="s">
        <v>17</v>
      </c>
      <c r="G398" s="1" t="s">
        <v>4965</v>
      </c>
      <c r="H398" s="5">
        <f t="shared" si="2"/>
        <v>0.9713</v>
      </c>
      <c r="I398" s="1" t="s">
        <v>4966</v>
      </c>
      <c r="J398" s="1">
        <f t="shared" si="3"/>
        <v>82.145393</v>
      </c>
      <c r="K398" s="1" t="s">
        <v>4967</v>
      </c>
      <c r="L398" s="5">
        <f t="shared" si="4"/>
        <v>0.34</v>
      </c>
      <c r="M398" s="6" t="s">
        <v>3501</v>
      </c>
      <c r="N398" s="5">
        <f t="shared" si="5"/>
        <v>115</v>
      </c>
    </row>
    <row r="399">
      <c r="A399" s="6" t="s">
        <v>5010</v>
      </c>
      <c r="B399" s="6" t="s">
        <v>2672</v>
      </c>
      <c r="C399" s="5">
        <f t="shared" si="1"/>
        <v>8</v>
      </c>
      <c r="D399" s="1" t="s">
        <v>12</v>
      </c>
      <c r="E399" s="1" t="s">
        <v>56</v>
      </c>
      <c r="F399" s="1" t="s">
        <v>21</v>
      </c>
      <c r="G399" s="1" t="s">
        <v>4968</v>
      </c>
      <c r="H399" s="5">
        <f t="shared" si="2"/>
        <v>0.3917</v>
      </c>
      <c r="I399" s="1" t="s">
        <v>4969</v>
      </c>
      <c r="J399" s="1">
        <f t="shared" si="3"/>
        <v>67.406085</v>
      </c>
      <c r="K399" s="1" t="s">
        <v>4970</v>
      </c>
      <c r="L399" s="5">
        <f t="shared" si="4"/>
        <v>0.1567</v>
      </c>
      <c r="M399" s="6" t="s">
        <v>5945</v>
      </c>
      <c r="N399" s="5">
        <f t="shared" si="5"/>
        <v>147</v>
      </c>
    </row>
    <row r="400">
      <c r="A400" s="6" t="s">
        <v>5010</v>
      </c>
      <c r="B400" s="6" t="s">
        <v>2672</v>
      </c>
      <c r="C400" s="5">
        <f t="shared" si="1"/>
        <v>8</v>
      </c>
      <c r="D400" s="1" t="s">
        <v>68</v>
      </c>
      <c r="E400" s="1" t="s">
        <v>13</v>
      </c>
      <c r="F400" s="1" t="s">
        <v>14</v>
      </c>
      <c r="G400" s="1" t="s">
        <v>4971</v>
      </c>
      <c r="H400" s="5">
        <f t="shared" si="2"/>
        <v>17.5685</v>
      </c>
      <c r="I400" s="1" t="s">
        <v>4972</v>
      </c>
      <c r="J400" s="1">
        <f t="shared" si="3"/>
        <v>1345.404076</v>
      </c>
      <c r="K400" s="6" t="s">
        <v>6366</v>
      </c>
      <c r="L400" s="5">
        <f t="shared" si="4"/>
        <v>3.6894</v>
      </c>
      <c r="M400" s="6" t="s">
        <v>6367</v>
      </c>
      <c r="N400" s="5">
        <f t="shared" si="5"/>
        <v>3957</v>
      </c>
    </row>
    <row r="401">
      <c r="A401" s="6" t="s">
        <v>5010</v>
      </c>
      <c r="B401" s="6" t="s">
        <v>2672</v>
      </c>
      <c r="C401" s="5">
        <f t="shared" si="1"/>
        <v>8</v>
      </c>
      <c r="D401" s="1" t="s">
        <v>68</v>
      </c>
      <c r="E401" s="1" t="s">
        <v>13</v>
      </c>
      <c r="F401" s="1" t="s">
        <v>17</v>
      </c>
      <c r="G401" s="1" t="s">
        <v>4973</v>
      </c>
      <c r="H401" s="5">
        <f t="shared" si="2"/>
        <v>58.144</v>
      </c>
      <c r="I401" s="1" t="s">
        <v>4974</v>
      </c>
      <c r="J401" s="1">
        <f t="shared" si="3"/>
        <v>6175.532397</v>
      </c>
      <c r="K401" s="1" t="s">
        <v>4975</v>
      </c>
      <c r="L401" s="5">
        <f t="shared" si="4"/>
        <v>20.3505</v>
      </c>
      <c r="M401" s="6" t="s">
        <v>6368</v>
      </c>
      <c r="N401" s="5">
        <f t="shared" si="5"/>
        <v>9622</v>
      </c>
    </row>
    <row r="402">
      <c r="A402" s="6" t="s">
        <v>5010</v>
      </c>
      <c r="B402" s="6" t="s">
        <v>2672</v>
      </c>
      <c r="C402" s="5">
        <f t="shared" si="1"/>
        <v>8</v>
      </c>
      <c r="D402" s="1" t="s">
        <v>68</v>
      </c>
      <c r="E402" s="1" t="s">
        <v>13</v>
      </c>
      <c r="F402" s="1" t="s">
        <v>21</v>
      </c>
      <c r="G402" s="6" t="s">
        <v>6369</v>
      </c>
      <c r="H402" s="5">
        <f t="shared" si="2"/>
        <v>2.6274</v>
      </c>
      <c r="I402" s="1" t="s">
        <v>4976</v>
      </c>
      <c r="J402" s="1">
        <f t="shared" si="3"/>
        <v>400.438319</v>
      </c>
      <c r="K402" s="6" t="s">
        <v>6370</v>
      </c>
      <c r="L402" s="5">
        <f t="shared" si="4"/>
        <v>1.3064</v>
      </c>
      <c r="M402" s="6" t="s">
        <v>6371</v>
      </c>
      <c r="N402" s="5">
        <f t="shared" si="5"/>
        <v>873</v>
      </c>
    </row>
    <row r="403">
      <c r="A403" s="6" t="s">
        <v>5010</v>
      </c>
      <c r="B403" s="6" t="s">
        <v>2672</v>
      </c>
      <c r="C403" s="5">
        <f t="shared" si="1"/>
        <v>8</v>
      </c>
      <c r="D403" s="1" t="s">
        <v>68</v>
      </c>
      <c r="E403" s="1" t="s">
        <v>13</v>
      </c>
      <c r="F403" s="1" t="s">
        <v>25</v>
      </c>
      <c r="G403" s="1" t="s">
        <v>4338</v>
      </c>
      <c r="H403" s="5">
        <f t="shared" si="2"/>
        <v>0.2933</v>
      </c>
      <c r="I403" s="1" t="s">
        <v>4977</v>
      </c>
      <c r="J403" s="1">
        <f t="shared" si="3"/>
        <v>47.36375</v>
      </c>
      <c r="K403" s="1" t="s">
        <v>3128</v>
      </c>
      <c r="L403" s="5">
        <f t="shared" si="4"/>
        <v>0.2199</v>
      </c>
      <c r="M403" s="6" t="s">
        <v>765</v>
      </c>
      <c r="N403" s="5">
        <f t="shared" si="5"/>
        <v>168</v>
      </c>
    </row>
    <row r="404">
      <c r="A404" s="6" t="s">
        <v>5010</v>
      </c>
      <c r="B404" s="6" t="s">
        <v>2672</v>
      </c>
      <c r="C404" s="5">
        <f t="shared" si="1"/>
        <v>8</v>
      </c>
      <c r="D404" s="1" t="s">
        <v>68</v>
      </c>
      <c r="E404" s="1" t="s">
        <v>29</v>
      </c>
      <c r="F404" s="1" t="s">
        <v>14</v>
      </c>
      <c r="G404" s="1" t="s">
        <v>4978</v>
      </c>
      <c r="H404" s="5">
        <f t="shared" si="2"/>
        <v>0.648</v>
      </c>
      <c r="I404" s="1" t="s">
        <v>4979</v>
      </c>
      <c r="J404" s="1">
        <f t="shared" si="3"/>
        <v>79.544737</v>
      </c>
      <c r="K404" s="1" t="s">
        <v>4980</v>
      </c>
      <c r="L404" s="5">
        <f t="shared" si="4"/>
        <v>0.1296</v>
      </c>
      <c r="M404" s="6" t="s">
        <v>4584</v>
      </c>
      <c r="N404" s="5">
        <f t="shared" si="5"/>
        <v>163</v>
      </c>
    </row>
    <row r="405">
      <c r="A405" s="6" t="s">
        <v>5010</v>
      </c>
      <c r="B405" s="6" t="s">
        <v>2672</v>
      </c>
      <c r="C405" s="5">
        <f t="shared" si="1"/>
        <v>8</v>
      </c>
      <c r="D405" s="1" t="s">
        <v>68</v>
      </c>
      <c r="E405" s="1" t="s">
        <v>29</v>
      </c>
      <c r="F405" s="1" t="s">
        <v>21</v>
      </c>
      <c r="G405" s="6" t="s">
        <v>6373</v>
      </c>
      <c r="H405" s="5">
        <f t="shared" si="2"/>
        <v>9.7258</v>
      </c>
      <c r="I405" s="1" t="s">
        <v>4981</v>
      </c>
      <c r="J405" s="1">
        <f t="shared" si="3"/>
        <v>1693.249683</v>
      </c>
      <c r="K405" s="6" t="s">
        <v>6374</v>
      </c>
      <c r="L405" s="5">
        <f t="shared" si="4"/>
        <v>3.8904</v>
      </c>
      <c r="M405" s="6" t="s">
        <v>6375</v>
      </c>
      <c r="N405" s="5">
        <f t="shared" si="5"/>
        <v>1743</v>
      </c>
    </row>
    <row r="406">
      <c r="A406" s="6" t="s">
        <v>5010</v>
      </c>
      <c r="B406" s="6" t="s">
        <v>2672</v>
      </c>
      <c r="C406" s="5">
        <f t="shared" si="1"/>
        <v>8</v>
      </c>
      <c r="D406" s="1" t="s">
        <v>68</v>
      </c>
      <c r="E406" s="1" t="s">
        <v>45</v>
      </c>
      <c r="F406" s="1" t="s">
        <v>49</v>
      </c>
      <c r="G406" s="6" t="s">
        <v>4982</v>
      </c>
      <c r="H406" s="5">
        <f t="shared" si="2"/>
        <v>1.0464</v>
      </c>
      <c r="I406" s="1" t="s">
        <v>4983</v>
      </c>
      <c r="J406" s="1">
        <f t="shared" si="3"/>
        <v>61.849902</v>
      </c>
      <c r="K406" s="1" t="s">
        <v>4984</v>
      </c>
      <c r="L406" s="5">
        <f t="shared" si="4"/>
        <v>0.2721</v>
      </c>
      <c r="M406" s="6" t="s">
        <v>6376</v>
      </c>
      <c r="N406" s="5">
        <f t="shared" si="5"/>
        <v>200</v>
      </c>
    </row>
    <row r="407">
      <c r="A407" s="6" t="s">
        <v>5010</v>
      </c>
      <c r="B407" s="6" t="s">
        <v>2672</v>
      </c>
      <c r="C407" s="5">
        <f t="shared" si="1"/>
        <v>8</v>
      </c>
      <c r="D407" s="1" t="s">
        <v>68</v>
      </c>
      <c r="E407" s="1" t="s">
        <v>45</v>
      </c>
      <c r="F407" s="1" t="s">
        <v>17</v>
      </c>
      <c r="G407" s="6" t="s">
        <v>6377</v>
      </c>
      <c r="H407" s="5">
        <f t="shared" si="2"/>
        <v>6.7551</v>
      </c>
      <c r="I407" s="1" t="s">
        <v>4985</v>
      </c>
      <c r="J407" s="1">
        <f t="shared" si="3"/>
        <v>479.086731</v>
      </c>
      <c r="K407" s="6" t="s">
        <v>6378</v>
      </c>
      <c r="L407" s="5">
        <f t="shared" si="4"/>
        <v>2.4318</v>
      </c>
      <c r="M407" s="6" t="s">
        <v>6379</v>
      </c>
      <c r="N407" s="5">
        <f t="shared" si="5"/>
        <v>1405</v>
      </c>
    </row>
    <row r="408">
      <c r="A408" s="6" t="s">
        <v>5010</v>
      </c>
      <c r="B408" s="6" t="s">
        <v>2672</v>
      </c>
      <c r="C408" s="5">
        <f t="shared" si="1"/>
        <v>8</v>
      </c>
      <c r="D408" s="1" t="s">
        <v>68</v>
      </c>
      <c r="E408" s="1" t="s">
        <v>38</v>
      </c>
      <c r="F408" s="1" t="s">
        <v>39</v>
      </c>
      <c r="G408" s="6" t="s">
        <v>4986</v>
      </c>
      <c r="H408" s="5">
        <f t="shared" si="2"/>
        <v>4.0219</v>
      </c>
      <c r="I408" s="1" t="s">
        <v>4987</v>
      </c>
      <c r="J408" s="1">
        <f t="shared" si="3"/>
        <v>357.342625</v>
      </c>
      <c r="K408" s="1" t="s">
        <v>92</v>
      </c>
      <c r="L408" s="5">
        <f t="shared" si="4"/>
        <v>0.7239</v>
      </c>
      <c r="M408" s="6" t="s">
        <v>6380</v>
      </c>
      <c r="N408" s="5">
        <f t="shared" si="5"/>
        <v>1354</v>
      </c>
    </row>
    <row r="409">
      <c r="A409" s="6" t="s">
        <v>5010</v>
      </c>
      <c r="B409" s="6" t="s">
        <v>2672</v>
      </c>
      <c r="C409" s="5">
        <f t="shared" si="1"/>
        <v>8</v>
      </c>
      <c r="D409" s="1" t="s">
        <v>68</v>
      </c>
      <c r="E409" s="1" t="s">
        <v>42</v>
      </c>
      <c r="F409" s="1" t="s">
        <v>17</v>
      </c>
      <c r="G409" s="1" t="s">
        <v>4988</v>
      </c>
      <c r="H409" s="5">
        <f t="shared" si="2"/>
        <v>0.9334</v>
      </c>
      <c r="I409" s="1" t="s">
        <v>4989</v>
      </c>
      <c r="J409" s="1">
        <f t="shared" si="3"/>
        <v>200.051505</v>
      </c>
      <c r="K409" s="1" t="s">
        <v>4990</v>
      </c>
      <c r="L409" s="5">
        <f t="shared" si="4"/>
        <v>0.3454</v>
      </c>
      <c r="M409" s="6" t="s">
        <v>291</v>
      </c>
      <c r="N409" s="5">
        <f t="shared" si="5"/>
        <v>0</v>
      </c>
    </row>
    <row r="410">
      <c r="A410" s="6" t="s">
        <v>5010</v>
      </c>
      <c r="B410" s="6" t="s">
        <v>2672</v>
      </c>
      <c r="C410" s="5">
        <f t="shared" si="1"/>
        <v>8</v>
      </c>
      <c r="D410" s="1" t="s">
        <v>68</v>
      </c>
      <c r="E410" s="1" t="s">
        <v>3962</v>
      </c>
      <c r="F410" s="1" t="s">
        <v>17</v>
      </c>
      <c r="G410" s="6" t="s">
        <v>6381</v>
      </c>
      <c r="H410" s="5">
        <f t="shared" si="2"/>
        <v>1.9098</v>
      </c>
      <c r="I410" s="1" t="s">
        <v>4991</v>
      </c>
      <c r="J410" s="1">
        <f t="shared" si="3"/>
        <v>164.086365</v>
      </c>
      <c r="K410" s="1" t="s">
        <v>4992</v>
      </c>
      <c r="L410" s="5">
        <f t="shared" si="4"/>
        <v>0.6684</v>
      </c>
      <c r="M410" s="6" t="s">
        <v>6382</v>
      </c>
      <c r="N410" s="5">
        <f t="shared" si="5"/>
        <v>856</v>
      </c>
    </row>
    <row r="411">
      <c r="A411" s="6" t="s">
        <v>5010</v>
      </c>
      <c r="B411" s="6" t="s">
        <v>2672</v>
      </c>
      <c r="C411" s="5">
        <f t="shared" si="1"/>
        <v>8</v>
      </c>
      <c r="D411" s="1" t="s">
        <v>68</v>
      </c>
      <c r="E411" s="1" t="s">
        <v>48</v>
      </c>
      <c r="F411" s="1" t="s">
        <v>49</v>
      </c>
      <c r="G411" s="1" t="s">
        <v>847</v>
      </c>
      <c r="H411" s="5">
        <f t="shared" si="2"/>
        <v>0.0042</v>
      </c>
      <c r="I411" s="1" t="s">
        <v>4993</v>
      </c>
      <c r="J411" s="1">
        <f t="shared" si="3"/>
        <v>1.334542</v>
      </c>
      <c r="K411" s="1" t="s">
        <v>1813</v>
      </c>
      <c r="L411" s="5">
        <f t="shared" si="4"/>
        <v>0.0012</v>
      </c>
      <c r="M411" s="6" t="s">
        <v>2677</v>
      </c>
      <c r="N411" s="5">
        <f t="shared" si="5"/>
        <v>3</v>
      </c>
    </row>
    <row r="412">
      <c r="A412" s="6" t="s">
        <v>5010</v>
      </c>
      <c r="B412" s="6" t="s">
        <v>2672</v>
      </c>
      <c r="C412" s="5">
        <f t="shared" si="1"/>
        <v>8</v>
      </c>
      <c r="D412" s="1" t="s">
        <v>68</v>
      </c>
      <c r="E412" s="1" t="s">
        <v>48</v>
      </c>
      <c r="F412" s="1" t="s">
        <v>72</v>
      </c>
      <c r="G412" s="1" t="s">
        <v>1758</v>
      </c>
      <c r="H412" s="5">
        <f t="shared" si="2"/>
        <v>0.0024</v>
      </c>
      <c r="I412" s="1" t="s">
        <v>4994</v>
      </c>
      <c r="J412" s="1">
        <f t="shared" si="3"/>
        <v>0.80237</v>
      </c>
      <c r="K412" s="1" t="s">
        <v>414</v>
      </c>
      <c r="L412" s="5">
        <f t="shared" si="4"/>
        <v>0.0007</v>
      </c>
      <c r="M412" s="6" t="s">
        <v>2521</v>
      </c>
      <c r="N412" s="5">
        <f t="shared" si="5"/>
        <v>6</v>
      </c>
    </row>
    <row r="413">
      <c r="A413" s="6" t="s">
        <v>5010</v>
      </c>
      <c r="B413" s="6" t="s">
        <v>2672</v>
      </c>
      <c r="C413" s="5">
        <f t="shared" si="1"/>
        <v>8</v>
      </c>
      <c r="D413" s="1" t="s">
        <v>68</v>
      </c>
      <c r="E413" s="1" t="s">
        <v>48</v>
      </c>
      <c r="F413" s="1" t="s">
        <v>21</v>
      </c>
      <c r="G413" s="1" t="s">
        <v>4995</v>
      </c>
      <c r="H413" s="5">
        <f t="shared" si="2"/>
        <v>0.6821</v>
      </c>
      <c r="I413" s="1" t="s">
        <v>4996</v>
      </c>
      <c r="J413" s="1">
        <f t="shared" si="3"/>
        <v>114.579603</v>
      </c>
      <c r="K413" s="1" t="s">
        <v>4997</v>
      </c>
      <c r="L413" s="5">
        <f t="shared" si="4"/>
        <v>0.2728</v>
      </c>
      <c r="M413" s="6" t="s">
        <v>2661</v>
      </c>
      <c r="N413" s="5">
        <f t="shared" si="5"/>
        <v>254</v>
      </c>
    </row>
    <row r="414">
      <c r="A414" s="6" t="s">
        <v>5010</v>
      </c>
      <c r="B414" s="6" t="s">
        <v>2672</v>
      </c>
      <c r="C414" s="5">
        <f t="shared" si="1"/>
        <v>8</v>
      </c>
      <c r="D414" s="1" t="s">
        <v>68</v>
      </c>
      <c r="E414" s="1" t="s">
        <v>1851</v>
      </c>
      <c r="F414" s="1" t="s">
        <v>17</v>
      </c>
      <c r="G414" s="6" t="s">
        <v>4998</v>
      </c>
      <c r="H414" s="5">
        <f t="shared" si="2"/>
        <v>1.1354</v>
      </c>
      <c r="I414" s="1" t="s">
        <v>4999</v>
      </c>
      <c r="J414" s="1">
        <f t="shared" si="3"/>
        <v>81.085424</v>
      </c>
      <c r="K414" s="1" t="s">
        <v>5000</v>
      </c>
      <c r="L414" s="5">
        <f t="shared" si="4"/>
        <v>0.4371</v>
      </c>
      <c r="M414" s="6" t="s">
        <v>4661</v>
      </c>
      <c r="N414" s="5">
        <f t="shared" si="5"/>
        <v>676</v>
      </c>
    </row>
    <row r="415">
      <c r="A415" s="6" t="s">
        <v>5010</v>
      </c>
      <c r="B415" s="6" t="s">
        <v>2672</v>
      </c>
      <c r="C415" s="5">
        <f t="shared" si="1"/>
        <v>8</v>
      </c>
      <c r="D415" s="1" t="s">
        <v>68</v>
      </c>
      <c r="E415" s="1" t="s">
        <v>1851</v>
      </c>
      <c r="F415" s="1" t="s">
        <v>21</v>
      </c>
      <c r="G415" s="1" t="s">
        <v>5001</v>
      </c>
      <c r="H415" s="5">
        <f t="shared" si="2"/>
        <v>0.1485</v>
      </c>
      <c r="I415" s="1" t="s">
        <v>5002</v>
      </c>
      <c r="J415" s="1">
        <f t="shared" si="3"/>
        <v>13.757581</v>
      </c>
      <c r="K415" s="1" t="s">
        <v>5003</v>
      </c>
      <c r="L415" s="5">
        <f t="shared" si="4"/>
        <v>0.0727</v>
      </c>
      <c r="M415" s="6" t="s">
        <v>2886</v>
      </c>
      <c r="N415" s="5">
        <f t="shared" si="5"/>
        <v>101</v>
      </c>
    </row>
    <row r="416">
      <c r="A416" s="6" t="s">
        <v>5010</v>
      </c>
      <c r="B416" s="6" t="s">
        <v>2672</v>
      </c>
      <c r="C416" s="5">
        <f t="shared" si="1"/>
        <v>8</v>
      </c>
      <c r="D416" s="1" t="s">
        <v>68</v>
      </c>
      <c r="E416" s="1" t="s">
        <v>2088</v>
      </c>
      <c r="F416" s="1" t="s">
        <v>21</v>
      </c>
      <c r="G416" s="1" t="s">
        <v>5004</v>
      </c>
      <c r="H416" s="5">
        <f t="shared" si="2"/>
        <v>0.4802</v>
      </c>
      <c r="I416" s="1" t="s">
        <v>5005</v>
      </c>
      <c r="J416" s="1">
        <f t="shared" si="3"/>
        <v>56.659264</v>
      </c>
      <c r="K416" s="1" t="s">
        <v>5006</v>
      </c>
      <c r="L416" s="5">
        <f t="shared" si="4"/>
        <v>0.1921</v>
      </c>
      <c r="M416" s="6" t="s">
        <v>291</v>
      </c>
      <c r="N416" s="5">
        <f t="shared" si="5"/>
        <v>0</v>
      </c>
    </row>
    <row r="417">
      <c r="A417" s="6" t="s">
        <v>5010</v>
      </c>
      <c r="B417" s="6" t="s">
        <v>2672</v>
      </c>
      <c r="C417" s="5">
        <f t="shared" si="1"/>
        <v>8</v>
      </c>
      <c r="D417" s="1" t="s">
        <v>68</v>
      </c>
      <c r="E417" s="1" t="s">
        <v>1830</v>
      </c>
      <c r="F417" s="1" t="s">
        <v>72</v>
      </c>
      <c r="G417" s="1" t="s">
        <v>5007</v>
      </c>
      <c r="H417" s="5">
        <f t="shared" si="2"/>
        <v>0.5155</v>
      </c>
      <c r="I417" s="1" t="s">
        <v>5008</v>
      </c>
      <c r="J417" s="1">
        <f t="shared" si="3"/>
        <v>52.392999</v>
      </c>
      <c r="K417" s="1" t="s">
        <v>5009</v>
      </c>
      <c r="L417" s="5">
        <f t="shared" si="4"/>
        <v>0.165</v>
      </c>
      <c r="M417" s="6" t="s">
        <v>6383</v>
      </c>
      <c r="N417" s="5">
        <f t="shared" si="5"/>
        <v>424</v>
      </c>
    </row>
    <row r="418">
      <c r="A418" s="6" t="s">
        <v>5010</v>
      </c>
      <c r="B418" s="6" t="s">
        <v>2672</v>
      </c>
      <c r="C418" s="5">
        <f t="shared" si="1"/>
        <v>8</v>
      </c>
      <c r="D418" s="1" t="s">
        <v>116</v>
      </c>
      <c r="E418" s="1" t="s">
        <v>13</v>
      </c>
      <c r="F418" s="1" t="s">
        <v>14</v>
      </c>
      <c r="G418" s="1" t="s">
        <v>5011</v>
      </c>
      <c r="H418" s="5">
        <f t="shared" si="2"/>
        <v>43.9292</v>
      </c>
      <c r="I418" s="1" t="s">
        <v>5012</v>
      </c>
      <c r="J418" s="1">
        <f t="shared" si="3"/>
        <v>3039.610091</v>
      </c>
      <c r="K418" s="6" t="s">
        <v>6384</v>
      </c>
      <c r="L418" s="5">
        <f t="shared" si="4"/>
        <v>9.2251</v>
      </c>
      <c r="M418" s="6" t="s">
        <v>6385</v>
      </c>
      <c r="N418" s="5">
        <f t="shared" si="5"/>
        <v>7021</v>
      </c>
    </row>
    <row r="419">
      <c r="A419" s="6" t="s">
        <v>5010</v>
      </c>
      <c r="B419" s="6" t="s">
        <v>2672</v>
      </c>
      <c r="C419" s="5">
        <f t="shared" si="1"/>
        <v>8</v>
      </c>
      <c r="D419" s="1" t="s">
        <v>116</v>
      </c>
      <c r="E419" s="1" t="s">
        <v>13</v>
      </c>
      <c r="F419" s="1" t="s">
        <v>72</v>
      </c>
      <c r="G419" s="1" t="s">
        <v>414</v>
      </c>
      <c r="H419" s="5">
        <f t="shared" si="2"/>
        <v>0.0007</v>
      </c>
      <c r="I419" s="1" t="s">
        <v>5013</v>
      </c>
      <c r="J419" s="1">
        <f t="shared" si="3"/>
        <v>0.046414</v>
      </c>
      <c r="K419" s="1" t="s">
        <v>376</v>
      </c>
      <c r="L419" s="5">
        <f t="shared" si="4"/>
        <v>0.0002</v>
      </c>
      <c r="M419" s="6" t="s">
        <v>186</v>
      </c>
      <c r="N419" s="5">
        <f t="shared" si="5"/>
        <v>1</v>
      </c>
    </row>
    <row r="420">
      <c r="A420" s="6" t="s">
        <v>5010</v>
      </c>
      <c r="B420" s="6" t="s">
        <v>2672</v>
      </c>
      <c r="C420" s="5">
        <f t="shared" si="1"/>
        <v>8</v>
      </c>
      <c r="D420" s="1" t="s">
        <v>116</v>
      </c>
      <c r="E420" s="1" t="s">
        <v>13</v>
      </c>
      <c r="F420" s="1" t="s">
        <v>17</v>
      </c>
      <c r="G420" s="1" t="s">
        <v>5014</v>
      </c>
      <c r="H420" s="5">
        <f t="shared" si="2"/>
        <v>136.4948</v>
      </c>
      <c r="I420" s="1" t="s">
        <v>5015</v>
      </c>
      <c r="J420" s="1">
        <f t="shared" si="3"/>
        <v>13934.44473</v>
      </c>
      <c r="K420" s="1" t="s">
        <v>5016</v>
      </c>
      <c r="L420" s="5">
        <f t="shared" si="4"/>
        <v>47.7732</v>
      </c>
      <c r="M420" s="6" t="s">
        <v>6386</v>
      </c>
      <c r="N420" s="5">
        <f t="shared" si="5"/>
        <v>19290</v>
      </c>
    </row>
    <row r="421">
      <c r="A421" s="6" t="s">
        <v>5010</v>
      </c>
      <c r="B421" s="6" t="s">
        <v>2672</v>
      </c>
      <c r="C421" s="5">
        <f t="shared" si="1"/>
        <v>8</v>
      </c>
      <c r="D421" s="1" t="s">
        <v>116</v>
      </c>
      <c r="E421" s="1" t="s">
        <v>13</v>
      </c>
      <c r="F421" s="1" t="s">
        <v>21</v>
      </c>
      <c r="G421" s="6" t="s">
        <v>6387</v>
      </c>
      <c r="H421" s="5">
        <f t="shared" si="2"/>
        <v>8.7719</v>
      </c>
      <c r="I421" s="1" t="s">
        <v>5017</v>
      </c>
      <c r="J421" s="1">
        <f t="shared" si="3"/>
        <v>1290.311691</v>
      </c>
      <c r="K421" s="1" t="s">
        <v>5018</v>
      </c>
      <c r="L421" s="5">
        <f t="shared" si="4"/>
        <v>4.363</v>
      </c>
      <c r="M421" s="6" t="s">
        <v>6388</v>
      </c>
      <c r="N421" s="5">
        <f t="shared" si="5"/>
        <v>2403</v>
      </c>
    </row>
    <row r="422">
      <c r="A422" s="6" t="s">
        <v>5010</v>
      </c>
      <c r="B422" s="6" t="s">
        <v>2672</v>
      </c>
      <c r="C422" s="5">
        <f t="shared" si="1"/>
        <v>8</v>
      </c>
      <c r="D422" s="1" t="s">
        <v>116</v>
      </c>
      <c r="E422" s="1" t="s">
        <v>13</v>
      </c>
      <c r="F422" s="1" t="s">
        <v>25</v>
      </c>
      <c r="G422" s="1" t="s">
        <v>4398</v>
      </c>
      <c r="H422" s="5">
        <f t="shared" si="2"/>
        <v>0.0173</v>
      </c>
      <c r="I422" s="1" t="s">
        <v>5019</v>
      </c>
      <c r="J422" s="1">
        <f t="shared" si="3"/>
        <v>3.582185</v>
      </c>
      <c r="K422" s="1" t="s">
        <v>2801</v>
      </c>
      <c r="L422" s="5">
        <f t="shared" si="4"/>
        <v>0.013</v>
      </c>
      <c r="M422" s="6" t="s">
        <v>3552</v>
      </c>
      <c r="N422" s="5">
        <f t="shared" si="5"/>
        <v>5</v>
      </c>
    </row>
    <row r="423">
      <c r="A423" s="6" t="s">
        <v>5010</v>
      </c>
      <c r="B423" s="6" t="s">
        <v>2672</v>
      </c>
      <c r="C423" s="5">
        <f t="shared" si="1"/>
        <v>8</v>
      </c>
      <c r="D423" s="1" t="s">
        <v>116</v>
      </c>
      <c r="E423" s="1" t="s">
        <v>29</v>
      </c>
      <c r="F423" s="1" t="s">
        <v>14</v>
      </c>
      <c r="G423" s="6" t="s">
        <v>6389</v>
      </c>
      <c r="H423" s="5">
        <f t="shared" si="2"/>
        <v>1.6219</v>
      </c>
      <c r="I423" s="1" t="s">
        <v>5020</v>
      </c>
      <c r="J423" s="1">
        <f t="shared" si="3"/>
        <v>225.965176</v>
      </c>
      <c r="K423" s="1" t="s">
        <v>5021</v>
      </c>
      <c r="L423" s="5">
        <f t="shared" si="4"/>
        <v>0.3244</v>
      </c>
      <c r="M423" s="6" t="s">
        <v>3551</v>
      </c>
      <c r="N423" s="5">
        <f t="shared" si="5"/>
        <v>262</v>
      </c>
    </row>
    <row r="424">
      <c r="A424" s="6" t="s">
        <v>5010</v>
      </c>
      <c r="B424" s="6" t="s">
        <v>2672</v>
      </c>
      <c r="C424" s="5">
        <f t="shared" si="1"/>
        <v>8</v>
      </c>
      <c r="D424" s="1" t="s">
        <v>116</v>
      </c>
      <c r="E424" s="1" t="s">
        <v>29</v>
      </c>
      <c r="F424" s="1" t="s">
        <v>21</v>
      </c>
      <c r="G424" s="1" t="s">
        <v>5023</v>
      </c>
      <c r="H424" s="5">
        <f t="shared" si="2"/>
        <v>35.4248</v>
      </c>
      <c r="I424" s="1" t="s">
        <v>5024</v>
      </c>
      <c r="J424" s="1">
        <f t="shared" si="3"/>
        <v>7079.594405</v>
      </c>
      <c r="K424" s="1" t="s">
        <v>5025</v>
      </c>
      <c r="L424" s="5">
        <f t="shared" si="4"/>
        <v>14.1701</v>
      </c>
      <c r="M424" s="6" t="s">
        <v>6390</v>
      </c>
      <c r="N424" s="5">
        <f t="shared" si="5"/>
        <v>3846</v>
      </c>
    </row>
    <row r="425">
      <c r="A425" s="6" t="s">
        <v>5010</v>
      </c>
      <c r="B425" s="6" t="s">
        <v>2672</v>
      </c>
      <c r="C425" s="5">
        <f t="shared" si="1"/>
        <v>8</v>
      </c>
      <c r="D425" s="1" t="s">
        <v>116</v>
      </c>
      <c r="E425" s="1" t="s">
        <v>45</v>
      </c>
      <c r="F425" s="1" t="s">
        <v>49</v>
      </c>
      <c r="G425" s="6" t="s">
        <v>6391</v>
      </c>
      <c r="H425" s="5">
        <f t="shared" si="2"/>
        <v>2.8089</v>
      </c>
      <c r="I425" s="1" t="s">
        <v>5026</v>
      </c>
      <c r="J425" s="1">
        <f t="shared" si="3"/>
        <v>160.881395</v>
      </c>
      <c r="K425" s="1" t="s">
        <v>5027</v>
      </c>
      <c r="L425" s="5">
        <f t="shared" si="4"/>
        <v>0.7303</v>
      </c>
      <c r="M425" s="6" t="s">
        <v>6392</v>
      </c>
      <c r="N425" s="5">
        <f t="shared" si="5"/>
        <v>350</v>
      </c>
    </row>
    <row r="426">
      <c r="A426" s="6" t="s">
        <v>5010</v>
      </c>
      <c r="B426" s="6" t="s">
        <v>2672</v>
      </c>
      <c r="C426" s="5">
        <f t="shared" si="1"/>
        <v>8</v>
      </c>
      <c r="D426" s="1" t="s">
        <v>116</v>
      </c>
      <c r="E426" s="1" t="s">
        <v>45</v>
      </c>
      <c r="F426" s="1" t="s">
        <v>17</v>
      </c>
      <c r="G426" s="1" t="s">
        <v>5028</v>
      </c>
      <c r="H426" s="5">
        <f t="shared" si="2"/>
        <v>13.5756</v>
      </c>
      <c r="I426" s="1" t="s">
        <v>5029</v>
      </c>
      <c r="J426" s="1">
        <f t="shared" si="3"/>
        <v>1101.436074</v>
      </c>
      <c r="K426" s="6" t="s">
        <v>6393</v>
      </c>
      <c r="L426" s="5">
        <f t="shared" si="4"/>
        <v>4.8872</v>
      </c>
      <c r="M426" s="6" t="s">
        <v>6394</v>
      </c>
      <c r="N426" s="5">
        <f t="shared" si="5"/>
        <v>1795</v>
      </c>
    </row>
    <row r="427">
      <c r="A427" s="6" t="s">
        <v>5010</v>
      </c>
      <c r="B427" s="6" t="s">
        <v>2672</v>
      </c>
      <c r="C427" s="5">
        <f t="shared" si="1"/>
        <v>8</v>
      </c>
      <c r="D427" s="1" t="s">
        <v>116</v>
      </c>
      <c r="E427" s="1" t="s">
        <v>3962</v>
      </c>
      <c r="F427" s="1" t="s">
        <v>17</v>
      </c>
      <c r="G427" s="6" t="s">
        <v>6395</v>
      </c>
      <c r="H427" s="5">
        <f t="shared" si="2"/>
        <v>12.3312</v>
      </c>
      <c r="I427" s="1" t="s">
        <v>5030</v>
      </c>
      <c r="J427" s="1">
        <f t="shared" si="3"/>
        <v>1072.241114</v>
      </c>
      <c r="K427" s="6" t="s">
        <v>6396</v>
      </c>
      <c r="L427" s="5">
        <f t="shared" si="4"/>
        <v>4.3159</v>
      </c>
      <c r="M427" s="6" t="s">
        <v>6397</v>
      </c>
      <c r="N427" s="5">
        <f t="shared" si="5"/>
        <v>3741</v>
      </c>
    </row>
    <row r="428">
      <c r="A428" s="6" t="s">
        <v>5010</v>
      </c>
      <c r="B428" s="6" t="s">
        <v>2672</v>
      </c>
      <c r="C428" s="5">
        <f t="shared" si="1"/>
        <v>8</v>
      </c>
      <c r="D428" s="1" t="s">
        <v>116</v>
      </c>
      <c r="E428" s="1" t="s">
        <v>48</v>
      </c>
      <c r="F428" s="1" t="s">
        <v>49</v>
      </c>
      <c r="G428" s="1" t="s">
        <v>3855</v>
      </c>
      <c r="H428" s="5">
        <f t="shared" si="2"/>
        <v>0.0039</v>
      </c>
      <c r="I428" s="1" t="s">
        <v>5031</v>
      </c>
      <c r="J428" s="1">
        <f t="shared" si="3"/>
        <v>1.720908</v>
      </c>
      <c r="K428" s="1" t="s">
        <v>479</v>
      </c>
      <c r="L428" s="5">
        <f t="shared" si="4"/>
        <v>0.0011</v>
      </c>
      <c r="M428" s="6" t="s">
        <v>3552</v>
      </c>
      <c r="N428" s="5">
        <f t="shared" si="5"/>
        <v>5</v>
      </c>
    </row>
    <row r="429">
      <c r="A429" s="6" t="s">
        <v>5010</v>
      </c>
      <c r="B429" s="6" t="s">
        <v>2672</v>
      </c>
      <c r="C429" s="5">
        <f t="shared" si="1"/>
        <v>8</v>
      </c>
      <c r="D429" s="1" t="s">
        <v>116</v>
      </c>
      <c r="E429" s="1" t="s">
        <v>48</v>
      </c>
      <c r="F429" s="1" t="s">
        <v>72</v>
      </c>
      <c r="G429" s="1" t="s">
        <v>1024</v>
      </c>
      <c r="H429" s="5">
        <f t="shared" si="2"/>
        <v>0.0229</v>
      </c>
      <c r="I429" s="1" t="s">
        <v>5033</v>
      </c>
      <c r="J429" s="1">
        <f t="shared" si="3"/>
        <v>7.527529</v>
      </c>
      <c r="K429" s="1" t="s">
        <v>5034</v>
      </c>
      <c r="L429" s="5">
        <f t="shared" si="4"/>
        <v>0.0069</v>
      </c>
      <c r="M429" s="6" t="s">
        <v>5503</v>
      </c>
      <c r="N429" s="5">
        <f t="shared" si="5"/>
        <v>20</v>
      </c>
    </row>
    <row r="430">
      <c r="A430" s="6" t="s">
        <v>5010</v>
      </c>
      <c r="B430" s="6" t="s">
        <v>2672</v>
      </c>
      <c r="C430" s="5">
        <f t="shared" si="1"/>
        <v>8</v>
      </c>
      <c r="D430" s="1" t="s">
        <v>116</v>
      </c>
      <c r="E430" s="1" t="s">
        <v>48</v>
      </c>
      <c r="F430" s="1" t="s">
        <v>21</v>
      </c>
      <c r="G430" s="6" t="s">
        <v>6398</v>
      </c>
      <c r="H430" s="5">
        <f t="shared" si="2"/>
        <v>1.9689</v>
      </c>
      <c r="I430" s="1" t="s">
        <v>5035</v>
      </c>
      <c r="J430" s="1">
        <f t="shared" si="3"/>
        <v>514.083471</v>
      </c>
      <c r="K430" s="1" t="s">
        <v>5036</v>
      </c>
      <c r="L430" s="5">
        <f t="shared" si="4"/>
        <v>0.7876</v>
      </c>
      <c r="M430" s="6" t="s">
        <v>6399</v>
      </c>
      <c r="N430" s="5">
        <f t="shared" si="5"/>
        <v>413</v>
      </c>
    </row>
    <row r="431">
      <c r="A431" s="6" t="s">
        <v>5010</v>
      </c>
      <c r="B431" s="6" t="s">
        <v>2672</v>
      </c>
      <c r="C431" s="5">
        <f t="shared" si="1"/>
        <v>8</v>
      </c>
      <c r="D431" s="1" t="s">
        <v>116</v>
      </c>
      <c r="E431" s="1" t="s">
        <v>38</v>
      </c>
      <c r="F431" s="1" t="s">
        <v>39</v>
      </c>
      <c r="G431" s="1" t="s">
        <v>5037</v>
      </c>
      <c r="H431" s="5">
        <f t="shared" si="2"/>
        <v>5.577</v>
      </c>
      <c r="I431" s="1" t="s">
        <v>5038</v>
      </c>
      <c r="J431" s="1">
        <f t="shared" si="3"/>
        <v>506.792389</v>
      </c>
      <c r="K431" s="6" t="s">
        <v>5348</v>
      </c>
      <c r="L431" s="5">
        <f t="shared" si="4"/>
        <v>1.0039</v>
      </c>
      <c r="M431" s="6" t="s">
        <v>6400</v>
      </c>
      <c r="N431" s="5">
        <f t="shared" si="5"/>
        <v>2265</v>
      </c>
    </row>
    <row r="432">
      <c r="A432" s="6" t="s">
        <v>5010</v>
      </c>
      <c r="B432" s="6" t="s">
        <v>2672</v>
      </c>
      <c r="C432" s="5">
        <f t="shared" si="1"/>
        <v>8</v>
      </c>
      <c r="D432" s="1" t="s">
        <v>116</v>
      </c>
      <c r="E432" s="1" t="s">
        <v>147</v>
      </c>
      <c r="F432" s="1" t="s">
        <v>39</v>
      </c>
      <c r="G432" s="6" t="s">
        <v>5039</v>
      </c>
      <c r="H432" s="5">
        <f t="shared" si="2"/>
        <v>1.0412</v>
      </c>
      <c r="I432" s="1" t="s">
        <v>5040</v>
      </c>
      <c r="J432" s="1">
        <f t="shared" si="3"/>
        <v>345.818365</v>
      </c>
      <c r="K432" s="1" t="s">
        <v>5041</v>
      </c>
      <c r="L432" s="5">
        <f t="shared" si="4"/>
        <v>0.1978</v>
      </c>
      <c r="M432" s="6" t="s">
        <v>3600</v>
      </c>
      <c r="N432" s="5">
        <f t="shared" si="5"/>
        <v>106</v>
      </c>
    </row>
    <row r="433">
      <c r="A433" s="6" t="s">
        <v>5010</v>
      </c>
      <c r="B433" s="6" t="s">
        <v>2672</v>
      </c>
      <c r="C433" s="5">
        <f t="shared" si="1"/>
        <v>8</v>
      </c>
      <c r="D433" s="1" t="s">
        <v>116</v>
      </c>
      <c r="E433" s="1" t="s">
        <v>147</v>
      </c>
      <c r="F433" s="1" t="s">
        <v>17</v>
      </c>
      <c r="G433" s="1" t="s">
        <v>585</v>
      </c>
      <c r="H433" s="5">
        <f t="shared" si="2"/>
        <v>0.0202</v>
      </c>
      <c r="I433" s="1" t="s">
        <v>5042</v>
      </c>
      <c r="J433" s="1">
        <f t="shared" si="3"/>
        <v>9.199635</v>
      </c>
      <c r="K433" s="1" t="s">
        <v>3388</v>
      </c>
      <c r="L433" s="5">
        <f t="shared" si="4"/>
        <v>0.0072</v>
      </c>
      <c r="M433" s="6" t="s">
        <v>600</v>
      </c>
      <c r="N433" s="5">
        <f t="shared" si="5"/>
        <v>7</v>
      </c>
    </row>
    <row r="434">
      <c r="A434" s="6" t="s">
        <v>5010</v>
      </c>
      <c r="B434" s="6" t="s">
        <v>2672</v>
      </c>
      <c r="C434" s="5">
        <f t="shared" si="1"/>
        <v>8</v>
      </c>
      <c r="D434" s="1" t="s">
        <v>116</v>
      </c>
      <c r="E434" s="1" t="s">
        <v>147</v>
      </c>
      <c r="F434" s="1" t="s">
        <v>21</v>
      </c>
      <c r="G434" s="1" t="s">
        <v>5044</v>
      </c>
      <c r="H434" s="5">
        <f t="shared" si="2"/>
        <v>0.0375</v>
      </c>
      <c r="I434" s="1" t="s">
        <v>5045</v>
      </c>
      <c r="J434" s="1">
        <f t="shared" si="3"/>
        <v>20.010375</v>
      </c>
      <c r="K434" s="1" t="s">
        <v>5046</v>
      </c>
      <c r="L434" s="5">
        <f t="shared" si="4"/>
        <v>0.0188</v>
      </c>
      <c r="M434" s="6" t="s">
        <v>6072</v>
      </c>
      <c r="N434" s="5">
        <f t="shared" si="5"/>
        <v>35</v>
      </c>
    </row>
    <row r="435">
      <c r="A435" s="6" t="s">
        <v>5010</v>
      </c>
      <c r="B435" s="6" t="s">
        <v>2672</v>
      </c>
      <c r="C435" s="5">
        <f t="shared" si="1"/>
        <v>8</v>
      </c>
      <c r="D435" s="1" t="s">
        <v>116</v>
      </c>
      <c r="E435" s="1" t="s">
        <v>4842</v>
      </c>
      <c r="F435" s="1" t="s">
        <v>17</v>
      </c>
      <c r="G435" s="6" t="s">
        <v>6401</v>
      </c>
      <c r="H435" s="5">
        <f t="shared" si="2"/>
        <v>5.6062</v>
      </c>
      <c r="I435" s="1" t="s">
        <v>5048</v>
      </c>
      <c r="J435" s="1">
        <f t="shared" si="3"/>
        <v>313.649181</v>
      </c>
      <c r="K435" s="6" t="s">
        <v>6402</v>
      </c>
      <c r="L435" s="5">
        <f t="shared" si="4"/>
        <v>1.9622</v>
      </c>
      <c r="M435" s="6" t="s">
        <v>3637</v>
      </c>
      <c r="N435" s="5">
        <f t="shared" si="5"/>
        <v>131</v>
      </c>
    </row>
    <row r="436">
      <c r="A436" s="6" t="s">
        <v>5010</v>
      </c>
      <c r="B436" s="6" t="s">
        <v>2672</v>
      </c>
      <c r="C436" s="5">
        <f t="shared" si="1"/>
        <v>8</v>
      </c>
      <c r="D436" s="1" t="s">
        <v>116</v>
      </c>
      <c r="E436" s="1" t="s">
        <v>1851</v>
      </c>
      <c r="F436" s="1" t="s">
        <v>17</v>
      </c>
      <c r="G436" s="6" t="s">
        <v>703</v>
      </c>
      <c r="H436" s="5">
        <f t="shared" si="2"/>
        <v>3.0959</v>
      </c>
      <c r="I436" s="1" t="s">
        <v>5049</v>
      </c>
      <c r="J436" s="1">
        <f t="shared" si="3"/>
        <v>202.807384</v>
      </c>
      <c r="K436" s="6" t="s">
        <v>6403</v>
      </c>
      <c r="L436" s="5">
        <f t="shared" si="4"/>
        <v>1.1919</v>
      </c>
      <c r="M436" s="6" t="s">
        <v>6404</v>
      </c>
      <c r="N436" s="5">
        <f t="shared" si="5"/>
        <v>1758</v>
      </c>
    </row>
    <row r="437">
      <c r="A437" s="6" t="s">
        <v>5010</v>
      </c>
      <c r="B437" s="6" t="s">
        <v>2672</v>
      </c>
      <c r="C437" s="5">
        <f t="shared" si="1"/>
        <v>8</v>
      </c>
      <c r="D437" s="1" t="s">
        <v>116</v>
      </c>
      <c r="E437" s="1" t="s">
        <v>1851</v>
      </c>
      <c r="F437" s="1" t="s">
        <v>21</v>
      </c>
      <c r="G437" s="1" t="s">
        <v>5050</v>
      </c>
      <c r="H437" s="5">
        <f t="shared" si="2"/>
        <v>0.3683</v>
      </c>
      <c r="I437" s="1" t="s">
        <v>5051</v>
      </c>
      <c r="J437" s="1">
        <f t="shared" si="3"/>
        <v>33.449024</v>
      </c>
      <c r="K437" s="1" t="s">
        <v>4001</v>
      </c>
      <c r="L437" s="5">
        <f t="shared" si="4"/>
        <v>0.1804</v>
      </c>
      <c r="M437" s="6" t="s">
        <v>6405</v>
      </c>
      <c r="N437" s="5">
        <f t="shared" si="5"/>
        <v>120</v>
      </c>
    </row>
    <row r="438">
      <c r="A438" s="6" t="s">
        <v>5010</v>
      </c>
      <c r="B438" s="6" t="s">
        <v>2672</v>
      </c>
      <c r="C438" s="5">
        <f t="shared" si="1"/>
        <v>8</v>
      </c>
      <c r="D438" s="1" t="s">
        <v>116</v>
      </c>
      <c r="E438" s="1" t="s">
        <v>165</v>
      </c>
      <c r="F438" s="1" t="s">
        <v>39</v>
      </c>
      <c r="G438" s="1" t="s">
        <v>5053</v>
      </c>
      <c r="H438" s="5">
        <f t="shared" si="2"/>
        <v>0.3288</v>
      </c>
      <c r="I438" s="1" t="s">
        <v>5054</v>
      </c>
      <c r="J438" s="1">
        <f t="shared" si="3"/>
        <v>83.087602</v>
      </c>
      <c r="K438" s="1" t="s">
        <v>5055</v>
      </c>
      <c r="L438" s="5">
        <f t="shared" si="4"/>
        <v>0.0592</v>
      </c>
      <c r="M438" s="6" t="s">
        <v>291</v>
      </c>
      <c r="N438" s="5">
        <f t="shared" si="5"/>
        <v>0</v>
      </c>
    </row>
    <row r="439">
      <c r="A439" s="6" t="s">
        <v>5010</v>
      </c>
      <c r="B439" s="6" t="s">
        <v>2672</v>
      </c>
      <c r="C439" s="5">
        <f t="shared" si="1"/>
        <v>8</v>
      </c>
      <c r="D439" s="1" t="s">
        <v>116</v>
      </c>
      <c r="E439" s="1" t="s">
        <v>165</v>
      </c>
      <c r="F439" s="1" t="s">
        <v>17</v>
      </c>
      <c r="G439" s="1" t="s">
        <v>5057</v>
      </c>
      <c r="H439" s="5">
        <f t="shared" si="2"/>
        <v>0.3392</v>
      </c>
      <c r="I439" s="1" t="s">
        <v>5058</v>
      </c>
      <c r="J439" s="1">
        <f t="shared" si="3"/>
        <v>98.935482</v>
      </c>
      <c r="K439" s="1" t="s">
        <v>5060</v>
      </c>
      <c r="L439" s="5">
        <f t="shared" si="4"/>
        <v>0.1187</v>
      </c>
      <c r="M439" s="6" t="s">
        <v>291</v>
      </c>
      <c r="N439" s="5">
        <f t="shared" si="5"/>
        <v>0</v>
      </c>
    </row>
    <row r="440">
      <c r="A440" s="6" t="s">
        <v>5010</v>
      </c>
      <c r="B440" s="6" t="s">
        <v>3927</v>
      </c>
      <c r="C440" s="5">
        <f t="shared" si="1"/>
        <v>9</v>
      </c>
      <c r="D440" s="1" t="s">
        <v>12</v>
      </c>
      <c r="E440" s="1" t="s">
        <v>29</v>
      </c>
      <c r="F440" s="1" t="s">
        <v>14</v>
      </c>
      <c r="G440" s="1" t="s">
        <v>5062</v>
      </c>
      <c r="H440" s="5">
        <f t="shared" si="2"/>
        <v>0.2591</v>
      </c>
      <c r="I440" s="1" t="s">
        <v>5063</v>
      </c>
      <c r="J440" s="1">
        <f t="shared" si="3"/>
        <v>21.931859</v>
      </c>
      <c r="K440" s="1" t="s">
        <v>5065</v>
      </c>
      <c r="L440" s="5">
        <f t="shared" si="4"/>
        <v>0.0518</v>
      </c>
      <c r="M440" s="6" t="s">
        <v>4806</v>
      </c>
      <c r="N440" s="5">
        <f t="shared" si="5"/>
        <v>32</v>
      </c>
    </row>
    <row r="441">
      <c r="A441" s="6" t="s">
        <v>5010</v>
      </c>
      <c r="B441" s="6" t="s">
        <v>3927</v>
      </c>
      <c r="C441" s="5">
        <f t="shared" si="1"/>
        <v>9</v>
      </c>
      <c r="D441" s="1" t="s">
        <v>12</v>
      </c>
      <c r="E441" s="1" t="s">
        <v>29</v>
      </c>
      <c r="F441" s="1" t="s">
        <v>21</v>
      </c>
      <c r="G441" s="1" t="s">
        <v>5066</v>
      </c>
      <c r="H441" s="5">
        <f t="shared" si="2"/>
        <v>38.9673</v>
      </c>
      <c r="I441" s="1" t="s">
        <v>5067</v>
      </c>
      <c r="J441" s="1">
        <f t="shared" si="3"/>
        <v>7477.973324</v>
      </c>
      <c r="K441" s="1" t="s">
        <v>5069</v>
      </c>
      <c r="L441" s="5">
        <f t="shared" si="4"/>
        <v>15.587</v>
      </c>
      <c r="M441" s="6" t="s">
        <v>6406</v>
      </c>
      <c r="N441" s="5">
        <f t="shared" si="5"/>
        <v>622</v>
      </c>
    </row>
    <row r="442">
      <c r="A442" s="6" t="s">
        <v>5010</v>
      </c>
      <c r="B442" s="6" t="s">
        <v>3927</v>
      </c>
      <c r="C442" s="5">
        <f t="shared" si="1"/>
        <v>9</v>
      </c>
      <c r="D442" s="1" t="s">
        <v>12</v>
      </c>
      <c r="E442" s="1" t="s">
        <v>13</v>
      </c>
      <c r="F442" s="1" t="s">
        <v>14</v>
      </c>
      <c r="G442" s="6" t="s">
        <v>6407</v>
      </c>
      <c r="H442" s="5">
        <f t="shared" si="2"/>
        <v>4.4724</v>
      </c>
      <c r="I442" s="1" t="s">
        <v>5070</v>
      </c>
      <c r="J442" s="1">
        <f t="shared" si="3"/>
        <v>372.448738</v>
      </c>
      <c r="K442" s="1" t="s">
        <v>5071</v>
      </c>
      <c r="L442" s="5">
        <f t="shared" si="4"/>
        <v>0.9392</v>
      </c>
      <c r="M442" s="6" t="s">
        <v>3571</v>
      </c>
      <c r="N442" s="5">
        <f t="shared" si="5"/>
        <v>337</v>
      </c>
    </row>
    <row r="443">
      <c r="A443" s="6" t="s">
        <v>5010</v>
      </c>
      <c r="B443" s="6" t="s">
        <v>3927</v>
      </c>
      <c r="C443" s="5">
        <f t="shared" si="1"/>
        <v>9</v>
      </c>
      <c r="D443" s="1" t="s">
        <v>12</v>
      </c>
      <c r="E443" s="1" t="s">
        <v>13</v>
      </c>
      <c r="F443" s="1" t="s">
        <v>17</v>
      </c>
      <c r="G443" s="1" t="s">
        <v>5073</v>
      </c>
      <c r="H443" s="5">
        <f t="shared" si="2"/>
        <v>36.8494</v>
      </c>
      <c r="I443" s="1" t="s">
        <v>5074</v>
      </c>
      <c r="J443" s="1">
        <f t="shared" si="3"/>
        <v>3683.346589</v>
      </c>
      <c r="K443" s="6" t="s">
        <v>6408</v>
      </c>
      <c r="L443" s="5">
        <f t="shared" si="4"/>
        <v>12.8973</v>
      </c>
      <c r="M443" s="6" t="s">
        <v>6409</v>
      </c>
      <c r="N443" s="5">
        <f t="shared" si="5"/>
        <v>561</v>
      </c>
    </row>
    <row r="444">
      <c r="A444" s="6" t="s">
        <v>5010</v>
      </c>
      <c r="B444" s="6" t="s">
        <v>3927</v>
      </c>
      <c r="C444" s="5">
        <f t="shared" si="1"/>
        <v>9</v>
      </c>
      <c r="D444" s="1" t="s">
        <v>12</v>
      </c>
      <c r="E444" s="1" t="s">
        <v>13</v>
      </c>
      <c r="F444" s="1" t="s">
        <v>21</v>
      </c>
      <c r="G444" s="1" t="s">
        <v>5076</v>
      </c>
      <c r="H444" s="5">
        <f t="shared" si="2"/>
        <v>20.1116</v>
      </c>
      <c r="I444" s="1" t="s">
        <v>5077</v>
      </c>
      <c r="J444" s="1">
        <f t="shared" si="3"/>
        <v>2658.162426</v>
      </c>
      <c r="K444" s="6" t="s">
        <v>5079</v>
      </c>
      <c r="L444" s="5">
        <f t="shared" si="4"/>
        <v>10.0455</v>
      </c>
      <c r="M444" s="6" t="s">
        <v>6410</v>
      </c>
      <c r="N444" s="5">
        <f t="shared" si="5"/>
        <v>459</v>
      </c>
    </row>
    <row r="445">
      <c r="A445" s="6" t="s">
        <v>5010</v>
      </c>
      <c r="B445" s="6" t="s">
        <v>3927</v>
      </c>
      <c r="C445" s="5">
        <f t="shared" si="1"/>
        <v>9</v>
      </c>
      <c r="D445" s="1" t="s">
        <v>12</v>
      </c>
      <c r="E445" s="1" t="s">
        <v>48</v>
      </c>
      <c r="F445" s="1" t="s">
        <v>49</v>
      </c>
      <c r="G445" s="1" t="s">
        <v>1968</v>
      </c>
      <c r="H445" s="5">
        <f t="shared" si="2"/>
        <v>0.0055</v>
      </c>
      <c r="I445" s="1" t="s">
        <v>5080</v>
      </c>
      <c r="J445" s="1">
        <f t="shared" si="3"/>
        <v>1.191653</v>
      </c>
      <c r="K445" s="1" t="s">
        <v>693</v>
      </c>
      <c r="L445" s="5">
        <f t="shared" si="4"/>
        <v>0.0015</v>
      </c>
      <c r="M445" s="6" t="s">
        <v>397</v>
      </c>
      <c r="N445" s="5">
        <f t="shared" si="5"/>
        <v>2</v>
      </c>
    </row>
    <row r="446">
      <c r="A446" s="6" t="s">
        <v>5010</v>
      </c>
      <c r="B446" s="6" t="s">
        <v>3927</v>
      </c>
      <c r="C446" s="5">
        <f t="shared" si="1"/>
        <v>9</v>
      </c>
      <c r="D446" s="1" t="s">
        <v>12</v>
      </c>
      <c r="E446" s="1" t="s">
        <v>48</v>
      </c>
      <c r="F446" s="1" t="s">
        <v>21</v>
      </c>
      <c r="G446" s="6" t="s">
        <v>6411</v>
      </c>
      <c r="H446" s="5">
        <f t="shared" si="2"/>
        <v>3.7586</v>
      </c>
      <c r="I446" s="1" t="s">
        <v>5082</v>
      </c>
      <c r="J446" s="1">
        <f t="shared" si="3"/>
        <v>578.319131</v>
      </c>
      <c r="K446" s="6" t="s">
        <v>6412</v>
      </c>
      <c r="L446" s="5">
        <f t="shared" si="4"/>
        <v>1.5034</v>
      </c>
      <c r="M446" s="6" t="s">
        <v>3626</v>
      </c>
      <c r="N446" s="5">
        <f t="shared" si="5"/>
        <v>164</v>
      </c>
    </row>
    <row r="447">
      <c r="A447" s="6" t="s">
        <v>5010</v>
      </c>
      <c r="B447" s="6" t="s">
        <v>3927</v>
      </c>
      <c r="C447" s="5">
        <f t="shared" si="1"/>
        <v>9</v>
      </c>
      <c r="D447" s="1" t="s">
        <v>12</v>
      </c>
      <c r="E447" s="1" t="s">
        <v>38</v>
      </c>
      <c r="F447" s="1" t="s">
        <v>39</v>
      </c>
      <c r="G447" s="6" t="s">
        <v>6413</v>
      </c>
      <c r="H447" s="5">
        <f t="shared" si="2"/>
        <v>2.8968</v>
      </c>
      <c r="I447" s="1" t="s">
        <v>5084</v>
      </c>
      <c r="J447" s="1">
        <f t="shared" si="3"/>
        <v>309.261377</v>
      </c>
      <c r="K447" s="1" t="s">
        <v>5085</v>
      </c>
      <c r="L447" s="5">
        <f t="shared" si="4"/>
        <v>0.5214</v>
      </c>
      <c r="M447" s="6" t="s">
        <v>6211</v>
      </c>
      <c r="N447" s="5">
        <f t="shared" si="5"/>
        <v>156</v>
      </c>
    </row>
    <row r="448">
      <c r="A448" s="6" t="s">
        <v>5010</v>
      </c>
      <c r="B448" s="6" t="s">
        <v>3927</v>
      </c>
      <c r="C448" s="5">
        <f t="shared" si="1"/>
        <v>9</v>
      </c>
      <c r="D448" s="1" t="s">
        <v>12</v>
      </c>
      <c r="E448" s="1" t="s">
        <v>45</v>
      </c>
      <c r="F448" s="1" t="s">
        <v>49</v>
      </c>
      <c r="G448" s="1" t="s">
        <v>5086</v>
      </c>
      <c r="H448" s="5">
        <f t="shared" si="2"/>
        <v>0.0538</v>
      </c>
      <c r="I448" s="1" t="s">
        <v>5087</v>
      </c>
      <c r="J448" s="1">
        <f t="shared" si="3"/>
        <v>3.210473</v>
      </c>
      <c r="K448" s="1" t="s">
        <v>325</v>
      </c>
      <c r="L448" s="5">
        <f t="shared" si="4"/>
        <v>0.014</v>
      </c>
      <c r="M448" s="6" t="s">
        <v>273</v>
      </c>
      <c r="N448" s="5">
        <f t="shared" si="5"/>
        <v>4</v>
      </c>
    </row>
    <row r="449">
      <c r="A449" s="6" t="s">
        <v>5010</v>
      </c>
      <c r="B449" s="6" t="s">
        <v>3927</v>
      </c>
      <c r="C449" s="5">
        <f t="shared" si="1"/>
        <v>9</v>
      </c>
      <c r="D449" s="1" t="s">
        <v>12</v>
      </c>
      <c r="E449" s="1" t="s">
        <v>45</v>
      </c>
      <c r="F449" s="1" t="s">
        <v>17</v>
      </c>
      <c r="G449" s="6" t="s">
        <v>6414</v>
      </c>
      <c r="H449" s="5">
        <f t="shared" si="2"/>
        <v>2.4313</v>
      </c>
      <c r="I449" s="1" t="s">
        <v>5089</v>
      </c>
      <c r="J449" s="1">
        <f t="shared" si="3"/>
        <v>168.272134</v>
      </c>
      <c r="K449" s="1" t="s">
        <v>5090</v>
      </c>
      <c r="L449" s="5">
        <f t="shared" si="4"/>
        <v>0.8753</v>
      </c>
      <c r="M449" s="6" t="s">
        <v>6147</v>
      </c>
      <c r="N449" s="5">
        <f t="shared" si="5"/>
        <v>159</v>
      </c>
    </row>
    <row r="450">
      <c r="A450" s="6" t="s">
        <v>5010</v>
      </c>
      <c r="B450" s="6" t="s">
        <v>3927</v>
      </c>
      <c r="C450" s="5">
        <f t="shared" si="1"/>
        <v>9</v>
      </c>
      <c r="D450" s="1" t="s">
        <v>12</v>
      </c>
      <c r="E450" s="1" t="s">
        <v>4127</v>
      </c>
      <c r="F450" s="1" t="s">
        <v>17</v>
      </c>
      <c r="G450" s="1" t="s">
        <v>5091</v>
      </c>
      <c r="H450" s="5">
        <f t="shared" si="2"/>
        <v>0.9743</v>
      </c>
      <c r="I450" s="1" t="s">
        <v>5092</v>
      </c>
      <c r="J450" s="1">
        <f t="shared" si="3"/>
        <v>88.223206</v>
      </c>
      <c r="K450" s="1" t="s">
        <v>5093</v>
      </c>
      <c r="L450" s="5">
        <f t="shared" si="4"/>
        <v>0.341</v>
      </c>
      <c r="M450" s="6" t="s">
        <v>5539</v>
      </c>
      <c r="N450" s="5">
        <f t="shared" si="5"/>
        <v>81</v>
      </c>
    </row>
    <row r="451">
      <c r="A451" s="6" t="s">
        <v>5010</v>
      </c>
      <c r="B451" s="6" t="s">
        <v>3927</v>
      </c>
      <c r="C451" s="5">
        <f t="shared" si="1"/>
        <v>9</v>
      </c>
      <c r="D451" s="1" t="s">
        <v>12</v>
      </c>
      <c r="E451" s="1" t="s">
        <v>3962</v>
      </c>
      <c r="F451" s="1" t="s">
        <v>17</v>
      </c>
      <c r="G451" s="1" t="s">
        <v>5094</v>
      </c>
      <c r="H451" s="5">
        <f t="shared" si="2"/>
        <v>0.8491</v>
      </c>
      <c r="I451" s="1" t="s">
        <v>5095</v>
      </c>
      <c r="J451" s="1">
        <f t="shared" si="3"/>
        <v>78.136528</v>
      </c>
      <c r="K451" s="1" t="s">
        <v>5097</v>
      </c>
      <c r="L451" s="5">
        <f t="shared" si="4"/>
        <v>0.2972</v>
      </c>
      <c r="M451" s="6" t="s">
        <v>2709</v>
      </c>
      <c r="N451" s="5">
        <f t="shared" si="5"/>
        <v>114</v>
      </c>
    </row>
    <row r="452">
      <c r="A452" s="6" t="s">
        <v>5010</v>
      </c>
      <c r="B452" s="6" t="s">
        <v>3927</v>
      </c>
      <c r="C452" s="5">
        <f t="shared" si="1"/>
        <v>9</v>
      </c>
      <c r="D452" s="1" t="s">
        <v>12</v>
      </c>
      <c r="E452" s="1" t="s">
        <v>4955</v>
      </c>
      <c r="F452" s="1" t="s">
        <v>49</v>
      </c>
      <c r="G452" s="6" t="s">
        <v>5098</v>
      </c>
      <c r="H452" s="5">
        <f t="shared" si="2"/>
        <v>1.1431</v>
      </c>
      <c r="I452" s="1" t="s">
        <v>5099</v>
      </c>
      <c r="J452" s="1">
        <f t="shared" si="3"/>
        <v>75.358835</v>
      </c>
      <c r="K452" s="1" t="s">
        <v>5100</v>
      </c>
      <c r="L452" s="5">
        <f t="shared" si="4"/>
        <v>0.2858</v>
      </c>
      <c r="M452" s="6" t="s">
        <v>291</v>
      </c>
      <c r="N452" s="5">
        <f t="shared" si="5"/>
        <v>0</v>
      </c>
    </row>
    <row r="453">
      <c r="A453" s="6" t="s">
        <v>5010</v>
      </c>
      <c r="B453" s="6" t="s">
        <v>3927</v>
      </c>
      <c r="C453" s="5">
        <f t="shared" si="1"/>
        <v>9</v>
      </c>
      <c r="D453" s="1" t="s">
        <v>12</v>
      </c>
      <c r="E453" s="1" t="s">
        <v>4842</v>
      </c>
      <c r="F453" s="1" t="s">
        <v>17</v>
      </c>
      <c r="G453" s="6" t="s">
        <v>5101</v>
      </c>
      <c r="H453" s="5">
        <f t="shared" si="2"/>
        <v>1.0531</v>
      </c>
      <c r="I453" s="1" t="s">
        <v>5102</v>
      </c>
      <c r="J453" s="1">
        <f t="shared" si="3"/>
        <v>56.502914</v>
      </c>
      <c r="K453" s="1" t="s">
        <v>5103</v>
      </c>
      <c r="L453" s="5">
        <f t="shared" si="4"/>
        <v>0.3686</v>
      </c>
      <c r="M453" s="6" t="s">
        <v>291</v>
      </c>
      <c r="N453" s="5">
        <f t="shared" si="5"/>
        <v>0</v>
      </c>
    </row>
    <row r="454">
      <c r="A454" s="6" t="s">
        <v>5010</v>
      </c>
      <c r="B454" s="6" t="s">
        <v>3927</v>
      </c>
      <c r="C454" s="5">
        <f t="shared" si="1"/>
        <v>9</v>
      </c>
      <c r="D454" s="1" t="s">
        <v>12</v>
      </c>
      <c r="E454" s="1" t="s">
        <v>42</v>
      </c>
      <c r="F454" s="1" t="s">
        <v>17</v>
      </c>
      <c r="G454" s="1" t="s">
        <v>5104</v>
      </c>
      <c r="H454" s="5">
        <f t="shared" si="2"/>
        <v>0.2482</v>
      </c>
      <c r="I454" s="1" t="s">
        <v>5105</v>
      </c>
      <c r="J454" s="1">
        <f t="shared" si="3"/>
        <v>47.686528</v>
      </c>
      <c r="K454" s="1" t="s">
        <v>5107</v>
      </c>
      <c r="L454" s="5">
        <f t="shared" si="4"/>
        <v>0.0918</v>
      </c>
      <c r="M454" s="6" t="s">
        <v>291</v>
      </c>
      <c r="N454" s="5">
        <f t="shared" si="5"/>
        <v>0</v>
      </c>
    </row>
    <row r="455">
      <c r="A455" s="6" t="s">
        <v>5010</v>
      </c>
      <c r="B455" s="6" t="s">
        <v>3927</v>
      </c>
      <c r="C455" s="5">
        <f t="shared" si="1"/>
        <v>9</v>
      </c>
      <c r="D455" s="1" t="s">
        <v>68</v>
      </c>
      <c r="E455" s="1" t="s">
        <v>13</v>
      </c>
      <c r="F455" s="1" t="s">
        <v>14</v>
      </c>
      <c r="G455" s="1" t="s">
        <v>5108</v>
      </c>
      <c r="H455" s="5">
        <f t="shared" si="2"/>
        <v>13.612</v>
      </c>
      <c r="I455" s="1" t="s">
        <v>5109</v>
      </c>
      <c r="J455" s="1">
        <f t="shared" si="3"/>
        <v>1019.348168</v>
      </c>
      <c r="K455" s="6" t="s">
        <v>6415</v>
      </c>
      <c r="L455" s="5">
        <f t="shared" si="4"/>
        <v>2.8586</v>
      </c>
      <c r="M455" s="6" t="s">
        <v>6416</v>
      </c>
      <c r="N455" s="5">
        <f t="shared" si="5"/>
        <v>3207</v>
      </c>
    </row>
    <row r="456">
      <c r="A456" s="6" t="s">
        <v>5010</v>
      </c>
      <c r="B456" s="6" t="s">
        <v>3927</v>
      </c>
      <c r="C456" s="5">
        <f t="shared" si="1"/>
        <v>9</v>
      </c>
      <c r="D456" s="1" t="s">
        <v>68</v>
      </c>
      <c r="E456" s="1" t="s">
        <v>13</v>
      </c>
      <c r="F456" s="1" t="s">
        <v>17</v>
      </c>
      <c r="G456" s="1" t="s">
        <v>5111</v>
      </c>
      <c r="H456" s="5">
        <f t="shared" si="2"/>
        <v>53.9114</v>
      </c>
      <c r="I456" s="1" t="s">
        <v>5112</v>
      </c>
      <c r="J456" s="1">
        <f t="shared" si="3"/>
        <v>5939.74968</v>
      </c>
      <c r="K456" s="1" t="s">
        <v>5113</v>
      </c>
      <c r="L456" s="5">
        <f t="shared" si="4"/>
        <v>18.869</v>
      </c>
      <c r="M456" s="6" t="s">
        <v>6417</v>
      </c>
      <c r="N456" s="5">
        <f t="shared" si="5"/>
        <v>8071</v>
      </c>
    </row>
    <row r="457">
      <c r="A457" s="6" t="s">
        <v>5010</v>
      </c>
      <c r="B457" s="6" t="s">
        <v>3927</v>
      </c>
      <c r="C457" s="5">
        <f t="shared" si="1"/>
        <v>9</v>
      </c>
      <c r="D457" s="1" t="s">
        <v>68</v>
      </c>
      <c r="E457" s="1" t="s">
        <v>13</v>
      </c>
      <c r="F457" s="1" t="s">
        <v>21</v>
      </c>
      <c r="G457" s="6" t="s">
        <v>6418</v>
      </c>
      <c r="H457" s="5">
        <f t="shared" si="2"/>
        <v>6.1975</v>
      </c>
      <c r="I457" s="1" t="s">
        <v>5114</v>
      </c>
      <c r="J457" s="1">
        <f t="shared" si="3"/>
        <v>813.651829</v>
      </c>
      <c r="K457" s="6" t="s">
        <v>5115</v>
      </c>
      <c r="L457" s="5">
        <f t="shared" si="4"/>
        <v>3.0511</v>
      </c>
      <c r="M457" s="6" t="s">
        <v>6419</v>
      </c>
      <c r="N457" s="5">
        <f t="shared" si="5"/>
        <v>1798</v>
      </c>
    </row>
    <row r="458">
      <c r="A458" s="6" t="s">
        <v>5010</v>
      </c>
      <c r="B458" s="6" t="s">
        <v>3927</v>
      </c>
      <c r="C458" s="5">
        <f t="shared" si="1"/>
        <v>9</v>
      </c>
      <c r="D458" s="1" t="s">
        <v>68</v>
      </c>
      <c r="E458" s="1" t="s">
        <v>13</v>
      </c>
      <c r="F458" s="1" t="s">
        <v>25</v>
      </c>
      <c r="G458" s="1" t="s">
        <v>4497</v>
      </c>
      <c r="H458" s="5">
        <f t="shared" si="2"/>
        <v>0.2838</v>
      </c>
      <c r="I458" s="1" t="s">
        <v>5117</v>
      </c>
      <c r="J458" s="1">
        <f t="shared" si="3"/>
        <v>45.835925</v>
      </c>
      <c r="K458" s="1" t="s">
        <v>4499</v>
      </c>
      <c r="L458" s="5">
        <f t="shared" si="4"/>
        <v>0.2128</v>
      </c>
      <c r="M458" s="6" t="s">
        <v>765</v>
      </c>
      <c r="N458" s="5">
        <f t="shared" si="5"/>
        <v>168</v>
      </c>
    </row>
    <row r="459">
      <c r="A459" s="6" t="s">
        <v>5010</v>
      </c>
      <c r="B459" s="6" t="s">
        <v>3927</v>
      </c>
      <c r="C459" s="5">
        <f t="shared" si="1"/>
        <v>9</v>
      </c>
      <c r="D459" s="1" t="s">
        <v>68</v>
      </c>
      <c r="E459" s="1" t="s">
        <v>29</v>
      </c>
      <c r="F459" s="1" t="s">
        <v>14</v>
      </c>
      <c r="G459" s="1" t="s">
        <v>5118</v>
      </c>
      <c r="H459" s="5">
        <f t="shared" si="2"/>
        <v>0.7031</v>
      </c>
      <c r="I459" s="1" t="s">
        <v>5119</v>
      </c>
      <c r="J459" s="1">
        <f t="shared" si="3"/>
        <v>83.168761</v>
      </c>
      <c r="K459" s="1" t="s">
        <v>5120</v>
      </c>
      <c r="L459" s="5">
        <f t="shared" si="4"/>
        <v>0.1406</v>
      </c>
      <c r="M459" s="6" t="s">
        <v>3603</v>
      </c>
      <c r="N459" s="5">
        <f t="shared" si="5"/>
        <v>202</v>
      </c>
    </row>
    <row r="460">
      <c r="A460" s="6" t="s">
        <v>5010</v>
      </c>
      <c r="B460" s="6" t="s">
        <v>3927</v>
      </c>
      <c r="C460" s="5">
        <f t="shared" si="1"/>
        <v>9</v>
      </c>
      <c r="D460" s="1" t="s">
        <v>68</v>
      </c>
      <c r="E460" s="1" t="s">
        <v>29</v>
      </c>
      <c r="F460" s="1" t="s">
        <v>21</v>
      </c>
      <c r="G460" s="6" t="s">
        <v>6420</v>
      </c>
      <c r="H460" s="5">
        <f t="shared" si="2"/>
        <v>11.0032</v>
      </c>
      <c r="I460" s="1" t="s">
        <v>5121</v>
      </c>
      <c r="J460" s="1">
        <f t="shared" si="3"/>
        <v>2009.118857</v>
      </c>
      <c r="K460" s="6" t="s">
        <v>6421</v>
      </c>
      <c r="L460" s="5">
        <f t="shared" si="4"/>
        <v>4.4013</v>
      </c>
      <c r="M460" s="6" t="s">
        <v>3593</v>
      </c>
      <c r="N460" s="5">
        <f t="shared" si="5"/>
        <v>1621</v>
      </c>
    </row>
    <row r="461">
      <c r="A461" s="6" t="s">
        <v>5010</v>
      </c>
      <c r="B461" s="6" t="s">
        <v>3927</v>
      </c>
      <c r="C461" s="5">
        <f t="shared" si="1"/>
        <v>9</v>
      </c>
      <c r="D461" s="1" t="s">
        <v>68</v>
      </c>
      <c r="E461" s="1" t="s">
        <v>45</v>
      </c>
      <c r="F461" s="1" t="s">
        <v>49</v>
      </c>
      <c r="G461" s="1" t="s">
        <v>5123</v>
      </c>
      <c r="H461" s="5">
        <f t="shared" si="2"/>
        <v>0.7827</v>
      </c>
      <c r="I461" s="1" t="s">
        <v>5124</v>
      </c>
      <c r="J461" s="1">
        <f t="shared" si="3"/>
        <v>48.973263</v>
      </c>
      <c r="K461" s="1" t="s">
        <v>5125</v>
      </c>
      <c r="L461" s="5">
        <f t="shared" si="4"/>
        <v>0.2035</v>
      </c>
      <c r="M461" s="6" t="s">
        <v>266</v>
      </c>
      <c r="N461" s="5">
        <f t="shared" si="5"/>
        <v>191</v>
      </c>
    </row>
    <row r="462">
      <c r="A462" s="6" t="s">
        <v>5010</v>
      </c>
      <c r="B462" s="6" t="s">
        <v>3927</v>
      </c>
      <c r="C462" s="5">
        <f t="shared" si="1"/>
        <v>9</v>
      </c>
      <c r="D462" s="1" t="s">
        <v>68</v>
      </c>
      <c r="E462" s="1" t="s">
        <v>45</v>
      </c>
      <c r="F462" s="1" t="s">
        <v>17</v>
      </c>
      <c r="G462" s="1" t="s">
        <v>5127</v>
      </c>
      <c r="H462" s="5">
        <f t="shared" si="2"/>
        <v>14.0677</v>
      </c>
      <c r="I462" s="1" t="s">
        <v>5128</v>
      </c>
      <c r="J462" s="1">
        <f t="shared" si="3"/>
        <v>770.718584</v>
      </c>
      <c r="K462" s="6" t="s">
        <v>5130</v>
      </c>
      <c r="L462" s="5">
        <f t="shared" si="4"/>
        <v>5.0643</v>
      </c>
      <c r="M462" s="6" t="s">
        <v>5170</v>
      </c>
      <c r="N462" s="5">
        <f t="shared" si="5"/>
        <v>1386</v>
      </c>
    </row>
    <row r="463">
      <c r="A463" s="6" t="s">
        <v>5010</v>
      </c>
      <c r="B463" s="6" t="s">
        <v>3927</v>
      </c>
      <c r="C463" s="5">
        <f t="shared" si="1"/>
        <v>9</v>
      </c>
      <c r="D463" s="1" t="s">
        <v>68</v>
      </c>
      <c r="E463" s="1" t="s">
        <v>38</v>
      </c>
      <c r="F463" s="1" t="s">
        <v>39</v>
      </c>
      <c r="G463" s="6" t="s">
        <v>6422</v>
      </c>
      <c r="H463" s="5">
        <f t="shared" si="2"/>
        <v>3.8074</v>
      </c>
      <c r="I463" s="1" t="s">
        <v>5132</v>
      </c>
      <c r="J463" s="1">
        <f t="shared" si="3"/>
        <v>297.966205</v>
      </c>
      <c r="K463" s="1" t="s">
        <v>5133</v>
      </c>
      <c r="L463" s="5">
        <f t="shared" si="4"/>
        <v>0.6853</v>
      </c>
      <c r="M463" s="6" t="s">
        <v>6423</v>
      </c>
      <c r="N463" s="5">
        <f t="shared" si="5"/>
        <v>1396</v>
      </c>
    </row>
    <row r="464">
      <c r="A464" s="6" t="s">
        <v>5010</v>
      </c>
      <c r="B464" s="6" t="s">
        <v>3927</v>
      </c>
      <c r="C464" s="5">
        <f t="shared" si="1"/>
        <v>9</v>
      </c>
      <c r="D464" s="1" t="s">
        <v>68</v>
      </c>
      <c r="E464" s="1" t="s">
        <v>3962</v>
      </c>
      <c r="F464" s="1" t="s">
        <v>17</v>
      </c>
      <c r="G464" s="6" t="s">
        <v>6424</v>
      </c>
      <c r="H464" s="5">
        <f t="shared" si="2"/>
        <v>1.9004</v>
      </c>
      <c r="I464" s="1" t="s">
        <v>5134</v>
      </c>
      <c r="J464" s="1">
        <f t="shared" si="3"/>
        <v>167.379323</v>
      </c>
      <c r="K464" s="1" t="s">
        <v>5135</v>
      </c>
      <c r="L464" s="5">
        <f t="shared" si="4"/>
        <v>0.6651</v>
      </c>
      <c r="M464" s="6" t="s">
        <v>6425</v>
      </c>
      <c r="N464" s="5">
        <f t="shared" si="5"/>
        <v>984</v>
      </c>
    </row>
    <row r="465">
      <c r="A465" s="6" t="s">
        <v>5010</v>
      </c>
      <c r="B465" s="6" t="s">
        <v>3927</v>
      </c>
      <c r="C465" s="5">
        <f t="shared" si="1"/>
        <v>9</v>
      </c>
      <c r="D465" s="1" t="s">
        <v>68</v>
      </c>
      <c r="E465" s="1" t="s">
        <v>4955</v>
      </c>
      <c r="F465" s="1" t="s">
        <v>49</v>
      </c>
      <c r="G465" s="6" t="s">
        <v>6426</v>
      </c>
      <c r="H465" s="5">
        <f t="shared" si="2"/>
        <v>1.3414</v>
      </c>
      <c r="I465" s="1" t="s">
        <v>5136</v>
      </c>
      <c r="J465" s="1">
        <f t="shared" si="3"/>
        <v>127.422027</v>
      </c>
      <c r="K465" s="1" t="s">
        <v>5137</v>
      </c>
      <c r="L465" s="5">
        <f t="shared" si="4"/>
        <v>0.3354</v>
      </c>
      <c r="M465" s="6" t="s">
        <v>6427</v>
      </c>
      <c r="N465" s="5">
        <f t="shared" si="5"/>
        <v>825</v>
      </c>
    </row>
    <row r="466">
      <c r="A466" s="6" t="s">
        <v>5010</v>
      </c>
      <c r="B466" s="6" t="s">
        <v>3927</v>
      </c>
      <c r="C466" s="5">
        <f t="shared" si="1"/>
        <v>9</v>
      </c>
      <c r="D466" s="1" t="s">
        <v>68</v>
      </c>
      <c r="E466" s="1" t="s">
        <v>48</v>
      </c>
      <c r="F466" s="1" t="s">
        <v>49</v>
      </c>
      <c r="G466" s="1" t="s">
        <v>878</v>
      </c>
      <c r="H466" s="5">
        <f t="shared" si="2"/>
        <v>0.0044</v>
      </c>
      <c r="I466" s="1" t="s">
        <v>5138</v>
      </c>
      <c r="J466" s="1">
        <f t="shared" si="3"/>
        <v>1.132441</v>
      </c>
      <c r="K466" s="1" t="s">
        <v>1813</v>
      </c>
      <c r="L466" s="5">
        <f t="shared" si="4"/>
        <v>0.0012</v>
      </c>
      <c r="M466" s="6" t="s">
        <v>186</v>
      </c>
      <c r="N466" s="5">
        <f t="shared" si="5"/>
        <v>1</v>
      </c>
    </row>
    <row r="467">
      <c r="A467" s="6" t="s">
        <v>5010</v>
      </c>
      <c r="B467" s="6" t="s">
        <v>3927</v>
      </c>
      <c r="C467" s="5">
        <f t="shared" si="1"/>
        <v>9</v>
      </c>
      <c r="D467" s="1" t="s">
        <v>68</v>
      </c>
      <c r="E467" s="1" t="s">
        <v>48</v>
      </c>
      <c r="F467" s="1" t="s">
        <v>72</v>
      </c>
      <c r="G467" s="1" t="s">
        <v>1460</v>
      </c>
      <c r="H467" s="5">
        <f t="shared" si="2"/>
        <v>0.002</v>
      </c>
      <c r="I467" s="1" t="s">
        <v>5139</v>
      </c>
      <c r="J467" s="1">
        <f t="shared" si="3"/>
        <v>0.674333</v>
      </c>
      <c r="K467" s="1" t="s">
        <v>373</v>
      </c>
      <c r="L467" s="5">
        <f t="shared" si="4"/>
        <v>0.0006</v>
      </c>
      <c r="M467" s="6" t="s">
        <v>2677</v>
      </c>
      <c r="N467" s="5">
        <f t="shared" si="5"/>
        <v>3</v>
      </c>
    </row>
    <row r="468">
      <c r="A468" s="6" t="s">
        <v>5010</v>
      </c>
      <c r="B468" s="6" t="s">
        <v>3927</v>
      </c>
      <c r="C468" s="5">
        <f t="shared" si="1"/>
        <v>9</v>
      </c>
      <c r="D468" s="1" t="s">
        <v>68</v>
      </c>
      <c r="E468" s="1" t="s">
        <v>48</v>
      </c>
      <c r="F468" s="1" t="s">
        <v>21</v>
      </c>
      <c r="G468" s="1" t="s">
        <v>5141</v>
      </c>
      <c r="H468" s="5">
        <f t="shared" si="2"/>
        <v>0.6277</v>
      </c>
      <c r="I468" s="1" t="s">
        <v>5142</v>
      </c>
      <c r="J468" s="1">
        <f t="shared" si="3"/>
        <v>100.602947</v>
      </c>
      <c r="K468" s="1" t="s">
        <v>5143</v>
      </c>
      <c r="L468" s="5">
        <f t="shared" si="4"/>
        <v>0.2511</v>
      </c>
      <c r="M468" s="6" t="s">
        <v>6428</v>
      </c>
      <c r="N468" s="5">
        <f t="shared" si="5"/>
        <v>322</v>
      </c>
    </row>
    <row r="469">
      <c r="A469" s="6" t="s">
        <v>5010</v>
      </c>
      <c r="B469" s="6" t="s">
        <v>3927</v>
      </c>
      <c r="C469" s="5">
        <f t="shared" si="1"/>
        <v>9</v>
      </c>
      <c r="D469" s="1" t="s">
        <v>68</v>
      </c>
      <c r="E469" s="1" t="s">
        <v>42</v>
      </c>
      <c r="F469" s="1" t="s">
        <v>17</v>
      </c>
      <c r="G469" s="1" t="s">
        <v>5144</v>
      </c>
      <c r="H469" s="5">
        <f t="shared" si="2"/>
        <v>0.4061</v>
      </c>
      <c r="I469" s="1" t="s">
        <v>5146</v>
      </c>
      <c r="J469" s="1">
        <f t="shared" si="3"/>
        <v>90.136534</v>
      </c>
      <c r="K469" s="1" t="s">
        <v>5148</v>
      </c>
      <c r="L469" s="5">
        <f t="shared" si="4"/>
        <v>0.1502</v>
      </c>
      <c r="M469" s="6" t="s">
        <v>291</v>
      </c>
      <c r="N469" s="5">
        <f t="shared" si="5"/>
        <v>0</v>
      </c>
    </row>
    <row r="470">
      <c r="A470" s="6" t="s">
        <v>5010</v>
      </c>
      <c r="B470" s="6" t="s">
        <v>3927</v>
      </c>
      <c r="C470" s="5">
        <f t="shared" si="1"/>
        <v>9</v>
      </c>
      <c r="D470" s="1" t="s">
        <v>68</v>
      </c>
      <c r="E470" s="1" t="s">
        <v>1851</v>
      </c>
      <c r="F470" s="1" t="s">
        <v>17</v>
      </c>
      <c r="G470" s="6" t="s">
        <v>5150</v>
      </c>
      <c r="H470" s="5">
        <f t="shared" si="2"/>
        <v>1.1157</v>
      </c>
      <c r="I470" s="1" t="s">
        <v>5151</v>
      </c>
      <c r="J470" s="1">
        <f t="shared" si="3"/>
        <v>72.697707</v>
      </c>
      <c r="K470" s="1" t="s">
        <v>5152</v>
      </c>
      <c r="L470" s="5">
        <f t="shared" si="4"/>
        <v>0.4295</v>
      </c>
      <c r="M470" s="6" t="s">
        <v>6429</v>
      </c>
      <c r="N470" s="5">
        <f t="shared" si="5"/>
        <v>487</v>
      </c>
    </row>
    <row r="471">
      <c r="A471" s="6" t="s">
        <v>5010</v>
      </c>
      <c r="B471" s="6" t="s">
        <v>3927</v>
      </c>
      <c r="C471" s="5">
        <f t="shared" si="1"/>
        <v>9</v>
      </c>
      <c r="D471" s="1" t="s">
        <v>68</v>
      </c>
      <c r="E471" s="1" t="s">
        <v>1851</v>
      </c>
      <c r="F471" s="1" t="s">
        <v>21</v>
      </c>
      <c r="G471" s="1" t="s">
        <v>5153</v>
      </c>
      <c r="H471" s="5">
        <f t="shared" si="2"/>
        <v>0.1582</v>
      </c>
      <c r="I471" s="1" t="s">
        <v>5154</v>
      </c>
      <c r="J471" s="1">
        <f t="shared" si="3"/>
        <v>14.157008</v>
      </c>
      <c r="K471" s="1" t="s">
        <v>2724</v>
      </c>
      <c r="L471" s="5">
        <f t="shared" si="4"/>
        <v>0.0775</v>
      </c>
      <c r="M471" s="6" t="s">
        <v>5088</v>
      </c>
      <c r="N471" s="5">
        <f t="shared" si="5"/>
        <v>110</v>
      </c>
    </row>
    <row r="472">
      <c r="A472" s="6" t="s">
        <v>5010</v>
      </c>
      <c r="B472" s="6" t="s">
        <v>3927</v>
      </c>
      <c r="C472" s="5">
        <f t="shared" si="1"/>
        <v>9</v>
      </c>
      <c r="D472" s="1" t="s">
        <v>68</v>
      </c>
      <c r="E472" s="1" t="s">
        <v>1830</v>
      </c>
      <c r="F472" s="1" t="s">
        <v>72</v>
      </c>
      <c r="G472" s="1" t="s">
        <v>5156</v>
      </c>
      <c r="H472" s="5">
        <f t="shared" si="2"/>
        <v>0.6077</v>
      </c>
      <c r="I472" s="1" t="s">
        <v>5157</v>
      </c>
      <c r="J472" s="1">
        <f t="shared" si="3"/>
        <v>63.000511</v>
      </c>
      <c r="K472" s="1" t="s">
        <v>5158</v>
      </c>
      <c r="L472" s="5">
        <f t="shared" si="4"/>
        <v>0.1945</v>
      </c>
      <c r="M472" s="6" t="s">
        <v>6131</v>
      </c>
      <c r="N472" s="5">
        <f t="shared" si="5"/>
        <v>426</v>
      </c>
    </row>
    <row r="473">
      <c r="A473" s="6" t="s">
        <v>5010</v>
      </c>
      <c r="B473" s="6" t="s">
        <v>3927</v>
      </c>
      <c r="C473" s="5">
        <f t="shared" si="1"/>
        <v>9</v>
      </c>
      <c r="D473" s="1" t="s">
        <v>116</v>
      </c>
      <c r="E473" s="1" t="s">
        <v>13</v>
      </c>
      <c r="F473" s="1" t="s">
        <v>14</v>
      </c>
      <c r="G473" s="1" t="s">
        <v>5159</v>
      </c>
      <c r="H473" s="5">
        <f t="shared" si="2"/>
        <v>33.5808</v>
      </c>
      <c r="I473" s="1" t="s">
        <v>5161</v>
      </c>
      <c r="J473" s="1">
        <f t="shared" si="3"/>
        <v>2550.810119</v>
      </c>
      <c r="K473" s="1" t="s">
        <v>5162</v>
      </c>
      <c r="L473" s="5">
        <f t="shared" si="4"/>
        <v>7.052</v>
      </c>
      <c r="M473" s="6" t="s">
        <v>6430</v>
      </c>
      <c r="N473" s="5">
        <f t="shared" si="5"/>
        <v>5417</v>
      </c>
    </row>
    <row r="474">
      <c r="A474" s="6" t="s">
        <v>5010</v>
      </c>
      <c r="B474" s="6" t="s">
        <v>3927</v>
      </c>
      <c r="C474" s="5">
        <f t="shared" si="1"/>
        <v>9</v>
      </c>
      <c r="D474" s="1" t="s">
        <v>116</v>
      </c>
      <c r="E474" s="1" t="s">
        <v>13</v>
      </c>
      <c r="F474" s="1" t="s">
        <v>17</v>
      </c>
      <c r="G474" s="1" t="s">
        <v>5163</v>
      </c>
      <c r="H474" s="5">
        <f t="shared" si="2"/>
        <v>101.4127</v>
      </c>
      <c r="I474" s="1" t="s">
        <v>5164</v>
      </c>
      <c r="J474" s="1">
        <f t="shared" si="3"/>
        <v>12097.78742</v>
      </c>
      <c r="K474" s="1" t="s">
        <v>5166</v>
      </c>
      <c r="L474" s="5">
        <f t="shared" si="4"/>
        <v>35.4944</v>
      </c>
      <c r="M474" s="6" t="s">
        <v>6431</v>
      </c>
      <c r="N474" s="5">
        <f t="shared" si="5"/>
        <v>16888</v>
      </c>
    </row>
    <row r="475">
      <c r="A475" s="6" t="s">
        <v>5010</v>
      </c>
      <c r="B475" s="6" t="s">
        <v>3927</v>
      </c>
      <c r="C475" s="5">
        <f t="shared" si="1"/>
        <v>9</v>
      </c>
      <c r="D475" s="1" t="s">
        <v>116</v>
      </c>
      <c r="E475" s="1" t="s">
        <v>13</v>
      </c>
      <c r="F475" s="1" t="s">
        <v>21</v>
      </c>
      <c r="G475" s="1" t="s">
        <v>5167</v>
      </c>
      <c r="H475" s="5">
        <f t="shared" si="2"/>
        <v>20.624</v>
      </c>
      <c r="I475" s="1" t="s">
        <v>5168</v>
      </c>
      <c r="J475" s="1">
        <f t="shared" si="3"/>
        <v>2737.040323</v>
      </c>
      <c r="K475" s="6" t="s">
        <v>6432</v>
      </c>
      <c r="L475" s="5">
        <f t="shared" si="4"/>
        <v>10.1936</v>
      </c>
      <c r="M475" s="6" t="s">
        <v>6433</v>
      </c>
      <c r="N475" s="5">
        <f t="shared" si="5"/>
        <v>4012</v>
      </c>
    </row>
    <row r="476">
      <c r="A476" s="6" t="s">
        <v>5010</v>
      </c>
      <c r="B476" s="6" t="s">
        <v>3927</v>
      </c>
      <c r="C476" s="5">
        <f t="shared" si="1"/>
        <v>9</v>
      </c>
      <c r="D476" s="1" t="s">
        <v>116</v>
      </c>
      <c r="E476" s="1" t="s">
        <v>13</v>
      </c>
      <c r="F476" s="1" t="s">
        <v>25</v>
      </c>
      <c r="G476" s="1" t="s">
        <v>1418</v>
      </c>
      <c r="H476" s="5">
        <f t="shared" si="2"/>
        <v>0.0168</v>
      </c>
      <c r="I476" s="1" t="s">
        <v>5171</v>
      </c>
      <c r="J476" s="1">
        <f t="shared" si="3"/>
        <v>3.46668</v>
      </c>
      <c r="K476" s="1" t="s">
        <v>1523</v>
      </c>
      <c r="L476" s="5">
        <f t="shared" si="4"/>
        <v>0.0126</v>
      </c>
      <c r="M476" s="6" t="s">
        <v>3552</v>
      </c>
      <c r="N476" s="5">
        <f t="shared" si="5"/>
        <v>5</v>
      </c>
    </row>
    <row r="477">
      <c r="A477" s="6" t="s">
        <v>5010</v>
      </c>
      <c r="B477" s="6" t="s">
        <v>3927</v>
      </c>
      <c r="C477" s="5">
        <f t="shared" si="1"/>
        <v>9</v>
      </c>
      <c r="D477" s="1" t="s">
        <v>116</v>
      </c>
      <c r="E477" s="1" t="s">
        <v>29</v>
      </c>
      <c r="F477" s="1" t="s">
        <v>14</v>
      </c>
      <c r="G477" s="6" t="s">
        <v>5172</v>
      </c>
      <c r="H477" s="5">
        <f t="shared" si="2"/>
        <v>1.0856</v>
      </c>
      <c r="I477" s="1" t="s">
        <v>5173</v>
      </c>
      <c r="J477" s="1">
        <f t="shared" si="3"/>
        <v>141.04063</v>
      </c>
      <c r="K477" s="1" t="s">
        <v>5174</v>
      </c>
      <c r="L477" s="5">
        <f t="shared" si="4"/>
        <v>0.2171</v>
      </c>
      <c r="M477" s="6" t="s">
        <v>5754</v>
      </c>
      <c r="N477" s="5">
        <f t="shared" si="5"/>
        <v>251</v>
      </c>
    </row>
    <row r="478">
      <c r="A478" s="6" t="s">
        <v>5010</v>
      </c>
      <c r="B478" s="6" t="s">
        <v>3927</v>
      </c>
      <c r="C478" s="5">
        <f t="shared" si="1"/>
        <v>9</v>
      </c>
      <c r="D478" s="1" t="s">
        <v>116</v>
      </c>
      <c r="E478" s="1" t="s">
        <v>29</v>
      </c>
      <c r="F478" s="1" t="s">
        <v>21</v>
      </c>
      <c r="G478" s="1" t="s">
        <v>5177</v>
      </c>
      <c r="H478" s="5">
        <f t="shared" si="2"/>
        <v>31.0267</v>
      </c>
      <c r="I478" s="1" t="s">
        <v>5178</v>
      </c>
      <c r="J478" s="1">
        <f t="shared" si="3"/>
        <v>6399.18243</v>
      </c>
      <c r="K478" s="6" t="s">
        <v>6434</v>
      </c>
      <c r="L478" s="5">
        <f t="shared" si="4"/>
        <v>12.4106</v>
      </c>
      <c r="M478" s="6" t="s">
        <v>6435</v>
      </c>
      <c r="N478" s="5">
        <f t="shared" si="5"/>
        <v>3549</v>
      </c>
    </row>
    <row r="479">
      <c r="A479" s="6" t="s">
        <v>5010</v>
      </c>
      <c r="B479" s="6" t="s">
        <v>3927</v>
      </c>
      <c r="C479" s="5">
        <f t="shared" si="1"/>
        <v>9</v>
      </c>
      <c r="D479" s="1" t="s">
        <v>116</v>
      </c>
      <c r="E479" s="1" t="s">
        <v>45</v>
      </c>
      <c r="F479" s="1" t="s">
        <v>49</v>
      </c>
      <c r="G479" s="6" t="s">
        <v>6436</v>
      </c>
      <c r="H479" s="5">
        <f t="shared" si="2"/>
        <v>2.4692</v>
      </c>
      <c r="I479" s="1" t="s">
        <v>5180</v>
      </c>
      <c r="J479" s="1">
        <f t="shared" si="3"/>
        <v>153.160915</v>
      </c>
      <c r="K479" s="1" t="s">
        <v>5181</v>
      </c>
      <c r="L479" s="5">
        <f t="shared" si="4"/>
        <v>0.642</v>
      </c>
      <c r="M479" s="6" t="s">
        <v>3653</v>
      </c>
      <c r="N479" s="5">
        <f t="shared" si="5"/>
        <v>338</v>
      </c>
    </row>
    <row r="480">
      <c r="A480" s="6" t="s">
        <v>5010</v>
      </c>
      <c r="B480" s="6" t="s">
        <v>3927</v>
      </c>
      <c r="C480" s="5">
        <f t="shared" si="1"/>
        <v>9</v>
      </c>
      <c r="D480" s="1" t="s">
        <v>116</v>
      </c>
      <c r="E480" s="1" t="s">
        <v>45</v>
      </c>
      <c r="F480" s="1" t="s">
        <v>17</v>
      </c>
      <c r="G480" s="1" t="s">
        <v>5183</v>
      </c>
      <c r="H480" s="5">
        <f t="shared" si="2"/>
        <v>26.1782</v>
      </c>
      <c r="I480" s="1" t="s">
        <v>5184</v>
      </c>
      <c r="J480" s="1">
        <f t="shared" si="3"/>
        <v>1815.597704</v>
      </c>
      <c r="K480" s="6" t="s">
        <v>6437</v>
      </c>
      <c r="L480" s="5">
        <f t="shared" si="4"/>
        <v>9.4241</v>
      </c>
      <c r="M480" s="6" t="s">
        <v>6438</v>
      </c>
      <c r="N480" s="5">
        <f t="shared" si="5"/>
        <v>1827</v>
      </c>
    </row>
    <row r="481">
      <c r="A481" s="6" t="s">
        <v>5010</v>
      </c>
      <c r="B481" s="6" t="s">
        <v>3927</v>
      </c>
      <c r="C481" s="5">
        <f t="shared" si="1"/>
        <v>9</v>
      </c>
      <c r="D481" s="1" t="s">
        <v>116</v>
      </c>
      <c r="E481" s="1" t="s">
        <v>3962</v>
      </c>
      <c r="F481" s="1" t="s">
        <v>17</v>
      </c>
      <c r="G481" s="6" t="s">
        <v>6439</v>
      </c>
      <c r="H481" s="5">
        <f t="shared" si="2"/>
        <v>11.8075</v>
      </c>
      <c r="I481" s="1" t="s">
        <v>5186</v>
      </c>
      <c r="J481" s="1">
        <f t="shared" si="3"/>
        <v>1071.843543</v>
      </c>
      <c r="K481" s="6" t="s">
        <v>5188</v>
      </c>
      <c r="L481" s="5">
        <f t="shared" si="4"/>
        <v>4.1326</v>
      </c>
      <c r="M481" s="6" t="s">
        <v>6440</v>
      </c>
      <c r="N481" s="5">
        <f t="shared" si="5"/>
        <v>3759</v>
      </c>
    </row>
    <row r="482">
      <c r="A482" s="6" t="s">
        <v>5010</v>
      </c>
      <c r="B482" s="6" t="s">
        <v>3927</v>
      </c>
      <c r="C482" s="5">
        <f t="shared" si="1"/>
        <v>9</v>
      </c>
      <c r="D482" s="1" t="s">
        <v>116</v>
      </c>
      <c r="E482" s="1" t="s">
        <v>38</v>
      </c>
      <c r="F482" s="1" t="s">
        <v>39</v>
      </c>
      <c r="G482" s="6" t="s">
        <v>6441</v>
      </c>
      <c r="H482" s="5">
        <f t="shared" si="2"/>
        <v>6.7738</v>
      </c>
      <c r="I482" s="1" t="s">
        <v>5189</v>
      </c>
      <c r="J482" s="1">
        <f t="shared" si="3"/>
        <v>517.055043</v>
      </c>
      <c r="K482" s="6" t="s">
        <v>6442</v>
      </c>
      <c r="L482" s="5">
        <f t="shared" si="4"/>
        <v>1.2192</v>
      </c>
      <c r="M482" s="6" t="s">
        <v>6443</v>
      </c>
      <c r="N482" s="5">
        <f t="shared" si="5"/>
        <v>2145</v>
      </c>
    </row>
    <row r="483">
      <c r="A483" s="6" t="s">
        <v>5010</v>
      </c>
      <c r="B483" s="6" t="s">
        <v>3927</v>
      </c>
      <c r="C483" s="5">
        <f t="shared" si="1"/>
        <v>9</v>
      </c>
      <c r="D483" s="1" t="s">
        <v>116</v>
      </c>
      <c r="E483" s="1" t="s">
        <v>48</v>
      </c>
      <c r="F483" s="1" t="s">
        <v>49</v>
      </c>
      <c r="G483" s="1" t="s">
        <v>73</v>
      </c>
      <c r="H483" s="5">
        <f t="shared" si="2"/>
        <v>0.0013</v>
      </c>
      <c r="I483" s="1" t="s">
        <v>5193</v>
      </c>
      <c r="J483" s="1">
        <f t="shared" si="3"/>
        <v>0.686201</v>
      </c>
      <c r="K483" s="1" t="s">
        <v>75</v>
      </c>
      <c r="L483" s="5">
        <f t="shared" si="4"/>
        <v>0.0004</v>
      </c>
      <c r="M483" s="6" t="s">
        <v>397</v>
      </c>
      <c r="N483" s="5">
        <f t="shared" si="5"/>
        <v>2</v>
      </c>
    </row>
    <row r="484">
      <c r="A484" s="6" t="s">
        <v>5010</v>
      </c>
      <c r="B484" s="6" t="s">
        <v>3927</v>
      </c>
      <c r="C484" s="5">
        <f t="shared" si="1"/>
        <v>9</v>
      </c>
      <c r="D484" s="1" t="s">
        <v>116</v>
      </c>
      <c r="E484" s="1" t="s">
        <v>48</v>
      </c>
      <c r="F484" s="1" t="s">
        <v>72</v>
      </c>
      <c r="G484" s="1" t="s">
        <v>5196</v>
      </c>
      <c r="H484" s="5">
        <f t="shared" si="2"/>
        <v>0.0103</v>
      </c>
      <c r="I484" s="1" t="s">
        <v>5197</v>
      </c>
      <c r="J484" s="1">
        <f t="shared" si="3"/>
        <v>3.466083</v>
      </c>
      <c r="K484" s="1" t="s">
        <v>666</v>
      </c>
      <c r="L484" s="5">
        <f t="shared" si="4"/>
        <v>0.0031</v>
      </c>
      <c r="M484" s="6" t="s">
        <v>2793</v>
      </c>
      <c r="N484" s="5">
        <f t="shared" si="5"/>
        <v>12</v>
      </c>
    </row>
    <row r="485">
      <c r="A485" s="6" t="s">
        <v>5010</v>
      </c>
      <c r="B485" s="6" t="s">
        <v>3927</v>
      </c>
      <c r="C485" s="5">
        <f t="shared" si="1"/>
        <v>9</v>
      </c>
      <c r="D485" s="1" t="s">
        <v>116</v>
      </c>
      <c r="E485" s="1" t="s">
        <v>48</v>
      </c>
      <c r="F485" s="1" t="s">
        <v>21</v>
      </c>
      <c r="G485" s="6" t="s">
        <v>6444</v>
      </c>
      <c r="H485" s="5">
        <f t="shared" si="2"/>
        <v>1.7531</v>
      </c>
      <c r="I485" s="1" t="s">
        <v>5199</v>
      </c>
      <c r="J485" s="1">
        <f t="shared" si="3"/>
        <v>477.699541</v>
      </c>
      <c r="K485" s="1" t="s">
        <v>5200</v>
      </c>
      <c r="L485" s="5">
        <f t="shared" si="4"/>
        <v>0.7013</v>
      </c>
      <c r="M485" s="6" t="s">
        <v>6445</v>
      </c>
      <c r="N485" s="5">
        <f t="shared" si="5"/>
        <v>375</v>
      </c>
    </row>
    <row r="486">
      <c r="A486" s="6" t="s">
        <v>5010</v>
      </c>
      <c r="B486" s="6" t="s">
        <v>3927</v>
      </c>
      <c r="C486" s="5">
        <f t="shared" si="1"/>
        <v>9</v>
      </c>
      <c r="D486" s="1" t="s">
        <v>116</v>
      </c>
      <c r="E486" s="1" t="s">
        <v>147</v>
      </c>
      <c r="F486" s="1" t="s">
        <v>39</v>
      </c>
      <c r="G486" s="6" t="s">
        <v>5203</v>
      </c>
      <c r="H486" s="5">
        <f t="shared" si="2"/>
        <v>1.1708</v>
      </c>
      <c r="I486" s="1" t="s">
        <v>5204</v>
      </c>
      <c r="J486" s="1">
        <f t="shared" si="3"/>
        <v>382.119876</v>
      </c>
      <c r="K486" s="1" t="s">
        <v>5205</v>
      </c>
      <c r="L486" s="5">
        <f t="shared" si="4"/>
        <v>0.2225</v>
      </c>
      <c r="M486" s="6" t="s">
        <v>2886</v>
      </c>
      <c r="N486" s="5">
        <f t="shared" si="5"/>
        <v>101</v>
      </c>
    </row>
    <row r="487">
      <c r="A487" s="6" t="s">
        <v>5010</v>
      </c>
      <c r="B487" s="6" t="s">
        <v>3927</v>
      </c>
      <c r="C487" s="5">
        <f t="shared" si="1"/>
        <v>9</v>
      </c>
      <c r="D487" s="1" t="s">
        <v>116</v>
      </c>
      <c r="E487" s="1" t="s">
        <v>147</v>
      </c>
      <c r="F487" s="1" t="s">
        <v>17</v>
      </c>
      <c r="G487" s="1" t="s">
        <v>4681</v>
      </c>
      <c r="H487" s="5">
        <f t="shared" si="2"/>
        <v>0.0141</v>
      </c>
      <c r="I487" s="1" t="s">
        <v>5207</v>
      </c>
      <c r="J487" s="1">
        <f t="shared" si="3"/>
        <v>6.924144</v>
      </c>
      <c r="K487" s="1" t="s">
        <v>2134</v>
      </c>
      <c r="L487" s="5">
        <f t="shared" si="4"/>
        <v>0.005</v>
      </c>
      <c r="M487" s="6" t="s">
        <v>2521</v>
      </c>
      <c r="N487" s="5">
        <f t="shared" si="5"/>
        <v>6</v>
      </c>
    </row>
    <row r="488">
      <c r="A488" s="6" t="s">
        <v>5010</v>
      </c>
      <c r="B488" s="6" t="s">
        <v>3927</v>
      </c>
      <c r="C488" s="5">
        <f t="shared" si="1"/>
        <v>9</v>
      </c>
      <c r="D488" s="1" t="s">
        <v>116</v>
      </c>
      <c r="E488" s="1" t="s">
        <v>147</v>
      </c>
      <c r="F488" s="1" t="s">
        <v>21</v>
      </c>
      <c r="G488" s="1" t="s">
        <v>947</v>
      </c>
      <c r="H488" s="5">
        <f t="shared" si="2"/>
        <v>0.0381</v>
      </c>
      <c r="I488" s="1" t="s">
        <v>5208</v>
      </c>
      <c r="J488" s="1">
        <f t="shared" si="3"/>
        <v>20.303316</v>
      </c>
      <c r="K488" s="1" t="s">
        <v>1434</v>
      </c>
      <c r="L488" s="5">
        <f t="shared" si="4"/>
        <v>0.019</v>
      </c>
      <c r="M488" s="6" t="s">
        <v>3549</v>
      </c>
      <c r="N488" s="5">
        <f t="shared" si="5"/>
        <v>28</v>
      </c>
    </row>
    <row r="489">
      <c r="A489" s="6" t="s">
        <v>5010</v>
      </c>
      <c r="B489" s="6" t="s">
        <v>3927</v>
      </c>
      <c r="C489" s="5">
        <f t="shared" si="1"/>
        <v>9</v>
      </c>
      <c r="D489" s="1" t="s">
        <v>116</v>
      </c>
      <c r="E489" s="1" t="s">
        <v>1851</v>
      </c>
      <c r="F489" s="1" t="s">
        <v>17</v>
      </c>
      <c r="G489" s="6" t="s">
        <v>5209</v>
      </c>
      <c r="H489" s="5">
        <f t="shared" si="2"/>
        <v>6.0589</v>
      </c>
      <c r="I489" s="1" t="s">
        <v>5210</v>
      </c>
      <c r="J489" s="1">
        <f t="shared" si="3"/>
        <v>357.791053</v>
      </c>
      <c r="K489" s="6" t="s">
        <v>5747</v>
      </c>
      <c r="L489" s="5">
        <f t="shared" si="4"/>
        <v>2.3326</v>
      </c>
      <c r="M489" s="6" t="s">
        <v>6446</v>
      </c>
      <c r="N489" s="5">
        <f t="shared" si="5"/>
        <v>1472</v>
      </c>
    </row>
    <row r="490">
      <c r="A490" s="6" t="s">
        <v>5010</v>
      </c>
      <c r="B490" s="6" t="s">
        <v>3927</v>
      </c>
      <c r="C490" s="5">
        <f t="shared" si="1"/>
        <v>9</v>
      </c>
      <c r="D490" s="1" t="s">
        <v>116</v>
      </c>
      <c r="E490" s="1" t="s">
        <v>1851</v>
      </c>
      <c r="F490" s="1" t="s">
        <v>21</v>
      </c>
      <c r="G490" s="1" t="s">
        <v>5211</v>
      </c>
      <c r="H490" s="5">
        <f t="shared" si="2"/>
        <v>0.1679</v>
      </c>
      <c r="I490" s="1" t="s">
        <v>5212</v>
      </c>
      <c r="J490" s="1">
        <f t="shared" si="3"/>
        <v>19.158144</v>
      </c>
      <c r="K490" s="1" t="s">
        <v>853</v>
      </c>
      <c r="L490" s="5">
        <f t="shared" si="4"/>
        <v>0.0823</v>
      </c>
      <c r="M490" s="6" t="s">
        <v>277</v>
      </c>
      <c r="N490" s="5">
        <f t="shared" si="5"/>
        <v>78</v>
      </c>
    </row>
    <row r="491">
      <c r="A491" s="6" t="s">
        <v>5010</v>
      </c>
      <c r="B491" s="6" t="s">
        <v>3927</v>
      </c>
      <c r="C491" s="5">
        <f t="shared" si="1"/>
        <v>9</v>
      </c>
      <c r="D491" s="1" t="s">
        <v>116</v>
      </c>
      <c r="E491" s="1" t="s">
        <v>42</v>
      </c>
      <c r="F491" s="1" t="s">
        <v>17</v>
      </c>
      <c r="G491" s="6" t="s">
        <v>5213</v>
      </c>
      <c r="H491" s="5">
        <f t="shared" si="2"/>
        <v>1.0606</v>
      </c>
      <c r="I491" s="1" t="s">
        <v>5214</v>
      </c>
      <c r="J491" s="1">
        <f t="shared" si="3"/>
        <v>220.256091</v>
      </c>
      <c r="K491" s="1" t="s">
        <v>5215</v>
      </c>
      <c r="L491" s="5">
        <f t="shared" si="4"/>
        <v>0.3924</v>
      </c>
      <c r="M491" s="6" t="s">
        <v>291</v>
      </c>
      <c r="N491" s="5">
        <f t="shared" si="5"/>
        <v>0</v>
      </c>
    </row>
    <row r="492">
      <c r="A492" s="6" t="s">
        <v>5010</v>
      </c>
      <c r="B492" s="6" t="s">
        <v>3927</v>
      </c>
      <c r="C492" s="5">
        <f t="shared" si="1"/>
        <v>9</v>
      </c>
      <c r="D492" s="1" t="s">
        <v>116</v>
      </c>
      <c r="E492" s="1" t="s">
        <v>165</v>
      </c>
      <c r="F492" s="1" t="s">
        <v>39</v>
      </c>
      <c r="G492" s="1" t="s">
        <v>5216</v>
      </c>
      <c r="H492" s="5">
        <f t="shared" si="2"/>
        <v>0.2399</v>
      </c>
      <c r="I492" s="1" t="s">
        <v>5217</v>
      </c>
      <c r="J492" s="1">
        <f t="shared" si="3"/>
        <v>62.670108</v>
      </c>
      <c r="K492" s="1" t="s">
        <v>4467</v>
      </c>
      <c r="L492" s="5">
        <f t="shared" si="4"/>
        <v>0.0432</v>
      </c>
      <c r="M492" s="6" t="s">
        <v>291</v>
      </c>
      <c r="N492" s="5">
        <f t="shared" si="5"/>
        <v>0</v>
      </c>
    </row>
    <row r="493">
      <c r="A493" s="6" t="s">
        <v>5010</v>
      </c>
      <c r="B493" s="6" t="s">
        <v>3927</v>
      </c>
      <c r="C493" s="5">
        <f t="shared" si="1"/>
        <v>9</v>
      </c>
      <c r="D493" s="1" t="s">
        <v>116</v>
      </c>
      <c r="E493" s="1" t="s">
        <v>165</v>
      </c>
      <c r="F493" s="1" t="s">
        <v>17</v>
      </c>
      <c r="G493" s="1" t="s">
        <v>5219</v>
      </c>
      <c r="H493" s="5">
        <f t="shared" si="2"/>
        <v>0.4427</v>
      </c>
      <c r="I493" s="1" t="s">
        <v>5220</v>
      </c>
      <c r="J493" s="1">
        <f t="shared" si="3"/>
        <v>128.904763</v>
      </c>
      <c r="K493" s="1" t="s">
        <v>2233</v>
      </c>
      <c r="L493" s="5">
        <f t="shared" si="4"/>
        <v>0.155</v>
      </c>
      <c r="M493" s="6" t="s">
        <v>291</v>
      </c>
      <c r="N493" s="5">
        <f t="shared" si="5"/>
        <v>0</v>
      </c>
    </row>
    <row r="494">
      <c r="A494" s="6" t="s">
        <v>5010</v>
      </c>
      <c r="B494" s="6" t="s">
        <v>557</v>
      </c>
      <c r="C494" s="5">
        <f t="shared" si="1"/>
        <v>10</v>
      </c>
      <c r="D494" s="1" t="s">
        <v>12</v>
      </c>
      <c r="E494" s="1" t="s">
        <v>13</v>
      </c>
      <c r="F494" s="1" t="s">
        <v>14</v>
      </c>
      <c r="G494" s="6" t="s">
        <v>5221</v>
      </c>
      <c r="H494" s="5">
        <f t="shared" si="2"/>
        <v>8.1066</v>
      </c>
      <c r="I494" s="1" t="s">
        <v>5222</v>
      </c>
      <c r="J494" s="1">
        <f t="shared" si="3"/>
        <v>618.481777</v>
      </c>
      <c r="K494" s="6" t="s">
        <v>6447</v>
      </c>
      <c r="L494" s="5">
        <f t="shared" si="4"/>
        <v>1.7024</v>
      </c>
      <c r="M494" s="6" t="s">
        <v>6448</v>
      </c>
      <c r="N494" s="5">
        <f t="shared" si="5"/>
        <v>392</v>
      </c>
    </row>
    <row r="495">
      <c r="A495" s="6" t="s">
        <v>5010</v>
      </c>
      <c r="B495" s="6" t="s">
        <v>557</v>
      </c>
      <c r="C495" s="5">
        <f t="shared" si="1"/>
        <v>10</v>
      </c>
      <c r="D495" s="1" t="s">
        <v>12</v>
      </c>
      <c r="E495" s="1" t="s">
        <v>13</v>
      </c>
      <c r="F495" s="1" t="s">
        <v>17</v>
      </c>
      <c r="G495" s="1" t="s">
        <v>5223</v>
      </c>
      <c r="H495" s="5">
        <f t="shared" si="2"/>
        <v>65.06</v>
      </c>
      <c r="I495" s="1" t="s">
        <v>5224</v>
      </c>
      <c r="J495" s="1">
        <f t="shared" si="3"/>
        <v>5995.710542</v>
      </c>
      <c r="K495" s="1" t="s">
        <v>5226</v>
      </c>
      <c r="L495" s="5">
        <f t="shared" si="4"/>
        <v>22.771</v>
      </c>
      <c r="M495" s="6" t="s">
        <v>6449</v>
      </c>
      <c r="N495" s="5">
        <f t="shared" si="5"/>
        <v>624</v>
      </c>
    </row>
    <row r="496">
      <c r="A496" s="6" t="s">
        <v>5010</v>
      </c>
      <c r="B496" s="6" t="s">
        <v>557</v>
      </c>
      <c r="C496" s="5">
        <f t="shared" si="1"/>
        <v>10</v>
      </c>
      <c r="D496" s="1" t="s">
        <v>12</v>
      </c>
      <c r="E496" s="1" t="s">
        <v>13</v>
      </c>
      <c r="F496" s="1" t="s">
        <v>21</v>
      </c>
      <c r="G496" s="1" t="s">
        <v>5227</v>
      </c>
      <c r="H496" s="5">
        <f t="shared" si="2"/>
        <v>34.9698</v>
      </c>
      <c r="I496" s="1" t="s">
        <v>5228</v>
      </c>
      <c r="J496" s="1">
        <f t="shared" si="3"/>
        <v>4346.872331</v>
      </c>
      <c r="K496" s="1" t="s">
        <v>5229</v>
      </c>
      <c r="L496" s="5">
        <f t="shared" si="4"/>
        <v>17.4737</v>
      </c>
      <c r="M496" s="6" t="s">
        <v>6450</v>
      </c>
      <c r="N496" s="5">
        <f t="shared" si="5"/>
        <v>522</v>
      </c>
    </row>
    <row r="497">
      <c r="A497" s="6" t="s">
        <v>5010</v>
      </c>
      <c r="B497" s="6" t="s">
        <v>557</v>
      </c>
      <c r="C497" s="5">
        <f t="shared" si="1"/>
        <v>10</v>
      </c>
      <c r="D497" s="1" t="s">
        <v>12</v>
      </c>
      <c r="E497" s="1" t="s">
        <v>29</v>
      </c>
      <c r="F497" s="1" t="s">
        <v>14</v>
      </c>
      <c r="G497" s="1" t="s">
        <v>481</v>
      </c>
      <c r="H497" s="5">
        <f t="shared" si="2"/>
        <v>0.1794</v>
      </c>
      <c r="I497" s="1" t="s">
        <v>5230</v>
      </c>
      <c r="J497" s="1">
        <f t="shared" si="3"/>
        <v>17.551945</v>
      </c>
      <c r="K497" s="1" t="s">
        <v>5231</v>
      </c>
      <c r="L497" s="5">
        <f t="shared" si="4"/>
        <v>0.0359</v>
      </c>
      <c r="M497" s="6" t="s">
        <v>5503</v>
      </c>
      <c r="N497" s="5">
        <f t="shared" si="5"/>
        <v>20</v>
      </c>
    </row>
    <row r="498">
      <c r="A498" s="6" t="s">
        <v>5010</v>
      </c>
      <c r="B498" s="6" t="s">
        <v>557</v>
      </c>
      <c r="C498" s="5">
        <f t="shared" si="1"/>
        <v>10</v>
      </c>
      <c r="D498" s="1" t="s">
        <v>12</v>
      </c>
      <c r="E498" s="1" t="s">
        <v>29</v>
      </c>
      <c r="F498" s="1" t="s">
        <v>21</v>
      </c>
      <c r="G498" s="1" t="s">
        <v>5232</v>
      </c>
      <c r="H498" s="5">
        <f t="shared" si="2"/>
        <v>33.0304</v>
      </c>
      <c r="I498" s="1" t="s">
        <v>5233</v>
      </c>
      <c r="J498" s="1">
        <f t="shared" si="3"/>
        <v>6797.677053</v>
      </c>
      <c r="K498" s="1" t="s">
        <v>5234</v>
      </c>
      <c r="L498" s="5">
        <f t="shared" si="4"/>
        <v>13.2122</v>
      </c>
      <c r="M498" s="6" t="s">
        <v>205</v>
      </c>
      <c r="N498" s="5">
        <f t="shared" si="5"/>
        <v>629</v>
      </c>
    </row>
    <row r="499">
      <c r="A499" s="6" t="s">
        <v>5010</v>
      </c>
      <c r="B499" s="6" t="s">
        <v>557</v>
      </c>
      <c r="C499" s="5">
        <f t="shared" si="1"/>
        <v>10</v>
      </c>
      <c r="D499" s="1" t="s">
        <v>12</v>
      </c>
      <c r="E499" s="1" t="s">
        <v>48</v>
      </c>
      <c r="F499" s="1" t="s">
        <v>49</v>
      </c>
      <c r="G499" s="1" t="s">
        <v>1460</v>
      </c>
      <c r="H499" s="5">
        <f t="shared" si="2"/>
        <v>0.002</v>
      </c>
      <c r="I499" s="1" t="s">
        <v>5236</v>
      </c>
      <c r="J499" s="1">
        <f t="shared" si="3"/>
        <v>0.475945</v>
      </c>
      <c r="K499" s="1" t="s">
        <v>674</v>
      </c>
      <c r="L499" s="5">
        <f t="shared" si="4"/>
        <v>0.0005</v>
      </c>
      <c r="M499" s="6" t="s">
        <v>186</v>
      </c>
      <c r="N499" s="5">
        <f t="shared" si="5"/>
        <v>1</v>
      </c>
    </row>
    <row r="500">
      <c r="A500" s="6" t="s">
        <v>5010</v>
      </c>
      <c r="B500" s="6" t="s">
        <v>557</v>
      </c>
      <c r="C500" s="5">
        <f t="shared" si="1"/>
        <v>10</v>
      </c>
      <c r="D500" s="1" t="s">
        <v>12</v>
      </c>
      <c r="E500" s="1" t="s">
        <v>48</v>
      </c>
      <c r="F500" s="1" t="s">
        <v>21</v>
      </c>
      <c r="G500" s="6" t="s">
        <v>6451</v>
      </c>
      <c r="H500" s="5">
        <f t="shared" si="2"/>
        <v>2.8844</v>
      </c>
      <c r="I500" s="1" t="s">
        <v>5237</v>
      </c>
      <c r="J500" s="1">
        <f t="shared" si="3"/>
        <v>443.897371</v>
      </c>
      <c r="K500" s="6" t="s">
        <v>5238</v>
      </c>
      <c r="L500" s="5">
        <f t="shared" si="4"/>
        <v>1.1537</v>
      </c>
      <c r="M500" s="6" t="s">
        <v>4536</v>
      </c>
      <c r="N500" s="5">
        <f t="shared" si="5"/>
        <v>162</v>
      </c>
    </row>
    <row r="501">
      <c r="A501" s="6" t="s">
        <v>5010</v>
      </c>
      <c r="B501" s="6" t="s">
        <v>557</v>
      </c>
      <c r="C501" s="5">
        <f t="shared" si="1"/>
        <v>10</v>
      </c>
      <c r="D501" s="1" t="s">
        <v>12</v>
      </c>
      <c r="E501" s="1" t="s">
        <v>38</v>
      </c>
      <c r="F501" s="1" t="s">
        <v>39</v>
      </c>
      <c r="G501" s="6" t="s">
        <v>6452</v>
      </c>
      <c r="H501" s="5">
        <f t="shared" si="2"/>
        <v>2.3938</v>
      </c>
      <c r="I501" s="1" t="s">
        <v>5240</v>
      </c>
      <c r="J501" s="1">
        <f t="shared" si="3"/>
        <v>280.43919</v>
      </c>
      <c r="K501" s="1" t="s">
        <v>5241</v>
      </c>
      <c r="L501" s="5">
        <f t="shared" si="4"/>
        <v>0.4309</v>
      </c>
      <c r="M501" s="6" t="s">
        <v>6042</v>
      </c>
      <c r="N501" s="5">
        <f t="shared" si="5"/>
        <v>135</v>
      </c>
    </row>
    <row r="502">
      <c r="A502" s="6" t="s">
        <v>5010</v>
      </c>
      <c r="B502" s="6" t="s">
        <v>557</v>
      </c>
      <c r="C502" s="5">
        <f t="shared" si="1"/>
        <v>10</v>
      </c>
      <c r="D502" s="1" t="s">
        <v>12</v>
      </c>
      <c r="E502" s="1" t="s">
        <v>45</v>
      </c>
      <c r="F502" s="1" t="s">
        <v>49</v>
      </c>
      <c r="G502" s="1" t="s">
        <v>5242</v>
      </c>
      <c r="H502" s="5">
        <f t="shared" si="2"/>
        <v>0.0393</v>
      </c>
      <c r="I502" s="1" t="s">
        <v>5243</v>
      </c>
      <c r="J502" s="1">
        <f t="shared" si="3"/>
        <v>2.333112</v>
      </c>
      <c r="K502" s="1" t="s">
        <v>5244</v>
      </c>
      <c r="L502" s="5">
        <f t="shared" si="4"/>
        <v>0.0102</v>
      </c>
      <c r="M502" s="6" t="s">
        <v>273</v>
      </c>
      <c r="N502" s="5">
        <f t="shared" si="5"/>
        <v>4</v>
      </c>
    </row>
    <row r="503">
      <c r="A503" s="6" t="s">
        <v>5010</v>
      </c>
      <c r="B503" s="6" t="s">
        <v>557</v>
      </c>
      <c r="C503" s="5">
        <f t="shared" si="1"/>
        <v>10</v>
      </c>
      <c r="D503" s="1" t="s">
        <v>12</v>
      </c>
      <c r="E503" s="1" t="s">
        <v>45</v>
      </c>
      <c r="F503" s="1" t="s">
        <v>17</v>
      </c>
      <c r="G503" s="6" t="s">
        <v>6453</v>
      </c>
      <c r="H503" s="5">
        <f t="shared" si="2"/>
        <v>2.3325</v>
      </c>
      <c r="I503" s="1" t="s">
        <v>5245</v>
      </c>
      <c r="J503" s="1">
        <f t="shared" si="3"/>
        <v>168.957275</v>
      </c>
      <c r="K503" s="1" t="s">
        <v>5247</v>
      </c>
      <c r="L503" s="5">
        <f t="shared" si="4"/>
        <v>0.8397</v>
      </c>
      <c r="M503" s="6" t="s">
        <v>6323</v>
      </c>
      <c r="N503" s="5">
        <f t="shared" si="5"/>
        <v>157</v>
      </c>
    </row>
    <row r="504">
      <c r="A504" s="6" t="s">
        <v>5010</v>
      </c>
      <c r="B504" s="6" t="s">
        <v>557</v>
      </c>
      <c r="C504" s="5">
        <f t="shared" si="1"/>
        <v>10</v>
      </c>
      <c r="D504" s="1" t="s">
        <v>12</v>
      </c>
      <c r="E504" s="1" t="s">
        <v>3962</v>
      </c>
      <c r="F504" s="1" t="s">
        <v>17</v>
      </c>
      <c r="G504" s="6" t="s">
        <v>5248</v>
      </c>
      <c r="H504" s="5">
        <f t="shared" si="2"/>
        <v>1.0964</v>
      </c>
      <c r="I504" s="1" t="s">
        <v>5249</v>
      </c>
      <c r="J504" s="1">
        <f t="shared" si="3"/>
        <v>99.10065</v>
      </c>
      <c r="K504" s="1" t="s">
        <v>5251</v>
      </c>
      <c r="L504" s="5">
        <f t="shared" si="4"/>
        <v>0.3838</v>
      </c>
      <c r="M504" s="6" t="s">
        <v>3504</v>
      </c>
      <c r="N504" s="5">
        <f t="shared" si="5"/>
        <v>113</v>
      </c>
    </row>
    <row r="505">
      <c r="A505" s="6" t="s">
        <v>5010</v>
      </c>
      <c r="B505" s="6" t="s">
        <v>557</v>
      </c>
      <c r="C505" s="5">
        <f t="shared" si="1"/>
        <v>10</v>
      </c>
      <c r="D505" s="1" t="s">
        <v>12</v>
      </c>
      <c r="E505" s="1" t="s">
        <v>4127</v>
      </c>
      <c r="F505" s="1" t="s">
        <v>17</v>
      </c>
      <c r="G505" s="1" t="s">
        <v>5252</v>
      </c>
      <c r="H505" s="5">
        <f t="shared" si="2"/>
        <v>0.7526</v>
      </c>
      <c r="I505" s="1" t="s">
        <v>5254</v>
      </c>
      <c r="J505" s="1">
        <f t="shared" si="3"/>
        <v>68.122721</v>
      </c>
      <c r="K505" s="1" t="s">
        <v>5256</v>
      </c>
      <c r="L505" s="5">
        <f t="shared" si="4"/>
        <v>0.2634</v>
      </c>
      <c r="M505" s="6" t="s">
        <v>5096</v>
      </c>
      <c r="N505" s="5">
        <f t="shared" si="5"/>
        <v>80</v>
      </c>
    </row>
    <row r="506">
      <c r="A506" s="6" t="s">
        <v>5010</v>
      </c>
      <c r="B506" s="6" t="s">
        <v>557</v>
      </c>
      <c r="C506" s="5">
        <f t="shared" si="1"/>
        <v>10</v>
      </c>
      <c r="D506" s="1" t="s">
        <v>12</v>
      </c>
      <c r="E506" s="1" t="s">
        <v>4955</v>
      </c>
      <c r="F506" s="1" t="s">
        <v>49</v>
      </c>
      <c r="G506" s="6" t="s">
        <v>6454</v>
      </c>
      <c r="H506" s="5">
        <f t="shared" si="2"/>
        <v>1.3633</v>
      </c>
      <c r="I506" s="1" t="s">
        <v>5257</v>
      </c>
      <c r="J506" s="1">
        <f t="shared" si="3"/>
        <v>66.180682</v>
      </c>
      <c r="K506" s="1" t="s">
        <v>5258</v>
      </c>
      <c r="L506" s="5">
        <f t="shared" si="4"/>
        <v>0.3408</v>
      </c>
      <c r="M506" s="6" t="s">
        <v>670</v>
      </c>
      <c r="N506" s="5">
        <f t="shared" si="5"/>
        <v>67</v>
      </c>
    </row>
    <row r="507">
      <c r="A507" s="6" t="s">
        <v>5010</v>
      </c>
      <c r="B507" s="6" t="s">
        <v>557</v>
      </c>
      <c r="C507" s="5">
        <f t="shared" si="1"/>
        <v>10</v>
      </c>
      <c r="D507" s="1" t="s">
        <v>12</v>
      </c>
      <c r="E507" s="1" t="s">
        <v>42</v>
      </c>
      <c r="F507" s="1" t="s">
        <v>17</v>
      </c>
      <c r="G507" s="1" t="s">
        <v>5259</v>
      </c>
      <c r="H507" s="5">
        <f t="shared" si="2"/>
        <v>0.2825</v>
      </c>
      <c r="I507" s="1" t="s">
        <v>5260</v>
      </c>
      <c r="J507" s="1">
        <f t="shared" si="3"/>
        <v>51.100826</v>
      </c>
      <c r="K507" s="1" t="s">
        <v>5261</v>
      </c>
      <c r="L507" s="5">
        <f t="shared" si="4"/>
        <v>0.1046</v>
      </c>
      <c r="M507" s="6" t="s">
        <v>291</v>
      </c>
      <c r="N507" s="5">
        <f t="shared" si="5"/>
        <v>0</v>
      </c>
    </row>
    <row r="508">
      <c r="A508" s="6" t="s">
        <v>5010</v>
      </c>
      <c r="B508" s="6" t="s">
        <v>557</v>
      </c>
      <c r="C508" s="5">
        <f t="shared" si="1"/>
        <v>10</v>
      </c>
      <c r="D508" s="1" t="s">
        <v>12</v>
      </c>
      <c r="E508" s="1" t="s">
        <v>1851</v>
      </c>
      <c r="F508" s="1" t="s">
        <v>17</v>
      </c>
      <c r="G508" s="1" t="s">
        <v>5262</v>
      </c>
      <c r="H508" s="5">
        <f t="shared" si="2"/>
        <v>0.4912</v>
      </c>
      <c r="I508" s="1" t="s">
        <v>5263</v>
      </c>
      <c r="J508" s="1">
        <f t="shared" si="3"/>
        <v>47.016439</v>
      </c>
      <c r="K508" s="1" t="s">
        <v>5265</v>
      </c>
      <c r="L508" s="5">
        <f t="shared" si="4"/>
        <v>0.1891</v>
      </c>
      <c r="M508" s="6" t="s">
        <v>6455</v>
      </c>
      <c r="N508" s="5">
        <f t="shared" si="5"/>
        <v>137</v>
      </c>
    </row>
    <row r="509">
      <c r="A509" s="6" t="s">
        <v>5010</v>
      </c>
      <c r="B509" s="6" t="s">
        <v>557</v>
      </c>
      <c r="C509" s="5">
        <f t="shared" si="1"/>
        <v>10</v>
      </c>
      <c r="D509" s="1" t="s">
        <v>68</v>
      </c>
      <c r="E509" s="1" t="s">
        <v>13</v>
      </c>
      <c r="F509" s="1" t="s">
        <v>14</v>
      </c>
      <c r="G509" s="1" t="s">
        <v>5266</v>
      </c>
      <c r="H509" s="5">
        <f t="shared" si="2"/>
        <v>14.0729</v>
      </c>
      <c r="I509" s="1" t="s">
        <v>5267</v>
      </c>
      <c r="J509" s="1">
        <f t="shared" si="3"/>
        <v>1104.70914</v>
      </c>
      <c r="K509" s="6" t="s">
        <v>6456</v>
      </c>
      <c r="L509" s="5">
        <f t="shared" si="4"/>
        <v>2.9553</v>
      </c>
      <c r="M509" s="6" t="s">
        <v>6457</v>
      </c>
      <c r="N509" s="5">
        <f t="shared" si="5"/>
        <v>2918</v>
      </c>
    </row>
    <row r="510">
      <c r="A510" s="6" t="s">
        <v>5010</v>
      </c>
      <c r="B510" s="6" t="s">
        <v>557</v>
      </c>
      <c r="C510" s="5">
        <f t="shared" si="1"/>
        <v>10</v>
      </c>
      <c r="D510" s="1" t="s">
        <v>68</v>
      </c>
      <c r="E510" s="1" t="s">
        <v>13</v>
      </c>
      <c r="F510" s="1" t="s">
        <v>17</v>
      </c>
      <c r="G510" s="1" t="s">
        <v>5269</v>
      </c>
      <c r="H510" s="5">
        <f t="shared" si="2"/>
        <v>53.1301</v>
      </c>
      <c r="I510" s="1" t="s">
        <v>5270</v>
      </c>
      <c r="J510" s="1">
        <f t="shared" si="3"/>
        <v>5945.933384</v>
      </c>
      <c r="K510" s="1" t="s">
        <v>5271</v>
      </c>
      <c r="L510" s="5">
        <f t="shared" si="4"/>
        <v>18.5955</v>
      </c>
      <c r="M510" s="6" t="s">
        <v>6458</v>
      </c>
      <c r="N510" s="5">
        <f t="shared" si="5"/>
        <v>8665</v>
      </c>
    </row>
    <row r="511">
      <c r="A511" s="6" t="s">
        <v>5010</v>
      </c>
      <c r="B511" s="6" t="s">
        <v>557</v>
      </c>
      <c r="C511" s="5">
        <f t="shared" si="1"/>
        <v>10</v>
      </c>
      <c r="D511" s="1" t="s">
        <v>68</v>
      </c>
      <c r="E511" s="1" t="s">
        <v>13</v>
      </c>
      <c r="F511" s="1" t="s">
        <v>21</v>
      </c>
      <c r="G511" s="6" t="s">
        <v>6459</v>
      </c>
      <c r="H511" s="5">
        <f t="shared" si="2"/>
        <v>8.8828</v>
      </c>
      <c r="I511" s="1" t="s">
        <v>5272</v>
      </c>
      <c r="J511" s="1">
        <f t="shared" si="3"/>
        <v>1161.74794</v>
      </c>
      <c r="K511" s="6" t="s">
        <v>6460</v>
      </c>
      <c r="L511" s="5">
        <f t="shared" si="4"/>
        <v>4.3691</v>
      </c>
      <c r="M511" s="6" t="s">
        <v>6461</v>
      </c>
      <c r="N511" s="5">
        <f t="shared" si="5"/>
        <v>2423</v>
      </c>
    </row>
    <row r="512">
      <c r="A512" s="6" t="s">
        <v>5010</v>
      </c>
      <c r="B512" s="6" t="s">
        <v>557</v>
      </c>
      <c r="C512" s="5">
        <f t="shared" si="1"/>
        <v>10</v>
      </c>
      <c r="D512" s="1" t="s">
        <v>68</v>
      </c>
      <c r="E512" s="1" t="s">
        <v>13</v>
      </c>
      <c r="F512" s="1" t="s">
        <v>25</v>
      </c>
      <c r="G512" s="1" t="s">
        <v>2131</v>
      </c>
      <c r="H512" s="5">
        <f t="shared" si="2"/>
        <v>0.2968</v>
      </c>
      <c r="I512" s="1" t="s">
        <v>5274</v>
      </c>
      <c r="J512" s="1">
        <f t="shared" si="3"/>
        <v>47.929871</v>
      </c>
      <c r="K512" s="1" t="s">
        <v>3088</v>
      </c>
      <c r="L512" s="5">
        <f t="shared" si="4"/>
        <v>0.2226</v>
      </c>
      <c r="M512" s="6" t="s">
        <v>4508</v>
      </c>
      <c r="N512" s="5">
        <f t="shared" si="5"/>
        <v>170</v>
      </c>
    </row>
    <row r="513">
      <c r="A513" s="6" t="s">
        <v>5010</v>
      </c>
      <c r="B513" s="6" t="s">
        <v>557</v>
      </c>
      <c r="C513" s="5">
        <f t="shared" si="1"/>
        <v>10</v>
      </c>
      <c r="D513" s="1" t="s">
        <v>68</v>
      </c>
      <c r="E513" s="1" t="s">
        <v>29</v>
      </c>
      <c r="F513" s="1" t="s">
        <v>14</v>
      </c>
      <c r="G513" s="1" t="s">
        <v>5275</v>
      </c>
      <c r="H513" s="5">
        <f t="shared" si="2"/>
        <v>0.6789</v>
      </c>
      <c r="I513" s="1" t="s">
        <v>5276</v>
      </c>
      <c r="J513" s="1">
        <f t="shared" si="3"/>
        <v>87.049257</v>
      </c>
      <c r="K513" s="1" t="s">
        <v>5278</v>
      </c>
      <c r="L513" s="5">
        <f t="shared" si="4"/>
        <v>0.1358</v>
      </c>
      <c r="M513" s="6" t="s">
        <v>4728</v>
      </c>
      <c r="N513" s="5">
        <f t="shared" si="5"/>
        <v>209</v>
      </c>
    </row>
    <row r="514">
      <c r="A514" s="6" t="s">
        <v>5010</v>
      </c>
      <c r="B514" s="6" t="s">
        <v>557</v>
      </c>
      <c r="C514" s="5">
        <f t="shared" si="1"/>
        <v>10</v>
      </c>
      <c r="D514" s="1" t="s">
        <v>68</v>
      </c>
      <c r="E514" s="1" t="s">
        <v>29</v>
      </c>
      <c r="F514" s="1" t="s">
        <v>21</v>
      </c>
      <c r="G514" s="6" t="s">
        <v>6462</v>
      </c>
      <c r="H514" s="5">
        <f t="shared" si="2"/>
        <v>12.4224</v>
      </c>
      <c r="I514" s="1" t="s">
        <v>5279</v>
      </c>
      <c r="J514" s="1">
        <f t="shared" si="3"/>
        <v>2134.394888</v>
      </c>
      <c r="K514" s="1" t="s">
        <v>5280</v>
      </c>
      <c r="L514" s="5">
        <f t="shared" si="4"/>
        <v>4.969</v>
      </c>
      <c r="M514" s="6" t="s">
        <v>6463</v>
      </c>
      <c r="N514" s="5">
        <f t="shared" si="5"/>
        <v>1809</v>
      </c>
    </row>
    <row r="515">
      <c r="A515" s="6" t="s">
        <v>5010</v>
      </c>
      <c r="B515" s="6" t="s">
        <v>557</v>
      </c>
      <c r="C515" s="5">
        <f t="shared" si="1"/>
        <v>10</v>
      </c>
      <c r="D515" s="1" t="s">
        <v>68</v>
      </c>
      <c r="E515" s="1" t="s">
        <v>45</v>
      </c>
      <c r="F515" s="1" t="s">
        <v>49</v>
      </c>
      <c r="G515" s="1" t="s">
        <v>5282</v>
      </c>
      <c r="H515" s="5">
        <f t="shared" si="2"/>
        <v>0.848</v>
      </c>
      <c r="I515" s="1" t="s">
        <v>5283</v>
      </c>
      <c r="J515" s="1">
        <f t="shared" si="3"/>
        <v>53.446204</v>
      </c>
      <c r="K515" s="1" t="s">
        <v>5284</v>
      </c>
      <c r="L515" s="5">
        <f t="shared" si="4"/>
        <v>0.2205</v>
      </c>
      <c r="M515" s="6" t="s">
        <v>5813</v>
      </c>
      <c r="N515" s="5">
        <f t="shared" si="5"/>
        <v>193</v>
      </c>
    </row>
    <row r="516">
      <c r="A516" s="6" t="s">
        <v>5010</v>
      </c>
      <c r="B516" s="6" t="s">
        <v>557</v>
      </c>
      <c r="C516" s="5">
        <f t="shared" si="1"/>
        <v>10</v>
      </c>
      <c r="D516" s="1" t="s">
        <v>68</v>
      </c>
      <c r="E516" s="1" t="s">
        <v>45</v>
      </c>
      <c r="F516" s="1" t="s">
        <v>17</v>
      </c>
      <c r="G516" s="6" t="s">
        <v>6464</v>
      </c>
      <c r="H516" s="5">
        <f t="shared" si="2"/>
        <v>10.3903</v>
      </c>
      <c r="I516" s="1" t="s">
        <v>5285</v>
      </c>
      <c r="J516" s="1">
        <f t="shared" si="3"/>
        <v>648.876279</v>
      </c>
      <c r="K516" s="6" t="s">
        <v>6465</v>
      </c>
      <c r="L516" s="5">
        <f t="shared" si="4"/>
        <v>3.7405</v>
      </c>
      <c r="M516" s="6" t="s">
        <v>6466</v>
      </c>
      <c r="N516" s="5">
        <f t="shared" si="5"/>
        <v>1361</v>
      </c>
    </row>
    <row r="517">
      <c r="A517" s="6" t="s">
        <v>5010</v>
      </c>
      <c r="B517" s="6" t="s">
        <v>557</v>
      </c>
      <c r="C517" s="5">
        <f t="shared" si="1"/>
        <v>10</v>
      </c>
      <c r="D517" s="1" t="s">
        <v>68</v>
      </c>
      <c r="E517" s="1" t="s">
        <v>38</v>
      </c>
      <c r="F517" s="1" t="s">
        <v>39</v>
      </c>
      <c r="G517" s="1" t="s">
        <v>5352</v>
      </c>
      <c r="H517" s="5">
        <f t="shared" si="2"/>
        <v>3.58</v>
      </c>
      <c r="I517" s="1" t="s">
        <v>5353</v>
      </c>
      <c r="J517" s="1">
        <f t="shared" si="3"/>
        <v>285.062911</v>
      </c>
      <c r="K517" s="1" t="s">
        <v>5354</v>
      </c>
      <c r="L517" s="5">
        <f t="shared" si="4"/>
        <v>0.6444</v>
      </c>
      <c r="M517" s="6" t="s">
        <v>6467</v>
      </c>
      <c r="N517" s="5">
        <f t="shared" si="5"/>
        <v>1455</v>
      </c>
    </row>
    <row r="518">
      <c r="A518" s="6" t="s">
        <v>5010</v>
      </c>
      <c r="B518" s="6" t="s">
        <v>557</v>
      </c>
      <c r="C518" s="5">
        <f t="shared" si="1"/>
        <v>10</v>
      </c>
      <c r="D518" s="1" t="s">
        <v>68</v>
      </c>
      <c r="E518" s="1" t="s">
        <v>3962</v>
      </c>
      <c r="F518" s="1" t="s">
        <v>17</v>
      </c>
      <c r="G518" s="6" t="s">
        <v>6468</v>
      </c>
      <c r="H518" s="5">
        <f t="shared" si="2"/>
        <v>2.4011</v>
      </c>
      <c r="I518" s="1" t="s">
        <v>5355</v>
      </c>
      <c r="J518" s="1">
        <f t="shared" si="3"/>
        <v>208.763393</v>
      </c>
      <c r="K518" s="1" t="s">
        <v>5356</v>
      </c>
      <c r="L518" s="5">
        <f t="shared" si="4"/>
        <v>0.8404</v>
      </c>
      <c r="M518" s="6" t="s">
        <v>6469</v>
      </c>
      <c r="N518" s="5">
        <f t="shared" si="5"/>
        <v>1064</v>
      </c>
    </row>
    <row r="519">
      <c r="A519" s="6" t="s">
        <v>5010</v>
      </c>
      <c r="B519" s="6" t="s">
        <v>557</v>
      </c>
      <c r="C519" s="5">
        <f t="shared" si="1"/>
        <v>10</v>
      </c>
      <c r="D519" s="1" t="s">
        <v>68</v>
      </c>
      <c r="E519" s="1" t="s">
        <v>42</v>
      </c>
      <c r="F519" s="1" t="s">
        <v>17</v>
      </c>
      <c r="G519" s="1" t="s">
        <v>5357</v>
      </c>
      <c r="H519" s="5">
        <f t="shared" si="2"/>
        <v>0.8176</v>
      </c>
      <c r="I519" s="1" t="s">
        <v>5358</v>
      </c>
      <c r="J519" s="1">
        <f t="shared" si="3"/>
        <v>160.901353</v>
      </c>
      <c r="K519" s="1" t="s">
        <v>5359</v>
      </c>
      <c r="L519" s="5">
        <f t="shared" si="4"/>
        <v>0.3026</v>
      </c>
      <c r="M519" s="6" t="s">
        <v>291</v>
      </c>
      <c r="N519" s="5">
        <f t="shared" si="5"/>
        <v>0</v>
      </c>
    </row>
    <row r="520">
      <c r="A520" s="6" t="s">
        <v>5010</v>
      </c>
      <c r="B520" s="6" t="s">
        <v>557</v>
      </c>
      <c r="C520" s="5">
        <f t="shared" si="1"/>
        <v>10</v>
      </c>
      <c r="D520" s="1" t="s">
        <v>68</v>
      </c>
      <c r="E520" s="1" t="s">
        <v>48</v>
      </c>
      <c r="F520" s="1" t="s">
        <v>49</v>
      </c>
      <c r="G520" s="1" t="s">
        <v>1411</v>
      </c>
      <c r="H520" s="5">
        <f t="shared" si="2"/>
        <v>0.008</v>
      </c>
      <c r="I520" s="1" t="s">
        <v>5360</v>
      </c>
      <c r="J520" s="1">
        <f t="shared" si="3"/>
        <v>2.637589</v>
      </c>
      <c r="K520" s="1" t="s">
        <v>880</v>
      </c>
      <c r="L520" s="5">
        <f t="shared" si="4"/>
        <v>0.0023</v>
      </c>
      <c r="M520" s="6" t="s">
        <v>397</v>
      </c>
      <c r="N520" s="5">
        <f t="shared" si="5"/>
        <v>2</v>
      </c>
    </row>
    <row r="521">
      <c r="A521" s="6" t="s">
        <v>5010</v>
      </c>
      <c r="B521" s="6" t="s">
        <v>557</v>
      </c>
      <c r="C521" s="5">
        <f t="shared" si="1"/>
        <v>10</v>
      </c>
      <c r="D521" s="1" t="s">
        <v>68</v>
      </c>
      <c r="E521" s="1" t="s">
        <v>48</v>
      </c>
      <c r="F521" s="1" t="s">
        <v>72</v>
      </c>
      <c r="G521" s="1" t="s">
        <v>1460</v>
      </c>
      <c r="H521" s="5">
        <f t="shared" si="2"/>
        <v>0.002</v>
      </c>
      <c r="I521" s="1" t="s">
        <v>5361</v>
      </c>
      <c r="J521" s="1">
        <f t="shared" si="3"/>
        <v>0.673736</v>
      </c>
      <c r="K521" s="1" t="s">
        <v>373</v>
      </c>
      <c r="L521" s="5">
        <f t="shared" si="4"/>
        <v>0.0006</v>
      </c>
      <c r="M521" s="6" t="s">
        <v>2677</v>
      </c>
      <c r="N521" s="5">
        <f t="shared" si="5"/>
        <v>3</v>
      </c>
    </row>
    <row r="522">
      <c r="A522" s="6" t="s">
        <v>5010</v>
      </c>
      <c r="B522" s="6" t="s">
        <v>557</v>
      </c>
      <c r="C522" s="5">
        <f t="shared" si="1"/>
        <v>10</v>
      </c>
      <c r="D522" s="1" t="s">
        <v>68</v>
      </c>
      <c r="E522" s="1" t="s">
        <v>48</v>
      </c>
      <c r="F522" s="1" t="s">
        <v>21</v>
      </c>
      <c r="G522" s="1" t="s">
        <v>5362</v>
      </c>
      <c r="H522" s="5">
        <f t="shared" si="2"/>
        <v>0.8336</v>
      </c>
      <c r="I522" s="1" t="s">
        <v>5363</v>
      </c>
      <c r="J522" s="1">
        <f t="shared" si="3"/>
        <v>142.366486</v>
      </c>
      <c r="K522" s="1" t="s">
        <v>5365</v>
      </c>
      <c r="L522" s="5">
        <f t="shared" si="4"/>
        <v>0.3335</v>
      </c>
      <c r="M522" s="6" t="s">
        <v>6102</v>
      </c>
      <c r="N522" s="5">
        <f t="shared" si="5"/>
        <v>312</v>
      </c>
    </row>
    <row r="523">
      <c r="A523" s="6" t="s">
        <v>5010</v>
      </c>
      <c r="B523" s="6" t="s">
        <v>557</v>
      </c>
      <c r="C523" s="5">
        <f t="shared" si="1"/>
        <v>10</v>
      </c>
      <c r="D523" s="1" t="s">
        <v>68</v>
      </c>
      <c r="E523" s="1" t="s">
        <v>5366</v>
      </c>
      <c r="F523" s="1" t="s">
        <v>17</v>
      </c>
      <c r="G523" s="1" t="s">
        <v>5367</v>
      </c>
      <c r="H523" s="5">
        <f t="shared" si="2"/>
        <v>0.9888</v>
      </c>
      <c r="I523" s="1" t="s">
        <v>5368</v>
      </c>
      <c r="J523" s="1">
        <f t="shared" si="3"/>
        <v>68.042955</v>
      </c>
      <c r="K523" s="1" t="s">
        <v>5369</v>
      </c>
      <c r="L523" s="5">
        <f t="shared" si="4"/>
        <v>0.356</v>
      </c>
      <c r="M523" s="6" t="s">
        <v>5332</v>
      </c>
      <c r="N523" s="5">
        <f t="shared" si="5"/>
        <v>341</v>
      </c>
    </row>
    <row r="524">
      <c r="A524" s="6" t="s">
        <v>5010</v>
      </c>
      <c r="B524" s="6" t="s">
        <v>557</v>
      </c>
      <c r="C524" s="5">
        <f t="shared" si="1"/>
        <v>10</v>
      </c>
      <c r="D524" s="1" t="s">
        <v>68</v>
      </c>
      <c r="E524" s="1" t="s">
        <v>2104</v>
      </c>
      <c r="F524" s="1" t="s">
        <v>17</v>
      </c>
      <c r="G524" s="6" t="s">
        <v>6470</v>
      </c>
      <c r="H524" s="5">
        <f t="shared" si="2"/>
        <v>1.3274</v>
      </c>
      <c r="I524" s="1" t="s">
        <v>5371</v>
      </c>
      <c r="J524" s="1">
        <f t="shared" si="3"/>
        <v>51.798101</v>
      </c>
      <c r="K524" s="1" t="s">
        <v>5372</v>
      </c>
      <c r="L524" s="5">
        <f t="shared" si="4"/>
        <v>0.4646</v>
      </c>
      <c r="M524" s="6" t="s">
        <v>5185</v>
      </c>
      <c r="N524" s="5">
        <f t="shared" si="5"/>
        <v>435</v>
      </c>
    </row>
    <row r="525">
      <c r="A525" s="6" t="s">
        <v>5010</v>
      </c>
      <c r="B525" s="6" t="s">
        <v>557</v>
      </c>
      <c r="C525" s="5">
        <f t="shared" si="1"/>
        <v>10</v>
      </c>
      <c r="D525" s="1" t="s">
        <v>68</v>
      </c>
      <c r="E525" s="1" t="s">
        <v>1851</v>
      </c>
      <c r="F525" s="1" t="s">
        <v>17</v>
      </c>
      <c r="G525" s="1" t="s">
        <v>5374</v>
      </c>
      <c r="H525" s="5">
        <f t="shared" si="2"/>
        <v>0.5887</v>
      </c>
      <c r="I525" s="1" t="s">
        <v>5375</v>
      </c>
      <c r="J525" s="1">
        <f t="shared" si="3"/>
        <v>38.340356</v>
      </c>
      <c r="K525" s="1" t="s">
        <v>5377</v>
      </c>
      <c r="L525" s="5">
        <f t="shared" si="4"/>
        <v>0.2266</v>
      </c>
      <c r="M525" s="6" t="s">
        <v>6471</v>
      </c>
      <c r="N525" s="5">
        <f t="shared" si="5"/>
        <v>441</v>
      </c>
    </row>
    <row r="526">
      <c r="A526" s="6" t="s">
        <v>5010</v>
      </c>
      <c r="B526" s="6" t="s">
        <v>557</v>
      </c>
      <c r="C526" s="5">
        <f t="shared" si="1"/>
        <v>10</v>
      </c>
      <c r="D526" s="1" t="s">
        <v>68</v>
      </c>
      <c r="E526" s="1" t="s">
        <v>1851</v>
      </c>
      <c r="F526" s="1" t="s">
        <v>21</v>
      </c>
      <c r="G526" s="1" t="s">
        <v>5378</v>
      </c>
      <c r="H526" s="5">
        <f t="shared" si="2"/>
        <v>0.1517</v>
      </c>
      <c r="I526" s="1" t="s">
        <v>5379</v>
      </c>
      <c r="J526" s="1">
        <f t="shared" si="3"/>
        <v>13.15267</v>
      </c>
      <c r="K526" s="1" t="s">
        <v>5380</v>
      </c>
      <c r="L526" s="5">
        <f t="shared" si="4"/>
        <v>0.0743</v>
      </c>
      <c r="M526" s="6" t="s">
        <v>4720</v>
      </c>
      <c r="N526" s="5">
        <f t="shared" si="5"/>
        <v>103</v>
      </c>
    </row>
    <row r="527">
      <c r="A527" s="6" t="s">
        <v>5010</v>
      </c>
      <c r="B527" s="6" t="s">
        <v>557</v>
      </c>
      <c r="C527" s="5">
        <f t="shared" si="1"/>
        <v>10</v>
      </c>
      <c r="D527" s="1" t="s">
        <v>116</v>
      </c>
      <c r="E527" s="1" t="s">
        <v>13</v>
      </c>
      <c r="F527" s="1" t="s">
        <v>14</v>
      </c>
      <c r="G527" s="1" t="s">
        <v>5382</v>
      </c>
      <c r="H527" s="5">
        <f t="shared" si="2"/>
        <v>41.8058</v>
      </c>
      <c r="I527" s="1" t="s">
        <v>5383</v>
      </c>
      <c r="J527" s="1">
        <f t="shared" si="3"/>
        <v>2955.440042</v>
      </c>
      <c r="K527" s="6" t="s">
        <v>6472</v>
      </c>
      <c r="L527" s="5">
        <f t="shared" si="4"/>
        <v>8.7792</v>
      </c>
      <c r="M527" s="6" t="s">
        <v>6473</v>
      </c>
      <c r="N527" s="5">
        <f t="shared" si="5"/>
        <v>4562</v>
      </c>
    </row>
    <row r="528">
      <c r="A528" s="6" t="s">
        <v>5010</v>
      </c>
      <c r="B528" s="6" t="s">
        <v>557</v>
      </c>
      <c r="C528" s="5">
        <f t="shared" si="1"/>
        <v>10</v>
      </c>
      <c r="D528" s="1" t="s">
        <v>116</v>
      </c>
      <c r="E528" s="1" t="s">
        <v>13</v>
      </c>
      <c r="F528" s="1" t="s">
        <v>17</v>
      </c>
      <c r="G528" s="1" t="s">
        <v>5386</v>
      </c>
      <c r="H528" s="5">
        <f t="shared" si="2"/>
        <v>195.5282</v>
      </c>
      <c r="I528" s="1" t="s">
        <v>5387</v>
      </c>
      <c r="J528" s="1">
        <f t="shared" si="3"/>
        <v>18673.78943</v>
      </c>
      <c r="K528" s="1" t="s">
        <v>5388</v>
      </c>
      <c r="L528" s="5">
        <f t="shared" si="4"/>
        <v>68.435</v>
      </c>
      <c r="M528" s="6" t="s">
        <v>6474</v>
      </c>
      <c r="N528" s="5">
        <f t="shared" si="5"/>
        <v>18126</v>
      </c>
    </row>
    <row r="529">
      <c r="A529" s="6" t="s">
        <v>5010</v>
      </c>
      <c r="B529" s="6" t="s">
        <v>557</v>
      </c>
      <c r="C529" s="5">
        <f t="shared" si="1"/>
        <v>10</v>
      </c>
      <c r="D529" s="1" t="s">
        <v>116</v>
      </c>
      <c r="E529" s="1" t="s">
        <v>13</v>
      </c>
      <c r="F529" s="1" t="s">
        <v>21</v>
      </c>
      <c r="G529" s="1" t="s">
        <v>5389</v>
      </c>
      <c r="H529" s="5">
        <f t="shared" si="2"/>
        <v>23.9821</v>
      </c>
      <c r="I529" s="1" t="s">
        <v>5390</v>
      </c>
      <c r="J529" s="1">
        <f t="shared" si="3"/>
        <v>3245.029801</v>
      </c>
      <c r="K529" s="6" t="s">
        <v>6475</v>
      </c>
      <c r="L529" s="5">
        <f t="shared" si="4"/>
        <v>11.8374</v>
      </c>
      <c r="M529" s="6" t="s">
        <v>6476</v>
      </c>
      <c r="N529" s="5">
        <f t="shared" si="5"/>
        <v>4735</v>
      </c>
    </row>
    <row r="530">
      <c r="A530" s="6" t="s">
        <v>5010</v>
      </c>
      <c r="B530" s="6" t="s">
        <v>557</v>
      </c>
      <c r="C530" s="5">
        <f t="shared" si="1"/>
        <v>10</v>
      </c>
      <c r="D530" s="1" t="s">
        <v>116</v>
      </c>
      <c r="E530" s="1" t="s">
        <v>13</v>
      </c>
      <c r="F530" s="1" t="s">
        <v>25</v>
      </c>
      <c r="G530" s="1" t="s">
        <v>2091</v>
      </c>
      <c r="H530" s="5">
        <f t="shared" si="2"/>
        <v>0.0249</v>
      </c>
      <c r="I530" s="1" t="s">
        <v>5392</v>
      </c>
      <c r="J530" s="1">
        <f t="shared" si="3"/>
        <v>5.149395</v>
      </c>
      <c r="K530" s="1" t="s">
        <v>5393</v>
      </c>
      <c r="L530" s="5">
        <f t="shared" si="4"/>
        <v>0.0187</v>
      </c>
      <c r="M530" s="6" t="s">
        <v>2521</v>
      </c>
      <c r="N530" s="5">
        <f t="shared" si="5"/>
        <v>6</v>
      </c>
    </row>
    <row r="531">
      <c r="A531" s="6" t="s">
        <v>5010</v>
      </c>
      <c r="B531" s="6" t="s">
        <v>557</v>
      </c>
      <c r="C531" s="5">
        <f t="shared" si="1"/>
        <v>10</v>
      </c>
      <c r="D531" s="1" t="s">
        <v>116</v>
      </c>
      <c r="E531" s="1" t="s">
        <v>29</v>
      </c>
      <c r="F531" s="1" t="s">
        <v>14</v>
      </c>
      <c r="G531" s="6" t="s">
        <v>6477</v>
      </c>
      <c r="H531" s="5">
        <f t="shared" si="2"/>
        <v>1.2179</v>
      </c>
      <c r="I531" s="1" t="s">
        <v>5394</v>
      </c>
      <c r="J531" s="1">
        <f t="shared" si="3"/>
        <v>171.423595</v>
      </c>
      <c r="K531" s="1" t="s">
        <v>5395</v>
      </c>
      <c r="L531" s="5">
        <f t="shared" si="4"/>
        <v>0.2436</v>
      </c>
      <c r="M531" s="6" t="s">
        <v>6478</v>
      </c>
      <c r="N531" s="5">
        <f t="shared" si="5"/>
        <v>317</v>
      </c>
    </row>
    <row r="532">
      <c r="A532" s="6" t="s">
        <v>5010</v>
      </c>
      <c r="B532" s="6" t="s">
        <v>557</v>
      </c>
      <c r="C532" s="5">
        <f t="shared" si="1"/>
        <v>10</v>
      </c>
      <c r="D532" s="1" t="s">
        <v>116</v>
      </c>
      <c r="E532" s="1" t="s">
        <v>29</v>
      </c>
      <c r="F532" s="1" t="s">
        <v>21</v>
      </c>
      <c r="G532" s="1" t="s">
        <v>5396</v>
      </c>
      <c r="H532" s="5">
        <f t="shared" si="2"/>
        <v>51.3505</v>
      </c>
      <c r="I532" s="1" t="s">
        <v>5397</v>
      </c>
      <c r="J532" s="1">
        <f t="shared" si="3"/>
        <v>9478.159229</v>
      </c>
      <c r="K532" s="1" t="s">
        <v>5398</v>
      </c>
      <c r="L532" s="5">
        <f t="shared" si="4"/>
        <v>20.5402</v>
      </c>
      <c r="M532" s="6" t="s">
        <v>6479</v>
      </c>
      <c r="N532" s="5">
        <f t="shared" si="5"/>
        <v>3575</v>
      </c>
    </row>
    <row r="533">
      <c r="A533" s="6" t="s">
        <v>5010</v>
      </c>
      <c r="B533" s="6" t="s">
        <v>557</v>
      </c>
      <c r="C533" s="5">
        <f t="shared" si="1"/>
        <v>10</v>
      </c>
      <c r="D533" s="1" t="s">
        <v>116</v>
      </c>
      <c r="E533" s="1" t="s">
        <v>45</v>
      </c>
      <c r="F533" s="1" t="s">
        <v>49</v>
      </c>
      <c r="G533" s="6" t="s">
        <v>6480</v>
      </c>
      <c r="H533" s="5">
        <f t="shared" si="2"/>
        <v>2.7495</v>
      </c>
      <c r="I533" s="1" t="s">
        <v>5399</v>
      </c>
      <c r="J533" s="1">
        <f t="shared" si="3"/>
        <v>170.628453</v>
      </c>
      <c r="K533" s="1" t="s">
        <v>5400</v>
      </c>
      <c r="L533" s="5">
        <f t="shared" si="4"/>
        <v>0.7149</v>
      </c>
      <c r="M533" s="6" t="s">
        <v>6481</v>
      </c>
      <c r="N533" s="5">
        <f t="shared" si="5"/>
        <v>340</v>
      </c>
    </row>
    <row r="534">
      <c r="A534" s="6" t="s">
        <v>5010</v>
      </c>
      <c r="B534" s="6" t="s">
        <v>557</v>
      </c>
      <c r="C534" s="5">
        <f t="shared" si="1"/>
        <v>10</v>
      </c>
      <c r="D534" s="1" t="s">
        <v>116</v>
      </c>
      <c r="E534" s="1" t="s">
        <v>45</v>
      </c>
      <c r="F534" s="1" t="s">
        <v>17</v>
      </c>
      <c r="G534" s="1" t="s">
        <v>5401</v>
      </c>
      <c r="H534" s="5">
        <f t="shared" si="2"/>
        <v>16.1191</v>
      </c>
      <c r="I534" s="1" t="s">
        <v>5402</v>
      </c>
      <c r="J534" s="1">
        <f t="shared" si="3"/>
        <v>1233.112563</v>
      </c>
      <c r="K534" s="6" t="s">
        <v>6482</v>
      </c>
      <c r="L534" s="5">
        <f t="shared" si="4"/>
        <v>5.8029</v>
      </c>
      <c r="M534" s="6" t="s">
        <v>6483</v>
      </c>
      <c r="N534" s="5">
        <f t="shared" si="5"/>
        <v>1747</v>
      </c>
    </row>
    <row r="535">
      <c r="A535" s="6" t="s">
        <v>5010</v>
      </c>
      <c r="B535" s="6" t="s">
        <v>557</v>
      </c>
      <c r="C535" s="5">
        <f t="shared" si="1"/>
        <v>10</v>
      </c>
      <c r="D535" s="1" t="s">
        <v>116</v>
      </c>
      <c r="E535" s="1" t="s">
        <v>3962</v>
      </c>
      <c r="F535" s="1" t="s">
        <v>17</v>
      </c>
      <c r="G535" s="1" t="s">
        <v>5403</v>
      </c>
      <c r="H535" s="5">
        <f t="shared" si="2"/>
        <v>14.5781</v>
      </c>
      <c r="I535" s="1" t="s">
        <v>5404</v>
      </c>
      <c r="J535" s="1">
        <f t="shared" si="3"/>
        <v>1298.676268</v>
      </c>
      <c r="K535" s="6" t="s">
        <v>5405</v>
      </c>
      <c r="L535" s="5">
        <f t="shared" si="4"/>
        <v>5.1024</v>
      </c>
      <c r="M535" s="6" t="s">
        <v>6484</v>
      </c>
      <c r="N535" s="5">
        <f t="shared" si="5"/>
        <v>3925</v>
      </c>
    </row>
    <row r="536">
      <c r="A536" s="6" t="s">
        <v>5010</v>
      </c>
      <c r="B536" s="6" t="s">
        <v>557</v>
      </c>
      <c r="C536" s="5">
        <f t="shared" si="1"/>
        <v>10</v>
      </c>
      <c r="D536" s="1" t="s">
        <v>116</v>
      </c>
      <c r="E536" s="1" t="s">
        <v>48</v>
      </c>
      <c r="F536" s="1" t="s">
        <v>49</v>
      </c>
      <c r="G536" s="1" t="s">
        <v>5406</v>
      </c>
      <c r="H536" s="5">
        <f t="shared" si="2"/>
        <v>0.0198</v>
      </c>
      <c r="I536" s="1" t="s">
        <v>5407</v>
      </c>
      <c r="J536" s="1">
        <f t="shared" si="3"/>
        <v>3.019777</v>
      </c>
      <c r="K536" s="1" t="s">
        <v>5408</v>
      </c>
      <c r="L536" s="5">
        <f t="shared" si="4"/>
        <v>0.0056</v>
      </c>
      <c r="M536" s="6" t="s">
        <v>397</v>
      </c>
      <c r="N536" s="5">
        <f t="shared" si="5"/>
        <v>2</v>
      </c>
    </row>
    <row r="537">
      <c r="A537" s="6" t="s">
        <v>5010</v>
      </c>
      <c r="B537" s="6" t="s">
        <v>557</v>
      </c>
      <c r="C537" s="5">
        <f t="shared" si="1"/>
        <v>10</v>
      </c>
      <c r="D537" s="1" t="s">
        <v>116</v>
      </c>
      <c r="E537" s="1" t="s">
        <v>48</v>
      </c>
      <c r="F537" s="1" t="s">
        <v>72</v>
      </c>
      <c r="G537" s="1" t="s">
        <v>2368</v>
      </c>
      <c r="H537" s="5">
        <f t="shared" si="2"/>
        <v>0.017</v>
      </c>
      <c r="I537" s="1" t="s">
        <v>5409</v>
      </c>
      <c r="J537" s="1">
        <f t="shared" si="3"/>
        <v>5.180294</v>
      </c>
      <c r="K537" s="1" t="s">
        <v>3959</v>
      </c>
      <c r="L537" s="5">
        <f t="shared" si="4"/>
        <v>0.0051</v>
      </c>
      <c r="M537" s="6" t="s">
        <v>2669</v>
      </c>
      <c r="N537" s="5">
        <f t="shared" si="5"/>
        <v>13</v>
      </c>
    </row>
    <row r="538">
      <c r="A538" s="6" t="s">
        <v>5010</v>
      </c>
      <c r="B538" s="6" t="s">
        <v>557</v>
      </c>
      <c r="C538" s="5">
        <f t="shared" si="1"/>
        <v>10</v>
      </c>
      <c r="D538" s="1" t="s">
        <v>116</v>
      </c>
      <c r="E538" s="1" t="s">
        <v>48</v>
      </c>
      <c r="F538" s="1" t="s">
        <v>21</v>
      </c>
      <c r="G538" s="6" t="s">
        <v>6485</v>
      </c>
      <c r="H538" s="5">
        <f t="shared" si="2"/>
        <v>2.9449</v>
      </c>
      <c r="I538" s="1" t="s">
        <v>5410</v>
      </c>
      <c r="J538" s="1">
        <f t="shared" si="3"/>
        <v>724.666235</v>
      </c>
      <c r="K538" s="6" t="s">
        <v>5411</v>
      </c>
      <c r="L538" s="5">
        <f t="shared" si="4"/>
        <v>1.1779</v>
      </c>
      <c r="M538" s="6" t="s">
        <v>6410</v>
      </c>
      <c r="N538" s="5">
        <f t="shared" si="5"/>
        <v>459</v>
      </c>
    </row>
    <row r="539">
      <c r="A539" s="6" t="s">
        <v>5010</v>
      </c>
      <c r="B539" s="6" t="s">
        <v>557</v>
      </c>
      <c r="C539" s="5">
        <f t="shared" si="1"/>
        <v>10</v>
      </c>
      <c r="D539" s="1" t="s">
        <v>116</v>
      </c>
      <c r="E539" s="1" t="s">
        <v>38</v>
      </c>
      <c r="F539" s="1" t="s">
        <v>39</v>
      </c>
      <c r="G539" s="1" t="s">
        <v>5412</v>
      </c>
      <c r="H539" s="5">
        <f t="shared" si="2"/>
        <v>5.805</v>
      </c>
      <c r="I539" s="1" t="s">
        <v>5413</v>
      </c>
      <c r="J539" s="1">
        <f t="shared" si="3"/>
        <v>475.925125</v>
      </c>
      <c r="K539" s="6" t="s">
        <v>5414</v>
      </c>
      <c r="L539" s="5">
        <f t="shared" si="4"/>
        <v>1.0449</v>
      </c>
      <c r="M539" s="6" t="s">
        <v>6486</v>
      </c>
      <c r="N539" s="5">
        <f t="shared" si="5"/>
        <v>1957</v>
      </c>
    </row>
    <row r="540">
      <c r="A540" s="6" t="s">
        <v>5010</v>
      </c>
      <c r="B540" s="6" t="s">
        <v>557</v>
      </c>
      <c r="C540" s="5">
        <f t="shared" si="1"/>
        <v>10</v>
      </c>
      <c r="D540" s="1" t="s">
        <v>116</v>
      </c>
      <c r="E540" s="1" t="s">
        <v>147</v>
      </c>
      <c r="F540" s="1" t="s">
        <v>39</v>
      </c>
      <c r="G540" s="6" t="s">
        <v>5415</v>
      </c>
      <c r="H540" s="5">
        <f t="shared" si="2"/>
        <v>1.0774</v>
      </c>
      <c r="I540" s="1" t="s">
        <v>5416</v>
      </c>
      <c r="J540" s="1">
        <f t="shared" si="3"/>
        <v>357.692522</v>
      </c>
      <c r="K540" s="1" t="s">
        <v>2583</v>
      </c>
      <c r="L540" s="5">
        <f t="shared" si="4"/>
        <v>0.2046</v>
      </c>
      <c r="M540" s="6" t="s">
        <v>4720</v>
      </c>
      <c r="N540" s="5">
        <f t="shared" si="5"/>
        <v>103</v>
      </c>
    </row>
    <row r="541">
      <c r="A541" s="6" t="s">
        <v>5010</v>
      </c>
      <c r="B541" s="6" t="s">
        <v>557</v>
      </c>
      <c r="C541" s="5">
        <f t="shared" si="1"/>
        <v>10</v>
      </c>
      <c r="D541" s="1" t="s">
        <v>116</v>
      </c>
      <c r="E541" s="1" t="s">
        <v>147</v>
      </c>
      <c r="F541" s="1" t="s">
        <v>17</v>
      </c>
      <c r="G541" s="1" t="s">
        <v>560</v>
      </c>
      <c r="H541" s="5">
        <f t="shared" si="2"/>
        <v>0.0145</v>
      </c>
      <c r="I541" s="1" t="s">
        <v>5417</v>
      </c>
      <c r="J541" s="1">
        <f t="shared" si="3"/>
        <v>6.70971</v>
      </c>
      <c r="K541" s="1" t="s">
        <v>608</v>
      </c>
      <c r="L541" s="5">
        <f t="shared" si="4"/>
        <v>0.0052</v>
      </c>
      <c r="M541" s="6" t="s">
        <v>3552</v>
      </c>
      <c r="N541" s="5">
        <f t="shared" si="5"/>
        <v>5</v>
      </c>
    </row>
    <row r="542">
      <c r="A542" s="6" t="s">
        <v>5010</v>
      </c>
      <c r="B542" s="6" t="s">
        <v>557</v>
      </c>
      <c r="C542" s="5">
        <f t="shared" si="1"/>
        <v>10</v>
      </c>
      <c r="D542" s="1" t="s">
        <v>116</v>
      </c>
      <c r="E542" s="1" t="s">
        <v>147</v>
      </c>
      <c r="F542" s="1" t="s">
        <v>21</v>
      </c>
      <c r="G542" s="1" t="s">
        <v>5418</v>
      </c>
      <c r="H542" s="5">
        <f t="shared" si="2"/>
        <v>0.0522</v>
      </c>
      <c r="I542" s="1" t="s">
        <v>5419</v>
      </c>
      <c r="J542" s="1">
        <f t="shared" si="3"/>
        <v>27.388981</v>
      </c>
      <c r="K542" s="1" t="s">
        <v>5420</v>
      </c>
      <c r="L542" s="5">
        <f t="shared" si="4"/>
        <v>0.0261</v>
      </c>
      <c r="M542" s="6" t="s">
        <v>5064</v>
      </c>
      <c r="N542" s="5">
        <f t="shared" si="5"/>
        <v>39</v>
      </c>
    </row>
    <row r="543">
      <c r="A543" s="6" t="s">
        <v>5010</v>
      </c>
      <c r="B543" s="6" t="s">
        <v>557</v>
      </c>
      <c r="C543" s="5">
        <f t="shared" si="1"/>
        <v>10</v>
      </c>
      <c r="D543" s="1" t="s">
        <v>116</v>
      </c>
      <c r="E543" s="1" t="s">
        <v>1851</v>
      </c>
      <c r="F543" s="1" t="s">
        <v>17</v>
      </c>
      <c r="G543" s="6" t="s">
        <v>6487</v>
      </c>
      <c r="H543" s="5">
        <f t="shared" si="2"/>
        <v>4.2663</v>
      </c>
      <c r="I543" s="1" t="s">
        <v>5421</v>
      </c>
      <c r="J543" s="1">
        <f t="shared" si="3"/>
        <v>271.082675</v>
      </c>
      <c r="K543" s="6" t="s">
        <v>6488</v>
      </c>
      <c r="L543" s="5">
        <f t="shared" si="4"/>
        <v>1.6425</v>
      </c>
      <c r="M543" s="6" t="s">
        <v>6489</v>
      </c>
      <c r="N543" s="5">
        <f t="shared" si="5"/>
        <v>1321</v>
      </c>
    </row>
    <row r="544">
      <c r="A544" s="6" t="s">
        <v>5010</v>
      </c>
      <c r="B544" s="6" t="s">
        <v>557</v>
      </c>
      <c r="C544" s="5">
        <f t="shared" si="1"/>
        <v>10</v>
      </c>
      <c r="D544" s="1" t="s">
        <v>116</v>
      </c>
      <c r="E544" s="1" t="s">
        <v>1851</v>
      </c>
      <c r="F544" s="1" t="s">
        <v>21</v>
      </c>
      <c r="G544" s="1" t="s">
        <v>5261</v>
      </c>
      <c r="H544" s="5">
        <f t="shared" si="2"/>
        <v>0.1046</v>
      </c>
      <c r="I544" s="1" t="s">
        <v>5422</v>
      </c>
      <c r="J544" s="1">
        <f t="shared" si="3"/>
        <v>13.200875</v>
      </c>
      <c r="K544" s="1" t="s">
        <v>5423</v>
      </c>
      <c r="L544" s="5">
        <f t="shared" si="4"/>
        <v>0.0513</v>
      </c>
      <c r="M544" s="6" t="s">
        <v>6490</v>
      </c>
      <c r="N544" s="5">
        <f t="shared" si="5"/>
        <v>69</v>
      </c>
    </row>
    <row r="545">
      <c r="A545" s="6" t="s">
        <v>5010</v>
      </c>
      <c r="B545" s="6" t="s">
        <v>557</v>
      </c>
      <c r="C545" s="5">
        <f t="shared" si="1"/>
        <v>10</v>
      </c>
      <c r="D545" s="1" t="s">
        <v>116</v>
      </c>
      <c r="E545" s="1" t="s">
        <v>42</v>
      </c>
      <c r="F545" s="1" t="s">
        <v>17</v>
      </c>
      <c r="G545" s="6" t="s">
        <v>6491</v>
      </c>
      <c r="H545" s="5">
        <f t="shared" si="2"/>
        <v>1.2193</v>
      </c>
      <c r="I545" s="1" t="s">
        <v>5424</v>
      </c>
      <c r="J545" s="1">
        <f t="shared" si="3"/>
        <v>243.123197</v>
      </c>
      <c r="K545" s="1" t="s">
        <v>3999</v>
      </c>
      <c r="L545" s="5">
        <f t="shared" si="4"/>
        <v>0.4511</v>
      </c>
      <c r="M545" s="6" t="s">
        <v>291</v>
      </c>
      <c r="N545" s="5">
        <f t="shared" si="5"/>
        <v>0</v>
      </c>
    </row>
    <row r="546">
      <c r="A546" s="6" t="s">
        <v>5010</v>
      </c>
      <c r="B546" s="6" t="s">
        <v>557</v>
      </c>
      <c r="C546" s="5">
        <f t="shared" si="1"/>
        <v>10</v>
      </c>
      <c r="D546" s="1" t="s">
        <v>116</v>
      </c>
      <c r="E546" s="1" t="s">
        <v>165</v>
      </c>
      <c r="F546" s="1" t="s">
        <v>39</v>
      </c>
      <c r="G546" s="1" t="s">
        <v>5425</v>
      </c>
      <c r="H546" s="5">
        <f t="shared" si="2"/>
        <v>0.2158</v>
      </c>
      <c r="I546" s="1" t="s">
        <v>5426</v>
      </c>
      <c r="J546" s="1">
        <f t="shared" si="3"/>
        <v>60.715272</v>
      </c>
      <c r="K546" s="1" t="s">
        <v>5427</v>
      </c>
      <c r="L546" s="5">
        <f t="shared" si="4"/>
        <v>0.0389</v>
      </c>
      <c r="M546" s="6" t="s">
        <v>291</v>
      </c>
      <c r="N546" s="5">
        <f t="shared" si="5"/>
        <v>0</v>
      </c>
    </row>
    <row r="547">
      <c r="A547" s="6" t="s">
        <v>5010</v>
      </c>
      <c r="B547" s="6" t="s">
        <v>557</v>
      </c>
      <c r="C547" s="5">
        <f t="shared" si="1"/>
        <v>10</v>
      </c>
      <c r="D547" s="1" t="s">
        <v>116</v>
      </c>
      <c r="E547" s="1" t="s">
        <v>165</v>
      </c>
      <c r="F547" s="1" t="s">
        <v>17</v>
      </c>
      <c r="G547" s="1" t="s">
        <v>5428</v>
      </c>
      <c r="H547" s="5">
        <f t="shared" si="2"/>
        <v>0.4922</v>
      </c>
      <c r="I547" s="1" t="s">
        <v>5429</v>
      </c>
      <c r="J547" s="1">
        <f t="shared" si="3"/>
        <v>143.892056</v>
      </c>
      <c r="K547" s="1" t="s">
        <v>5430</v>
      </c>
      <c r="L547" s="5">
        <f t="shared" si="4"/>
        <v>0.1722</v>
      </c>
      <c r="M547" s="6" t="s">
        <v>291</v>
      </c>
      <c r="N547" s="5">
        <f t="shared" si="5"/>
        <v>0</v>
      </c>
    </row>
    <row r="548">
      <c r="A548" s="6" t="s">
        <v>5010</v>
      </c>
      <c r="B548" s="6" t="s">
        <v>2591</v>
      </c>
      <c r="C548" s="5">
        <f t="shared" si="1"/>
        <v>11</v>
      </c>
      <c r="D548" s="1" t="s">
        <v>12</v>
      </c>
      <c r="E548" s="1" t="s">
        <v>29</v>
      </c>
      <c r="F548" s="1" t="s">
        <v>14</v>
      </c>
      <c r="G548" s="1" t="s">
        <v>5431</v>
      </c>
      <c r="H548" s="5">
        <f t="shared" si="2"/>
        <v>0.1601</v>
      </c>
      <c r="I548" s="1" t="s">
        <v>5432</v>
      </c>
      <c r="J548" s="1">
        <f t="shared" si="3"/>
        <v>16.871048</v>
      </c>
      <c r="K548" s="1" t="s">
        <v>5433</v>
      </c>
      <c r="L548" s="5">
        <f t="shared" si="4"/>
        <v>0.032</v>
      </c>
      <c r="M548" s="6" t="s">
        <v>4500</v>
      </c>
      <c r="N548" s="5">
        <f t="shared" si="5"/>
        <v>15</v>
      </c>
    </row>
    <row r="549">
      <c r="A549" s="6" t="s">
        <v>5010</v>
      </c>
      <c r="B549" s="6" t="s">
        <v>2591</v>
      </c>
      <c r="C549" s="5">
        <f t="shared" si="1"/>
        <v>11</v>
      </c>
      <c r="D549" s="1" t="s">
        <v>12</v>
      </c>
      <c r="E549" s="1" t="s">
        <v>29</v>
      </c>
      <c r="F549" s="1" t="s">
        <v>21</v>
      </c>
      <c r="G549" s="1" t="s">
        <v>5434</v>
      </c>
      <c r="H549" s="5">
        <f t="shared" si="2"/>
        <v>52.8388</v>
      </c>
      <c r="I549" s="1" t="s">
        <v>5435</v>
      </c>
      <c r="J549" s="1">
        <f t="shared" si="3"/>
        <v>9408.441847</v>
      </c>
      <c r="K549" s="1" t="s">
        <v>5436</v>
      </c>
      <c r="L549" s="5">
        <f t="shared" si="4"/>
        <v>21.1356</v>
      </c>
      <c r="M549" s="6" t="s">
        <v>4615</v>
      </c>
      <c r="N549" s="5">
        <f t="shared" si="5"/>
        <v>641</v>
      </c>
    </row>
    <row r="550">
      <c r="A550" s="6" t="s">
        <v>5010</v>
      </c>
      <c r="B550" s="6" t="s">
        <v>2591</v>
      </c>
      <c r="C550" s="5">
        <f t="shared" si="1"/>
        <v>11</v>
      </c>
      <c r="D550" s="1" t="s">
        <v>12</v>
      </c>
      <c r="E550" s="1" t="s">
        <v>13</v>
      </c>
      <c r="F550" s="1" t="s">
        <v>14</v>
      </c>
      <c r="G550" s="6" t="s">
        <v>5437</v>
      </c>
      <c r="H550" s="5">
        <f t="shared" si="2"/>
        <v>6.0646</v>
      </c>
      <c r="I550" s="1" t="s">
        <v>5438</v>
      </c>
      <c r="J550" s="1">
        <f t="shared" si="3"/>
        <v>496.745959</v>
      </c>
      <c r="K550" s="6" t="s">
        <v>6492</v>
      </c>
      <c r="L550" s="5">
        <f t="shared" si="4"/>
        <v>1.2735</v>
      </c>
      <c r="M550" s="6" t="s">
        <v>6086</v>
      </c>
      <c r="N550" s="5">
        <f t="shared" si="5"/>
        <v>408</v>
      </c>
    </row>
    <row r="551">
      <c r="A551" s="6" t="s">
        <v>5010</v>
      </c>
      <c r="B551" s="6" t="s">
        <v>2591</v>
      </c>
      <c r="C551" s="5">
        <f t="shared" si="1"/>
        <v>11</v>
      </c>
      <c r="D551" s="1" t="s">
        <v>12</v>
      </c>
      <c r="E551" s="1" t="s">
        <v>13</v>
      </c>
      <c r="F551" s="1" t="s">
        <v>17</v>
      </c>
      <c r="G551" s="1" t="s">
        <v>5439</v>
      </c>
      <c r="H551" s="5">
        <f t="shared" si="2"/>
        <v>49.6322</v>
      </c>
      <c r="I551" s="1" t="s">
        <v>5440</v>
      </c>
      <c r="J551" s="1">
        <f t="shared" si="3"/>
        <v>4540.566278</v>
      </c>
      <c r="K551" s="1" t="s">
        <v>5442</v>
      </c>
      <c r="L551" s="5">
        <f t="shared" si="4"/>
        <v>17.3713</v>
      </c>
      <c r="M551" s="6" t="s">
        <v>6090</v>
      </c>
      <c r="N551" s="5">
        <f t="shared" si="5"/>
        <v>623</v>
      </c>
    </row>
    <row r="552">
      <c r="A552" s="6" t="s">
        <v>5010</v>
      </c>
      <c r="B552" s="6" t="s">
        <v>2591</v>
      </c>
      <c r="C552" s="5">
        <f t="shared" si="1"/>
        <v>11</v>
      </c>
      <c r="D552" s="1" t="s">
        <v>12</v>
      </c>
      <c r="E552" s="1" t="s">
        <v>13</v>
      </c>
      <c r="F552" s="1" t="s">
        <v>21</v>
      </c>
      <c r="G552" s="1" t="s">
        <v>5443</v>
      </c>
      <c r="H552" s="5">
        <f t="shared" si="2"/>
        <v>27.4366</v>
      </c>
      <c r="I552" s="1" t="s">
        <v>5444</v>
      </c>
      <c r="J552" s="1">
        <f t="shared" si="3"/>
        <v>3393.635887</v>
      </c>
      <c r="K552" s="1" t="s">
        <v>5445</v>
      </c>
      <c r="L552" s="5">
        <f t="shared" si="4"/>
        <v>13.7086</v>
      </c>
      <c r="M552" s="6" t="s">
        <v>6493</v>
      </c>
      <c r="N552" s="5">
        <f t="shared" si="5"/>
        <v>530</v>
      </c>
    </row>
    <row r="553">
      <c r="A553" s="6" t="s">
        <v>5010</v>
      </c>
      <c r="B553" s="6" t="s">
        <v>2591</v>
      </c>
      <c r="C553" s="5">
        <f t="shared" si="1"/>
        <v>11</v>
      </c>
      <c r="D553" s="1" t="s">
        <v>12</v>
      </c>
      <c r="E553" s="1" t="s">
        <v>48</v>
      </c>
      <c r="F553" s="1" t="s">
        <v>49</v>
      </c>
      <c r="G553" s="1" t="s">
        <v>396</v>
      </c>
      <c r="H553" s="5">
        <f t="shared" si="2"/>
        <v>0.0027</v>
      </c>
      <c r="I553" s="1" t="s">
        <v>5447</v>
      </c>
      <c r="J553" s="1">
        <f t="shared" si="3"/>
        <v>0.748993</v>
      </c>
      <c r="K553" s="1" t="s">
        <v>414</v>
      </c>
      <c r="L553" s="5">
        <f t="shared" si="4"/>
        <v>0.0007</v>
      </c>
      <c r="M553" s="6" t="s">
        <v>2677</v>
      </c>
      <c r="N553" s="5">
        <f t="shared" si="5"/>
        <v>3</v>
      </c>
    </row>
    <row r="554">
      <c r="A554" s="6" t="s">
        <v>5010</v>
      </c>
      <c r="B554" s="6" t="s">
        <v>2591</v>
      </c>
      <c r="C554" s="5">
        <f t="shared" si="1"/>
        <v>11</v>
      </c>
      <c r="D554" s="1" t="s">
        <v>12</v>
      </c>
      <c r="E554" s="1" t="s">
        <v>48</v>
      </c>
      <c r="F554" s="1" t="s">
        <v>21</v>
      </c>
      <c r="G554" s="6" t="s">
        <v>6494</v>
      </c>
      <c r="H554" s="5">
        <f t="shared" si="2"/>
        <v>1.9312</v>
      </c>
      <c r="I554" s="1" t="s">
        <v>5448</v>
      </c>
      <c r="J554" s="1">
        <f t="shared" si="3"/>
        <v>324.043187</v>
      </c>
      <c r="K554" s="1" t="s">
        <v>5450</v>
      </c>
      <c r="L554" s="5">
        <f t="shared" si="4"/>
        <v>0.7725</v>
      </c>
      <c r="M554" s="6" t="s">
        <v>4584</v>
      </c>
      <c r="N554" s="5">
        <f t="shared" si="5"/>
        <v>163</v>
      </c>
    </row>
    <row r="555">
      <c r="A555" s="6" t="s">
        <v>5010</v>
      </c>
      <c r="B555" s="6" t="s">
        <v>2591</v>
      </c>
      <c r="C555" s="5">
        <f t="shared" si="1"/>
        <v>11</v>
      </c>
      <c r="D555" s="1" t="s">
        <v>12</v>
      </c>
      <c r="E555" s="1" t="s">
        <v>38</v>
      </c>
      <c r="F555" s="1" t="s">
        <v>39</v>
      </c>
      <c r="G555" s="6" t="s">
        <v>6495</v>
      </c>
      <c r="H555" s="5">
        <f t="shared" si="2"/>
        <v>2.2651</v>
      </c>
      <c r="I555" s="1" t="s">
        <v>5451</v>
      </c>
      <c r="J555" s="1">
        <f t="shared" si="3"/>
        <v>272.690067</v>
      </c>
      <c r="K555" s="1" t="s">
        <v>5452</v>
      </c>
      <c r="L555" s="5">
        <f t="shared" si="4"/>
        <v>0.4077</v>
      </c>
      <c r="M555" s="6" t="s">
        <v>6091</v>
      </c>
      <c r="N555" s="5">
        <f t="shared" si="5"/>
        <v>134</v>
      </c>
    </row>
    <row r="556">
      <c r="A556" s="6" t="s">
        <v>5010</v>
      </c>
      <c r="B556" s="6" t="s">
        <v>2591</v>
      </c>
      <c r="C556" s="5">
        <f t="shared" si="1"/>
        <v>11</v>
      </c>
      <c r="D556" s="1" t="s">
        <v>12</v>
      </c>
      <c r="E556" s="1" t="s">
        <v>45</v>
      </c>
      <c r="F556" s="1" t="s">
        <v>49</v>
      </c>
      <c r="G556" s="1" t="s">
        <v>5453</v>
      </c>
      <c r="H556" s="5">
        <f t="shared" si="2"/>
        <v>0.0347</v>
      </c>
      <c r="I556" s="1" t="s">
        <v>5454</v>
      </c>
      <c r="J556" s="1">
        <f t="shared" si="3"/>
        <v>2.105549</v>
      </c>
      <c r="K556" s="1" t="s">
        <v>4423</v>
      </c>
      <c r="L556" s="5">
        <f t="shared" si="4"/>
        <v>0.009</v>
      </c>
      <c r="M556" s="6" t="s">
        <v>3552</v>
      </c>
      <c r="N556" s="5">
        <f t="shared" si="5"/>
        <v>5</v>
      </c>
    </row>
    <row r="557">
      <c r="A557" s="6" t="s">
        <v>5010</v>
      </c>
      <c r="B557" s="6" t="s">
        <v>2591</v>
      </c>
      <c r="C557" s="5">
        <f t="shared" si="1"/>
        <v>11</v>
      </c>
      <c r="D557" s="1" t="s">
        <v>12</v>
      </c>
      <c r="E557" s="1" t="s">
        <v>45</v>
      </c>
      <c r="F557" s="1" t="s">
        <v>17</v>
      </c>
      <c r="G557" s="6" t="s">
        <v>6496</v>
      </c>
      <c r="H557" s="5">
        <f t="shared" si="2"/>
        <v>1.9806</v>
      </c>
      <c r="I557" s="1" t="s">
        <v>5455</v>
      </c>
      <c r="J557" s="1">
        <f t="shared" si="3"/>
        <v>150.151548</v>
      </c>
      <c r="K557" s="1" t="s">
        <v>5457</v>
      </c>
      <c r="L557" s="5">
        <f t="shared" si="4"/>
        <v>0.713</v>
      </c>
      <c r="M557" s="6" t="s">
        <v>3481</v>
      </c>
      <c r="N557" s="5">
        <f t="shared" si="5"/>
        <v>158</v>
      </c>
    </row>
    <row r="558">
      <c r="A558" s="6" t="s">
        <v>5010</v>
      </c>
      <c r="B558" s="6" t="s">
        <v>2591</v>
      </c>
      <c r="C558" s="5">
        <f t="shared" si="1"/>
        <v>11</v>
      </c>
      <c r="D558" s="1" t="s">
        <v>12</v>
      </c>
      <c r="E558" s="1" t="s">
        <v>3962</v>
      </c>
      <c r="F558" s="1" t="s">
        <v>17</v>
      </c>
      <c r="G558" s="6" t="s">
        <v>5458</v>
      </c>
      <c r="H558" s="5">
        <f t="shared" si="2"/>
        <v>1.1889</v>
      </c>
      <c r="I558" s="1" t="s">
        <v>5459</v>
      </c>
      <c r="J558" s="1">
        <f t="shared" si="3"/>
        <v>106.11928</v>
      </c>
      <c r="K558" s="1" t="s">
        <v>5460</v>
      </c>
      <c r="L558" s="5">
        <f t="shared" si="4"/>
        <v>0.4161</v>
      </c>
      <c r="M558" s="6" t="s">
        <v>2709</v>
      </c>
      <c r="N558" s="5">
        <f t="shared" si="5"/>
        <v>114</v>
      </c>
    </row>
    <row r="559">
      <c r="A559" s="6" t="s">
        <v>5010</v>
      </c>
      <c r="B559" s="6" t="s">
        <v>2591</v>
      </c>
      <c r="C559" s="5">
        <f t="shared" si="1"/>
        <v>11</v>
      </c>
      <c r="D559" s="1" t="s">
        <v>12</v>
      </c>
      <c r="E559" s="1" t="s">
        <v>4127</v>
      </c>
      <c r="F559" s="1" t="s">
        <v>17</v>
      </c>
      <c r="G559" s="6" t="s">
        <v>5461</v>
      </c>
      <c r="H559" s="5">
        <f t="shared" si="2"/>
        <v>1.0639</v>
      </c>
      <c r="I559" s="1" t="s">
        <v>5462</v>
      </c>
      <c r="J559" s="1">
        <f t="shared" si="3"/>
        <v>88.332611</v>
      </c>
      <c r="K559" s="1" t="s">
        <v>5463</v>
      </c>
      <c r="L559" s="5">
        <f t="shared" si="4"/>
        <v>0.3724</v>
      </c>
      <c r="M559" s="6" t="s">
        <v>6497</v>
      </c>
      <c r="N559" s="5">
        <f t="shared" si="5"/>
        <v>76</v>
      </c>
    </row>
    <row r="560">
      <c r="A560" s="6" t="s">
        <v>5010</v>
      </c>
      <c r="B560" s="6" t="s">
        <v>2591</v>
      </c>
      <c r="C560" s="5">
        <f t="shared" si="1"/>
        <v>11</v>
      </c>
      <c r="D560" s="1" t="s">
        <v>12</v>
      </c>
      <c r="E560" s="1" t="s">
        <v>42</v>
      </c>
      <c r="F560" s="1" t="s">
        <v>17</v>
      </c>
      <c r="G560" s="1" t="s">
        <v>2884</v>
      </c>
      <c r="H560" s="5">
        <f t="shared" si="2"/>
        <v>0.3897</v>
      </c>
      <c r="I560" s="1" t="s">
        <v>5465</v>
      </c>
      <c r="J560" s="1">
        <f t="shared" si="3"/>
        <v>64.83573</v>
      </c>
      <c r="K560" s="1" t="s">
        <v>5466</v>
      </c>
      <c r="L560" s="5">
        <f t="shared" si="4"/>
        <v>0.1442</v>
      </c>
      <c r="M560" s="6" t="s">
        <v>3557</v>
      </c>
      <c r="N560" s="5">
        <f t="shared" si="5"/>
        <v>22</v>
      </c>
    </row>
    <row r="561">
      <c r="A561" s="6" t="s">
        <v>5010</v>
      </c>
      <c r="B561" s="6" t="s">
        <v>2591</v>
      </c>
      <c r="C561" s="5">
        <f t="shared" si="1"/>
        <v>11</v>
      </c>
      <c r="D561" s="1" t="s">
        <v>12</v>
      </c>
      <c r="E561" s="1" t="s">
        <v>1851</v>
      </c>
      <c r="F561" s="1" t="s">
        <v>17</v>
      </c>
      <c r="G561" s="1" t="s">
        <v>5467</v>
      </c>
      <c r="H561" s="5">
        <f t="shared" si="2"/>
        <v>0.5391</v>
      </c>
      <c r="I561" s="1" t="s">
        <v>5468</v>
      </c>
      <c r="J561" s="1">
        <f t="shared" si="3"/>
        <v>49.349484</v>
      </c>
      <c r="K561" s="1" t="s">
        <v>5469</v>
      </c>
      <c r="L561" s="5">
        <f t="shared" si="4"/>
        <v>0.2075</v>
      </c>
      <c r="M561" s="6" t="s">
        <v>6228</v>
      </c>
      <c r="N561" s="5">
        <f t="shared" si="5"/>
        <v>139</v>
      </c>
    </row>
    <row r="562">
      <c r="A562" s="6" t="s">
        <v>5010</v>
      </c>
      <c r="B562" s="6" t="s">
        <v>2591</v>
      </c>
      <c r="C562" s="5">
        <f t="shared" si="1"/>
        <v>11</v>
      </c>
      <c r="D562" s="1" t="s">
        <v>12</v>
      </c>
      <c r="E562" s="1" t="s">
        <v>4955</v>
      </c>
      <c r="F562" s="1" t="s">
        <v>49</v>
      </c>
      <c r="G562" s="6" t="s">
        <v>6498</v>
      </c>
      <c r="H562" s="5">
        <f t="shared" si="2"/>
        <v>1.3555</v>
      </c>
      <c r="I562" s="1" t="s">
        <v>5470</v>
      </c>
      <c r="J562" s="1">
        <f t="shared" si="3"/>
        <v>43.21783</v>
      </c>
      <c r="K562" s="1" t="s">
        <v>5471</v>
      </c>
      <c r="L562" s="5">
        <f t="shared" si="4"/>
        <v>0.3389</v>
      </c>
      <c r="M562" s="6" t="s">
        <v>291</v>
      </c>
      <c r="N562" s="5">
        <f t="shared" si="5"/>
        <v>0</v>
      </c>
    </row>
    <row r="563">
      <c r="A563" s="6" t="s">
        <v>5010</v>
      </c>
      <c r="B563" s="6" t="s">
        <v>2591</v>
      </c>
      <c r="C563" s="5">
        <f t="shared" si="1"/>
        <v>11</v>
      </c>
      <c r="D563" s="1" t="s">
        <v>68</v>
      </c>
      <c r="E563" s="1" t="s">
        <v>13</v>
      </c>
      <c r="F563" s="1" t="s">
        <v>14</v>
      </c>
      <c r="G563" s="1" t="s">
        <v>5473</v>
      </c>
      <c r="H563" s="5">
        <f t="shared" si="2"/>
        <v>15.3058</v>
      </c>
      <c r="I563" s="1" t="s">
        <v>5474</v>
      </c>
      <c r="J563" s="1">
        <f t="shared" si="3"/>
        <v>1228.08464</v>
      </c>
      <c r="K563" s="6" t="s">
        <v>6499</v>
      </c>
      <c r="L563" s="5">
        <f t="shared" si="4"/>
        <v>3.2142</v>
      </c>
      <c r="M563" s="6" t="s">
        <v>6500</v>
      </c>
      <c r="N563" s="5">
        <f t="shared" si="5"/>
        <v>2865</v>
      </c>
    </row>
    <row r="564">
      <c r="A564" s="6" t="s">
        <v>5010</v>
      </c>
      <c r="B564" s="6" t="s">
        <v>2591</v>
      </c>
      <c r="C564" s="5">
        <f t="shared" si="1"/>
        <v>11</v>
      </c>
      <c r="D564" s="1" t="s">
        <v>68</v>
      </c>
      <c r="E564" s="1" t="s">
        <v>13</v>
      </c>
      <c r="F564" s="1" t="s">
        <v>17</v>
      </c>
      <c r="G564" s="1" t="s">
        <v>5475</v>
      </c>
      <c r="H564" s="5">
        <f t="shared" si="2"/>
        <v>33.4998</v>
      </c>
      <c r="I564" s="1" t="s">
        <v>5476</v>
      </c>
      <c r="J564" s="1">
        <f t="shared" si="3"/>
        <v>4286.652432</v>
      </c>
      <c r="K564" s="6" t="s">
        <v>6501</v>
      </c>
      <c r="L564" s="5">
        <f t="shared" si="4"/>
        <v>11.7249</v>
      </c>
      <c r="M564" s="6" t="s">
        <v>6502</v>
      </c>
      <c r="N564" s="5">
        <f t="shared" si="5"/>
        <v>8472</v>
      </c>
    </row>
    <row r="565">
      <c r="A565" s="6" t="s">
        <v>5010</v>
      </c>
      <c r="B565" s="6" t="s">
        <v>2591</v>
      </c>
      <c r="C565" s="5">
        <f t="shared" si="1"/>
        <v>11</v>
      </c>
      <c r="D565" s="1" t="s">
        <v>68</v>
      </c>
      <c r="E565" s="1" t="s">
        <v>13</v>
      </c>
      <c r="F565" s="1" t="s">
        <v>21</v>
      </c>
      <c r="G565" s="6" t="s">
        <v>2672</v>
      </c>
      <c r="H565" s="5">
        <f t="shared" si="2"/>
        <v>8</v>
      </c>
      <c r="I565" s="1" t="s">
        <v>5477</v>
      </c>
      <c r="J565" s="1">
        <f t="shared" si="3"/>
        <v>1120.362013</v>
      </c>
      <c r="K565" s="1" t="s">
        <v>5478</v>
      </c>
      <c r="L565" s="5">
        <f t="shared" si="4"/>
        <v>3.94</v>
      </c>
      <c r="M565" s="6" t="s">
        <v>6503</v>
      </c>
      <c r="N565" s="5">
        <f t="shared" si="5"/>
        <v>3215</v>
      </c>
    </row>
    <row r="566">
      <c r="A566" s="6" t="s">
        <v>5010</v>
      </c>
      <c r="B566" s="6" t="s">
        <v>2591</v>
      </c>
      <c r="C566" s="5">
        <f t="shared" si="1"/>
        <v>11</v>
      </c>
      <c r="D566" s="1" t="s">
        <v>68</v>
      </c>
      <c r="E566" s="1" t="s">
        <v>29</v>
      </c>
      <c r="F566" s="1" t="s">
        <v>14</v>
      </c>
      <c r="G566" s="1" t="s">
        <v>4036</v>
      </c>
      <c r="H566" s="5">
        <f t="shared" si="2"/>
        <v>0.7257</v>
      </c>
      <c r="I566" s="1" t="s">
        <v>5479</v>
      </c>
      <c r="J566" s="1">
        <f t="shared" si="3"/>
        <v>88.458725</v>
      </c>
      <c r="K566" s="1" t="s">
        <v>5480</v>
      </c>
      <c r="L566" s="5">
        <f t="shared" si="4"/>
        <v>0.1451</v>
      </c>
      <c r="M566" s="6" t="s">
        <v>6504</v>
      </c>
      <c r="N566" s="5">
        <f t="shared" si="5"/>
        <v>211</v>
      </c>
    </row>
    <row r="567">
      <c r="A567" s="6" t="s">
        <v>5010</v>
      </c>
      <c r="B567" s="6" t="s">
        <v>2591</v>
      </c>
      <c r="C567" s="5">
        <f t="shared" si="1"/>
        <v>11</v>
      </c>
      <c r="D567" s="1" t="s">
        <v>68</v>
      </c>
      <c r="E567" s="1" t="s">
        <v>29</v>
      </c>
      <c r="F567" s="1" t="s">
        <v>21</v>
      </c>
      <c r="G567" s="1" t="s">
        <v>5481</v>
      </c>
      <c r="H567" s="5">
        <f t="shared" si="2"/>
        <v>16.7315</v>
      </c>
      <c r="I567" s="1" t="s">
        <v>5482</v>
      </c>
      <c r="J567" s="1">
        <f t="shared" si="3"/>
        <v>2785.755125</v>
      </c>
      <c r="K567" s="6" t="s">
        <v>6505</v>
      </c>
      <c r="L567" s="5">
        <f t="shared" si="4"/>
        <v>6.6926</v>
      </c>
      <c r="M567" s="6" t="s">
        <v>6506</v>
      </c>
      <c r="N567" s="5">
        <f t="shared" si="5"/>
        <v>2672</v>
      </c>
    </row>
    <row r="568">
      <c r="A568" s="6" t="s">
        <v>5010</v>
      </c>
      <c r="B568" s="6" t="s">
        <v>2591</v>
      </c>
      <c r="C568" s="5">
        <f t="shared" si="1"/>
        <v>11</v>
      </c>
      <c r="D568" s="1" t="s">
        <v>68</v>
      </c>
      <c r="E568" s="1" t="s">
        <v>45</v>
      </c>
      <c r="F568" s="1" t="s">
        <v>49</v>
      </c>
      <c r="G568" s="1" t="s">
        <v>5483</v>
      </c>
      <c r="H568" s="5">
        <f t="shared" si="2"/>
        <v>0.9453</v>
      </c>
      <c r="I568" s="1" t="s">
        <v>5484</v>
      </c>
      <c r="J568" s="1">
        <f t="shared" si="3"/>
        <v>61.275691</v>
      </c>
      <c r="K568" s="1" t="s">
        <v>953</v>
      </c>
      <c r="L568" s="5">
        <f t="shared" si="4"/>
        <v>0.2457</v>
      </c>
      <c r="M568" s="6" t="s">
        <v>6507</v>
      </c>
      <c r="N568" s="5">
        <f t="shared" si="5"/>
        <v>143</v>
      </c>
    </row>
    <row r="569">
      <c r="A569" s="6" t="s">
        <v>5010</v>
      </c>
      <c r="B569" s="6" t="s">
        <v>2591</v>
      </c>
      <c r="C569" s="5">
        <f t="shared" si="1"/>
        <v>11</v>
      </c>
      <c r="D569" s="1" t="s">
        <v>68</v>
      </c>
      <c r="E569" s="1" t="s">
        <v>45</v>
      </c>
      <c r="F569" s="1" t="s">
        <v>17</v>
      </c>
      <c r="G569" s="6" t="s">
        <v>6508</v>
      </c>
      <c r="H569" s="5">
        <f t="shared" si="2"/>
        <v>10.4442</v>
      </c>
      <c r="I569" s="1" t="s">
        <v>5486</v>
      </c>
      <c r="J569" s="1">
        <f t="shared" si="3"/>
        <v>688.064093</v>
      </c>
      <c r="K569" s="1" t="s">
        <v>5487</v>
      </c>
      <c r="L569" s="5">
        <f t="shared" si="4"/>
        <v>3.76</v>
      </c>
      <c r="M569" s="6" t="s">
        <v>4735</v>
      </c>
      <c r="N569" s="5">
        <f t="shared" si="5"/>
        <v>1374</v>
      </c>
    </row>
    <row r="570">
      <c r="A570" s="6" t="s">
        <v>5010</v>
      </c>
      <c r="B570" s="6" t="s">
        <v>2591</v>
      </c>
      <c r="C570" s="5">
        <f t="shared" si="1"/>
        <v>11</v>
      </c>
      <c r="D570" s="1" t="s">
        <v>68</v>
      </c>
      <c r="E570" s="1" t="s">
        <v>3962</v>
      </c>
      <c r="F570" s="1" t="s">
        <v>17</v>
      </c>
      <c r="G570" s="6" t="s">
        <v>6509</v>
      </c>
      <c r="H570" s="5">
        <f t="shared" si="2"/>
        <v>2.7107</v>
      </c>
      <c r="I570" s="1" t="s">
        <v>5489</v>
      </c>
      <c r="J570" s="1">
        <f t="shared" si="3"/>
        <v>224.938493</v>
      </c>
      <c r="K570" s="1" t="s">
        <v>5490</v>
      </c>
      <c r="L570" s="5">
        <f t="shared" si="4"/>
        <v>0.9488</v>
      </c>
      <c r="M570" s="6" t="s">
        <v>6510</v>
      </c>
      <c r="N570" s="5">
        <f t="shared" si="5"/>
        <v>820</v>
      </c>
    </row>
    <row r="571">
      <c r="A571" s="6" t="s">
        <v>5010</v>
      </c>
      <c r="B571" s="6" t="s">
        <v>2591</v>
      </c>
      <c r="C571" s="5">
        <f t="shared" si="1"/>
        <v>11</v>
      </c>
      <c r="D571" s="1" t="s">
        <v>68</v>
      </c>
      <c r="E571" s="1" t="s">
        <v>38</v>
      </c>
      <c r="F571" s="1" t="s">
        <v>39</v>
      </c>
      <c r="G571" s="6" t="s">
        <v>6511</v>
      </c>
      <c r="H571" s="5">
        <f t="shared" si="2"/>
        <v>2.4806</v>
      </c>
      <c r="I571" s="1" t="s">
        <v>5491</v>
      </c>
      <c r="J571" s="1">
        <f t="shared" si="3"/>
        <v>168.139456</v>
      </c>
      <c r="K571" s="1" t="s">
        <v>5492</v>
      </c>
      <c r="L571" s="5">
        <f t="shared" si="4"/>
        <v>0.4465</v>
      </c>
      <c r="M571" s="6" t="s">
        <v>6512</v>
      </c>
      <c r="N571" s="5">
        <f t="shared" si="5"/>
        <v>1008</v>
      </c>
    </row>
    <row r="572">
      <c r="A572" s="6" t="s">
        <v>5010</v>
      </c>
      <c r="B572" s="6" t="s">
        <v>2591</v>
      </c>
      <c r="C572" s="5">
        <f t="shared" si="1"/>
        <v>11</v>
      </c>
      <c r="D572" s="1" t="s">
        <v>68</v>
      </c>
      <c r="E572" s="1" t="s">
        <v>42</v>
      </c>
      <c r="F572" s="1" t="s">
        <v>17</v>
      </c>
      <c r="G572" s="1" t="s">
        <v>5493</v>
      </c>
      <c r="H572" s="5">
        <f t="shared" si="2"/>
        <v>0.6578</v>
      </c>
      <c r="I572" s="1" t="s">
        <v>5494</v>
      </c>
      <c r="J572" s="1">
        <f t="shared" si="3"/>
        <v>138.358881</v>
      </c>
      <c r="K572" s="1" t="s">
        <v>5496</v>
      </c>
      <c r="L572" s="5">
        <f t="shared" si="4"/>
        <v>0.2433</v>
      </c>
      <c r="M572" s="6" t="s">
        <v>291</v>
      </c>
      <c r="N572" s="5">
        <f t="shared" si="5"/>
        <v>0</v>
      </c>
    </row>
    <row r="573">
      <c r="A573" s="6" t="s">
        <v>5010</v>
      </c>
      <c r="B573" s="6" t="s">
        <v>2591</v>
      </c>
      <c r="C573" s="5">
        <f t="shared" si="1"/>
        <v>11</v>
      </c>
      <c r="D573" s="1" t="s">
        <v>68</v>
      </c>
      <c r="E573" s="1" t="s">
        <v>48</v>
      </c>
      <c r="F573" s="1" t="s">
        <v>49</v>
      </c>
      <c r="G573" s="1" t="s">
        <v>1056</v>
      </c>
      <c r="H573" s="5">
        <f t="shared" si="2"/>
        <v>0.0014</v>
      </c>
      <c r="I573" s="1" t="s">
        <v>5497</v>
      </c>
      <c r="J573" s="1">
        <f t="shared" si="3"/>
        <v>0.849911</v>
      </c>
      <c r="K573" s="1" t="s">
        <v>75</v>
      </c>
      <c r="L573" s="5">
        <f t="shared" si="4"/>
        <v>0.0004</v>
      </c>
      <c r="M573" s="6" t="s">
        <v>397</v>
      </c>
      <c r="N573" s="5">
        <f t="shared" si="5"/>
        <v>2</v>
      </c>
    </row>
    <row r="574">
      <c r="A574" s="6" t="s">
        <v>5010</v>
      </c>
      <c r="B574" s="6" t="s">
        <v>2591</v>
      </c>
      <c r="C574" s="5">
        <f t="shared" si="1"/>
        <v>11</v>
      </c>
      <c r="D574" s="1" t="s">
        <v>68</v>
      </c>
      <c r="E574" s="1" t="s">
        <v>48</v>
      </c>
      <c r="F574" s="1" t="s">
        <v>72</v>
      </c>
      <c r="G574" s="1" t="s">
        <v>414</v>
      </c>
      <c r="H574" s="5">
        <f t="shared" si="2"/>
        <v>0.0007</v>
      </c>
      <c r="I574" s="1" t="s">
        <v>5498</v>
      </c>
      <c r="J574" s="1">
        <f t="shared" si="3"/>
        <v>0.229419</v>
      </c>
      <c r="K574" s="1" t="s">
        <v>376</v>
      </c>
      <c r="L574" s="5">
        <f t="shared" si="4"/>
        <v>0.0002</v>
      </c>
      <c r="M574" s="6" t="s">
        <v>186</v>
      </c>
      <c r="N574" s="5">
        <f t="shared" si="5"/>
        <v>1</v>
      </c>
    </row>
    <row r="575">
      <c r="A575" s="6" t="s">
        <v>5010</v>
      </c>
      <c r="B575" s="6" t="s">
        <v>2591</v>
      </c>
      <c r="C575" s="5">
        <f t="shared" si="1"/>
        <v>11</v>
      </c>
      <c r="D575" s="1" t="s">
        <v>68</v>
      </c>
      <c r="E575" s="1" t="s">
        <v>48</v>
      </c>
      <c r="F575" s="1" t="s">
        <v>21</v>
      </c>
      <c r="G575" s="1" t="s">
        <v>4274</v>
      </c>
      <c r="H575" s="5">
        <f t="shared" si="2"/>
        <v>0.434</v>
      </c>
      <c r="I575" s="1" t="s">
        <v>5499</v>
      </c>
      <c r="J575" s="1">
        <f t="shared" si="3"/>
        <v>106.645087</v>
      </c>
      <c r="K575" s="1" t="s">
        <v>5500</v>
      </c>
      <c r="L575" s="5">
        <f t="shared" si="4"/>
        <v>0.1736</v>
      </c>
      <c r="M575" s="6" t="s">
        <v>2627</v>
      </c>
      <c r="N575" s="5">
        <f t="shared" si="5"/>
        <v>174</v>
      </c>
    </row>
    <row r="576">
      <c r="A576" s="6" t="s">
        <v>5010</v>
      </c>
      <c r="B576" s="6" t="s">
        <v>2591</v>
      </c>
      <c r="C576" s="5">
        <f t="shared" si="1"/>
        <v>11</v>
      </c>
      <c r="D576" s="1" t="s">
        <v>68</v>
      </c>
      <c r="E576" s="1" t="s">
        <v>5366</v>
      </c>
      <c r="F576" s="1" t="s">
        <v>17</v>
      </c>
      <c r="G576" s="6" t="s">
        <v>6519</v>
      </c>
      <c r="H576" s="5">
        <f t="shared" si="2"/>
        <v>1.3532</v>
      </c>
      <c r="I576" s="1" t="s">
        <v>5501</v>
      </c>
      <c r="J576" s="1">
        <f t="shared" si="3"/>
        <v>95.727793</v>
      </c>
      <c r="K576" s="1" t="s">
        <v>5502</v>
      </c>
      <c r="L576" s="5">
        <f t="shared" si="4"/>
        <v>0.4872</v>
      </c>
      <c r="M576" s="6" t="s">
        <v>6520</v>
      </c>
      <c r="N576" s="5">
        <f t="shared" si="5"/>
        <v>382</v>
      </c>
    </row>
    <row r="577">
      <c r="A577" s="6" t="s">
        <v>5010</v>
      </c>
      <c r="B577" s="6" t="s">
        <v>2591</v>
      </c>
      <c r="C577" s="5">
        <f t="shared" si="1"/>
        <v>11</v>
      </c>
      <c r="D577" s="1" t="s">
        <v>68</v>
      </c>
      <c r="E577" s="1" t="s">
        <v>4955</v>
      </c>
      <c r="F577" s="1" t="s">
        <v>49</v>
      </c>
      <c r="G577" s="6" t="s">
        <v>5504</v>
      </c>
      <c r="H577" s="5">
        <f t="shared" si="2"/>
        <v>1.0662</v>
      </c>
      <c r="I577" s="1" t="s">
        <v>5505</v>
      </c>
      <c r="J577" s="1">
        <f t="shared" si="3"/>
        <v>94.908582</v>
      </c>
      <c r="K577" s="1" t="s">
        <v>5506</v>
      </c>
      <c r="L577" s="5">
        <f t="shared" si="4"/>
        <v>0.2666</v>
      </c>
      <c r="M577" s="6" t="s">
        <v>6449</v>
      </c>
      <c r="N577" s="5">
        <f t="shared" si="5"/>
        <v>624</v>
      </c>
    </row>
    <row r="578">
      <c r="A578" s="6" t="s">
        <v>5010</v>
      </c>
      <c r="B578" s="6" t="s">
        <v>2591</v>
      </c>
      <c r="C578" s="5">
        <f t="shared" si="1"/>
        <v>11</v>
      </c>
      <c r="D578" s="1" t="s">
        <v>68</v>
      </c>
      <c r="E578" s="1" t="s">
        <v>2104</v>
      </c>
      <c r="F578" s="1" t="s">
        <v>17</v>
      </c>
      <c r="G578" s="6" t="s">
        <v>6521</v>
      </c>
      <c r="H578" s="5">
        <f t="shared" si="2"/>
        <v>1.5963</v>
      </c>
      <c r="I578" s="1" t="s">
        <v>5507</v>
      </c>
      <c r="J578" s="1">
        <f t="shared" si="3"/>
        <v>91.942844</v>
      </c>
      <c r="K578" s="1" t="s">
        <v>5508</v>
      </c>
      <c r="L578" s="5">
        <f t="shared" si="4"/>
        <v>0.5587</v>
      </c>
      <c r="M578" s="6" t="s">
        <v>4655</v>
      </c>
      <c r="N578" s="5">
        <f t="shared" si="5"/>
        <v>782</v>
      </c>
    </row>
    <row r="579">
      <c r="A579" s="6" t="s">
        <v>5010</v>
      </c>
      <c r="B579" s="6" t="s">
        <v>2591</v>
      </c>
      <c r="C579" s="5">
        <f t="shared" si="1"/>
        <v>11</v>
      </c>
      <c r="D579" s="1" t="s">
        <v>116</v>
      </c>
      <c r="E579" s="1" t="s">
        <v>13</v>
      </c>
      <c r="F579" s="1" t="s">
        <v>14</v>
      </c>
      <c r="G579" s="1" t="s">
        <v>5509</v>
      </c>
      <c r="H579" s="5">
        <f t="shared" si="2"/>
        <v>32.9255</v>
      </c>
      <c r="I579" s="1" t="s">
        <v>5510</v>
      </c>
      <c r="J579" s="1">
        <f t="shared" si="3"/>
        <v>2573.47519</v>
      </c>
      <c r="K579" s="6" t="s">
        <v>6522</v>
      </c>
      <c r="L579" s="5">
        <f t="shared" si="4"/>
        <v>6.9144</v>
      </c>
      <c r="M579" s="6" t="s">
        <v>6523</v>
      </c>
      <c r="N579" s="5">
        <f t="shared" si="5"/>
        <v>4883</v>
      </c>
    </row>
    <row r="580">
      <c r="A580" s="6" t="s">
        <v>5010</v>
      </c>
      <c r="B580" s="6" t="s">
        <v>2591</v>
      </c>
      <c r="C580" s="5">
        <f t="shared" si="1"/>
        <v>11</v>
      </c>
      <c r="D580" s="1" t="s">
        <v>116</v>
      </c>
      <c r="E580" s="1" t="s">
        <v>13</v>
      </c>
      <c r="F580" s="1" t="s">
        <v>17</v>
      </c>
      <c r="G580" s="1" t="s">
        <v>5511</v>
      </c>
      <c r="H580" s="5">
        <f t="shared" si="2"/>
        <v>109.5556</v>
      </c>
      <c r="I580" s="1" t="s">
        <v>5512</v>
      </c>
      <c r="J580" s="1">
        <f t="shared" si="3"/>
        <v>12847.27447</v>
      </c>
      <c r="K580" s="1" t="s">
        <v>5513</v>
      </c>
      <c r="L580" s="5">
        <f t="shared" si="4"/>
        <v>38.3445</v>
      </c>
      <c r="M580" s="6" t="s">
        <v>6524</v>
      </c>
      <c r="N580" s="5">
        <f t="shared" si="5"/>
        <v>17478</v>
      </c>
    </row>
    <row r="581">
      <c r="A581" s="6" t="s">
        <v>5010</v>
      </c>
      <c r="B581" s="6" t="s">
        <v>2591</v>
      </c>
      <c r="C581" s="5">
        <f t="shared" si="1"/>
        <v>11</v>
      </c>
      <c r="D581" s="1" t="s">
        <v>116</v>
      </c>
      <c r="E581" s="1" t="s">
        <v>13</v>
      </c>
      <c r="F581" s="1" t="s">
        <v>21</v>
      </c>
      <c r="G581" s="1" t="s">
        <v>5514</v>
      </c>
      <c r="H581" s="5">
        <f t="shared" si="2"/>
        <v>25.0768</v>
      </c>
      <c r="I581" s="1" t="s">
        <v>5515</v>
      </c>
      <c r="J581" s="1">
        <f t="shared" si="3"/>
        <v>3373.018281</v>
      </c>
      <c r="K581" s="6" t="s">
        <v>6525</v>
      </c>
      <c r="L581" s="5">
        <f t="shared" si="4"/>
        <v>12.3856</v>
      </c>
      <c r="M581" s="6" t="s">
        <v>5550</v>
      </c>
      <c r="N581" s="5">
        <f t="shared" si="5"/>
        <v>5795</v>
      </c>
    </row>
    <row r="582">
      <c r="A582" s="6" t="s">
        <v>5010</v>
      </c>
      <c r="B582" s="6" t="s">
        <v>2591</v>
      </c>
      <c r="C582" s="5">
        <f t="shared" si="1"/>
        <v>11</v>
      </c>
      <c r="D582" s="1" t="s">
        <v>116</v>
      </c>
      <c r="E582" s="1" t="s">
        <v>13</v>
      </c>
      <c r="F582" s="1" t="s">
        <v>25</v>
      </c>
      <c r="G582" s="1" t="s">
        <v>3141</v>
      </c>
      <c r="H582" s="5">
        <f t="shared" si="2"/>
        <v>0.0241</v>
      </c>
      <c r="I582" s="1" t="s">
        <v>5516</v>
      </c>
      <c r="J582" s="1">
        <f t="shared" si="3"/>
        <v>4.983299</v>
      </c>
      <c r="K582" s="1" t="s">
        <v>4081</v>
      </c>
      <c r="L582" s="5">
        <f t="shared" si="4"/>
        <v>0.018</v>
      </c>
      <c r="M582" s="6" t="s">
        <v>2521</v>
      </c>
      <c r="N582" s="5">
        <f t="shared" si="5"/>
        <v>6</v>
      </c>
    </row>
    <row r="583">
      <c r="A583" s="6" t="s">
        <v>5010</v>
      </c>
      <c r="B583" s="6" t="s">
        <v>2591</v>
      </c>
      <c r="C583" s="5">
        <f t="shared" si="1"/>
        <v>11</v>
      </c>
      <c r="D583" s="1" t="s">
        <v>116</v>
      </c>
      <c r="E583" s="1" t="s">
        <v>29</v>
      </c>
      <c r="F583" s="1" t="s">
        <v>14</v>
      </c>
      <c r="G583" s="6" t="s">
        <v>6526</v>
      </c>
      <c r="H583" s="5">
        <f t="shared" si="2"/>
        <v>1.3379</v>
      </c>
      <c r="I583" s="1" t="s">
        <v>5517</v>
      </c>
      <c r="J583" s="1">
        <f t="shared" si="3"/>
        <v>183.446344</v>
      </c>
      <c r="K583" s="1" t="s">
        <v>5518</v>
      </c>
      <c r="L583" s="5">
        <f t="shared" si="4"/>
        <v>0.2675</v>
      </c>
      <c r="M583" s="6" t="s">
        <v>2749</v>
      </c>
      <c r="N583" s="5">
        <f t="shared" si="5"/>
        <v>343</v>
      </c>
    </row>
    <row r="584">
      <c r="A584" s="6" t="s">
        <v>5010</v>
      </c>
      <c r="B584" s="6" t="s">
        <v>2591</v>
      </c>
      <c r="C584" s="5">
        <f t="shared" si="1"/>
        <v>11</v>
      </c>
      <c r="D584" s="1" t="s">
        <v>116</v>
      </c>
      <c r="E584" s="1" t="s">
        <v>29</v>
      </c>
      <c r="F584" s="1" t="s">
        <v>21</v>
      </c>
      <c r="G584" s="1" t="s">
        <v>5519</v>
      </c>
      <c r="H584" s="5">
        <f t="shared" si="2"/>
        <v>66.8762</v>
      </c>
      <c r="I584" s="1" t="s">
        <v>5520</v>
      </c>
      <c r="J584" s="1">
        <f t="shared" si="3"/>
        <v>11510.50218</v>
      </c>
      <c r="K584" s="1" t="s">
        <v>5521</v>
      </c>
      <c r="L584" s="5">
        <f t="shared" si="4"/>
        <v>26.7505</v>
      </c>
      <c r="M584" s="6" t="s">
        <v>6527</v>
      </c>
      <c r="N584" s="5">
        <f t="shared" si="5"/>
        <v>8509</v>
      </c>
    </row>
    <row r="585">
      <c r="A585" s="6" t="s">
        <v>5010</v>
      </c>
      <c r="B585" s="6" t="s">
        <v>2591</v>
      </c>
      <c r="C585" s="5">
        <f t="shared" si="1"/>
        <v>11</v>
      </c>
      <c r="D585" s="1" t="s">
        <v>116</v>
      </c>
      <c r="E585" s="1" t="s">
        <v>45</v>
      </c>
      <c r="F585" s="1" t="s">
        <v>49</v>
      </c>
      <c r="G585" s="6" t="s">
        <v>6528</v>
      </c>
      <c r="H585" s="5">
        <f t="shared" si="2"/>
        <v>2.8355</v>
      </c>
      <c r="I585" s="1" t="s">
        <v>5522</v>
      </c>
      <c r="J585" s="1">
        <f t="shared" si="3"/>
        <v>186.037718</v>
      </c>
      <c r="K585" s="1" t="s">
        <v>5524</v>
      </c>
      <c r="L585" s="5">
        <f t="shared" si="4"/>
        <v>0.7373</v>
      </c>
      <c r="M585" s="6" t="s">
        <v>6349</v>
      </c>
      <c r="N585" s="5">
        <f t="shared" si="5"/>
        <v>357</v>
      </c>
    </row>
    <row r="586">
      <c r="A586" s="6" t="s">
        <v>5010</v>
      </c>
      <c r="B586" s="6" t="s">
        <v>2591</v>
      </c>
      <c r="C586" s="5">
        <f t="shared" si="1"/>
        <v>11</v>
      </c>
      <c r="D586" s="1" t="s">
        <v>116</v>
      </c>
      <c r="E586" s="1" t="s">
        <v>45</v>
      </c>
      <c r="F586" s="1" t="s">
        <v>17</v>
      </c>
      <c r="G586" s="1" t="s">
        <v>5525</v>
      </c>
      <c r="H586" s="5">
        <f t="shared" si="2"/>
        <v>21.2083</v>
      </c>
      <c r="I586" s="1" t="s">
        <v>5526</v>
      </c>
      <c r="J586" s="1">
        <f t="shared" si="3"/>
        <v>1613.689563</v>
      </c>
      <c r="K586" s="6" t="s">
        <v>6532</v>
      </c>
      <c r="L586" s="5">
        <f t="shared" si="4"/>
        <v>7.6349</v>
      </c>
      <c r="M586" s="6" t="s">
        <v>6534</v>
      </c>
      <c r="N586" s="5">
        <f t="shared" si="5"/>
        <v>1850</v>
      </c>
    </row>
    <row r="587">
      <c r="A587" s="6" t="s">
        <v>5010</v>
      </c>
      <c r="B587" s="6" t="s">
        <v>2591</v>
      </c>
      <c r="C587" s="5">
        <f t="shared" si="1"/>
        <v>11</v>
      </c>
      <c r="D587" s="1" t="s">
        <v>116</v>
      </c>
      <c r="E587" s="1" t="s">
        <v>3962</v>
      </c>
      <c r="F587" s="1" t="s">
        <v>17</v>
      </c>
      <c r="G587" s="1" t="s">
        <v>5527</v>
      </c>
      <c r="H587" s="5">
        <f t="shared" si="2"/>
        <v>16.0135</v>
      </c>
      <c r="I587" s="1" t="s">
        <v>5528</v>
      </c>
      <c r="J587" s="1">
        <f t="shared" si="3"/>
        <v>1377.68061</v>
      </c>
      <c r="K587" s="6" t="s">
        <v>6538</v>
      </c>
      <c r="L587" s="5">
        <f t="shared" si="4"/>
        <v>5.6047</v>
      </c>
      <c r="M587" s="6" t="s">
        <v>6539</v>
      </c>
      <c r="N587" s="5">
        <f t="shared" si="5"/>
        <v>4305</v>
      </c>
    </row>
    <row r="588">
      <c r="A588" s="6" t="s">
        <v>5010</v>
      </c>
      <c r="B588" s="6" t="s">
        <v>2591</v>
      </c>
      <c r="C588" s="5">
        <f t="shared" si="1"/>
        <v>11</v>
      </c>
      <c r="D588" s="1" t="s">
        <v>116</v>
      </c>
      <c r="E588" s="1" t="s">
        <v>48</v>
      </c>
      <c r="F588" s="1" t="s">
        <v>49</v>
      </c>
      <c r="G588" s="1" t="s">
        <v>1413</v>
      </c>
      <c r="H588" s="5">
        <f t="shared" si="2"/>
        <v>0.006</v>
      </c>
      <c r="I588" s="1" t="s">
        <v>5529</v>
      </c>
      <c r="J588" s="1">
        <f t="shared" si="3"/>
        <v>1.13821</v>
      </c>
      <c r="K588" s="1" t="s">
        <v>144</v>
      </c>
      <c r="L588" s="5">
        <f t="shared" si="4"/>
        <v>0.0017</v>
      </c>
      <c r="M588" s="6" t="s">
        <v>397</v>
      </c>
      <c r="N588" s="5">
        <f t="shared" si="5"/>
        <v>2</v>
      </c>
    </row>
    <row r="589">
      <c r="A589" s="6" t="s">
        <v>5010</v>
      </c>
      <c r="B589" s="6" t="s">
        <v>2591</v>
      </c>
      <c r="C589" s="5">
        <f t="shared" si="1"/>
        <v>11</v>
      </c>
      <c r="D589" s="1" t="s">
        <v>116</v>
      </c>
      <c r="E589" s="1" t="s">
        <v>48</v>
      </c>
      <c r="F589" s="1" t="s">
        <v>72</v>
      </c>
      <c r="G589" s="1" t="s">
        <v>5530</v>
      </c>
      <c r="H589" s="5">
        <f t="shared" si="2"/>
        <v>0.0133</v>
      </c>
      <c r="I589" s="1" t="s">
        <v>5531</v>
      </c>
      <c r="J589" s="1">
        <f t="shared" si="3"/>
        <v>3.815782</v>
      </c>
      <c r="K589" s="1" t="s">
        <v>1331</v>
      </c>
      <c r="L589" s="5">
        <f t="shared" si="4"/>
        <v>0.004</v>
      </c>
      <c r="M589" s="6" t="s">
        <v>4578</v>
      </c>
      <c r="N589" s="5">
        <f t="shared" si="5"/>
        <v>18</v>
      </c>
    </row>
    <row r="590">
      <c r="A590" s="6" t="s">
        <v>5010</v>
      </c>
      <c r="B590" s="6" t="s">
        <v>2591</v>
      </c>
      <c r="C590" s="5">
        <f t="shared" si="1"/>
        <v>11</v>
      </c>
      <c r="D590" s="1" t="s">
        <v>116</v>
      </c>
      <c r="E590" s="1" t="s">
        <v>48</v>
      </c>
      <c r="F590" s="1" t="s">
        <v>21</v>
      </c>
      <c r="G590" s="6" t="s">
        <v>6543</v>
      </c>
      <c r="H590" s="5">
        <f t="shared" si="2"/>
        <v>2.6168</v>
      </c>
      <c r="I590" s="1" t="s">
        <v>5532</v>
      </c>
      <c r="J590" s="1">
        <f t="shared" si="3"/>
        <v>672.520492</v>
      </c>
      <c r="K590" s="6" t="s">
        <v>5533</v>
      </c>
      <c r="L590" s="5">
        <f t="shared" si="4"/>
        <v>1.0467</v>
      </c>
      <c r="M590" s="6" t="s">
        <v>6544</v>
      </c>
      <c r="N590" s="5">
        <f t="shared" si="5"/>
        <v>564</v>
      </c>
    </row>
    <row r="591">
      <c r="A591" s="6" t="s">
        <v>5010</v>
      </c>
      <c r="B591" s="6" t="s">
        <v>2591</v>
      </c>
      <c r="C591" s="5">
        <f t="shared" si="1"/>
        <v>11</v>
      </c>
      <c r="D591" s="1" t="s">
        <v>116</v>
      </c>
      <c r="E591" s="1" t="s">
        <v>147</v>
      </c>
      <c r="F591" s="1" t="s">
        <v>39</v>
      </c>
      <c r="G591" s="6" t="s">
        <v>6545</v>
      </c>
      <c r="H591" s="5">
        <f t="shared" si="2"/>
        <v>1.2792</v>
      </c>
      <c r="I591" s="1" t="s">
        <v>5534</v>
      </c>
      <c r="J591" s="1">
        <f t="shared" si="3"/>
        <v>430.258213</v>
      </c>
      <c r="K591" s="1" t="s">
        <v>5535</v>
      </c>
      <c r="L591" s="5">
        <f t="shared" si="4"/>
        <v>0.2431</v>
      </c>
      <c r="M591" s="6" t="s">
        <v>2555</v>
      </c>
      <c r="N591" s="5">
        <f t="shared" si="5"/>
        <v>102</v>
      </c>
    </row>
    <row r="592">
      <c r="A592" s="6" t="s">
        <v>5010</v>
      </c>
      <c r="B592" s="6" t="s">
        <v>2591</v>
      </c>
      <c r="C592" s="5">
        <f t="shared" si="1"/>
        <v>11</v>
      </c>
      <c r="D592" s="1" t="s">
        <v>116</v>
      </c>
      <c r="E592" s="1" t="s">
        <v>147</v>
      </c>
      <c r="F592" s="1" t="s">
        <v>17</v>
      </c>
      <c r="G592" s="1" t="s">
        <v>796</v>
      </c>
      <c r="H592" s="5">
        <f t="shared" si="2"/>
        <v>0.0166</v>
      </c>
      <c r="I592" s="1" t="s">
        <v>5536</v>
      </c>
      <c r="J592" s="1">
        <f t="shared" si="3"/>
        <v>7.83141</v>
      </c>
      <c r="K592" s="1" t="s">
        <v>487</v>
      </c>
      <c r="L592" s="5">
        <f t="shared" si="4"/>
        <v>0.0058</v>
      </c>
      <c r="M592" s="6" t="s">
        <v>2521</v>
      </c>
      <c r="N592" s="5">
        <f t="shared" si="5"/>
        <v>6</v>
      </c>
    </row>
    <row r="593">
      <c r="A593" s="6" t="s">
        <v>5010</v>
      </c>
      <c r="B593" s="6" t="s">
        <v>2591</v>
      </c>
      <c r="C593" s="5">
        <f t="shared" si="1"/>
        <v>11</v>
      </c>
      <c r="D593" s="1" t="s">
        <v>116</v>
      </c>
      <c r="E593" s="1" t="s">
        <v>147</v>
      </c>
      <c r="F593" s="1" t="s">
        <v>21</v>
      </c>
      <c r="G593" s="1" t="s">
        <v>5537</v>
      </c>
      <c r="H593" s="5">
        <f t="shared" si="2"/>
        <v>0.0546</v>
      </c>
      <c r="I593" s="1" t="s">
        <v>5538</v>
      </c>
      <c r="J593" s="1">
        <f t="shared" si="3"/>
        <v>29.143439</v>
      </c>
      <c r="K593" s="1" t="s">
        <v>5540</v>
      </c>
      <c r="L593" s="5">
        <f t="shared" si="4"/>
        <v>0.0273</v>
      </c>
      <c r="M593" s="6" t="s">
        <v>5916</v>
      </c>
      <c r="N593" s="5">
        <f t="shared" si="5"/>
        <v>42</v>
      </c>
    </row>
    <row r="594">
      <c r="A594" s="6" t="s">
        <v>5010</v>
      </c>
      <c r="B594" s="6" t="s">
        <v>2591</v>
      </c>
      <c r="C594" s="5">
        <f t="shared" si="1"/>
        <v>11</v>
      </c>
      <c r="D594" s="1" t="s">
        <v>116</v>
      </c>
      <c r="E594" s="1" t="s">
        <v>38</v>
      </c>
      <c r="F594" s="1" t="s">
        <v>39</v>
      </c>
      <c r="G594" s="6" t="s">
        <v>5541</v>
      </c>
      <c r="H594" s="5">
        <f t="shared" si="2"/>
        <v>6.0726</v>
      </c>
      <c r="I594" s="1" t="s">
        <v>5542</v>
      </c>
      <c r="J594" s="1">
        <f t="shared" si="3"/>
        <v>460.246591</v>
      </c>
      <c r="K594" s="6" t="s">
        <v>5543</v>
      </c>
      <c r="L594" s="5">
        <f t="shared" si="4"/>
        <v>1.0931</v>
      </c>
      <c r="M594" s="6" t="s">
        <v>6546</v>
      </c>
      <c r="N594" s="5">
        <f t="shared" si="5"/>
        <v>2059</v>
      </c>
    </row>
    <row r="595">
      <c r="A595" s="6" t="s">
        <v>5010</v>
      </c>
      <c r="B595" s="6" t="s">
        <v>2591</v>
      </c>
      <c r="C595" s="5">
        <f t="shared" si="1"/>
        <v>11</v>
      </c>
      <c r="D595" s="1" t="s">
        <v>116</v>
      </c>
      <c r="E595" s="1" t="s">
        <v>165</v>
      </c>
      <c r="F595" s="1" t="s">
        <v>39</v>
      </c>
      <c r="G595" s="1" t="s">
        <v>5544</v>
      </c>
      <c r="H595" s="5">
        <f t="shared" si="2"/>
        <v>0.2316</v>
      </c>
      <c r="I595" s="1" t="s">
        <v>5545</v>
      </c>
      <c r="J595" s="1">
        <f t="shared" si="3"/>
        <v>68.187833</v>
      </c>
      <c r="K595" s="1" t="s">
        <v>5546</v>
      </c>
      <c r="L595" s="5">
        <f t="shared" si="4"/>
        <v>0.0416</v>
      </c>
      <c r="M595" s="6" t="s">
        <v>291</v>
      </c>
      <c r="N595" s="5">
        <f t="shared" si="5"/>
        <v>0</v>
      </c>
    </row>
    <row r="596">
      <c r="A596" s="6" t="s">
        <v>5010</v>
      </c>
      <c r="B596" s="6" t="s">
        <v>2591</v>
      </c>
      <c r="C596" s="5">
        <f t="shared" si="1"/>
        <v>11</v>
      </c>
      <c r="D596" s="1" t="s">
        <v>116</v>
      </c>
      <c r="E596" s="1" t="s">
        <v>165</v>
      </c>
      <c r="F596" s="1" t="s">
        <v>17</v>
      </c>
      <c r="G596" s="1" t="s">
        <v>5548</v>
      </c>
      <c r="H596" s="5">
        <f t="shared" si="2"/>
        <v>0.4989</v>
      </c>
      <c r="I596" s="1" t="s">
        <v>5549</v>
      </c>
      <c r="J596" s="1">
        <f t="shared" si="3"/>
        <v>148.325346</v>
      </c>
      <c r="K596" s="1" t="s">
        <v>1631</v>
      </c>
      <c r="L596" s="5">
        <f t="shared" si="4"/>
        <v>0.1746</v>
      </c>
      <c r="M596" s="6" t="s">
        <v>291</v>
      </c>
      <c r="N596" s="5">
        <f t="shared" si="5"/>
        <v>0</v>
      </c>
    </row>
    <row r="597">
      <c r="A597" s="6" t="s">
        <v>5010</v>
      </c>
      <c r="B597" s="6" t="s">
        <v>2591</v>
      </c>
      <c r="C597" s="5">
        <f t="shared" si="1"/>
        <v>11</v>
      </c>
      <c r="D597" s="1" t="s">
        <v>116</v>
      </c>
      <c r="E597" s="1" t="s">
        <v>42</v>
      </c>
      <c r="F597" s="1" t="s">
        <v>17</v>
      </c>
      <c r="G597" s="1" t="s">
        <v>5551</v>
      </c>
      <c r="H597" s="5">
        <f t="shared" si="2"/>
        <v>0.9886</v>
      </c>
      <c r="I597" s="1" t="s">
        <v>5552</v>
      </c>
      <c r="J597" s="1">
        <f t="shared" si="3"/>
        <v>209.659188</v>
      </c>
      <c r="K597" s="1" t="s">
        <v>1998</v>
      </c>
      <c r="L597" s="5">
        <f t="shared" si="4"/>
        <v>0.3658</v>
      </c>
      <c r="M597" s="6" t="s">
        <v>291</v>
      </c>
      <c r="N597" s="5">
        <f t="shared" si="5"/>
        <v>0</v>
      </c>
    </row>
    <row r="598">
      <c r="A598" s="6" t="s">
        <v>5010</v>
      </c>
      <c r="B598" s="6" t="s">
        <v>2591</v>
      </c>
      <c r="C598" s="5">
        <f t="shared" si="1"/>
        <v>11</v>
      </c>
      <c r="D598" s="1" t="s">
        <v>116</v>
      </c>
      <c r="E598" s="1" t="s">
        <v>1851</v>
      </c>
      <c r="F598" s="1" t="s">
        <v>17</v>
      </c>
      <c r="G598" s="6" t="s">
        <v>6547</v>
      </c>
      <c r="H598" s="5">
        <f t="shared" si="2"/>
        <v>2.2503</v>
      </c>
      <c r="I598" s="1" t="s">
        <v>5553</v>
      </c>
      <c r="J598" s="1">
        <f t="shared" si="3"/>
        <v>177.459237</v>
      </c>
      <c r="K598" s="1" t="s">
        <v>5554</v>
      </c>
      <c r="L598" s="5">
        <f t="shared" si="4"/>
        <v>0.8664</v>
      </c>
      <c r="M598" s="6" t="s">
        <v>6548</v>
      </c>
      <c r="N598" s="5">
        <f t="shared" si="5"/>
        <v>1080</v>
      </c>
    </row>
    <row r="599">
      <c r="A599" s="6" t="s">
        <v>5010</v>
      </c>
      <c r="B599" s="6" t="s">
        <v>2591</v>
      </c>
      <c r="C599" s="5">
        <f t="shared" si="1"/>
        <v>11</v>
      </c>
      <c r="D599" s="1" t="s">
        <v>116</v>
      </c>
      <c r="E599" s="1" t="s">
        <v>1851</v>
      </c>
      <c r="F599" s="1" t="s">
        <v>21</v>
      </c>
      <c r="G599" s="1" t="s">
        <v>420</v>
      </c>
      <c r="H599" s="5">
        <f t="shared" si="2"/>
        <v>0.1152</v>
      </c>
      <c r="I599" s="1" t="s">
        <v>5556</v>
      </c>
      <c r="J599" s="1">
        <f t="shared" si="3"/>
        <v>16.475533</v>
      </c>
      <c r="K599" s="1" t="s">
        <v>2133</v>
      </c>
      <c r="L599" s="5">
        <f t="shared" si="4"/>
        <v>0.0564</v>
      </c>
      <c r="M599" s="6" t="s">
        <v>4555</v>
      </c>
      <c r="N599" s="5">
        <f t="shared" si="5"/>
        <v>74</v>
      </c>
    </row>
    <row r="600">
      <c r="A600" s="6" t="s">
        <v>5010</v>
      </c>
      <c r="B600" s="6" t="s">
        <v>2793</v>
      </c>
      <c r="C600" s="5">
        <f t="shared" si="1"/>
        <v>12</v>
      </c>
      <c r="D600" s="1" t="s">
        <v>12</v>
      </c>
      <c r="E600" s="1" t="s">
        <v>29</v>
      </c>
      <c r="F600" s="1" t="s">
        <v>14</v>
      </c>
      <c r="G600" s="1" t="s">
        <v>4856</v>
      </c>
      <c r="H600" s="5">
        <f t="shared" si="2"/>
        <v>0.0972</v>
      </c>
      <c r="I600" s="1" t="s">
        <v>5558</v>
      </c>
      <c r="J600" s="1">
        <f t="shared" si="3"/>
        <v>12.649938</v>
      </c>
      <c r="K600" s="1" t="s">
        <v>161</v>
      </c>
      <c r="L600" s="5">
        <f t="shared" si="4"/>
        <v>0.0194</v>
      </c>
      <c r="M600" s="6" t="s">
        <v>3601</v>
      </c>
      <c r="N600" s="5">
        <f t="shared" si="5"/>
        <v>14</v>
      </c>
    </row>
    <row r="601">
      <c r="A601" s="6" t="s">
        <v>5010</v>
      </c>
      <c r="B601" s="6" t="s">
        <v>2793</v>
      </c>
      <c r="C601" s="5">
        <f t="shared" si="1"/>
        <v>12</v>
      </c>
      <c r="D601" s="1" t="s">
        <v>12</v>
      </c>
      <c r="E601" s="1" t="s">
        <v>29</v>
      </c>
      <c r="F601" s="1" t="s">
        <v>21</v>
      </c>
      <c r="G601" s="1" t="s">
        <v>5559</v>
      </c>
      <c r="H601" s="5">
        <f t="shared" si="2"/>
        <v>41.7076</v>
      </c>
      <c r="I601" s="1" t="s">
        <v>5560</v>
      </c>
      <c r="J601" s="1">
        <f t="shared" si="3"/>
        <v>7988.045344</v>
      </c>
      <c r="K601" s="1" t="s">
        <v>5561</v>
      </c>
      <c r="L601" s="5">
        <f t="shared" si="4"/>
        <v>16.6831</v>
      </c>
      <c r="M601" s="6" t="s">
        <v>6549</v>
      </c>
      <c r="N601" s="5">
        <f t="shared" si="5"/>
        <v>615</v>
      </c>
    </row>
    <row r="602">
      <c r="A602" s="6" t="s">
        <v>5010</v>
      </c>
      <c r="B602" s="6" t="s">
        <v>2793</v>
      </c>
      <c r="C602" s="5">
        <f t="shared" si="1"/>
        <v>12</v>
      </c>
      <c r="D602" s="1" t="s">
        <v>12</v>
      </c>
      <c r="E602" s="1" t="s">
        <v>13</v>
      </c>
      <c r="F602" s="1" t="s">
        <v>14</v>
      </c>
      <c r="G602" s="6" t="s">
        <v>6550</v>
      </c>
      <c r="H602" s="5">
        <f t="shared" si="2"/>
        <v>5.7783</v>
      </c>
      <c r="I602" s="1" t="s">
        <v>5562</v>
      </c>
      <c r="J602" s="1">
        <f t="shared" si="3"/>
        <v>479.591585</v>
      </c>
      <c r="K602" s="6" t="s">
        <v>6551</v>
      </c>
      <c r="L602" s="5">
        <f t="shared" si="4"/>
        <v>1.2135</v>
      </c>
      <c r="M602" s="6" t="s">
        <v>6552</v>
      </c>
      <c r="N602" s="5">
        <f t="shared" si="5"/>
        <v>389</v>
      </c>
    </row>
    <row r="603">
      <c r="A603" s="6" t="s">
        <v>5010</v>
      </c>
      <c r="B603" s="6" t="s">
        <v>2793</v>
      </c>
      <c r="C603" s="5">
        <f t="shared" si="1"/>
        <v>12</v>
      </c>
      <c r="D603" s="1" t="s">
        <v>12</v>
      </c>
      <c r="E603" s="1" t="s">
        <v>13</v>
      </c>
      <c r="F603" s="1" t="s">
        <v>17</v>
      </c>
      <c r="G603" s="1" t="s">
        <v>5563</v>
      </c>
      <c r="H603" s="5">
        <f t="shared" si="2"/>
        <v>26.398</v>
      </c>
      <c r="I603" s="1" t="s">
        <v>5564</v>
      </c>
      <c r="J603" s="1">
        <f t="shared" si="3"/>
        <v>3098.274716</v>
      </c>
      <c r="K603" s="6" t="s">
        <v>6553</v>
      </c>
      <c r="L603" s="5">
        <f t="shared" si="4"/>
        <v>9.2393</v>
      </c>
      <c r="M603" s="6" t="s">
        <v>6554</v>
      </c>
      <c r="N603" s="5">
        <f t="shared" si="5"/>
        <v>596</v>
      </c>
    </row>
    <row r="604">
      <c r="A604" s="6" t="s">
        <v>5010</v>
      </c>
      <c r="B604" s="6" t="s">
        <v>2793</v>
      </c>
      <c r="C604" s="5">
        <f t="shared" si="1"/>
        <v>12</v>
      </c>
      <c r="D604" s="1" t="s">
        <v>12</v>
      </c>
      <c r="E604" s="1" t="s">
        <v>13</v>
      </c>
      <c r="F604" s="1" t="s">
        <v>21</v>
      </c>
      <c r="G604" s="1" t="s">
        <v>5565</v>
      </c>
      <c r="H604" s="5">
        <f t="shared" si="2"/>
        <v>30.0701</v>
      </c>
      <c r="I604" s="1" t="s">
        <v>5566</v>
      </c>
      <c r="J604" s="1">
        <f t="shared" si="3"/>
        <v>3720.114364</v>
      </c>
      <c r="K604" s="1" t="s">
        <v>5567</v>
      </c>
      <c r="L604" s="5">
        <f t="shared" si="4"/>
        <v>15.0265</v>
      </c>
      <c r="M604" s="6" t="s">
        <v>6555</v>
      </c>
      <c r="N604" s="5">
        <f t="shared" si="5"/>
        <v>501</v>
      </c>
    </row>
    <row r="605">
      <c r="A605" s="6" t="s">
        <v>5010</v>
      </c>
      <c r="B605" s="6" t="s">
        <v>2793</v>
      </c>
      <c r="C605" s="5">
        <f t="shared" si="1"/>
        <v>12</v>
      </c>
      <c r="D605" s="1" t="s">
        <v>12</v>
      </c>
      <c r="E605" s="1" t="s">
        <v>38</v>
      </c>
      <c r="F605" s="1" t="s">
        <v>39</v>
      </c>
      <c r="G605" s="6" t="s">
        <v>6556</v>
      </c>
      <c r="H605" s="5">
        <f t="shared" si="2"/>
        <v>2.4055</v>
      </c>
      <c r="I605" s="1" t="s">
        <v>5568</v>
      </c>
      <c r="J605" s="1">
        <f t="shared" si="3"/>
        <v>288.650467</v>
      </c>
      <c r="K605" s="1" t="s">
        <v>5569</v>
      </c>
      <c r="L605" s="5">
        <f t="shared" si="4"/>
        <v>0.433</v>
      </c>
      <c r="M605" s="6" t="s">
        <v>3503</v>
      </c>
      <c r="N605" s="5">
        <f t="shared" si="5"/>
        <v>119</v>
      </c>
    </row>
    <row r="606">
      <c r="A606" s="6" t="s">
        <v>5010</v>
      </c>
      <c r="B606" s="6" t="s">
        <v>2793</v>
      </c>
      <c r="C606" s="5">
        <f t="shared" si="1"/>
        <v>12</v>
      </c>
      <c r="D606" s="1" t="s">
        <v>12</v>
      </c>
      <c r="E606" s="1" t="s">
        <v>48</v>
      </c>
      <c r="F606" s="1" t="s">
        <v>21</v>
      </c>
      <c r="G606" s="6" t="s">
        <v>6557</v>
      </c>
      <c r="H606" s="5">
        <f t="shared" si="2"/>
        <v>1.4713</v>
      </c>
      <c r="I606" s="1" t="s">
        <v>5571</v>
      </c>
      <c r="J606" s="1">
        <f t="shared" si="3"/>
        <v>268.38488</v>
      </c>
      <c r="K606" s="1" t="s">
        <v>5572</v>
      </c>
      <c r="L606" s="5">
        <f t="shared" si="4"/>
        <v>0.5885</v>
      </c>
      <c r="M606" s="6" t="s">
        <v>3504</v>
      </c>
      <c r="N606" s="5">
        <f t="shared" si="5"/>
        <v>113</v>
      </c>
    </row>
    <row r="607">
      <c r="A607" s="6" t="s">
        <v>5010</v>
      </c>
      <c r="B607" s="6" t="s">
        <v>2793</v>
      </c>
      <c r="C607" s="5">
        <f t="shared" si="1"/>
        <v>12</v>
      </c>
      <c r="D607" s="1" t="s">
        <v>12</v>
      </c>
      <c r="E607" s="1" t="s">
        <v>45</v>
      </c>
      <c r="F607" s="1" t="s">
        <v>49</v>
      </c>
      <c r="G607" s="1" t="s">
        <v>5573</v>
      </c>
      <c r="H607" s="5">
        <f t="shared" si="2"/>
        <v>0.0355</v>
      </c>
      <c r="I607" s="1" t="s">
        <v>5574</v>
      </c>
      <c r="J607" s="1">
        <f t="shared" si="3"/>
        <v>2.076109</v>
      </c>
      <c r="K607" s="1" t="s">
        <v>4373</v>
      </c>
      <c r="L607" s="5">
        <f t="shared" si="4"/>
        <v>0.0092</v>
      </c>
      <c r="M607" s="6" t="s">
        <v>3552</v>
      </c>
      <c r="N607" s="5">
        <f t="shared" si="5"/>
        <v>5</v>
      </c>
    </row>
    <row r="608">
      <c r="A608" s="6" t="s">
        <v>5010</v>
      </c>
      <c r="B608" s="6" t="s">
        <v>2793</v>
      </c>
      <c r="C608" s="5">
        <f t="shared" si="1"/>
        <v>12</v>
      </c>
      <c r="D608" s="1" t="s">
        <v>12</v>
      </c>
      <c r="E608" s="1" t="s">
        <v>45</v>
      </c>
      <c r="F608" s="1" t="s">
        <v>17</v>
      </c>
      <c r="G608" s="6" t="s">
        <v>6558</v>
      </c>
      <c r="H608" s="5">
        <f t="shared" si="2"/>
        <v>2.4147</v>
      </c>
      <c r="I608" s="1" t="s">
        <v>5577</v>
      </c>
      <c r="J608" s="1">
        <f t="shared" si="3"/>
        <v>179.241611</v>
      </c>
      <c r="K608" s="1" t="s">
        <v>5578</v>
      </c>
      <c r="L608" s="5">
        <f t="shared" si="4"/>
        <v>0.8693</v>
      </c>
      <c r="M608" s="6" t="s">
        <v>3683</v>
      </c>
      <c r="N608" s="5">
        <f t="shared" si="5"/>
        <v>151</v>
      </c>
    </row>
    <row r="609">
      <c r="A609" s="6" t="s">
        <v>5010</v>
      </c>
      <c r="B609" s="6" t="s">
        <v>2793</v>
      </c>
      <c r="C609" s="5">
        <f t="shared" si="1"/>
        <v>12</v>
      </c>
      <c r="D609" s="1" t="s">
        <v>12</v>
      </c>
      <c r="E609" s="1" t="s">
        <v>3962</v>
      </c>
      <c r="F609" s="1" t="s">
        <v>17</v>
      </c>
      <c r="G609" s="6" t="s">
        <v>5581</v>
      </c>
      <c r="H609" s="5">
        <f t="shared" si="2"/>
        <v>1.1106</v>
      </c>
      <c r="I609" s="1" t="s">
        <v>5582</v>
      </c>
      <c r="J609" s="1">
        <f t="shared" si="3"/>
        <v>98.254187</v>
      </c>
      <c r="K609" s="1" t="s">
        <v>5583</v>
      </c>
      <c r="L609" s="5">
        <f t="shared" si="4"/>
        <v>0.3886</v>
      </c>
      <c r="M609" s="6" t="s">
        <v>4719</v>
      </c>
      <c r="N609" s="5">
        <f t="shared" si="5"/>
        <v>109</v>
      </c>
    </row>
    <row r="610">
      <c r="A610" s="6" t="s">
        <v>5010</v>
      </c>
      <c r="B610" s="6" t="s">
        <v>2793</v>
      </c>
      <c r="C610" s="5">
        <f t="shared" si="1"/>
        <v>12</v>
      </c>
      <c r="D610" s="1" t="s">
        <v>12</v>
      </c>
      <c r="E610" s="1" t="s">
        <v>4127</v>
      </c>
      <c r="F610" s="1" t="s">
        <v>17</v>
      </c>
      <c r="G610" s="1" t="s">
        <v>5584</v>
      </c>
      <c r="H610" s="5">
        <f t="shared" si="2"/>
        <v>0.9899</v>
      </c>
      <c r="I610" s="1" t="s">
        <v>5585</v>
      </c>
      <c r="J610" s="1">
        <f t="shared" si="3"/>
        <v>81.820759</v>
      </c>
      <c r="K610" s="1" t="s">
        <v>1764</v>
      </c>
      <c r="L610" s="5">
        <f t="shared" si="4"/>
        <v>0.3464</v>
      </c>
      <c r="M610" s="6" t="s">
        <v>6490</v>
      </c>
      <c r="N610" s="5">
        <f t="shared" si="5"/>
        <v>69</v>
      </c>
    </row>
    <row r="611">
      <c r="A611" s="6" t="s">
        <v>5010</v>
      </c>
      <c r="B611" s="6" t="s">
        <v>2793</v>
      </c>
      <c r="C611" s="5">
        <f t="shared" si="1"/>
        <v>12</v>
      </c>
      <c r="D611" s="1" t="s">
        <v>12</v>
      </c>
      <c r="E611" s="1" t="s">
        <v>42</v>
      </c>
      <c r="F611" s="1" t="s">
        <v>17</v>
      </c>
      <c r="G611" s="1" t="s">
        <v>1198</v>
      </c>
      <c r="H611" s="5">
        <f t="shared" si="2"/>
        <v>0.3144</v>
      </c>
      <c r="I611" s="1" t="s">
        <v>5586</v>
      </c>
      <c r="J611" s="1">
        <f t="shared" si="3"/>
        <v>53.44269</v>
      </c>
      <c r="K611" s="1" t="s">
        <v>5587</v>
      </c>
      <c r="L611" s="5">
        <f t="shared" si="4"/>
        <v>0.1163</v>
      </c>
      <c r="M611" s="6" t="s">
        <v>291</v>
      </c>
      <c r="N611" s="5">
        <f t="shared" si="5"/>
        <v>0</v>
      </c>
    </row>
    <row r="612">
      <c r="A612" s="6" t="s">
        <v>5010</v>
      </c>
      <c r="B612" s="6" t="s">
        <v>2793</v>
      </c>
      <c r="C612" s="5">
        <f t="shared" si="1"/>
        <v>12</v>
      </c>
      <c r="D612" s="1" t="s">
        <v>12</v>
      </c>
      <c r="E612" s="1" t="s">
        <v>1851</v>
      </c>
      <c r="F612" s="1" t="s">
        <v>17</v>
      </c>
      <c r="G612" s="1" t="s">
        <v>2128</v>
      </c>
      <c r="H612" s="5">
        <f t="shared" si="2"/>
        <v>0.4026</v>
      </c>
      <c r="I612" s="1" t="s">
        <v>5589</v>
      </c>
      <c r="J612" s="1">
        <f t="shared" si="3"/>
        <v>44.385878</v>
      </c>
      <c r="K612" s="1" t="s">
        <v>2233</v>
      </c>
      <c r="L612" s="5">
        <f t="shared" si="4"/>
        <v>0.155</v>
      </c>
      <c r="M612" s="6" t="s">
        <v>3637</v>
      </c>
      <c r="N612" s="5">
        <f t="shared" si="5"/>
        <v>131</v>
      </c>
    </row>
    <row r="613">
      <c r="A613" s="6" t="s">
        <v>5010</v>
      </c>
      <c r="B613" s="6" t="s">
        <v>2793</v>
      </c>
      <c r="C613" s="5">
        <f t="shared" si="1"/>
        <v>12</v>
      </c>
      <c r="D613" s="1" t="s">
        <v>12</v>
      </c>
      <c r="E613" s="1" t="s">
        <v>5590</v>
      </c>
      <c r="F613" s="1" t="s">
        <v>39</v>
      </c>
      <c r="G613" s="1" t="s">
        <v>5591</v>
      </c>
      <c r="H613" s="5">
        <f t="shared" si="2"/>
        <v>0.5818</v>
      </c>
      <c r="I613" s="1" t="s">
        <v>5592</v>
      </c>
      <c r="J613" s="1">
        <f t="shared" si="3"/>
        <v>34.264124</v>
      </c>
      <c r="K613" s="1" t="s">
        <v>1633</v>
      </c>
      <c r="L613" s="5">
        <f t="shared" si="4"/>
        <v>0.0698</v>
      </c>
      <c r="M613" s="6" t="s">
        <v>2708</v>
      </c>
      <c r="N613" s="5">
        <f t="shared" si="5"/>
        <v>75</v>
      </c>
    </row>
    <row r="614">
      <c r="A614" s="6" t="s">
        <v>5010</v>
      </c>
      <c r="B614" s="6" t="s">
        <v>2793</v>
      </c>
      <c r="C614" s="5">
        <f t="shared" si="1"/>
        <v>12</v>
      </c>
      <c r="D614" s="1" t="s">
        <v>68</v>
      </c>
      <c r="E614" s="1" t="s">
        <v>13</v>
      </c>
      <c r="F614" s="1" t="s">
        <v>14</v>
      </c>
      <c r="G614" s="1" t="s">
        <v>5593</v>
      </c>
      <c r="H614" s="5">
        <f t="shared" si="2"/>
        <v>14.0254</v>
      </c>
      <c r="I614" s="1" t="s">
        <v>5594</v>
      </c>
      <c r="J614" s="1">
        <f t="shared" si="3"/>
        <v>1104.694685</v>
      </c>
      <c r="K614" s="6" t="s">
        <v>6559</v>
      </c>
      <c r="L614" s="5">
        <f t="shared" si="4"/>
        <v>2.9453</v>
      </c>
      <c r="M614" s="6" t="s">
        <v>6560</v>
      </c>
      <c r="N614" s="5">
        <f t="shared" si="5"/>
        <v>2688</v>
      </c>
    </row>
    <row r="615">
      <c r="A615" s="6" t="s">
        <v>5010</v>
      </c>
      <c r="B615" s="6" t="s">
        <v>2793</v>
      </c>
      <c r="C615" s="5">
        <f t="shared" si="1"/>
        <v>12</v>
      </c>
      <c r="D615" s="1" t="s">
        <v>68</v>
      </c>
      <c r="E615" s="1" t="s">
        <v>13</v>
      </c>
      <c r="F615" s="1" t="s">
        <v>17</v>
      </c>
      <c r="G615" s="1" t="s">
        <v>5596</v>
      </c>
      <c r="H615" s="5">
        <f t="shared" si="2"/>
        <v>41.9372</v>
      </c>
      <c r="I615" s="1" t="s">
        <v>5597</v>
      </c>
      <c r="J615" s="1">
        <f t="shared" si="3"/>
        <v>5315.236504</v>
      </c>
      <c r="K615" s="1" t="s">
        <v>5598</v>
      </c>
      <c r="L615" s="5">
        <f t="shared" si="4"/>
        <v>14.678</v>
      </c>
      <c r="M615" s="6" t="s">
        <v>6561</v>
      </c>
      <c r="N615" s="5">
        <f t="shared" si="5"/>
        <v>7912</v>
      </c>
    </row>
    <row r="616">
      <c r="A616" s="6" t="s">
        <v>5010</v>
      </c>
      <c r="B616" s="6" t="s">
        <v>2793</v>
      </c>
      <c r="C616" s="5">
        <f t="shared" si="1"/>
        <v>12</v>
      </c>
      <c r="D616" s="1" t="s">
        <v>68</v>
      </c>
      <c r="E616" s="1" t="s">
        <v>13</v>
      </c>
      <c r="F616" s="1" t="s">
        <v>21</v>
      </c>
      <c r="G616" s="6" t="s">
        <v>6562</v>
      </c>
      <c r="H616" s="5">
        <f t="shared" si="2"/>
        <v>8.8174</v>
      </c>
      <c r="I616" s="1" t="s">
        <v>5600</v>
      </c>
      <c r="J616" s="1">
        <f t="shared" si="3"/>
        <v>1180.550683</v>
      </c>
      <c r="K616" s="1" t="s">
        <v>5602</v>
      </c>
      <c r="L616" s="5">
        <f t="shared" si="4"/>
        <v>4.336</v>
      </c>
      <c r="M616" s="6" t="s">
        <v>6563</v>
      </c>
      <c r="N616" s="5">
        <f t="shared" si="5"/>
        <v>3076</v>
      </c>
    </row>
    <row r="617">
      <c r="A617" s="6" t="s">
        <v>5010</v>
      </c>
      <c r="B617" s="6" t="s">
        <v>2793</v>
      </c>
      <c r="C617" s="5">
        <f t="shared" si="1"/>
        <v>12</v>
      </c>
      <c r="D617" s="1" t="s">
        <v>68</v>
      </c>
      <c r="E617" s="1" t="s">
        <v>29</v>
      </c>
      <c r="F617" s="1" t="s">
        <v>14</v>
      </c>
      <c r="G617" s="1" t="s">
        <v>5605</v>
      </c>
      <c r="H617" s="5">
        <f t="shared" si="2"/>
        <v>0.5592</v>
      </c>
      <c r="I617" s="1" t="s">
        <v>5606</v>
      </c>
      <c r="J617" s="1">
        <f t="shared" si="3"/>
        <v>70.359689</v>
      </c>
      <c r="K617" s="1" t="s">
        <v>5607</v>
      </c>
      <c r="L617" s="5">
        <f t="shared" si="4"/>
        <v>0.1119</v>
      </c>
      <c r="M617" s="6" t="s">
        <v>4215</v>
      </c>
      <c r="N617" s="5">
        <f t="shared" si="5"/>
        <v>229</v>
      </c>
    </row>
    <row r="618">
      <c r="A618" s="6" t="s">
        <v>5010</v>
      </c>
      <c r="B618" s="6" t="s">
        <v>2793</v>
      </c>
      <c r="C618" s="5">
        <f t="shared" si="1"/>
        <v>12</v>
      </c>
      <c r="D618" s="1" t="s">
        <v>68</v>
      </c>
      <c r="E618" s="1" t="s">
        <v>29</v>
      </c>
      <c r="F618" s="1" t="s">
        <v>21</v>
      </c>
      <c r="G618" s="1" t="s">
        <v>5608</v>
      </c>
      <c r="H618" s="5">
        <f t="shared" si="2"/>
        <v>13.1007</v>
      </c>
      <c r="I618" s="1" t="s">
        <v>5609</v>
      </c>
      <c r="J618" s="1">
        <f t="shared" si="3"/>
        <v>2332.304375</v>
      </c>
      <c r="K618" s="6" t="s">
        <v>6564</v>
      </c>
      <c r="L618" s="5">
        <f t="shared" si="4"/>
        <v>5.2404</v>
      </c>
      <c r="M618" s="6" t="s">
        <v>6565</v>
      </c>
      <c r="N618" s="5">
        <f t="shared" si="5"/>
        <v>2389</v>
      </c>
    </row>
    <row r="619">
      <c r="A619" s="6" t="s">
        <v>5010</v>
      </c>
      <c r="B619" s="6" t="s">
        <v>2793</v>
      </c>
      <c r="C619" s="5">
        <f t="shared" si="1"/>
        <v>12</v>
      </c>
      <c r="D619" s="1" t="s">
        <v>68</v>
      </c>
      <c r="E619" s="1" t="s">
        <v>45</v>
      </c>
      <c r="F619" s="1" t="s">
        <v>49</v>
      </c>
      <c r="G619" s="6" t="s">
        <v>5613</v>
      </c>
      <c r="H619" s="5">
        <f t="shared" si="2"/>
        <v>1.1649</v>
      </c>
      <c r="I619" s="1" t="s">
        <v>5615</v>
      </c>
      <c r="J619" s="1">
        <f t="shared" si="3"/>
        <v>74.095638</v>
      </c>
      <c r="K619" s="1" t="s">
        <v>5616</v>
      </c>
      <c r="L619" s="5">
        <f t="shared" si="4"/>
        <v>0.3029</v>
      </c>
      <c r="M619" s="6" t="s">
        <v>6405</v>
      </c>
      <c r="N619" s="5">
        <f t="shared" si="5"/>
        <v>120</v>
      </c>
    </row>
    <row r="620">
      <c r="A620" s="6" t="s">
        <v>5010</v>
      </c>
      <c r="B620" s="6" t="s">
        <v>2793</v>
      </c>
      <c r="C620" s="5">
        <f t="shared" si="1"/>
        <v>12</v>
      </c>
      <c r="D620" s="1" t="s">
        <v>68</v>
      </c>
      <c r="E620" s="1" t="s">
        <v>45</v>
      </c>
      <c r="F620" s="1" t="s">
        <v>17</v>
      </c>
      <c r="G620" s="6" t="s">
        <v>6566</v>
      </c>
      <c r="H620" s="5">
        <f t="shared" si="2"/>
        <v>9.7878</v>
      </c>
      <c r="I620" s="1" t="s">
        <v>5617</v>
      </c>
      <c r="J620" s="1">
        <f t="shared" si="3"/>
        <v>674.819854</v>
      </c>
      <c r="K620" s="6" t="s">
        <v>6567</v>
      </c>
      <c r="L620" s="5">
        <f t="shared" si="4"/>
        <v>3.5236</v>
      </c>
      <c r="M620" s="6" t="s">
        <v>6568</v>
      </c>
      <c r="N620" s="5">
        <f t="shared" si="5"/>
        <v>1357</v>
      </c>
    </row>
    <row r="621">
      <c r="A621" s="6" t="s">
        <v>5010</v>
      </c>
      <c r="B621" s="6" t="s">
        <v>2793</v>
      </c>
      <c r="C621" s="5">
        <f t="shared" si="1"/>
        <v>12</v>
      </c>
      <c r="D621" s="1" t="s">
        <v>68</v>
      </c>
      <c r="E621" s="1" t="s">
        <v>2104</v>
      </c>
      <c r="F621" s="1" t="s">
        <v>17</v>
      </c>
      <c r="G621" s="6" t="s">
        <v>6569</v>
      </c>
      <c r="H621" s="5">
        <f t="shared" si="2"/>
        <v>4.9301</v>
      </c>
      <c r="I621" s="1" t="s">
        <v>5619</v>
      </c>
      <c r="J621" s="1">
        <f t="shared" si="3"/>
        <v>253.993082</v>
      </c>
      <c r="K621" s="6" t="s">
        <v>6570</v>
      </c>
      <c r="L621" s="5">
        <f t="shared" si="4"/>
        <v>1.7255</v>
      </c>
      <c r="M621" s="6" t="s">
        <v>5810</v>
      </c>
      <c r="N621" s="5">
        <f t="shared" si="5"/>
        <v>686</v>
      </c>
    </row>
    <row r="622">
      <c r="A622" s="6" t="s">
        <v>5010</v>
      </c>
      <c r="B622" s="6" t="s">
        <v>2793</v>
      </c>
      <c r="C622" s="5">
        <f t="shared" si="1"/>
        <v>12</v>
      </c>
      <c r="D622" s="1" t="s">
        <v>68</v>
      </c>
      <c r="E622" s="1" t="s">
        <v>3962</v>
      </c>
      <c r="F622" s="1" t="s">
        <v>17</v>
      </c>
      <c r="G622" s="6" t="s">
        <v>6571</v>
      </c>
      <c r="H622" s="5">
        <f t="shared" si="2"/>
        <v>2.3783</v>
      </c>
      <c r="I622" s="1" t="s">
        <v>5622</v>
      </c>
      <c r="J622" s="1">
        <f t="shared" si="3"/>
        <v>211.175607</v>
      </c>
      <c r="K622" s="1" t="s">
        <v>5623</v>
      </c>
      <c r="L622" s="5">
        <f t="shared" si="4"/>
        <v>0.8324</v>
      </c>
      <c r="M622" s="6" t="s">
        <v>6572</v>
      </c>
      <c r="N622" s="5">
        <f t="shared" si="5"/>
        <v>1073</v>
      </c>
    </row>
    <row r="623">
      <c r="A623" s="6" t="s">
        <v>5010</v>
      </c>
      <c r="B623" s="6" t="s">
        <v>2793</v>
      </c>
      <c r="C623" s="5">
        <f t="shared" si="1"/>
        <v>12</v>
      </c>
      <c r="D623" s="1" t="s">
        <v>68</v>
      </c>
      <c r="E623" s="1" t="s">
        <v>42</v>
      </c>
      <c r="F623" s="1" t="s">
        <v>17</v>
      </c>
      <c r="G623" s="1" t="s">
        <v>5624</v>
      </c>
      <c r="H623" s="5">
        <f t="shared" si="2"/>
        <v>0.6349</v>
      </c>
      <c r="I623" s="1" t="s">
        <v>5625</v>
      </c>
      <c r="J623" s="1">
        <f t="shared" si="3"/>
        <v>140.682445</v>
      </c>
      <c r="K623" s="1" t="s">
        <v>1463</v>
      </c>
      <c r="L623" s="5">
        <f t="shared" si="4"/>
        <v>0.2349</v>
      </c>
      <c r="M623" s="6" t="s">
        <v>291</v>
      </c>
      <c r="N623" s="5">
        <f t="shared" si="5"/>
        <v>0</v>
      </c>
    </row>
    <row r="624">
      <c r="A624" s="6" t="s">
        <v>5010</v>
      </c>
      <c r="B624" s="6" t="s">
        <v>2793</v>
      </c>
      <c r="C624" s="5">
        <f t="shared" si="1"/>
        <v>12</v>
      </c>
      <c r="D624" s="1" t="s">
        <v>68</v>
      </c>
      <c r="E624" s="1" t="s">
        <v>38</v>
      </c>
      <c r="F624" s="1" t="s">
        <v>39</v>
      </c>
      <c r="G624" s="6" t="s">
        <v>6573</v>
      </c>
      <c r="H624" s="5">
        <f t="shared" si="2"/>
        <v>1.9166</v>
      </c>
      <c r="I624" s="1" t="s">
        <v>5626</v>
      </c>
      <c r="J624" s="1">
        <f t="shared" si="3"/>
        <v>127.604833</v>
      </c>
      <c r="K624" s="1" t="s">
        <v>454</v>
      </c>
      <c r="L624" s="5">
        <f t="shared" si="4"/>
        <v>0.3449</v>
      </c>
      <c r="M624" s="6" t="s">
        <v>6574</v>
      </c>
      <c r="N624" s="5">
        <f t="shared" si="5"/>
        <v>946</v>
      </c>
    </row>
    <row r="625">
      <c r="A625" s="6" t="s">
        <v>5010</v>
      </c>
      <c r="B625" s="6" t="s">
        <v>2793</v>
      </c>
      <c r="C625" s="5">
        <f t="shared" si="1"/>
        <v>12</v>
      </c>
      <c r="D625" s="1" t="s">
        <v>68</v>
      </c>
      <c r="E625" s="1" t="s">
        <v>48</v>
      </c>
      <c r="F625" s="1" t="s">
        <v>21</v>
      </c>
      <c r="G625" s="1" t="s">
        <v>5628</v>
      </c>
      <c r="H625" s="5">
        <f t="shared" si="2"/>
        <v>0.4561</v>
      </c>
      <c r="I625" s="1" t="s">
        <v>5629</v>
      </c>
      <c r="J625" s="1">
        <f t="shared" si="3"/>
        <v>100.668722</v>
      </c>
      <c r="K625" s="1" t="s">
        <v>5630</v>
      </c>
      <c r="L625" s="5">
        <f t="shared" si="4"/>
        <v>0.1824</v>
      </c>
      <c r="M625" s="6" t="s">
        <v>6575</v>
      </c>
      <c r="N625" s="5">
        <f t="shared" si="5"/>
        <v>244</v>
      </c>
    </row>
    <row r="626">
      <c r="A626" s="6" t="s">
        <v>5010</v>
      </c>
      <c r="B626" s="6" t="s">
        <v>2793</v>
      </c>
      <c r="C626" s="5">
        <f t="shared" si="1"/>
        <v>12</v>
      </c>
      <c r="D626" s="1" t="s">
        <v>68</v>
      </c>
      <c r="E626" s="1" t="s">
        <v>4955</v>
      </c>
      <c r="F626" s="1" t="s">
        <v>49</v>
      </c>
      <c r="G626" s="1" t="s">
        <v>5632</v>
      </c>
      <c r="H626" s="5">
        <f t="shared" si="2"/>
        <v>0.9816</v>
      </c>
      <c r="I626" s="1" t="s">
        <v>5634</v>
      </c>
      <c r="J626" s="1">
        <f t="shared" si="3"/>
        <v>92.915289</v>
      </c>
      <c r="K626" s="1" t="s">
        <v>5635</v>
      </c>
      <c r="L626" s="5">
        <f t="shared" si="4"/>
        <v>0.2454</v>
      </c>
      <c r="M626" s="6" t="s">
        <v>231</v>
      </c>
      <c r="N626" s="5">
        <f t="shared" si="5"/>
        <v>547</v>
      </c>
    </row>
    <row r="627">
      <c r="A627" s="6" t="s">
        <v>5010</v>
      </c>
      <c r="B627" s="6" t="s">
        <v>2793</v>
      </c>
      <c r="C627" s="5">
        <f t="shared" si="1"/>
        <v>12</v>
      </c>
      <c r="D627" s="1" t="s">
        <v>68</v>
      </c>
      <c r="E627" s="1" t="s">
        <v>4929</v>
      </c>
      <c r="F627" s="1" t="s">
        <v>21</v>
      </c>
      <c r="G627" s="1" t="s">
        <v>5158</v>
      </c>
      <c r="H627" s="5">
        <f t="shared" si="2"/>
        <v>0.1945</v>
      </c>
      <c r="I627" s="1" t="s">
        <v>5638</v>
      </c>
      <c r="J627" s="1">
        <f t="shared" si="3"/>
        <v>41.641205</v>
      </c>
      <c r="K627" s="1" t="s">
        <v>5640</v>
      </c>
      <c r="L627" s="5">
        <f t="shared" si="4"/>
        <v>0.0778</v>
      </c>
      <c r="M627" s="6" t="s">
        <v>291</v>
      </c>
      <c r="N627" s="5">
        <f t="shared" si="5"/>
        <v>0</v>
      </c>
    </row>
    <row r="628">
      <c r="A628" s="6" t="s">
        <v>5010</v>
      </c>
      <c r="B628" s="6" t="s">
        <v>2793</v>
      </c>
      <c r="C628" s="5">
        <f t="shared" si="1"/>
        <v>12</v>
      </c>
      <c r="D628" s="1" t="s">
        <v>116</v>
      </c>
      <c r="E628" s="1" t="s">
        <v>13</v>
      </c>
      <c r="F628" s="1" t="s">
        <v>14</v>
      </c>
      <c r="G628" s="1" t="s">
        <v>5641</v>
      </c>
      <c r="H628" s="5">
        <f t="shared" si="2"/>
        <v>27.5368</v>
      </c>
      <c r="I628" s="1" t="s">
        <v>5642</v>
      </c>
      <c r="J628" s="1">
        <f t="shared" si="3"/>
        <v>2257.732329</v>
      </c>
      <c r="K628" s="6" t="s">
        <v>6576</v>
      </c>
      <c r="L628" s="5">
        <f t="shared" si="4"/>
        <v>5.7828</v>
      </c>
      <c r="M628" s="6" t="s">
        <v>6577</v>
      </c>
      <c r="N628" s="5">
        <f t="shared" si="5"/>
        <v>4364</v>
      </c>
    </row>
    <row r="629">
      <c r="A629" s="6" t="s">
        <v>5010</v>
      </c>
      <c r="B629" s="6" t="s">
        <v>2793</v>
      </c>
      <c r="C629" s="5">
        <f t="shared" si="1"/>
        <v>12</v>
      </c>
      <c r="D629" s="1" t="s">
        <v>116</v>
      </c>
      <c r="E629" s="1" t="s">
        <v>13</v>
      </c>
      <c r="F629" s="1" t="s">
        <v>17</v>
      </c>
      <c r="G629" s="1" t="s">
        <v>5644</v>
      </c>
      <c r="H629" s="5">
        <f t="shared" si="2"/>
        <v>124.5474</v>
      </c>
      <c r="I629" s="1" t="s">
        <v>5645</v>
      </c>
      <c r="J629" s="1">
        <f t="shared" si="3"/>
        <v>14747.01497</v>
      </c>
      <c r="K629" s="1" t="s">
        <v>5647</v>
      </c>
      <c r="L629" s="5">
        <f t="shared" si="4"/>
        <v>43.5916</v>
      </c>
      <c r="M629" s="6" t="s">
        <v>6578</v>
      </c>
      <c r="N629" s="5">
        <f t="shared" si="5"/>
        <v>16029</v>
      </c>
    </row>
    <row r="630">
      <c r="A630" s="6" t="s">
        <v>5010</v>
      </c>
      <c r="B630" s="6" t="s">
        <v>2793</v>
      </c>
      <c r="C630" s="5">
        <f t="shared" si="1"/>
        <v>12</v>
      </c>
      <c r="D630" s="1" t="s">
        <v>116</v>
      </c>
      <c r="E630" s="1" t="s">
        <v>13</v>
      </c>
      <c r="F630" s="1" t="s">
        <v>21</v>
      </c>
      <c r="G630" s="1" t="s">
        <v>5648</v>
      </c>
      <c r="H630" s="5">
        <f t="shared" si="2"/>
        <v>22.1265</v>
      </c>
      <c r="I630" s="1" t="s">
        <v>5649</v>
      </c>
      <c r="J630" s="1">
        <f t="shared" si="3"/>
        <v>2942.582832</v>
      </c>
      <c r="K630" s="6" t="s">
        <v>6579</v>
      </c>
      <c r="L630" s="5">
        <f t="shared" si="4"/>
        <v>10.9131</v>
      </c>
      <c r="M630" s="6" t="s">
        <v>6580</v>
      </c>
      <c r="N630" s="5">
        <f t="shared" si="5"/>
        <v>6072</v>
      </c>
    </row>
    <row r="631">
      <c r="A631" s="6" t="s">
        <v>5010</v>
      </c>
      <c r="B631" s="6" t="s">
        <v>2793</v>
      </c>
      <c r="C631" s="5">
        <f t="shared" si="1"/>
        <v>12</v>
      </c>
      <c r="D631" s="1" t="s">
        <v>116</v>
      </c>
      <c r="E631" s="1" t="s">
        <v>13</v>
      </c>
      <c r="F631" s="1" t="s">
        <v>25</v>
      </c>
      <c r="G631" s="1" t="s">
        <v>2091</v>
      </c>
      <c r="H631" s="5">
        <f t="shared" si="2"/>
        <v>0.0249</v>
      </c>
      <c r="I631" s="1" t="s">
        <v>5392</v>
      </c>
      <c r="J631" s="1">
        <f t="shared" si="3"/>
        <v>5.149395</v>
      </c>
      <c r="K631" s="1" t="s">
        <v>5393</v>
      </c>
      <c r="L631" s="5">
        <f t="shared" si="4"/>
        <v>0.0187</v>
      </c>
      <c r="M631" s="6" t="s">
        <v>2521</v>
      </c>
      <c r="N631" s="5">
        <f t="shared" si="5"/>
        <v>6</v>
      </c>
    </row>
    <row r="632">
      <c r="A632" s="6" t="s">
        <v>5010</v>
      </c>
      <c r="B632" s="6" t="s">
        <v>2793</v>
      </c>
      <c r="C632" s="5">
        <f t="shared" si="1"/>
        <v>12</v>
      </c>
      <c r="D632" s="1" t="s">
        <v>116</v>
      </c>
      <c r="E632" s="1" t="s">
        <v>29</v>
      </c>
      <c r="F632" s="1" t="s">
        <v>14</v>
      </c>
      <c r="G632" s="6" t="s">
        <v>6581</v>
      </c>
      <c r="H632" s="5">
        <f t="shared" si="2"/>
        <v>1.3947</v>
      </c>
      <c r="I632" s="1" t="s">
        <v>5650</v>
      </c>
      <c r="J632" s="1">
        <f t="shared" si="3"/>
        <v>182.294011</v>
      </c>
      <c r="K632" s="1" t="s">
        <v>1447</v>
      </c>
      <c r="L632" s="5">
        <f t="shared" si="4"/>
        <v>0.2789</v>
      </c>
      <c r="M632" s="6" t="s">
        <v>6582</v>
      </c>
      <c r="N632" s="5">
        <f t="shared" si="5"/>
        <v>295</v>
      </c>
    </row>
    <row r="633">
      <c r="A633" s="6" t="s">
        <v>5010</v>
      </c>
      <c r="B633" s="6" t="s">
        <v>2793</v>
      </c>
      <c r="C633" s="5">
        <f t="shared" si="1"/>
        <v>12</v>
      </c>
      <c r="D633" s="1" t="s">
        <v>116</v>
      </c>
      <c r="E633" s="1" t="s">
        <v>29</v>
      </c>
      <c r="F633" s="1" t="s">
        <v>21</v>
      </c>
      <c r="G633" s="1" t="s">
        <v>5651</v>
      </c>
      <c r="H633" s="5">
        <f t="shared" si="2"/>
        <v>50.754</v>
      </c>
      <c r="I633" s="1" t="s">
        <v>5652</v>
      </c>
      <c r="J633" s="1">
        <f t="shared" si="3"/>
        <v>9074.154704</v>
      </c>
      <c r="K633" s="1" t="s">
        <v>5653</v>
      </c>
      <c r="L633" s="5">
        <f t="shared" si="4"/>
        <v>20.3016</v>
      </c>
      <c r="M633" s="6" t="s">
        <v>6583</v>
      </c>
      <c r="N633" s="5">
        <f t="shared" si="5"/>
        <v>8459</v>
      </c>
    </row>
    <row r="634">
      <c r="A634" s="6" t="s">
        <v>5010</v>
      </c>
      <c r="B634" s="6" t="s">
        <v>2793</v>
      </c>
      <c r="C634" s="5">
        <f t="shared" si="1"/>
        <v>12</v>
      </c>
      <c r="D634" s="1" t="s">
        <v>116</v>
      </c>
      <c r="E634" s="1" t="s">
        <v>45</v>
      </c>
      <c r="F634" s="1" t="s">
        <v>49</v>
      </c>
      <c r="G634" s="6" t="s">
        <v>6584</v>
      </c>
      <c r="H634" s="5">
        <f t="shared" si="2"/>
        <v>3.4787</v>
      </c>
      <c r="I634" s="1" t="s">
        <v>5654</v>
      </c>
      <c r="J634" s="1">
        <f t="shared" si="3"/>
        <v>220.706441</v>
      </c>
      <c r="K634" s="1" t="s">
        <v>5655</v>
      </c>
      <c r="L634" s="5">
        <f t="shared" si="4"/>
        <v>0.9045</v>
      </c>
      <c r="M634" s="6" t="s">
        <v>6585</v>
      </c>
      <c r="N634" s="5">
        <f t="shared" si="5"/>
        <v>354</v>
      </c>
    </row>
    <row r="635">
      <c r="A635" s="6" t="s">
        <v>5010</v>
      </c>
      <c r="B635" s="6" t="s">
        <v>2793</v>
      </c>
      <c r="C635" s="5">
        <f t="shared" si="1"/>
        <v>12</v>
      </c>
      <c r="D635" s="1" t="s">
        <v>116</v>
      </c>
      <c r="E635" s="1" t="s">
        <v>45</v>
      </c>
      <c r="F635" s="1" t="s">
        <v>17</v>
      </c>
      <c r="G635" s="1" t="s">
        <v>5656</v>
      </c>
      <c r="H635" s="5">
        <f t="shared" si="2"/>
        <v>24.7325</v>
      </c>
      <c r="I635" s="1" t="s">
        <v>5657</v>
      </c>
      <c r="J635" s="1">
        <f t="shared" si="3"/>
        <v>1815.368418</v>
      </c>
      <c r="K635" s="6" t="s">
        <v>6586</v>
      </c>
      <c r="L635" s="5">
        <f t="shared" si="4"/>
        <v>8.9037</v>
      </c>
      <c r="M635" s="6" t="s">
        <v>6587</v>
      </c>
      <c r="N635" s="5">
        <f t="shared" si="5"/>
        <v>1841</v>
      </c>
    </row>
    <row r="636">
      <c r="A636" s="6" t="s">
        <v>5010</v>
      </c>
      <c r="B636" s="6" t="s">
        <v>2793</v>
      </c>
      <c r="C636" s="5">
        <f t="shared" si="1"/>
        <v>12</v>
      </c>
      <c r="D636" s="1" t="s">
        <v>116</v>
      </c>
      <c r="E636" s="1" t="s">
        <v>3962</v>
      </c>
      <c r="F636" s="1" t="s">
        <v>17</v>
      </c>
      <c r="G636" s="1" t="s">
        <v>5659</v>
      </c>
      <c r="H636" s="5">
        <f t="shared" si="2"/>
        <v>13.8492</v>
      </c>
      <c r="I636" s="1" t="s">
        <v>5660</v>
      </c>
      <c r="J636" s="1">
        <f t="shared" si="3"/>
        <v>1260.041579</v>
      </c>
      <c r="K636" s="6" t="s">
        <v>6588</v>
      </c>
      <c r="L636" s="5">
        <f t="shared" si="4"/>
        <v>4.8472</v>
      </c>
      <c r="M636" s="6" t="s">
        <v>6589</v>
      </c>
      <c r="N636" s="5">
        <f t="shared" si="5"/>
        <v>3776</v>
      </c>
    </row>
    <row r="637">
      <c r="A637" s="6" t="s">
        <v>5010</v>
      </c>
      <c r="B637" s="6" t="s">
        <v>2793</v>
      </c>
      <c r="C637" s="5">
        <f t="shared" si="1"/>
        <v>12</v>
      </c>
      <c r="D637" s="1" t="s">
        <v>116</v>
      </c>
      <c r="E637" s="1" t="s">
        <v>48</v>
      </c>
      <c r="F637" s="1" t="s">
        <v>72</v>
      </c>
      <c r="G637" s="1" t="s">
        <v>5663</v>
      </c>
      <c r="H637" s="5">
        <f t="shared" si="2"/>
        <v>0.0155</v>
      </c>
      <c r="I637" s="1" t="s">
        <v>5664</v>
      </c>
      <c r="J637" s="1">
        <f t="shared" si="3"/>
        <v>4.619411</v>
      </c>
      <c r="K637" s="1" t="s">
        <v>1717</v>
      </c>
      <c r="L637" s="5">
        <f t="shared" si="4"/>
        <v>0.0046</v>
      </c>
      <c r="M637" s="6" t="s">
        <v>3601</v>
      </c>
      <c r="N637" s="5">
        <f t="shared" si="5"/>
        <v>14</v>
      </c>
    </row>
    <row r="638">
      <c r="A638" s="6" t="s">
        <v>5010</v>
      </c>
      <c r="B638" s="6" t="s">
        <v>2793</v>
      </c>
      <c r="C638" s="5">
        <f t="shared" si="1"/>
        <v>12</v>
      </c>
      <c r="D638" s="1" t="s">
        <v>116</v>
      </c>
      <c r="E638" s="1" t="s">
        <v>48</v>
      </c>
      <c r="F638" s="1" t="s">
        <v>21</v>
      </c>
      <c r="G638" s="6" t="s">
        <v>6590</v>
      </c>
      <c r="H638" s="5">
        <f t="shared" si="2"/>
        <v>3.6888</v>
      </c>
      <c r="I638" s="1" t="s">
        <v>5665</v>
      </c>
      <c r="J638" s="1">
        <f t="shared" si="3"/>
        <v>790.268994</v>
      </c>
      <c r="K638" s="6" t="s">
        <v>6591</v>
      </c>
      <c r="L638" s="5">
        <f t="shared" si="4"/>
        <v>1.4754</v>
      </c>
      <c r="M638" s="6" t="s">
        <v>6592</v>
      </c>
      <c r="N638" s="5">
        <f t="shared" si="5"/>
        <v>1083</v>
      </c>
    </row>
    <row r="639">
      <c r="A639" s="6" t="s">
        <v>5010</v>
      </c>
      <c r="B639" s="6" t="s">
        <v>2793</v>
      </c>
      <c r="C639" s="5">
        <f t="shared" si="1"/>
        <v>12</v>
      </c>
      <c r="D639" s="1" t="s">
        <v>116</v>
      </c>
      <c r="E639" s="1" t="s">
        <v>147</v>
      </c>
      <c r="F639" s="1" t="s">
        <v>39</v>
      </c>
      <c r="G639" s="6" t="s">
        <v>6593</v>
      </c>
      <c r="H639" s="5">
        <f t="shared" si="2"/>
        <v>1.3492</v>
      </c>
      <c r="I639" s="1" t="s">
        <v>5666</v>
      </c>
      <c r="J639" s="1">
        <f t="shared" si="3"/>
        <v>434.616644</v>
      </c>
      <c r="K639" s="1" t="s">
        <v>149</v>
      </c>
      <c r="L639" s="5">
        <f t="shared" si="4"/>
        <v>0.2563</v>
      </c>
      <c r="M639" s="6" t="s">
        <v>1510</v>
      </c>
      <c r="N639" s="5">
        <f t="shared" si="5"/>
        <v>108</v>
      </c>
    </row>
    <row r="640">
      <c r="A640" s="6" t="s">
        <v>5010</v>
      </c>
      <c r="B640" s="6" t="s">
        <v>2793</v>
      </c>
      <c r="C640" s="5">
        <f t="shared" si="1"/>
        <v>12</v>
      </c>
      <c r="D640" s="1" t="s">
        <v>116</v>
      </c>
      <c r="E640" s="1" t="s">
        <v>147</v>
      </c>
      <c r="F640" s="1" t="s">
        <v>17</v>
      </c>
      <c r="G640" s="1" t="s">
        <v>2801</v>
      </c>
      <c r="H640" s="5">
        <f t="shared" si="2"/>
        <v>0.013</v>
      </c>
      <c r="I640" s="1" t="s">
        <v>5667</v>
      </c>
      <c r="J640" s="1">
        <f t="shared" si="3"/>
        <v>6.659516</v>
      </c>
      <c r="K640" s="1" t="s">
        <v>5669</v>
      </c>
      <c r="L640" s="5">
        <f t="shared" si="4"/>
        <v>0.0045</v>
      </c>
      <c r="M640" s="6" t="s">
        <v>273</v>
      </c>
      <c r="N640" s="5">
        <f t="shared" si="5"/>
        <v>4</v>
      </c>
    </row>
    <row r="641">
      <c r="A641" s="6" t="s">
        <v>5010</v>
      </c>
      <c r="B641" s="6" t="s">
        <v>2793</v>
      </c>
      <c r="C641" s="5">
        <f t="shared" si="1"/>
        <v>12</v>
      </c>
      <c r="D641" s="1" t="s">
        <v>116</v>
      </c>
      <c r="E641" s="1" t="s">
        <v>147</v>
      </c>
      <c r="F641" s="1" t="s">
        <v>21</v>
      </c>
      <c r="G641" s="1" t="s">
        <v>5670</v>
      </c>
      <c r="H641" s="5">
        <f t="shared" si="2"/>
        <v>0.0574</v>
      </c>
      <c r="I641" s="1" t="s">
        <v>5671</v>
      </c>
      <c r="J641" s="1">
        <f t="shared" si="3"/>
        <v>30.069205</v>
      </c>
      <c r="K641" s="1" t="s">
        <v>5672</v>
      </c>
      <c r="L641" s="5">
        <f t="shared" si="4"/>
        <v>0.0287</v>
      </c>
      <c r="M641" s="6" t="s">
        <v>3670</v>
      </c>
      <c r="N641" s="5">
        <f t="shared" si="5"/>
        <v>43</v>
      </c>
    </row>
    <row r="642">
      <c r="A642" s="6" t="s">
        <v>5010</v>
      </c>
      <c r="B642" s="6" t="s">
        <v>2793</v>
      </c>
      <c r="C642" s="5">
        <f t="shared" si="1"/>
        <v>12</v>
      </c>
      <c r="D642" s="1" t="s">
        <v>116</v>
      </c>
      <c r="E642" s="1" t="s">
        <v>38</v>
      </c>
      <c r="F642" s="1" t="s">
        <v>39</v>
      </c>
      <c r="G642" s="6" t="s">
        <v>6594</v>
      </c>
      <c r="H642" s="5">
        <f t="shared" si="2"/>
        <v>5.3833</v>
      </c>
      <c r="I642" s="1" t="s">
        <v>5673</v>
      </c>
      <c r="J642" s="1">
        <f t="shared" si="3"/>
        <v>408.107014</v>
      </c>
      <c r="K642" s="1" t="s">
        <v>5675</v>
      </c>
      <c r="L642" s="5">
        <f t="shared" si="4"/>
        <v>0.969</v>
      </c>
      <c r="M642" s="6" t="s">
        <v>6595</v>
      </c>
      <c r="N642" s="5">
        <f t="shared" si="5"/>
        <v>1679</v>
      </c>
    </row>
    <row r="643">
      <c r="A643" s="6" t="s">
        <v>5010</v>
      </c>
      <c r="B643" s="6" t="s">
        <v>2793</v>
      </c>
      <c r="C643" s="5">
        <f t="shared" si="1"/>
        <v>12</v>
      </c>
      <c r="D643" s="1" t="s">
        <v>116</v>
      </c>
      <c r="E643" s="1" t="s">
        <v>2104</v>
      </c>
      <c r="F643" s="1" t="s">
        <v>17</v>
      </c>
      <c r="G643" s="6" t="s">
        <v>6596</v>
      </c>
      <c r="H643" s="5">
        <f t="shared" si="2"/>
        <v>7.3405</v>
      </c>
      <c r="I643" s="1" t="s">
        <v>5676</v>
      </c>
      <c r="J643" s="1">
        <f t="shared" si="3"/>
        <v>308.903722</v>
      </c>
      <c r="K643" s="6" t="s">
        <v>6597</v>
      </c>
      <c r="L643" s="5">
        <f t="shared" si="4"/>
        <v>2.5692</v>
      </c>
      <c r="M643" s="6" t="s">
        <v>6598</v>
      </c>
      <c r="N643" s="5">
        <f t="shared" si="5"/>
        <v>840</v>
      </c>
    </row>
    <row r="644">
      <c r="A644" s="6" t="s">
        <v>5010</v>
      </c>
      <c r="B644" s="6" t="s">
        <v>2793</v>
      </c>
      <c r="C644" s="5">
        <f t="shared" si="1"/>
        <v>12</v>
      </c>
      <c r="D644" s="1" t="s">
        <v>116</v>
      </c>
      <c r="E644" s="1" t="s">
        <v>42</v>
      </c>
      <c r="F644" s="1" t="s">
        <v>17</v>
      </c>
      <c r="G644" s="6" t="s">
        <v>6599</v>
      </c>
      <c r="H644" s="5">
        <f t="shared" si="2"/>
        <v>1.2131</v>
      </c>
      <c r="I644" s="1" t="s">
        <v>5677</v>
      </c>
      <c r="J644" s="1">
        <f t="shared" si="3"/>
        <v>257.234189</v>
      </c>
      <c r="K644" s="1" t="s">
        <v>5678</v>
      </c>
      <c r="L644" s="5">
        <f t="shared" si="4"/>
        <v>0.4488</v>
      </c>
      <c r="M644" s="6" t="s">
        <v>291</v>
      </c>
      <c r="N644" s="5">
        <f t="shared" si="5"/>
        <v>0</v>
      </c>
    </row>
    <row r="645">
      <c r="A645" s="6" t="s">
        <v>5010</v>
      </c>
      <c r="B645" s="6" t="s">
        <v>2793</v>
      </c>
      <c r="C645" s="5">
        <f t="shared" si="1"/>
        <v>12</v>
      </c>
      <c r="D645" s="1" t="s">
        <v>116</v>
      </c>
      <c r="E645" s="1" t="s">
        <v>165</v>
      </c>
      <c r="F645" s="1" t="s">
        <v>39</v>
      </c>
      <c r="G645" s="1" t="s">
        <v>5679</v>
      </c>
      <c r="H645" s="5">
        <f t="shared" si="2"/>
        <v>0.2321</v>
      </c>
      <c r="I645" s="1" t="s">
        <v>5680</v>
      </c>
      <c r="J645" s="1">
        <f t="shared" si="3"/>
        <v>71.738722</v>
      </c>
      <c r="K645" s="1" t="s">
        <v>4925</v>
      </c>
      <c r="L645" s="5">
        <f t="shared" si="4"/>
        <v>0.0418</v>
      </c>
      <c r="M645" s="6" t="s">
        <v>291</v>
      </c>
      <c r="N645" s="5">
        <f t="shared" si="5"/>
        <v>0</v>
      </c>
    </row>
    <row r="646">
      <c r="A646" s="6" t="s">
        <v>5010</v>
      </c>
      <c r="B646" s="6" t="s">
        <v>2793</v>
      </c>
      <c r="C646" s="5">
        <f t="shared" si="1"/>
        <v>12</v>
      </c>
      <c r="D646" s="1" t="s">
        <v>116</v>
      </c>
      <c r="E646" s="1" t="s">
        <v>165</v>
      </c>
      <c r="F646" s="1" t="s">
        <v>17</v>
      </c>
      <c r="G646" s="1" t="s">
        <v>5681</v>
      </c>
      <c r="H646" s="5">
        <f t="shared" si="2"/>
        <v>0.4155</v>
      </c>
      <c r="I646" s="1" t="s">
        <v>5682</v>
      </c>
      <c r="J646" s="1">
        <f t="shared" si="3"/>
        <v>138.916582</v>
      </c>
      <c r="K646" s="1" t="s">
        <v>1281</v>
      </c>
      <c r="L646" s="5">
        <f t="shared" si="4"/>
        <v>0.1454</v>
      </c>
      <c r="M646" s="6" t="s">
        <v>291</v>
      </c>
      <c r="N646" s="5">
        <f t="shared" si="5"/>
        <v>0</v>
      </c>
    </row>
    <row r="647">
      <c r="A647" s="6" t="s">
        <v>5010</v>
      </c>
      <c r="B647" s="6" t="s">
        <v>186</v>
      </c>
      <c r="C647" s="5">
        <f t="shared" si="1"/>
        <v>1</v>
      </c>
      <c r="D647" s="1" t="s">
        <v>12</v>
      </c>
      <c r="E647" s="1" t="s">
        <v>13</v>
      </c>
      <c r="F647" s="1" t="s">
        <v>2230</v>
      </c>
      <c r="G647" s="6" t="s">
        <v>5683</v>
      </c>
      <c r="H647" s="5">
        <f t="shared" si="2"/>
        <v>10.0537</v>
      </c>
      <c r="I647" s="1" t="s">
        <v>5684</v>
      </c>
      <c r="J647" s="1">
        <f t="shared" si="3"/>
        <v>732.9798</v>
      </c>
      <c r="K647" s="6" t="s">
        <v>5685</v>
      </c>
      <c r="L647" s="5">
        <f t="shared" si="4"/>
        <v>2.0107</v>
      </c>
      <c r="M647" s="6" t="s">
        <v>5914</v>
      </c>
      <c r="N647" s="5">
        <f t="shared" si="5"/>
        <v>411</v>
      </c>
    </row>
    <row r="648">
      <c r="A648" s="6" t="s">
        <v>5010</v>
      </c>
      <c r="B648" s="6" t="s">
        <v>186</v>
      </c>
      <c r="C648" s="5">
        <f t="shared" si="1"/>
        <v>1</v>
      </c>
      <c r="D648" s="1" t="s">
        <v>68</v>
      </c>
      <c r="E648" s="1" t="s">
        <v>13</v>
      </c>
      <c r="F648" s="1" t="s">
        <v>2230</v>
      </c>
      <c r="G648" s="6" t="s">
        <v>5686</v>
      </c>
      <c r="H648" s="5">
        <f t="shared" si="2"/>
        <v>6.1788</v>
      </c>
      <c r="I648" s="1" t="s">
        <v>5687</v>
      </c>
      <c r="J648" s="1">
        <f t="shared" si="3"/>
        <v>460.2065</v>
      </c>
      <c r="K648" s="6" t="s">
        <v>6600</v>
      </c>
      <c r="L648" s="5">
        <f t="shared" si="4"/>
        <v>1.2358</v>
      </c>
      <c r="M648" s="6" t="s">
        <v>6601</v>
      </c>
      <c r="N648" s="5">
        <f t="shared" si="5"/>
        <v>1101</v>
      </c>
    </row>
    <row r="649">
      <c r="A649" s="6" t="s">
        <v>5010</v>
      </c>
      <c r="B649" s="6" t="s">
        <v>186</v>
      </c>
      <c r="C649" s="5">
        <f t="shared" si="1"/>
        <v>1</v>
      </c>
      <c r="D649" s="1" t="s">
        <v>116</v>
      </c>
      <c r="E649" s="1" t="s">
        <v>13</v>
      </c>
      <c r="F649" s="1" t="s">
        <v>2230</v>
      </c>
      <c r="G649" s="1" t="s">
        <v>5688</v>
      </c>
      <c r="H649" s="5">
        <f t="shared" si="2"/>
        <v>17.2088</v>
      </c>
      <c r="I649" s="1" t="s">
        <v>5689</v>
      </c>
      <c r="J649" s="1">
        <f t="shared" si="3"/>
        <v>1310.1595</v>
      </c>
      <c r="K649" s="6" t="s">
        <v>6602</v>
      </c>
      <c r="L649" s="5">
        <f t="shared" si="4"/>
        <v>3.4417</v>
      </c>
      <c r="M649" s="6" t="s">
        <v>6603</v>
      </c>
      <c r="N649" s="5">
        <f t="shared" si="5"/>
        <v>1929</v>
      </c>
    </row>
    <row r="650">
      <c r="A650" s="6" t="s">
        <v>5010</v>
      </c>
      <c r="B650" s="6" t="s">
        <v>397</v>
      </c>
      <c r="C650" s="5">
        <f t="shared" si="1"/>
        <v>2</v>
      </c>
      <c r="D650" s="1" t="s">
        <v>12</v>
      </c>
      <c r="E650" s="1" t="s">
        <v>13</v>
      </c>
      <c r="F650" s="1" t="s">
        <v>2230</v>
      </c>
      <c r="G650" s="6" t="s">
        <v>6604</v>
      </c>
      <c r="H650" s="5">
        <f t="shared" si="2"/>
        <v>9.7913</v>
      </c>
      <c r="I650" s="1" t="s">
        <v>5690</v>
      </c>
      <c r="J650" s="1">
        <f t="shared" si="3"/>
        <v>666.1454</v>
      </c>
      <c r="K650" s="6" t="s">
        <v>6605</v>
      </c>
      <c r="L650" s="5">
        <f t="shared" si="4"/>
        <v>1.9584</v>
      </c>
      <c r="M650" s="6" t="s">
        <v>6448</v>
      </c>
      <c r="N650" s="5">
        <f t="shared" si="5"/>
        <v>392</v>
      </c>
    </row>
    <row r="651">
      <c r="A651" s="6" t="s">
        <v>5010</v>
      </c>
      <c r="B651" s="6" t="s">
        <v>397</v>
      </c>
      <c r="C651" s="5">
        <f t="shared" si="1"/>
        <v>2</v>
      </c>
      <c r="D651" s="1" t="s">
        <v>68</v>
      </c>
      <c r="E651" s="1" t="s">
        <v>13</v>
      </c>
      <c r="F651" s="1" t="s">
        <v>2230</v>
      </c>
      <c r="G651" s="6" t="s">
        <v>6606</v>
      </c>
      <c r="H651" s="5">
        <f t="shared" si="2"/>
        <v>4.6616</v>
      </c>
      <c r="I651" s="1" t="s">
        <v>5691</v>
      </c>
      <c r="J651" s="1">
        <f t="shared" si="3"/>
        <v>367.6882</v>
      </c>
      <c r="K651" s="1" t="s">
        <v>5692</v>
      </c>
      <c r="L651" s="5">
        <f t="shared" si="4"/>
        <v>0.9324</v>
      </c>
      <c r="M651" s="6" t="s">
        <v>6607</v>
      </c>
      <c r="N651" s="5">
        <f t="shared" si="5"/>
        <v>843</v>
      </c>
    </row>
    <row r="652">
      <c r="A652" s="6" t="s">
        <v>5010</v>
      </c>
      <c r="B652" s="6" t="s">
        <v>397</v>
      </c>
      <c r="C652" s="5">
        <f t="shared" si="1"/>
        <v>2</v>
      </c>
      <c r="D652" s="1" t="s">
        <v>116</v>
      </c>
      <c r="E652" s="1" t="s">
        <v>13</v>
      </c>
      <c r="F652" s="1" t="s">
        <v>2230</v>
      </c>
      <c r="G652" s="6" t="s">
        <v>5694</v>
      </c>
      <c r="H652" s="5">
        <f t="shared" si="2"/>
        <v>12.1234</v>
      </c>
      <c r="I652" s="1" t="s">
        <v>5695</v>
      </c>
      <c r="J652" s="1">
        <f t="shared" si="3"/>
        <v>992.1755</v>
      </c>
      <c r="K652" s="6" t="s">
        <v>6608</v>
      </c>
      <c r="L652" s="5">
        <f t="shared" si="4"/>
        <v>2.4246</v>
      </c>
      <c r="M652" s="6" t="s">
        <v>6609</v>
      </c>
      <c r="N652" s="5">
        <f t="shared" si="5"/>
        <v>1624</v>
      </c>
    </row>
    <row r="653">
      <c r="A653" s="6" t="s">
        <v>5010</v>
      </c>
      <c r="B653" s="6" t="s">
        <v>2677</v>
      </c>
      <c r="C653" s="5">
        <f t="shared" si="1"/>
        <v>3</v>
      </c>
      <c r="D653" s="1" t="s">
        <v>12</v>
      </c>
      <c r="E653" s="1" t="s">
        <v>13</v>
      </c>
      <c r="F653" s="1" t="s">
        <v>2230</v>
      </c>
      <c r="G653" s="1" t="s">
        <v>5696</v>
      </c>
      <c r="H653" s="5">
        <f t="shared" si="2"/>
        <v>16.2433</v>
      </c>
      <c r="I653" s="1" t="s">
        <v>5697</v>
      </c>
      <c r="J653" s="1">
        <f t="shared" si="3"/>
        <v>1111.4856</v>
      </c>
      <c r="K653" s="6" t="s">
        <v>6610</v>
      </c>
      <c r="L653" s="5">
        <f t="shared" si="4"/>
        <v>3.2486</v>
      </c>
      <c r="M653" s="6" t="s">
        <v>6611</v>
      </c>
      <c r="N653" s="5">
        <f t="shared" si="5"/>
        <v>339</v>
      </c>
    </row>
    <row r="654">
      <c r="A654" s="6" t="s">
        <v>5010</v>
      </c>
      <c r="B654" s="6" t="s">
        <v>2677</v>
      </c>
      <c r="C654" s="5">
        <f t="shared" si="1"/>
        <v>3</v>
      </c>
      <c r="D654" s="1" t="s">
        <v>68</v>
      </c>
      <c r="E654" s="1" t="s">
        <v>13</v>
      </c>
      <c r="F654" s="1" t="s">
        <v>2230</v>
      </c>
      <c r="G654" s="6" t="s">
        <v>6612</v>
      </c>
      <c r="H654" s="5">
        <f t="shared" si="2"/>
        <v>3.9952</v>
      </c>
      <c r="I654" s="1" t="s">
        <v>5698</v>
      </c>
      <c r="J654" s="1">
        <f t="shared" si="3"/>
        <v>333.6765</v>
      </c>
      <c r="K654" s="1" t="s">
        <v>5699</v>
      </c>
      <c r="L654" s="5">
        <f t="shared" si="4"/>
        <v>0.7989</v>
      </c>
      <c r="M654" s="6" t="s">
        <v>2621</v>
      </c>
      <c r="N654" s="5">
        <f t="shared" si="5"/>
        <v>791</v>
      </c>
    </row>
    <row r="655">
      <c r="A655" s="6" t="s">
        <v>5010</v>
      </c>
      <c r="B655" s="6" t="s">
        <v>2677</v>
      </c>
      <c r="C655" s="5">
        <f t="shared" si="1"/>
        <v>3</v>
      </c>
      <c r="D655" s="1" t="s">
        <v>116</v>
      </c>
      <c r="E655" s="1" t="s">
        <v>13</v>
      </c>
      <c r="F655" s="1" t="s">
        <v>2230</v>
      </c>
      <c r="G655" s="1" t="s">
        <v>5700</v>
      </c>
      <c r="H655" s="5">
        <f t="shared" si="2"/>
        <v>18.5283</v>
      </c>
      <c r="I655" s="6" t="s">
        <v>5701</v>
      </c>
      <c r="J655" s="1">
        <f t="shared" si="3"/>
        <v>1307.2</v>
      </c>
      <c r="K655" s="6" t="s">
        <v>6613</v>
      </c>
      <c r="L655" s="5">
        <f t="shared" si="4"/>
        <v>3.7056</v>
      </c>
      <c r="M655" s="6" t="s">
        <v>6614</v>
      </c>
      <c r="N655" s="5">
        <f t="shared" si="5"/>
        <v>1466</v>
      </c>
    </row>
    <row r="656">
      <c r="A656" s="6" t="s">
        <v>5010</v>
      </c>
      <c r="B656" s="6" t="s">
        <v>273</v>
      </c>
      <c r="C656" s="5">
        <f t="shared" si="1"/>
        <v>4</v>
      </c>
      <c r="D656" s="1" t="s">
        <v>12</v>
      </c>
      <c r="E656" s="1" t="s">
        <v>13</v>
      </c>
      <c r="F656" s="1" t="s">
        <v>2230</v>
      </c>
      <c r="G656" s="6" t="s">
        <v>6615</v>
      </c>
      <c r="H656" s="5">
        <f t="shared" si="2"/>
        <v>7.3805</v>
      </c>
      <c r="I656" s="1" t="s">
        <v>5704</v>
      </c>
      <c r="J656" s="1">
        <f t="shared" si="3"/>
        <v>577.6599</v>
      </c>
      <c r="K656" s="6" t="s">
        <v>6616</v>
      </c>
      <c r="L656" s="5">
        <f t="shared" si="4"/>
        <v>1.4761</v>
      </c>
      <c r="M656" s="6" t="s">
        <v>3028</v>
      </c>
      <c r="N656" s="5">
        <f t="shared" si="5"/>
        <v>310</v>
      </c>
    </row>
    <row r="657">
      <c r="A657" s="6" t="s">
        <v>5010</v>
      </c>
      <c r="B657" s="6" t="s">
        <v>273</v>
      </c>
      <c r="C657" s="5">
        <f t="shared" si="1"/>
        <v>4</v>
      </c>
      <c r="D657" s="1" t="s">
        <v>68</v>
      </c>
      <c r="E657" s="1" t="s">
        <v>13</v>
      </c>
      <c r="F657" s="1" t="s">
        <v>2230</v>
      </c>
      <c r="G657" s="6" t="s">
        <v>6617</v>
      </c>
      <c r="H657" s="5">
        <f t="shared" si="2"/>
        <v>4.2591</v>
      </c>
      <c r="I657" s="1" t="s">
        <v>5706</v>
      </c>
      <c r="J657" s="1">
        <f t="shared" si="3"/>
        <v>348.504</v>
      </c>
      <c r="K657" s="1" t="s">
        <v>5707</v>
      </c>
      <c r="L657" s="5">
        <f t="shared" si="4"/>
        <v>0.8519</v>
      </c>
      <c r="M657" s="6" t="s">
        <v>3555</v>
      </c>
      <c r="N657" s="5">
        <f t="shared" si="5"/>
        <v>778</v>
      </c>
    </row>
    <row r="658">
      <c r="A658" s="6" t="s">
        <v>5010</v>
      </c>
      <c r="B658" s="6" t="s">
        <v>273</v>
      </c>
      <c r="C658" s="5">
        <f t="shared" si="1"/>
        <v>4</v>
      </c>
      <c r="D658" s="1" t="s">
        <v>116</v>
      </c>
      <c r="E658" s="1" t="s">
        <v>13</v>
      </c>
      <c r="F658" s="1" t="s">
        <v>2230</v>
      </c>
      <c r="G658" s="1" t="s">
        <v>5708</v>
      </c>
      <c r="H658" s="5">
        <f t="shared" si="2"/>
        <v>28.0066</v>
      </c>
      <c r="I658" s="1" t="s">
        <v>5709</v>
      </c>
      <c r="J658" s="1">
        <f t="shared" si="3"/>
        <v>1561.4301</v>
      </c>
      <c r="K658" s="6" t="s">
        <v>6618</v>
      </c>
      <c r="L658" s="5">
        <f t="shared" si="4"/>
        <v>5.6012</v>
      </c>
      <c r="M658" s="6" t="s">
        <v>5741</v>
      </c>
      <c r="N658" s="5">
        <f t="shared" si="5"/>
        <v>1607</v>
      </c>
    </row>
    <row r="659">
      <c r="A659" s="6" t="s">
        <v>5010</v>
      </c>
      <c r="B659" s="6" t="s">
        <v>3552</v>
      </c>
      <c r="C659" s="5">
        <f t="shared" si="1"/>
        <v>5</v>
      </c>
      <c r="D659" s="1" t="s">
        <v>12</v>
      </c>
      <c r="E659" s="1" t="s">
        <v>13</v>
      </c>
      <c r="F659" s="1" t="s">
        <v>2230</v>
      </c>
      <c r="G659" s="6" t="s">
        <v>6619</v>
      </c>
      <c r="H659" s="5">
        <f t="shared" si="2"/>
        <v>6.8373</v>
      </c>
      <c r="I659" s="1" t="s">
        <v>5713</v>
      </c>
      <c r="J659" s="1">
        <f t="shared" si="3"/>
        <v>551.1929</v>
      </c>
      <c r="K659" s="6" t="s">
        <v>6620</v>
      </c>
      <c r="L659" s="5">
        <f t="shared" si="4"/>
        <v>1.3675</v>
      </c>
      <c r="M659" s="6" t="s">
        <v>6102</v>
      </c>
      <c r="N659" s="5">
        <f t="shared" si="5"/>
        <v>312</v>
      </c>
    </row>
    <row r="660">
      <c r="A660" s="6" t="s">
        <v>5010</v>
      </c>
      <c r="B660" s="6" t="s">
        <v>3552</v>
      </c>
      <c r="C660" s="5">
        <f t="shared" si="1"/>
        <v>5</v>
      </c>
      <c r="D660" s="1" t="s">
        <v>68</v>
      </c>
      <c r="E660" s="1" t="s">
        <v>13</v>
      </c>
      <c r="F660" s="1" t="s">
        <v>2230</v>
      </c>
      <c r="G660" s="6" t="s">
        <v>6621</v>
      </c>
      <c r="H660" s="5">
        <f t="shared" si="2"/>
        <v>5.7555</v>
      </c>
      <c r="I660" s="1" t="s">
        <v>5715</v>
      </c>
      <c r="J660" s="1">
        <f t="shared" si="3"/>
        <v>467.6434</v>
      </c>
      <c r="K660" s="1" t="s">
        <v>5716</v>
      </c>
      <c r="L660" s="5">
        <f t="shared" si="4"/>
        <v>1.151</v>
      </c>
      <c r="M660" s="6" t="s">
        <v>6510</v>
      </c>
      <c r="N660" s="5">
        <f t="shared" si="5"/>
        <v>820</v>
      </c>
    </row>
    <row r="661">
      <c r="A661" s="6" t="s">
        <v>5010</v>
      </c>
      <c r="B661" s="6" t="s">
        <v>3552</v>
      </c>
      <c r="C661" s="5">
        <f t="shared" si="1"/>
        <v>5</v>
      </c>
      <c r="D661" s="1" t="s">
        <v>116</v>
      </c>
      <c r="E661" s="1" t="s">
        <v>13</v>
      </c>
      <c r="F661" s="1" t="s">
        <v>2230</v>
      </c>
      <c r="G661" s="1" t="s">
        <v>5718</v>
      </c>
      <c r="H661" s="5">
        <f t="shared" si="2"/>
        <v>14.3789</v>
      </c>
      <c r="I661" s="1" t="s">
        <v>5719</v>
      </c>
      <c r="J661" s="1">
        <f t="shared" si="3"/>
        <v>1050.2044</v>
      </c>
      <c r="K661" s="6" t="s">
        <v>6622</v>
      </c>
      <c r="L661" s="5">
        <f t="shared" si="4"/>
        <v>2.8758</v>
      </c>
      <c r="M661" s="6" t="s">
        <v>6623</v>
      </c>
      <c r="N661" s="5">
        <f t="shared" si="5"/>
        <v>1236</v>
      </c>
    </row>
    <row r="662">
      <c r="A662" s="6" t="s">
        <v>5010</v>
      </c>
      <c r="B662" s="6" t="s">
        <v>2521</v>
      </c>
      <c r="C662" s="5">
        <f t="shared" si="1"/>
        <v>6</v>
      </c>
      <c r="D662" s="1" t="s">
        <v>12</v>
      </c>
      <c r="E662" s="1" t="s">
        <v>13</v>
      </c>
      <c r="F662" s="1" t="s">
        <v>2230</v>
      </c>
      <c r="G662" s="1" t="s">
        <v>5721</v>
      </c>
      <c r="H662" s="5">
        <f t="shared" si="2"/>
        <v>5.748</v>
      </c>
      <c r="I662" s="1" t="s">
        <v>5723</v>
      </c>
      <c r="J662" s="1">
        <f t="shared" si="3"/>
        <v>460.8189</v>
      </c>
      <c r="K662" s="6" t="s">
        <v>5725</v>
      </c>
      <c r="L662" s="5">
        <f t="shared" si="4"/>
        <v>1.1496</v>
      </c>
      <c r="M662" s="6" t="s">
        <v>6624</v>
      </c>
      <c r="N662" s="5">
        <f t="shared" si="5"/>
        <v>315</v>
      </c>
    </row>
    <row r="663">
      <c r="A663" s="6" t="s">
        <v>5010</v>
      </c>
      <c r="B663" s="6" t="s">
        <v>2521</v>
      </c>
      <c r="C663" s="5">
        <f t="shared" si="1"/>
        <v>6</v>
      </c>
      <c r="D663" s="1" t="s">
        <v>68</v>
      </c>
      <c r="E663" s="1" t="s">
        <v>13</v>
      </c>
      <c r="F663" s="1" t="s">
        <v>2230</v>
      </c>
      <c r="G663" s="6" t="s">
        <v>6625</v>
      </c>
      <c r="H663" s="5">
        <f t="shared" si="2"/>
        <v>5.8024</v>
      </c>
      <c r="I663" s="1" t="s">
        <v>5727</v>
      </c>
      <c r="J663" s="1">
        <f t="shared" si="3"/>
        <v>436.7045</v>
      </c>
      <c r="K663" s="6" t="s">
        <v>5728</v>
      </c>
      <c r="L663" s="5">
        <f t="shared" si="4"/>
        <v>1.1605</v>
      </c>
      <c r="M663" s="6" t="s">
        <v>3715</v>
      </c>
      <c r="N663" s="5">
        <f t="shared" si="5"/>
        <v>846</v>
      </c>
    </row>
    <row r="664">
      <c r="A664" s="6" t="s">
        <v>5010</v>
      </c>
      <c r="B664" s="6" t="s">
        <v>2521</v>
      </c>
      <c r="C664" s="5">
        <f t="shared" si="1"/>
        <v>6</v>
      </c>
      <c r="D664" s="1" t="s">
        <v>116</v>
      </c>
      <c r="E664" s="1" t="s">
        <v>13</v>
      </c>
      <c r="F664" s="1" t="s">
        <v>2230</v>
      </c>
      <c r="G664" s="1" t="s">
        <v>5729</v>
      </c>
      <c r="H664" s="5">
        <f t="shared" si="2"/>
        <v>13.5144</v>
      </c>
      <c r="I664" s="1" t="s">
        <v>5730</v>
      </c>
      <c r="J664" s="1">
        <f t="shared" si="3"/>
        <v>1010.165</v>
      </c>
      <c r="K664" s="6" t="s">
        <v>6626</v>
      </c>
      <c r="L664" s="5">
        <f t="shared" si="4"/>
        <v>2.7029</v>
      </c>
      <c r="M664" s="6" t="s">
        <v>6627</v>
      </c>
      <c r="N664" s="5">
        <f t="shared" si="5"/>
        <v>1255</v>
      </c>
    </row>
    <row r="665">
      <c r="A665" s="6" t="s">
        <v>5010</v>
      </c>
      <c r="B665" s="6" t="s">
        <v>600</v>
      </c>
      <c r="C665" s="5">
        <f t="shared" si="1"/>
        <v>7</v>
      </c>
      <c r="D665" s="1" t="s">
        <v>12</v>
      </c>
      <c r="E665" s="1" t="s">
        <v>13</v>
      </c>
      <c r="F665" s="1" t="s">
        <v>2230</v>
      </c>
      <c r="G665" s="6" t="s">
        <v>6628</v>
      </c>
      <c r="H665" s="5">
        <f t="shared" si="2"/>
        <v>5.6314</v>
      </c>
      <c r="I665" s="1" t="s">
        <v>5755</v>
      </c>
      <c r="J665" s="1">
        <f t="shared" si="3"/>
        <v>432.3733</v>
      </c>
      <c r="K665" s="6" t="s">
        <v>5756</v>
      </c>
      <c r="L665" s="5">
        <f t="shared" si="4"/>
        <v>1.1262</v>
      </c>
      <c r="M665" s="6" t="s">
        <v>2698</v>
      </c>
      <c r="N665" s="5">
        <f t="shared" si="5"/>
        <v>301</v>
      </c>
    </row>
    <row r="666">
      <c r="A666" s="6" t="s">
        <v>5010</v>
      </c>
      <c r="B666" s="6" t="s">
        <v>600</v>
      </c>
      <c r="C666" s="5">
        <f t="shared" si="1"/>
        <v>7</v>
      </c>
      <c r="D666" s="1" t="s">
        <v>68</v>
      </c>
      <c r="E666" s="1" t="s">
        <v>13</v>
      </c>
      <c r="F666" s="1" t="s">
        <v>2230</v>
      </c>
      <c r="G666" s="6" t="s">
        <v>6629</v>
      </c>
      <c r="H666" s="5">
        <f t="shared" si="2"/>
        <v>3.7074</v>
      </c>
      <c r="I666" s="1" t="s">
        <v>5758</v>
      </c>
      <c r="J666" s="1">
        <f t="shared" si="3"/>
        <v>311.9152</v>
      </c>
      <c r="K666" s="1" t="s">
        <v>5759</v>
      </c>
      <c r="L666" s="5">
        <f t="shared" si="4"/>
        <v>0.7414</v>
      </c>
      <c r="M666" s="6" t="s">
        <v>6630</v>
      </c>
      <c r="N666" s="5">
        <f t="shared" si="5"/>
        <v>589</v>
      </c>
    </row>
    <row r="667">
      <c r="A667" s="6" t="s">
        <v>5010</v>
      </c>
      <c r="B667" s="6" t="s">
        <v>600</v>
      </c>
      <c r="C667" s="5">
        <f t="shared" si="1"/>
        <v>7</v>
      </c>
      <c r="D667" s="1" t="s">
        <v>116</v>
      </c>
      <c r="E667" s="1" t="s">
        <v>13</v>
      </c>
      <c r="F667" s="1" t="s">
        <v>2230</v>
      </c>
      <c r="G667" s="6" t="s">
        <v>6631</v>
      </c>
      <c r="H667" s="5">
        <f t="shared" si="2"/>
        <v>11.8435</v>
      </c>
      <c r="I667" s="1" t="s">
        <v>5760</v>
      </c>
      <c r="J667" s="1">
        <f t="shared" si="3"/>
        <v>894.3061</v>
      </c>
      <c r="K667" s="6" t="s">
        <v>6632</v>
      </c>
      <c r="L667" s="5">
        <f t="shared" si="4"/>
        <v>2.3686</v>
      </c>
      <c r="M667" s="6" t="s">
        <v>6633</v>
      </c>
      <c r="N667" s="5">
        <f t="shared" si="5"/>
        <v>1201</v>
      </c>
    </row>
    <row r="668">
      <c r="A668" s="6" t="s">
        <v>5010</v>
      </c>
      <c r="B668" s="6" t="s">
        <v>2672</v>
      </c>
      <c r="C668" s="5">
        <f t="shared" si="1"/>
        <v>8</v>
      </c>
      <c r="D668" s="1" t="s">
        <v>12</v>
      </c>
      <c r="E668" s="1" t="s">
        <v>13</v>
      </c>
      <c r="F668" s="1" t="s">
        <v>2230</v>
      </c>
      <c r="G668" s="6" t="s">
        <v>6634</v>
      </c>
      <c r="H668" s="5">
        <f t="shared" si="2"/>
        <v>4.9947</v>
      </c>
      <c r="I668" s="1" t="s">
        <v>5763</v>
      </c>
      <c r="J668" s="1">
        <f t="shared" si="3"/>
        <v>350.6479</v>
      </c>
      <c r="K668" s="1" t="s">
        <v>5764</v>
      </c>
      <c r="L668" s="5">
        <f t="shared" si="4"/>
        <v>0.9989</v>
      </c>
      <c r="M668" s="6" t="s">
        <v>6582</v>
      </c>
      <c r="N668" s="5">
        <f t="shared" si="5"/>
        <v>295</v>
      </c>
    </row>
    <row r="669">
      <c r="A669" s="6" t="s">
        <v>5010</v>
      </c>
      <c r="B669" s="6" t="s">
        <v>2672</v>
      </c>
      <c r="C669" s="5">
        <f t="shared" si="1"/>
        <v>8</v>
      </c>
      <c r="D669" s="1" t="s">
        <v>68</v>
      </c>
      <c r="E669" s="1" t="s">
        <v>13</v>
      </c>
      <c r="F669" s="1" t="s">
        <v>2230</v>
      </c>
      <c r="G669" s="6" t="s">
        <v>6635</v>
      </c>
      <c r="H669" s="5">
        <f t="shared" si="2"/>
        <v>3.7602</v>
      </c>
      <c r="I669" s="1" t="s">
        <v>5765</v>
      </c>
      <c r="J669" s="1">
        <f t="shared" si="3"/>
        <v>312.313</v>
      </c>
      <c r="K669" s="1" t="s">
        <v>5766</v>
      </c>
      <c r="L669" s="5">
        <f t="shared" si="4"/>
        <v>0.7519</v>
      </c>
      <c r="M669" s="6" t="s">
        <v>6636</v>
      </c>
      <c r="N669" s="5">
        <f t="shared" si="5"/>
        <v>813</v>
      </c>
    </row>
    <row r="670">
      <c r="A670" s="6" t="s">
        <v>5010</v>
      </c>
      <c r="B670" s="6" t="s">
        <v>2672</v>
      </c>
      <c r="C670" s="5">
        <f t="shared" si="1"/>
        <v>8</v>
      </c>
      <c r="D670" s="1" t="s">
        <v>116</v>
      </c>
      <c r="E670" s="1" t="s">
        <v>13</v>
      </c>
      <c r="F670" s="1" t="s">
        <v>2230</v>
      </c>
      <c r="G670" s="1" t="s">
        <v>5767</v>
      </c>
      <c r="H670" s="5">
        <f t="shared" si="2"/>
        <v>9.841</v>
      </c>
      <c r="I670" s="1" t="s">
        <v>5768</v>
      </c>
      <c r="J670" s="1">
        <f t="shared" si="3"/>
        <v>794.332</v>
      </c>
      <c r="K670" s="6" t="s">
        <v>6637</v>
      </c>
      <c r="L670" s="5">
        <f t="shared" si="4"/>
        <v>1.9682</v>
      </c>
      <c r="M670" s="6" t="s">
        <v>6633</v>
      </c>
      <c r="N670" s="5">
        <f t="shared" si="5"/>
        <v>1201</v>
      </c>
    </row>
    <row r="671">
      <c r="A671" s="6" t="s">
        <v>5010</v>
      </c>
      <c r="B671" s="6" t="s">
        <v>3927</v>
      </c>
      <c r="C671" s="5">
        <f t="shared" si="1"/>
        <v>9</v>
      </c>
      <c r="D671" s="1" t="s">
        <v>12</v>
      </c>
      <c r="E671" s="1" t="s">
        <v>13</v>
      </c>
      <c r="F671" s="1" t="s">
        <v>2230</v>
      </c>
      <c r="G671" s="6" t="s">
        <v>5083</v>
      </c>
      <c r="H671" s="5">
        <f t="shared" si="2"/>
        <v>2.8004</v>
      </c>
      <c r="I671" s="1" t="s">
        <v>5769</v>
      </c>
      <c r="J671" s="1">
        <f t="shared" si="3"/>
        <v>175.3501</v>
      </c>
      <c r="K671" s="1" t="s">
        <v>5770</v>
      </c>
      <c r="L671" s="5">
        <f t="shared" si="4"/>
        <v>0.5601</v>
      </c>
      <c r="M671" s="6" t="s">
        <v>3647</v>
      </c>
      <c r="N671" s="5">
        <f t="shared" si="5"/>
        <v>154</v>
      </c>
    </row>
    <row r="672">
      <c r="A672" s="6" t="s">
        <v>5010</v>
      </c>
      <c r="B672" s="6" t="s">
        <v>3927</v>
      </c>
      <c r="C672" s="5">
        <f t="shared" si="1"/>
        <v>9</v>
      </c>
      <c r="D672" s="1" t="s">
        <v>68</v>
      </c>
      <c r="E672" s="1" t="s">
        <v>13</v>
      </c>
      <c r="F672" s="1" t="s">
        <v>2230</v>
      </c>
      <c r="G672" s="6" t="s">
        <v>6638</v>
      </c>
      <c r="H672" s="5">
        <f t="shared" si="2"/>
        <v>1.9585</v>
      </c>
      <c r="I672" s="1" t="s">
        <v>5771</v>
      </c>
      <c r="J672" s="1">
        <f t="shared" si="3"/>
        <v>150.9338</v>
      </c>
      <c r="K672" s="1" t="s">
        <v>4968</v>
      </c>
      <c r="L672" s="5">
        <f t="shared" si="4"/>
        <v>0.3917</v>
      </c>
      <c r="M672" s="6" t="s">
        <v>6639</v>
      </c>
      <c r="N672" s="5">
        <f t="shared" si="5"/>
        <v>311</v>
      </c>
    </row>
    <row r="673">
      <c r="A673" s="6" t="s">
        <v>5010</v>
      </c>
      <c r="B673" s="6" t="s">
        <v>3927</v>
      </c>
      <c r="C673" s="5">
        <f t="shared" si="1"/>
        <v>9</v>
      </c>
      <c r="D673" s="1" t="s">
        <v>116</v>
      </c>
      <c r="E673" s="1" t="s">
        <v>13</v>
      </c>
      <c r="F673" s="1" t="s">
        <v>2230</v>
      </c>
      <c r="G673" s="6" t="s">
        <v>6640</v>
      </c>
      <c r="H673" s="5">
        <f t="shared" si="2"/>
        <v>7.5783</v>
      </c>
      <c r="I673" s="1" t="s">
        <v>5772</v>
      </c>
      <c r="J673" s="1">
        <f t="shared" si="3"/>
        <v>633.9507</v>
      </c>
      <c r="K673" s="6" t="s">
        <v>6641</v>
      </c>
      <c r="L673" s="5">
        <f t="shared" si="4"/>
        <v>1.5157</v>
      </c>
      <c r="M673" s="6" t="s">
        <v>6642</v>
      </c>
      <c r="N673" s="5">
        <f t="shared" si="5"/>
        <v>1050</v>
      </c>
    </row>
    <row r="674">
      <c r="A674" s="6" t="s">
        <v>5010</v>
      </c>
      <c r="B674" s="6" t="s">
        <v>557</v>
      </c>
      <c r="C674" s="5">
        <f t="shared" si="1"/>
        <v>10</v>
      </c>
      <c r="D674" s="1" t="s">
        <v>12</v>
      </c>
      <c r="E674" s="1" t="s">
        <v>13</v>
      </c>
      <c r="F674" s="1" t="s">
        <v>2230</v>
      </c>
      <c r="G674" s="1" t="s">
        <v>5773</v>
      </c>
      <c r="H674" s="5">
        <f t="shared" si="2"/>
        <v>0.5806</v>
      </c>
      <c r="I674" s="1" t="s">
        <v>5774</v>
      </c>
      <c r="J674" s="1">
        <f t="shared" si="3"/>
        <v>42.9389</v>
      </c>
      <c r="K674" s="1" t="s">
        <v>5776</v>
      </c>
      <c r="L674" s="5">
        <f t="shared" si="4"/>
        <v>0.1161</v>
      </c>
      <c r="M674" s="6" t="s">
        <v>3566</v>
      </c>
      <c r="N674" s="5">
        <f t="shared" si="5"/>
        <v>46</v>
      </c>
    </row>
    <row r="675">
      <c r="A675" s="6" t="s">
        <v>5010</v>
      </c>
      <c r="B675" s="6" t="s">
        <v>557</v>
      </c>
      <c r="C675" s="5">
        <f t="shared" si="1"/>
        <v>10</v>
      </c>
      <c r="D675" s="1" t="s">
        <v>68</v>
      </c>
      <c r="E675" s="1" t="s">
        <v>13</v>
      </c>
      <c r="F675" s="1" t="s">
        <v>2230</v>
      </c>
      <c r="G675" s="6" t="s">
        <v>6643</v>
      </c>
      <c r="H675" s="5">
        <f t="shared" si="2"/>
        <v>1.4261</v>
      </c>
      <c r="I675" s="1" t="s">
        <v>5777</v>
      </c>
      <c r="J675" s="1">
        <f t="shared" si="3"/>
        <v>96.6346</v>
      </c>
      <c r="K675" s="1" t="s">
        <v>5778</v>
      </c>
      <c r="L675" s="5">
        <f t="shared" si="4"/>
        <v>0.2852</v>
      </c>
      <c r="M675" s="6" t="s">
        <v>6644</v>
      </c>
      <c r="N675" s="5">
        <f t="shared" si="5"/>
        <v>404</v>
      </c>
    </row>
    <row r="676">
      <c r="A676" s="6" t="s">
        <v>5010</v>
      </c>
      <c r="B676" s="6" t="s">
        <v>557</v>
      </c>
      <c r="C676" s="5">
        <f t="shared" si="1"/>
        <v>10</v>
      </c>
      <c r="D676" s="1" t="s">
        <v>116</v>
      </c>
      <c r="E676" s="1" t="s">
        <v>13</v>
      </c>
      <c r="F676" s="1" t="s">
        <v>2230</v>
      </c>
      <c r="G676" s="6" t="s">
        <v>5779</v>
      </c>
      <c r="H676" s="5">
        <f t="shared" si="2"/>
        <v>5.1253</v>
      </c>
      <c r="I676" s="1" t="s">
        <v>5780</v>
      </c>
      <c r="J676" s="1">
        <f t="shared" si="3"/>
        <v>461.7895</v>
      </c>
      <c r="K676" s="6" t="s">
        <v>5781</v>
      </c>
      <c r="L676" s="5">
        <f t="shared" si="4"/>
        <v>1.0252</v>
      </c>
      <c r="M676" s="6" t="s">
        <v>6645</v>
      </c>
      <c r="N676" s="5">
        <f t="shared" si="5"/>
        <v>858</v>
      </c>
    </row>
    <row r="677">
      <c r="A677" s="6" t="s">
        <v>5010</v>
      </c>
      <c r="B677" s="6" t="s">
        <v>2591</v>
      </c>
      <c r="C677" s="5">
        <f t="shared" si="1"/>
        <v>11</v>
      </c>
      <c r="D677" s="1" t="s">
        <v>12</v>
      </c>
      <c r="E677" s="1" t="s">
        <v>13</v>
      </c>
      <c r="F677" s="1" t="s">
        <v>2230</v>
      </c>
      <c r="G677" s="1" t="s">
        <v>3377</v>
      </c>
      <c r="H677" s="5">
        <f t="shared" si="2"/>
        <v>0.5273</v>
      </c>
      <c r="I677" s="1" t="s">
        <v>5783</v>
      </c>
      <c r="J677" s="1">
        <f t="shared" si="3"/>
        <v>37.7528</v>
      </c>
      <c r="K677" s="1" t="s">
        <v>5784</v>
      </c>
      <c r="L677" s="5">
        <f t="shared" si="4"/>
        <v>0.1054</v>
      </c>
      <c r="M677" s="6" t="s">
        <v>5523</v>
      </c>
      <c r="N677" s="5">
        <f t="shared" si="5"/>
        <v>36</v>
      </c>
    </row>
    <row r="678">
      <c r="A678" s="6" t="s">
        <v>5010</v>
      </c>
      <c r="B678" s="6" t="s">
        <v>2591</v>
      </c>
      <c r="C678" s="5">
        <f t="shared" si="1"/>
        <v>11</v>
      </c>
      <c r="D678" s="1" t="s">
        <v>68</v>
      </c>
      <c r="E678" s="1" t="s">
        <v>13</v>
      </c>
      <c r="F678" s="1" t="s">
        <v>2230</v>
      </c>
      <c r="G678" s="1" t="s">
        <v>5785</v>
      </c>
      <c r="H678" s="5">
        <f t="shared" si="2"/>
        <v>1.174</v>
      </c>
      <c r="I678" s="1" t="s">
        <v>5786</v>
      </c>
      <c r="J678" s="1">
        <f t="shared" si="3"/>
        <v>97.2256</v>
      </c>
      <c r="K678" s="1" t="s">
        <v>5787</v>
      </c>
      <c r="L678" s="5">
        <f t="shared" si="4"/>
        <v>0.2348</v>
      </c>
      <c r="M678" s="6" t="s">
        <v>4347</v>
      </c>
      <c r="N678" s="5">
        <f t="shared" si="5"/>
        <v>187</v>
      </c>
    </row>
    <row r="679">
      <c r="A679" s="6" t="s">
        <v>5010</v>
      </c>
      <c r="B679" s="6" t="s">
        <v>2591</v>
      </c>
      <c r="C679" s="5">
        <f t="shared" si="1"/>
        <v>11</v>
      </c>
      <c r="D679" s="1" t="s">
        <v>116</v>
      </c>
      <c r="E679" s="1" t="s">
        <v>13</v>
      </c>
      <c r="F679" s="1" t="s">
        <v>2230</v>
      </c>
      <c r="G679" s="6" t="s">
        <v>6646</v>
      </c>
      <c r="H679" s="5">
        <f t="shared" si="2"/>
        <v>4.2365</v>
      </c>
      <c r="I679" s="1" t="s">
        <v>5788</v>
      </c>
      <c r="J679" s="1">
        <f t="shared" si="3"/>
        <v>353.291</v>
      </c>
      <c r="K679" s="1" t="s">
        <v>5789</v>
      </c>
      <c r="L679" s="5">
        <f t="shared" si="4"/>
        <v>0.8473</v>
      </c>
      <c r="M679" s="6" t="s">
        <v>3555</v>
      </c>
      <c r="N679" s="5">
        <f t="shared" si="5"/>
        <v>778</v>
      </c>
    </row>
    <row r="680">
      <c r="A680" s="6" t="s">
        <v>5010</v>
      </c>
      <c r="B680" s="6" t="s">
        <v>2793</v>
      </c>
      <c r="C680" s="5">
        <f t="shared" si="1"/>
        <v>12</v>
      </c>
      <c r="D680" s="1" t="s">
        <v>12</v>
      </c>
      <c r="E680" s="1" t="s">
        <v>13</v>
      </c>
      <c r="F680" s="1" t="s">
        <v>2230</v>
      </c>
      <c r="G680" s="1" t="s">
        <v>5790</v>
      </c>
      <c r="H680" s="5">
        <f t="shared" si="2"/>
        <v>0.1749</v>
      </c>
      <c r="I680" s="1" t="s">
        <v>5791</v>
      </c>
      <c r="J680" s="1">
        <f t="shared" si="3"/>
        <v>14.3406</v>
      </c>
      <c r="K680" s="1" t="s">
        <v>5792</v>
      </c>
      <c r="L680" s="5">
        <f t="shared" si="4"/>
        <v>0.035</v>
      </c>
      <c r="M680" s="6" t="s">
        <v>3557</v>
      </c>
      <c r="N680" s="5">
        <f t="shared" si="5"/>
        <v>22</v>
      </c>
    </row>
    <row r="681">
      <c r="A681" s="6" t="s">
        <v>5010</v>
      </c>
      <c r="B681" s="6" t="s">
        <v>2793</v>
      </c>
      <c r="C681" s="5">
        <f t="shared" si="1"/>
        <v>12</v>
      </c>
      <c r="D681" s="1" t="s">
        <v>68</v>
      </c>
      <c r="E681" s="1" t="s">
        <v>13</v>
      </c>
      <c r="F681" s="1" t="s">
        <v>2230</v>
      </c>
      <c r="G681" s="6" t="s">
        <v>5793</v>
      </c>
      <c r="H681" s="5">
        <f t="shared" si="2"/>
        <v>2.0995</v>
      </c>
      <c r="I681" s="1" t="s">
        <v>5794</v>
      </c>
      <c r="J681" s="1">
        <f t="shared" si="3"/>
        <v>123.6008</v>
      </c>
      <c r="K681" s="1" t="s">
        <v>497</v>
      </c>
      <c r="L681" s="5">
        <f t="shared" si="4"/>
        <v>0.42</v>
      </c>
      <c r="M681" s="6" t="s">
        <v>6376</v>
      </c>
      <c r="N681" s="5">
        <f t="shared" si="5"/>
        <v>200</v>
      </c>
    </row>
    <row r="682">
      <c r="A682" s="6" t="s">
        <v>5010</v>
      </c>
      <c r="B682" s="6" t="s">
        <v>2793</v>
      </c>
      <c r="C682" s="5">
        <f t="shared" si="1"/>
        <v>12</v>
      </c>
      <c r="D682" s="1" t="s">
        <v>116</v>
      </c>
      <c r="E682" s="1" t="s">
        <v>13</v>
      </c>
      <c r="F682" s="1" t="s">
        <v>2230</v>
      </c>
      <c r="G682" s="6" t="s">
        <v>6648</v>
      </c>
      <c r="H682" s="5">
        <f t="shared" si="2"/>
        <v>2.5092</v>
      </c>
      <c r="I682" s="1" t="s">
        <v>5795</v>
      </c>
      <c r="J682" s="1">
        <f t="shared" si="3"/>
        <v>223.1901</v>
      </c>
      <c r="K682" s="1" t="s">
        <v>5796</v>
      </c>
      <c r="L682" s="5">
        <f t="shared" si="4"/>
        <v>0.5018</v>
      </c>
      <c r="M682" s="6" t="s">
        <v>363</v>
      </c>
      <c r="N682" s="5">
        <f t="shared" si="5"/>
        <v>514</v>
      </c>
    </row>
    <row r="683">
      <c r="C683" s="13"/>
      <c r="H683" s="13"/>
      <c r="L683" s="13"/>
      <c r="N683" s="13"/>
    </row>
    <row r="684">
      <c r="C684" s="13"/>
      <c r="H684" s="13"/>
      <c r="L684" s="13"/>
      <c r="N684" s="13"/>
    </row>
    <row r="685">
      <c r="C685" s="13"/>
      <c r="H685" s="13"/>
      <c r="L685" s="13"/>
      <c r="N685" s="13"/>
    </row>
    <row r="686">
      <c r="C686" s="13"/>
      <c r="H686" s="13"/>
      <c r="L686" s="13"/>
      <c r="N686" s="13"/>
    </row>
    <row r="687">
      <c r="C687" s="13"/>
      <c r="H687" s="13"/>
      <c r="L687" s="13"/>
      <c r="N687" s="13"/>
    </row>
    <row r="688">
      <c r="C688" s="13"/>
      <c r="H688" s="13"/>
      <c r="L688" s="13"/>
      <c r="N688" s="13"/>
    </row>
    <row r="689">
      <c r="C689" s="13"/>
      <c r="H689" s="13"/>
      <c r="L689" s="13"/>
      <c r="N689" s="13"/>
    </row>
    <row r="690">
      <c r="C690" s="13"/>
      <c r="H690" s="13"/>
      <c r="L690" s="13"/>
      <c r="N690" s="13"/>
    </row>
    <row r="691">
      <c r="C691" s="13"/>
      <c r="H691" s="13"/>
      <c r="L691" s="13"/>
      <c r="N691" s="13"/>
    </row>
    <row r="692">
      <c r="C692" s="13"/>
      <c r="H692" s="13"/>
      <c r="L692" s="13"/>
      <c r="N692" s="13"/>
    </row>
    <row r="693">
      <c r="C693" s="13"/>
      <c r="H693" s="13"/>
      <c r="L693" s="13"/>
      <c r="N693" s="13"/>
    </row>
    <row r="694">
      <c r="C694" s="13"/>
      <c r="H694" s="13"/>
      <c r="L694" s="13"/>
      <c r="N694" s="13"/>
    </row>
    <row r="695">
      <c r="C695" s="13"/>
      <c r="H695" s="13"/>
      <c r="L695" s="13"/>
      <c r="N695" s="13"/>
    </row>
    <row r="696">
      <c r="C696" s="13"/>
      <c r="H696" s="13"/>
      <c r="L696" s="13"/>
      <c r="N696" s="13"/>
    </row>
    <row r="697">
      <c r="C697" s="13"/>
      <c r="H697" s="13"/>
      <c r="L697" s="13"/>
      <c r="N697" s="13"/>
    </row>
    <row r="698">
      <c r="C698" s="13"/>
      <c r="H698" s="13"/>
      <c r="L698" s="13"/>
      <c r="N698" s="13"/>
    </row>
    <row r="699">
      <c r="C699" s="13"/>
      <c r="H699" s="13"/>
      <c r="L699" s="13"/>
      <c r="N699" s="13"/>
    </row>
    <row r="700">
      <c r="C700" s="13"/>
      <c r="H700" s="13"/>
      <c r="L700" s="13"/>
      <c r="N700" s="13"/>
    </row>
    <row r="701">
      <c r="C701" s="13"/>
      <c r="H701" s="13"/>
      <c r="L701" s="13"/>
      <c r="N701" s="13"/>
    </row>
    <row r="702">
      <c r="C702" s="13"/>
      <c r="H702" s="13"/>
      <c r="L702" s="13"/>
      <c r="N702" s="13"/>
    </row>
    <row r="703">
      <c r="C703" s="13"/>
      <c r="H703" s="13"/>
      <c r="L703" s="13"/>
      <c r="N703" s="13"/>
    </row>
    <row r="704">
      <c r="C704" s="13"/>
      <c r="H704" s="13"/>
      <c r="L704" s="13"/>
      <c r="N704" s="13"/>
    </row>
    <row r="705">
      <c r="C705" s="13"/>
      <c r="H705" s="13"/>
      <c r="L705" s="13"/>
      <c r="N705" s="13"/>
    </row>
    <row r="706">
      <c r="C706" s="13"/>
      <c r="H706" s="13"/>
      <c r="L706" s="13"/>
      <c r="N706" s="13"/>
    </row>
    <row r="707">
      <c r="C707" s="13"/>
      <c r="H707" s="13"/>
      <c r="L707" s="13"/>
      <c r="N707" s="13"/>
    </row>
    <row r="708">
      <c r="C708" s="13"/>
      <c r="H708" s="13"/>
      <c r="L708" s="13"/>
      <c r="N708" s="13"/>
    </row>
    <row r="709">
      <c r="C709" s="13"/>
      <c r="H709" s="13"/>
      <c r="L709" s="13"/>
      <c r="N709" s="13"/>
    </row>
    <row r="710">
      <c r="C710" s="13"/>
      <c r="H710" s="13"/>
      <c r="L710" s="13"/>
      <c r="N710" s="13"/>
    </row>
    <row r="711">
      <c r="C711" s="13"/>
      <c r="H711" s="13"/>
      <c r="L711" s="13"/>
      <c r="N711" s="13"/>
    </row>
    <row r="712">
      <c r="C712" s="13"/>
      <c r="H712" s="13"/>
      <c r="L712" s="13"/>
      <c r="N712" s="13"/>
    </row>
    <row r="713">
      <c r="C713" s="13"/>
      <c r="H713" s="13"/>
      <c r="L713" s="13"/>
      <c r="N713" s="13"/>
    </row>
    <row r="714">
      <c r="C714" s="13"/>
      <c r="H714" s="13"/>
      <c r="L714" s="13"/>
      <c r="N714" s="13"/>
    </row>
    <row r="715">
      <c r="C715" s="13"/>
      <c r="H715" s="13"/>
      <c r="L715" s="13"/>
      <c r="N715" s="13"/>
    </row>
    <row r="716">
      <c r="C716" s="13"/>
      <c r="H716" s="13"/>
      <c r="L716" s="13"/>
      <c r="N716" s="13"/>
    </row>
    <row r="717">
      <c r="C717" s="13"/>
      <c r="H717" s="13"/>
      <c r="L717" s="13"/>
      <c r="N717" s="13"/>
    </row>
    <row r="718">
      <c r="C718" s="13"/>
      <c r="H718" s="13"/>
      <c r="L718" s="13"/>
      <c r="N718" s="13"/>
    </row>
    <row r="719">
      <c r="C719" s="13"/>
      <c r="H719" s="13"/>
      <c r="L719" s="13"/>
      <c r="N719" s="13"/>
    </row>
    <row r="720">
      <c r="C720" s="13"/>
      <c r="H720" s="13"/>
      <c r="L720" s="13"/>
      <c r="N720" s="13"/>
    </row>
    <row r="721">
      <c r="C721" s="13"/>
      <c r="H721" s="13"/>
      <c r="L721" s="13"/>
      <c r="N721" s="13"/>
    </row>
    <row r="722">
      <c r="C722" s="13"/>
      <c r="H722" s="13"/>
      <c r="L722" s="13"/>
      <c r="N722" s="13"/>
    </row>
    <row r="723">
      <c r="C723" s="13"/>
      <c r="H723" s="13"/>
      <c r="L723" s="13"/>
      <c r="N723" s="13"/>
    </row>
    <row r="724">
      <c r="C724" s="13"/>
      <c r="H724" s="13"/>
      <c r="L724" s="13"/>
      <c r="N724" s="13"/>
    </row>
    <row r="725">
      <c r="C725" s="13"/>
      <c r="H725" s="13"/>
      <c r="L725" s="13"/>
      <c r="N725" s="13"/>
    </row>
    <row r="726">
      <c r="C726" s="13"/>
      <c r="H726" s="13"/>
      <c r="L726" s="13"/>
      <c r="N726" s="13"/>
    </row>
    <row r="727">
      <c r="C727" s="13"/>
      <c r="H727" s="13"/>
      <c r="L727" s="13"/>
      <c r="N727" s="13"/>
    </row>
    <row r="728">
      <c r="C728" s="13"/>
      <c r="H728" s="13"/>
      <c r="L728" s="13"/>
      <c r="N728" s="13"/>
    </row>
    <row r="729">
      <c r="C729" s="13"/>
      <c r="H729" s="13"/>
      <c r="L729" s="13"/>
      <c r="N729" s="13"/>
    </row>
    <row r="730">
      <c r="C730" s="13"/>
      <c r="H730" s="13"/>
      <c r="L730" s="13"/>
      <c r="N730" s="13"/>
    </row>
    <row r="731">
      <c r="C731" s="13"/>
      <c r="H731" s="13"/>
      <c r="L731" s="13"/>
      <c r="N731" s="13"/>
    </row>
    <row r="732">
      <c r="C732" s="13"/>
      <c r="H732" s="13"/>
      <c r="L732" s="13"/>
      <c r="N732" s="13"/>
    </row>
    <row r="733">
      <c r="C733" s="13"/>
      <c r="H733" s="13"/>
      <c r="L733" s="13"/>
      <c r="N733" s="13"/>
    </row>
    <row r="734">
      <c r="C734" s="13"/>
      <c r="H734" s="13"/>
      <c r="L734" s="13"/>
      <c r="N734" s="13"/>
    </row>
    <row r="735">
      <c r="C735" s="13"/>
      <c r="H735" s="13"/>
      <c r="L735" s="13"/>
      <c r="N735" s="13"/>
    </row>
    <row r="736">
      <c r="C736" s="13"/>
      <c r="H736" s="13"/>
      <c r="L736" s="13"/>
      <c r="N736" s="13"/>
    </row>
    <row r="737">
      <c r="C737" s="13"/>
      <c r="H737" s="13"/>
      <c r="L737" s="13"/>
      <c r="N737" s="13"/>
    </row>
    <row r="738">
      <c r="C738" s="13"/>
      <c r="H738" s="13"/>
      <c r="L738" s="13"/>
      <c r="N738" s="13"/>
    </row>
    <row r="739">
      <c r="C739" s="13"/>
      <c r="H739" s="13"/>
      <c r="L739" s="13"/>
      <c r="N739" s="13"/>
    </row>
    <row r="740">
      <c r="C740" s="13"/>
      <c r="H740" s="13"/>
      <c r="L740" s="13"/>
      <c r="N740" s="13"/>
    </row>
    <row r="741">
      <c r="C741" s="13"/>
      <c r="H741" s="13"/>
      <c r="L741" s="13"/>
      <c r="N741" s="13"/>
    </row>
    <row r="742">
      <c r="C742" s="13"/>
      <c r="H742" s="13"/>
      <c r="L742" s="13"/>
      <c r="N742" s="13"/>
    </row>
    <row r="743">
      <c r="C743" s="13"/>
      <c r="H743" s="13"/>
      <c r="L743" s="13"/>
      <c r="N743" s="13"/>
    </row>
    <row r="744">
      <c r="C744" s="13"/>
      <c r="H744" s="13"/>
      <c r="L744" s="13"/>
      <c r="N744" s="13"/>
    </row>
    <row r="745">
      <c r="C745" s="13"/>
      <c r="H745" s="13"/>
      <c r="L745" s="13"/>
      <c r="N745" s="13"/>
    </row>
    <row r="746">
      <c r="C746" s="13"/>
      <c r="H746" s="13"/>
      <c r="L746" s="13"/>
      <c r="N746" s="13"/>
    </row>
    <row r="747">
      <c r="C747" s="13"/>
      <c r="H747" s="13"/>
      <c r="L747" s="13"/>
      <c r="N747" s="13"/>
    </row>
    <row r="748">
      <c r="C748" s="13"/>
      <c r="H748" s="13"/>
      <c r="L748" s="13"/>
      <c r="N748" s="13"/>
    </row>
    <row r="749">
      <c r="C749" s="13"/>
      <c r="H749" s="13"/>
      <c r="L749" s="13"/>
      <c r="N749" s="13"/>
    </row>
    <row r="750">
      <c r="C750" s="13"/>
      <c r="H750" s="13"/>
      <c r="L750" s="13"/>
      <c r="N750" s="13"/>
    </row>
    <row r="751">
      <c r="C751" s="13"/>
      <c r="H751" s="13"/>
      <c r="L751" s="13"/>
      <c r="N751" s="13"/>
    </row>
    <row r="752">
      <c r="C752" s="13"/>
      <c r="H752" s="13"/>
      <c r="L752" s="13"/>
      <c r="N752" s="13"/>
    </row>
    <row r="753">
      <c r="C753" s="13"/>
      <c r="H753" s="13"/>
      <c r="L753" s="13"/>
      <c r="N753" s="13"/>
    </row>
    <row r="754">
      <c r="C754" s="13"/>
      <c r="H754" s="13"/>
      <c r="L754" s="13"/>
      <c r="N754" s="13"/>
    </row>
    <row r="755">
      <c r="C755" s="13"/>
      <c r="H755" s="13"/>
      <c r="L755" s="13"/>
      <c r="N755" s="13"/>
    </row>
    <row r="756">
      <c r="C756" s="13"/>
      <c r="H756" s="13"/>
      <c r="L756" s="13"/>
      <c r="N756" s="13"/>
    </row>
    <row r="757">
      <c r="C757" s="13"/>
      <c r="H757" s="13"/>
      <c r="L757" s="13"/>
      <c r="N757" s="13"/>
    </row>
    <row r="758">
      <c r="C758" s="13"/>
      <c r="H758" s="13"/>
      <c r="L758" s="13"/>
      <c r="N758" s="13"/>
    </row>
    <row r="759">
      <c r="C759" s="13"/>
      <c r="H759" s="13"/>
      <c r="L759" s="13"/>
      <c r="N759" s="13"/>
    </row>
    <row r="760">
      <c r="C760" s="13"/>
      <c r="H760" s="13"/>
      <c r="L760" s="13"/>
      <c r="N760" s="13"/>
    </row>
    <row r="761">
      <c r="C761" s="13"/>
      <c r="H761" s="13"/>
      <c r="L761" s="13"/>
      <c r="N761" s="13"/>
    </row>
    <row r="762">
      <c r="C762" s="13"/>
      <c r="H762" s="13"/>
      <c r="L762" s="13"/>
      <c r="N762" s="13"/>
    </row>
    <row r="763">
      <c r="C763" s="13"/>
      <c r="H763" s="13"/>
      <c r="L763" s="13"/>
      <c r="N763" s="13"/>
    </row>
    <row r="764">
      <c r="C764" s="13"/>
      <c r="H764" s="13"/>
      <c r="L764" s="13"/>
      <c r="N764" s="13"/>
    </row>
    <row r="765">
      <c r="C765" s="13"/>
      <c r="H765" s="13"/>
      <c r="L765" s="13"/>
      <c r="N765" s="13"/>
    </row>
    <row r="766">
      <c r="C766" s="13"/>
      <c r="H766" s="13"/>
      <c r="L766" s="13"/>
      <c r="N766" s="13"/>
    </row>
    <row r="767">
      <c r="C767" s="13"/>
      <c r="H767" s="13"/>
      <c r="L767" s="13"/>
      <c r="N767" s="13"/>
    </row>
    <row r="768">
      <c r="C768" s="13"/>
      <c r="H768" s="13"/>
      <c r="L768" s="13"/>
      <c r="N768" s="13"/>
    </row>
    <row r="769">
      <c r="C769" s="13"/>
      <c r="H769" s="13"/>
      <c r="L769" s="13"/>
      <c r="N769" s="13"/>
    </row>
    <row r="770">
      <c r="C770" s="13"/>
      <c r="H770" s="13"/>
      <c r="L770" s="13"/>
      <c r="N770" s="13"/>
    </row>
    <row r="771">
      <c r="C771" s="13"/>
      <c r="H771" s="13"/>
      <c r="L771" s="13"/>
      <c r="N771" s="13"/>
    </row>
    <row r="772">
      <c r="C772" s="13"/>
      <c r="H772" s="13"/>
      <c r="L772" s="13"/>
      <c r="N772" s="13"/>
    </row>
    <row r="773">
      <c r="C773" s="13"/>
      <c r="H773" s="13"/>
      <c r="L773" s="13"/>
      <c r="N773" s="13"/>
    </row>
    <row r="774">
      <c r="C774" s="13"/>
      <c r="H774" s="13"/>
      <c r="L774" s="13"/>
      <c r="N774" s="13"/>
    </row>
    <row r="775">
      <c r="C775" s="13"/>
      <c r="H775" s="13"/>
      <c r="L775" s="13"/>
      <c r="N775" s="13"/>
    </row>
    <row r="776">
      <c r="C776" s="13"/>
      <c r="H776" s="13"/>
      <c r="L776" s="13"/>
      <c r="N776" s="13"/>
    </row>
    <row r="777">
      <c r="C777" s="13"/>
      <c r="H777" s="13"/>
      <c r="L777" s="13"/>
      <c r="N777" s="13"/>
    </row>
    <row r="778">
      <c r="C778" s="13"/>
      <c r="H778" s="13"/>
      <c r="L778" s="13"/>
      <c r="N778" s="13"/>
    </row>
    <row r="779">
      <c r="C779" s="13"/>
      <c r="H779" s="13"/>
      <c r="L779" s="13"/>
      <c r="N779" s="13"/>
    </row>
    <row r="780">
      <c r="C780" s="13"/>
      <c r="H780" s="13"/>
      <c r="L780" s="13"/>
      <c r="N780" s="13"/>
    </row>
    <row r="781">
      <c r="C781" s="13"/>
      <c r="H781" s="13"/>
      <c r="L781" s="13"/>
      <c r="N781" s="13"/>
    </row>
    <row r="782">
      <c r="C782" s="13"/>
      <c r="H782" s="13"/>
      <c r="L782" s="13"/>
      <c r="N782" s="13"/>
    </row>
    <row r="783">
      <c r="C783" s="13"/>
      <c r="H783" s="13"/>
      <c r="L783" s="13"/>
      <c r="N783" s="13"/>
    </row>
    <row r="784">
      <c r="C784" s="13"/>
      <c r="H784" s="13"/>
      <c r="L784" s="13"/>
      <c r="N784" s="13"/>
    </row>
    <row r="785">
      <c r="C785" s="13"/>
      <c r="H785" s="13"/>
      <c r="L785" s="13"/>
      <c r="N785" s="13"/>
    </row>
    <row r="786">
      <c r="C786" s="13"/>
      <c r="H786" s="13"/>
      <c r="L786" s="13"/>
      <c r="N786" s="13"/>
    </row>
    <row r="787">
      <c r="C787" s="13"/>
      <c r="H787" s="13"/>
      <c r="L787" s="13"/>
      <c r="N787" s="13"/>
    </row>
    <row r="788">
      <c r="C788" s="13"/>
      <c r="H788" s="13"/>
      <c r="L788" s="13"/>
      <c r="N788" s="13"/>
    </row>
    <row r="789">
      <c r="C789" s="13"/>
      <c r="H789" s="13"/>
      <c r="L789" s="13"/>
      <c r="N789" s="13"/>
    </row>
    <row r="790">
      <c r="C790" s="13"/>
      <c r="H790" s="13"/>
      <c r="L790" s="13"/>
      <c r="N790" s="13"/>
    </row>
    <row r="791">
      <c r="C791" s="13"/>
      <c r="H791" s="13"/>
      <c r="L791" s="13"/>
      <c r="N791" s="13"/>
    </row>
    <row r="792">
      <c r="C792" s="13"/>
      <c r="H792" s="13"/>
      <c r="L792" s="13"/>
      <c r="N792" s="13"/>
    </row>
    <row r="793">
      <c r="C793" s="13"/>
      <c r="H793" s="13"/>
      <c r="L793" s="13"/>
      <c r="N793" s="13"/>
    </row>
    <row r="794">
      <c r="C794" s="13"/>
      <c r="H794" s="13"/>
      <c r="L794" s="13"/>
      <c r="N794" s="13"/>
    </row>
    <row r="795">
      <c r="C795" s="13"/>
      <c r="H795" s="13"/>
      <c r="L795" s="13"/>
      <c r="N795" s="13"/>
    </row>
    <row r="796">
      <c r="C796" s="13"/>
      <c r="H796" s="13"/>
      <c r="L796" s="13"/>
      <c r="N796" s="13"/>
    </row>
    <row r="797">
      <c r="C797" s="13"/>
      <c r="H797" s="13"/>
      <c r="L797" s="13"/>
      <c r="N797" s="13"/>
    </row>
    <row r="798">
      <c r="C798" s="13"/>
      <c r="H798" s="13"/>
      <c r="L798" s="13"/>
      <c r="N798" s="13"/>
    </row>
    <row r="799">
      <c r="C799" s="13"/>
      <c r="H799" s="13"/>
      <c r="L799" s="13"/>
      <c r="N799" s="13"/>
    </row>
    <row r="800">
      <c r="C800" s="13"/>
      <c r="H800" s="13"/>
      <c r="L800" s="13"/>
      <c r="N800" s="13"/>
    </row>
    <row r="801">
      <c r="C801" s="13"/>
      <c r="H801" s="13"/>
      <c r="L801" s="13"/>
      <c r="N801" s="13"/>
    </row>
    <row r="802">
      <c r="C802" s="13"/>
      <c r="H802" s="13"/>
      <c r="L802" s="13"/>
      <c r="N802" s="13"/>
    </row>
    <row r="803">
      <c r="C803" s="13"/>
      <c r="H803" s="13"/>
      <c r="L803" s="13"/>
      <c r="N803" s="13"/>
    </row>
    <row r="804">
      <c r="C804" s="13"/>
      <c r="H804" s="13"/>
      <c r="L804" s="13"/>
      <c r="N804" s="13"/>
    </row>
    <row r="805">
      <c r="C805" s="13"/>
      <c r="H805" s="13"/>
      <c r="L805" s="13"/>
      <c r="N805" s="13"/>
    </row>
    <row r="806">
      <c r="C806" s="13"/>
      <c r="H806" s="13"/>
      <c r="L806" s="13"/>
      <c r="N806" s="13"/>
    </row>
    <row r="807">
      <c r="C807" s="13"/>
      <c r="H807" s="13"/>
      <c r="L807" s="13"/>
      <c r="N807" s="13"/>
    </row>
    <row r="808">
      <c r="C808" s="13"/>
      <c r="H808" s="13"/>
      <c r="L808" s="13"/>
      <c r="N808" s="13"/>
    </row>
    <row r="809">
      <c r="C809" s="13"/>
      <c r="H809" s="13"/>
      <c r="L809" s="13"/>
      <c r="N809" s="13"/>
    </row>
    <row r="810">
      <c r="C810" s="13"/>
      <c r="H810" s="13"/>
      <c r="L810" s="13"/>
      <c r="N810" s="13"/>
    </row>
    <row r="811">
      <c r="C811" s="13"/>
      <c r="H811" s="13"/>
      <c r="L811" s="13"/>
      <c r="N811" s="13"/>
    </row>
    <row r="812">
      <c r="C812" s="13"/>
      <c r="H812" s="13"/>
      <c r="L812" s="13"/>
      <c r="N812" s="13"/>
    </row>
    <row r="813">
      <c r="C813" s="13"/>
      <c r="H813" s="13"/>
      <c r="L813" s="13"/>
      <c r="N813" s="13"/>
    </row>
    <row r="814">
      <c r="C814" s="13"/>
      <c r="H814" s="13"/>
      <c r="L814" s="13"/>
      <c r="N814" s="13"/>
    </row>
    <row r="815">
      <c r="C815" s="13"/>
      <c r="H815" s="13"/>
      <c r="L815" s="13"/>
      <c r="N815" s="13"/>
    </row>
    <row r="816">
      <c r="C816" s="13"/>
      <c r="H816" s="13"/>
      <c r="L816" s="13"/>
      <c r="N816" s="13"/>
    </row>
    <row r="817">
      <c r="C817" s="13"/>
      <c r="H817" s="13"/>
      <c r="L817" s="13"/>
      <c r="N817" s="13"/>
    </row>
    <row r="818">
      <c r="C818" s="13"/>
      <c r="H818" s="13"/>
      <c r="L818" s="13"/>
      <c r="N818" s="13"/>
    </row>
    <row r="819">
      <c r="C819" s="13"/>
      <c r="H819" s="13"/>
      <c r="L819" s="13"/>
      <c r="N819" s="13"/>
    </row>
    <row r="820">
      <c r="C820" s="13"/>
      <c r="H820" s="13"/>
      <c r="L820" s="13"/>
      <c r="N820" s="13"/>
    </row>
    <row r="821">
      <c r="C821" s="13"/>
      <c r="H821" s="13"/>
      <c r="L821" s="13"/>
      <c r="N821" s="13"/>
    </row>
    <row r="822">
      <c r="C822" s="13"/>
      <c r="H822" s="13"/>
      <c r="L822" s="13"/>
      <c r="N822" s="13"/>
    </row>
    <row r="823">
      <c r="C823" s="13"/>
      <c r="H823" s="13"/>
      <c r="L823" s="13"/>
      <c r="N823" s="13"/>
    </row>
    <row r="824">
      <c r="C824" s="13"/>
      <c r="H824" s="13"/>
      <c r="L824" s="13"/>
      <c r="N824" s="13"/>
    </row>
    <row r="825">
      <c r="C825" s="13"/>
      <c r="H825" s="13"/>
      <c r="L825" s="13"/>
      <c r="N825" s="13"/>
    </row>
    <row r="826">
      <c r="C826" s="13"/>
      <c r="H826" s="13"/>
      <c r="L826" s="13"/>
      <c r="N826" s="13"/>
    </row>
    <row r="827">
      <c r="C827" s="13"/>
      <c r="H827" s="13"/>
      <c r="L827" s="13"/>
      <c r="N827" s="13"/>
    </row>
    <row r="828">
      <c r="C828" s="13"/>
      <c r="H828" s="13"/>
      <c r="L828" s="13"/>
      <c r="N828" s="13"/>
    </row>
    <row r="829">
      <c r="C829" s="13"/>
      <c r="H829" s="13"/>
      <c r="L829" s="13"/>
      <c r="N829" s="13"/>
    </row>
    <row r="830">
      <c r="C830" s="13"/>
      <c r="H830" s="13"/>
      <c r="L830" s="13"/>
      <c r="N830" s="13"/>
    </row>
    <row r="831">
      <c r="C831" s="13"/>
      <c r="H831" s="13"/>
      <c r="L831" s="13"/>
      <c r="N831" s="13"/>
    </row>
    <row r="832">
      <c r="C832" s="13"/>
      <c r="H832" s="13"/>
      <c r="L832" s="13"/>
      <c r="N832" s="13"/>
    </row>
    <row r="833">
      <c r="C833" s="13"/>
      <c r="H833" s="13"/>
      <c r="L833" s="13"/>
      <c r="N833" s="13"/>
    </row>
    <row r="834">
      <c r="C834" s="13"/>
      <c r="H834" s="13"/>
      <c r="L834" s="13"/>
      <c r="N834" s="13"/>
    </row>
    <row r="835">
      <c r="C835" s="13"/>
      <c r="H835" s="13"/>
      <c r="L835" s="13"/>
      <c r="N835" s="13"/>
    </row>
    <row r="836">
      <c r="C836" s="13"/>
      <c r="H836" s="13"/>
      <c r="L836" s="13"/>
      <c r="N836" s="13"/>
    </row>
    <row r="837">
      <c r="C837" s="13"/>
      <c r="H837" s="13"/>
      <c r="L837" s="13"/>
      <c r="N837" s="13"/>
    </row>
    <row r="838">
      <c r="C838" s="13"/>
      <c r="H838" s="13"/>
      <c r="L838" s="13"/>
      <c r="N838" s="13"/>
    </row>
    <row r="839">
      <c r="C839" s="13"/>
      <c r="H839" s="13"/>
      <c r="L839" s="13"/>
      <c r="N839" s="13"/>
    </row>
    <row r="840">
      <c r="C840" s="13"/>
      <c r="H840" s="13"/>
      <c r="L840" s="13"/>
      <c r="N840" s="13"/>
    </row>
    <row r="841">
      <c r="C841" s="13"/>
      <c r="H841" s="13"/>
      <c r="L841" s="13"/>
      <c r="N841" s="13"/>
    </row>
    <row r="842">
      <c r="C842" s="13"/>
      <c r="H842" s="13"/>
      <c r="L842" s="13"/>
      <c r="N842" s="13"/>
    </row>
    <row r="843">
      <c r="C843" s="13"/>
      <c r="H843" s="13"/>
      <c r="L843" s="13"/>
      <c r="N843" s="13"/>
    </row>
    <row r="844">
      <c r="C844" s="13"/>
      <c r="H844" s="13"/>
      <c r="L844" s="13"/>
      <c r="N844" s="13"/>
    </row>
    <row r="845">
      <c r="C845" s="13"/>
      <c r="H845" s="13"/>
      <c r="L845" s="13"/>
      <c r="N845" s="13"/>
    </row>
    <row r="846">
      <c r="C846" s="13"/>
      <c r="H846" s="13"/>
      <c r="L846" s="13"/>
      <c r="N846" s="13"/>
    </row>
    <row r="847">
      <c r="C847" s="13"/>
      <c r="H847" s="13"/>
      <c r="L847" s="13"/>
      <c r="N847" s="13"/>
    </row>
    <row r="848">
      <c r="C848" s="13"/>
      <c r="H848" s="13"/>
      <c r="L848" s="13"/>
      <c r="N848" s="13"/>
    </row>
    <row r="849">
      <c r="C849" s="13"/>
      <c r="H849" s="13"/>
      <c r="L849" s="13"/>
      <c r="N849" s="13"/>
    </row>
    <row r="850">
      <c r="C850" s="13"/>
      <c r="H850" s="13"/>
      <c r="L850" s="13"/>
      <c r="N850" s="13"/>
    </row>
    <row r="851">
      <c r="C851" s="13"/>
      <c r="H851" s="13"/>
      <c r="L851" s="13"/>
      <c r="N851" s="13"/>
    </row>
    <row r="852">
      <c r="C852" s="13"/>
      <c r="H852" s="13"/>
      <c r="L852" s="13"/>
      <c r="N852" s="13"/>
    </row>
    <row r="853">
      <c r="C853" s="13"/>
      <c r="H853" s="13"/>
      <c r="L853" s="13"/>
      <c r="N853" s="13"/>
    </row>
    <row r="854">
      <c r="C854" s="13"/>
      <c r="H854" s="13"/>
      <c r="L854" s="13"/>
      <c r="N854" s="13"/>
    </row>
    <row r="855">
      <c r="C855" s="13"/>
      <c r="H855" s="13"/>
      <c r="L855" s="13"/>
      <c r="N855" s="13"/>
    </row>
    <row r="856">
      <c r="C856" s="13"/>
      <c r="H856" s="13"/>
      <c r="L856" s="13"/>
      <c r="N856" s="13"/>
    </row>
    <row r="857">
      <c r="C857" s="13"/>
      <c r="H857" s="13"/>
      <c r="L857" s="13"/>
      <c r="N857" s="13"/>
    </row>
    <row r="858">
      <c r="C858" s="13"/>
      <c r="H858" s="13"/>
      <c r="L858" s="13"/>
      <c r="N858" s="13"/>
    </row>
    <row r="859">
      <c r="C859" s="13"/>
      <c r="H859" s="13"/>
      <c r="L859" s="13"/>
      <c r="N859" s="13"/>
    </row>
    <row r="860">
      <c r="C860" s="13"/>
      <c r="H860" s="13"/>
      <c r="L860" s="13"/>
      <c r="N860" s="13"/>
    </row>
    <row r="861">
      <c r="C861" s="13"/>
      <c r="H861" s="13"/>
      <c r="L861" s="13"/>
      <c r="N861" s="13"/>
    </row>
    <row r="862">
      <c r="C862" s="13"/>
      <c r="H862" s="13"/>
      <c r="L862" s="13"/>
      <c r="N862" s="13"/>
    </row>
    <row r="863">
      <c r="C863" s="13"/>
      <c r="H863" s="13"/>
      <c r="L863" s="13"/>
      <c r="N863" s="13"/>
    </row>
    <row r="864">
      <c r="C864" s="13"/>
      <c r="H864" s="13"/>
      <c r="L864" s="13"/>
      <c r="N864" s="13"/>
    </row>
    <row r="865">
      <c r="C865" s="13"/>
      <c r="H865" s="13"/>
      <c r="L865" s="13"/>
      <c r="N865" s="13"/>
    </row>
    <row r="866">
      <c r="C866" s="13"/>
      <c r="H866" s="13"/>
      <c r="L866" s="13"/>
      <c r="N866" s="13"/>
    </row>
    <row r="867">
      <c r="C867" s="13"/>
      <c r="H867" s="13"/>
      <c r="L867" s="13"/>
      <c r="N867" s="13"/>
    </row>
    <row r="868">
      <c r="C868" s="13"/>
      <c r="H868" s="13"/>
      <c r="L868" s="13"/>
      <c r="N868" s="13"/>
    </row>
    <row r="869">
      <c r="C869" s="13"/>
      <c r="H869" s="13"/>
      <c r="L869" s="13"/>
      <c r="N869" s="13"/>
    </row>
    <row r="870">
      <c r="C870" s="13"/>
      <c r="H870" s="13"/>
      <c r="L870" s="13"/>
      <c r="N870" s="13"/>
    </row>
    <row r="871">
      <c r="C871" s="13"/>
      <c r="H871" s="13"/>
      <c r="L871" s="13"/>
      <c r="N871" s="13"/>
    </row>
    <row r="872">
      <c r="C872" s="13"/>
      <c r="H872" s="13"/>
      <c r="L872" s="13"/>
      <c r="N872" s="13"/>
    </row>
    <row r="873">
      <c r="C873" s="13"/>
      <c r="H873" s="13"/>
      <c r="L873" s="13"/>
      <c r="N873" s="13"/>
    </row>
    <row r="874">
      <c r="C874" s="13"/>
      <c r="H874" s="13"/>
      <c r="L874" s="13"/>
      <c r="N874" s="13"/>
    </row>
    <row r="875">
      <c r="C875" s="13"/>
      <c r="H875" s="13"/>
      <c r="L875" s="13"/>
      <c r="N875" s="13"/>
    </row>
    <row r="876">
      <c r="C876" s="13"/>
      <c r="H876" s="13"/>
      <c r="L876" s="13"/>
      <c r="N876" s="13"/>
    </row>
    <row r="877">
      <c r="C877" s="13"/>
      <c r="H877" s="13"/>
      <c r="L877" s="13"/>
      <c r="N877" s="13"/>
    </row>
    <row r="878">
      <c r="C878" s="13"/>
      <c r="H878" s="13"/>
      <c r="L878" s="13"/>
      <c r="N878" s="13"/>
    </row>
    <row r="879">
      <c r="C879" s="13"/>
      <c r="H879" s="13"/>
      <c r="L879" s="13"/>
      <c r="N879" s="13"/>
    </row>
    <row r="880">
      <c r="C880" s="13"/>
      <c r="H880" s="13"/>
      <c r="L880" s="13"/>
      <c r="N880" s="13"/>
    </row>
    <row r="881">
      <c r="C881" s="13"/>
      <c r="H881" s="13"/>
      <c r="L881" s="13"/>
      <c r="N881" s="13"/>
    </row>
    <row r="882">
      <c r="C882" s="13"/>
      <c r="H882" s="13"/>
      <c r="L882" s="13"/>
      <c r="N882" s="13"/>
    </row>
    <row r="883">
      <c r="C883" s="13"/>
      <c r="H883" s="13"/>
      <c r="L883" s="13"/>
      <c r="N883" s="13"/>
    </row>
    <row r="884">
      <c r="C884" s="13"/>
      <c r="H884" s="13"/>
      <c r="L884" s="13"/>
      <c r="N884" s="13"/>
    </row>
    <row r="885">
      <c r="C885" s="13"/>
      <c r="H885" s="13"/>
      <c r="L885" s="13"/>
      <c r="N885" s="13"/>
    </row>
    <row r="886">
      <c r="C886" s="13"/>
      <c r="H886" s="13"/>
      <c r="L886" s="13"/>
      <c r="N886" s="13"/>
    </row>
    <row r="887">
      <c r="C887" s="13"/>
      <c r="H887" s="13"/>
      <c r="L887" s="13"/>
      <c r="N887" s="13"/>
    </row>
    <row r="888">
      <c r="C888" s="13"/>
      <c r="H888" s="13"/>
      <c r="L888" s="13"/>
      <c r="N888" s="13"/>
    </row>
    <row r="889">
      <c r="C889" s="13"/>
      <c r="H889" s="13"/>
      <c r="L889" s="13"/>
      <c r="N889" s="13"/>
    </row>
    <row r="890">
      <c r="C890" s="13"/>
      <c r="H890" s="13"/>
      <c r="L890" s="13"/>
      <c r="N890" s="13"/>
    </row>
    <row r="891">
      <c r="C891" s="13"/>
      <c r="H891" s="13"/>
      <c r="L891" s="13"/>
      <c r="N891" s="13"/>
    </row>
    <row r="892">
      <c r="C892" s="13"/>
      <c r="H892" s="13"/>
      <c r="L892" s="13"/>
      <c r="N892" s="13"/>
    </row>
    <row r="893">
      <c r="C893" s="13"/>
      <c r="H893" s="13"/>
      <c r="L893" s="13"/>
      <c r="N893" s="13"/>
    </row>
    <row r="894">
      <c r="C894" s="13"/>
      <c r="H894" s="13"/>
      <c r="L894" s="13"/>
      <c r="N894" s="13"/>
    </row>
    <row r="895">
      <c r="C895" s="13"/>
      <c r="H895" s="13"/>
      <c r="L895" s="13"/>
      <c r="N895" s="13"/>
    </row>
    <row r="896">
      <c r="C896" s="13"/>
      <c r="H896" s="13"/>
      <c r="L896" s="13"/>
      <c r="N896" s="13"/>
    </row>
    <row r="897">
      <c r="C897" s="13"/>
      <c r="H897" s="13"/>
      <c r="L897" s="13"/>
      <c r="N897" s="13"/>
    </row>
    <row r="898">
      <c r="C898" s="13"/>
      <c r="H898" s="13"/>
      <c r="L898" s="13"/>
      <c r="N898" s="13"/>
    </row>
    <row r="899">
      <c r="C899" s="13"/>
      <c r="H899" s="13"/>
      <c r="L899" s="13"/>
      <c r="N899" s="13"/>
    </row>
    <row r="900">
      <c r="C900" s="13"/>
      <c r="H900" s="13"/>
      <c r="L900" s="13"/>
      <c r="N900" s="13"/>
    </row>
    <row r="901">
      <c r="C901" s="13"/>
      <c r="H901" s="13"/>
      <c r="L901" s="13"/>
      <c r="N901" s="13"/>
    </row>
    <row r="902">
      <c r="C902" s="13"/>
      <c r="H902" s="13"/>
      <c r="L902" s="13"/>
      <c r="N902" s="13"/>
    </row>
    <row r="903">
      <c r="C903" s="13"/>
      <c r="H903" s="13"/>
      <c r="L903" s="13"/>
      <c r="N903" s="13"/>
    </row>
    <row r="904">
      <c r="C904" s="13"/>
      <c r="H904" s="13"/>
      <c r="L904" s="13"/>
      <c r="N904" s="13"/>
    </row>
    <row r="905">
      <c r="C905" s="13"/>
      <c r="H905" s="13"/>
      <c r="L905" s="13"/>
      <c r="N905" s="13"/>
    </row>
    <row r="906">
      <c r="C906" s="13"/>
      <c r="H906" s="13"/>
      <c r="L906" s="13"/>
      <c r="N906" s="13"/>
    </row>
    <row r="907">
      <c r="C907" s="13"/>
      <c r="H907" s="13"/>
      <c r="L907" s="13"/>
      <c r="N907" s="13"/>
    </row>
    <row r="908">
      <c r="C908" s="13"/>
      <c r="H908" s="13"/>
      <c r="L908" s="13"/>
      <c r="N908" s="13"/>
    </row>
    <row r="909">
      <c r="C909" s="13"/>
      <c r="H909" s="13"/>
      <c r="L909" s="13"/>
      <c r="N909" s="13"/>
    </row>
    <row r="910">
      <c r="C910" s="13"/>
      <c r="H910" s="13"/>
      <c r="L910" s="13"/>
      <c r="N910" s="13"/>
    </row>
    <row r="911">
      <c r="C911" s="13"/>
      <c r="H911" s="13"/>
      <c r="L911" s="13"/>
      <c r="N911" s="13"/>
    </row>
    <row r="912">
      <c r="C912" s="13"/>
      <c r="H912" s="13"/>
      <c r="L912" s="13"/>
      <c r="N912" s="13"/>
    </row>
    <row r="913">
      <c r="C913" s="13"/>
      <c r="H913" s="13"/>
      <c r="L913" s="13"/>
      <c r="N913" s="13"/>
    </row>
    <row r="914">
      <c r="C914" s="13"/>
      <c r="H914" s="13"/>
      <c r="L914" s="13"/>
      <c r="N914" s="13"/>
    </row>
    <row r="915">
      <c r="C915" s="13"/>
      <c r="H915" s="13"/>
      <c r="L915" s="13"/>
      <c r="N915" s="13"/>
    </row>
    <row r="916">
      <c r="C916" s="13"/>
      <c r="H916" s="13"/>
      <c r="L916" s="13"/>
      <c r="N916" s="13"/>
    </row>
    <row r="917">
      <c r="C917" s="13"/>
      <c r="H917" s="13"/>
      <c r="L917" s="13"/>
      <c r="N917" s="13"/>
    </row>
    <row r="918">
      <c r="C918" s="13"/>
      <c r="H918" s="13"/>
      <c r="L918" s="13"/>
      <c r="N918" s="13"/>
    </row>
    <row r="919">
      <c r="C919" s="13"/>
      <c r="H919" s="13"/>
      <c r="L919" s="13"/>
      <c r="N919" s="13"/>
    </row>
    <row r="920">
      <c r="C920" s="13"/>
      <c r="H920" s="13"/>
      <c r="L920" s="13"/>
      <c r="N920" s="13"/>
    </row>
    <row r="921">
      <c r="C921" s="13"/>
      <c r="H921" s="13"/>
      <c r="L921" s="13"/>
      <c r="N921" s="13"/>
    </row>
    <row r="922">
      <c r="C922" s="13"/>
      <c r="H922" s="13"/>
      <c r="L922" s="13"/>
      <c r="N922" s="13"/>
    </row>
    <row r="923">
      <c r="C923" s="13"/>
      <c r="H923" s="13"/>
      <c r="L923" s="13"/>
      <c r="N923" s="13"/>
    </row>
    <row r="924">
      <c r="C924" s="13"/>
      <c r="H924" s="13"/>
      <c r="L924" s="13"/>
      <c r="N924" s="13"/>
    </row>
    <row r="925">
      <c r="C925" s="13"/>
      <c r="H925" s="13"/>
      <c r="L925" s="13"/>
      <c r="N925" s="13"/>
    </row>
    <row r="926">
      <c r="C926" s="13"/>
      <c r="H926" s="13"/>
      <c r="L926" s="13"/>
      <c r="N926" s="13"/>
    </row>
    <row r="927">
      <c r="C927" s="13"/>
      <c r="H927" s="13"/>
      <c r="L927" s="13"/>
      <c r="N927" s="13"/>
    </row>
    <row r="928">
      <c r="C928" s="13"/>
      <c r="H928" s="13"/>
      <c r="L928" s="13"/>
      <c r="N928" s="13"/>
    </row>
    <row r="929">
      <c r="C929" s="13"/>
      <c r="H929" s="13"/>
      <c r="L929" s="13"/>
      <c r="N929" s="13"/>
    </row>
    <row r="930">
      <c r="C930" s="13"/>
      <c r="H930" s="13"/>
      <c r="L930" s="13"/>
      <c r="N930" s="13"/>
    </row>
    <row r="931">
      <c r="C931" s="13"/>
      <c r="H931" s="13"/>
      <c r="L931" s="13"/>
      <c r="N931" s="13"/>
    </row>
    <row r="932">
      <c r="C932" s="13"/>
      <c r="H932" s="13"/>
      <c r="L932" s="13"/>
      <c r="N932" s="13"/>
    </row>
    <row r="933">
      <c r="C933" s="13"/>
      <c r="H933" s="13"/>
      <c r="L933" s="13"/>
      <c r="N933" s="13"/>
    </row>
    <row r="934">
      <c r="C934" s="13"/>
      <c r="H934" s="13"/>
      <c r="L934" s="13"/>
      <c r="N934" s="13"/>
    </row>
    <row r="935">
      <c r="C935" s="13"/>
      <c r="H935" s="13"/>
      <c r="L935" s="13"/>
      <c r="N935" s="13"/>
    </row>
    <row r="936">
      <c r="C936" s="13"/>
      <c r="H936" s="13"/>
      <c r="L936" s="13"/>
      <c r="N936" s="13"/>
    </row>
    <row r="937">
      <c r="C937" s="13"/>
      <c r="H937" s="13"/>
      <c r="L937" s="13"/>
      <c r="N937" s="13"/>
    </row>
    <row r="938">
      <c r="C938" s="13"/>
      <c r="H938" s="13"/>
      <c r="L938" s="13"/>
      <c r="N938" s="13"/>
    </row>
    <row r="939">
      <c r="C939" s="13"/>
      <c r="H939" s="13"/>
      <c r="L939" s="13"/>
      <c r="N939" s="13"/>
    </row>
    <row r="940">
      <c r="C940" s="13"/>
      <c r="H940" s="13"/>
      <c r="L940" s="13"/>
      <c r="N940" s="13"/>
    </row>
    <row r="941">
      <c r="C941" s="13"/>
      <c r="H941" s="13"/>
      <c r="L941" s="13"/>
      <c r="N941" s="13"/>
    </row>
    <row r="942">
      <c r="C942" s="13"/>
      <c r="H942" s="13"/>
      <c r="L942" s="13"/>
      <c r="N942" s="13"/>
    </row>
    <row r="943">
      <c r="C943" s="13"/>
      <c r="H943" s="13"/>
      <c r="L943" s="13"/>
      <c r="N943" s="13"/>
    </row>
    <row r="944">
      <c r="C944" s="13"/>
      <c r="H944" s="13"/>
      <c r="L944" s="13"/>
      <c r="N944" s="13"/>
    </row>
    <row r="945">
      <c r="C945" s="13"/>
      <c r="H945" s="13"/>
      <c r="L945" s="13"/>
      <c r="N945" s="13"/>
    </row>
    <row r="946">
      <c r="C946" s="13"/>
      <c r="H946" s="13"/>
      <c r="L946" s="13"/>
      <c r="N946" s="13"/>
    </row>
    <row r="947">
      <c r="C947" s="13"/>
      <c r="H947" s="13"/>
      <c r="L947" s="13"/>
      <c r="N947" s="13"/>
    </row>
    <row r="948">
      <c r="C948" s="13"/>
      <c r="H948" s="13"/>
      <c r="L948" s="13"/>
      <c r="N948" s="13"/>
    </row>
    <row r="949">
      <c r="C949" s="13"/>
      <c r="H949" s="13"/>
      <c r="L949" s="13"/>
      <c r="N949" s="13"/>
    </row>
    <row r="950">
      <c r="C950" s="13"/>
      <c r="H950" s="13"/>
      <c r="L950" s="13"/>
      <c r="N950" s="13"/>
    </row>
    <row r="951">
      <c r="C951" s="13"/>
      <c r="H951" s="13"/>
      <c r="L951" s="13"/>
      <c r="N951" s="13"/>
    </row>
    <row r="952">
      <c r="C952" s="13"/>
      <c r="H952" s="13"/>
      <c r="L952" s="13"/>
      <c r="N952" s="13"/>
    </row>
    <row r="953">
      <c r="C953" s="13"/>
      <c r="H953" s="13"/>
      <c r="L953" s="13"/>
      <c r="N953" s="13"/>
    </row>
    <row r="954">
      <c r="C954" s="13"/>
      <c r="H954" s="13"/>
      <c r="L954" s="13"/>
      <c r="N954" s="13"/>
    </row>
    <row r="955">
      <c r="C955" s="13"/>
      <c r="H955" s="13"/>
      <c r="L955" s="13"/>
      <c r="N955" s="13"/>
    </row>
    <row r="956">
      <c r="C956" s="13"/>
      <c r="H956" s="13"/>
      <c r="L956" s="13"/>
      <c r="N956" s="13"/>
    </row>
    <row r="957">
      <c r="C957" s="13"/>
      <c r="H957" s="13"/>
      <c r="L957" s="13"/>
      <c r="N957" s="13"/>
    </row>
    <row r="958">
      <c r="C958" s="13"/>
      <c r="H958" s="13"/>
      <c r="L958" s="13"/>
      <c r="N958" s="13"/>
    </row>
    <row r="959">
      <c r="C959" s="13"/>
      <c r="H959" s="13"/>
      <c r="L959" s="13"/>
      <c r="N959" s="13"/>
    </row>
    <row r="960">
      <c r="C960" s="13"/>
      <c r="H960" s="13"/>
      <c r="L960" s="13"/>
      <c r="N960" s="13"/>
    </row>
    <row r="961">
      <c r="C961" s="13"/>
      <c r="H961" s="13"/>
      <c r="L961" s="13"/>
      <c r="N961" s="13"/>
    </row>
    <row r="962">
      <c r="C962" s="13"/>
      <c r="H962" s="13"/>
      <c r="L962" s="13"/>
      <c r="N962" s="13"/>
    </row>
    <row r="963">
      <c r="C963" s="13"/>
      <c r="H963" s="13"/>
      <c r="L963" s="13"/>
      <c r="N963" s="13"/>
    </row>
    <row r="964">
      <c r="C964" s="13"/>
      <c r="H964" s="13"/>
      <c r="L964" s="13"/>
      <c r="N964" s="13"/>
    </row>
    <row r="965">
      <c r="C965" s="13"/>
      <c r="H965" s="13"/>
      <c r="L965" s="13"/>
      <c r="N965" s="13"/>
    </row>
    <row r="966">
      <c r="C966" s="13"/>
      <c r="H966" s="13"/>
      <c r="L966" s="13"/>
      <c r="N966" s="13"/>
    </row>
    <row r="967">
      <c r="C967" s="13"/>
      <c r="H967" s="13"/>
      <c r="L967" s="13"/>
      <c r="N967" s="13"/>
    </row>
    <row r="968">
      <c r="C968" s="13"/>
      <c r="H968" s="13"/>
      <c r="L968" s="13"/>
      <c r="N968" s="13"/>
    </row>
    <row r="969">
      <c r="C969" s="13"/>
      <c r="H969" s="13"/>
      <c r="L969" s="13"/>
      <c r="N969" s="13"/>
    </row>
    <row r="970">
      <c r="C970" s="13"/>
      <c r="H970" s="13"/>
      <c r="L970" s="13"/>
      <c r="N970" s="13"/>
    </row>
    <row r="971">
      <c r="C971" s="13"/>
      <c r="H971" s="13"/>
      <c r="L971" s="13"/>
      <c r="N971" s="13"/>
    </row>
    <row r="972">
      <c r="C972" s="13"/>
      <c r="H972" s="13"/>
      <c r="L972" s="13"/>
      <c r="N972" s="13"/>
    </row>
    <row r="973">
      <c r="C973" s="13"/>
      <c r="H973" s="13"/>
      <c r="L973" s="13"/>
      <c r="N973" s="13"/>
    </row>
    <row r="974">
      <c r="C974" s="13"/>
      <c r="H974" s="13"/>
      <c r="L974" s="13"/>
      <c r="N974" s="13"/>
    </row>
    <row r="975">
      <c r="C975" s="13"/>
      <c r="H975" s="13"/>
      <c r="L975" s="13"/>
      <c r="N975" s="13"/>
    </row>
    <row r="976">
      <c r="C976" s="13"/>
      <c r="H976" s="13"/>
      <c r="L976" s="13"/>
      <c r="N976" s="13"/>
    </row>
    <row r="977">
      <c r="C977" s="13"/>
      <c r="H977" s="13"/>
      <c r="L977" s="13"/>
      <c r="N977" s="13"/>
    </row>
    <row r="978">
      <c r="C978" s="13"/>
      <c r="H978" s="13"/>
      <c r="L978" s="13"/>
      <c r="N978" s="13"/>
    </row>
    <row r="979">
      <c r="C979" s="13"/>
      <c r="H979" s="13"/>
      <c r="L979" s="13"/>
      <c r="N979" s="13"/>
    </row>
    <row r="980">
      <c r="C980" s="13"/>
      <c r="H980" s="13"/>
      <c r="L980" s="13"/>
      <c r="N980" s="13"/>
    </row>
    <row r="981">
      <c r="C981" s="13"/>
      <c r="H981" s="13"/>
      <c r="L981" s="13"/>
      <c r="N981" s="13"/>
    </row>
    <row r="982">
      <c r="C982" s="13"/>
      <c r="H982" s="13"/>
      <c r="L982" s="13"/>
      <c r="N982" s="13"/>
    </row>
    <row r="983">
      <c r="C983" s="13"/>
      <c r="H983" s="13"/>
      <c r="L983" s="13"/>
      <c r="N983" s="13"/>
    </row>
    <row r="984">
      <c r="C984" s="13"/>
      <c r="H984" s="13"/>
      <c r="L984" s="13"/>
      <c r="N984" s="13"/>
    </row>
    <row r="985">
      <c r="C985" s="13"/>
      <c r="H985" s="13"/>
      <c r="L985" s="13"/>
      <c r="N985" s="13"/>
    </row>
    <row r="986">
      <c r="C986" s="13"/>
      <c r="H986" s="13"/>
      <c r="L986" s="13"/>
      <c r="N986" s="13"/>
    </row>
    <row r="987">
      <c r="C987" s="13"/>
      <c r="H987" s="13"/>
      <c r="L987" s="13"/>
      <c r="N987" s="13"/>
    </row>
    <row r="988">
      <c r="C988" s="13"/>
      <c r="H988" s="13"/>
      <c r="L988" s="13"/>
      <c r="N988" s="13"/>
    </row>
    <row r="989">
      <c r="C989" s="13"/>
      <c r="H989" s="13"/>
      <c r="L989" s="13"/>
      <c r="N989" s="13"/>
    </row>
    <row r="990">
      <c r="C990" s="13"/>
      <c r="H990" s="13"/>
      <c r="L990" s="13"/>
      <c r="N990" s="13"/>
    </row>
    <row r="991">
      <c r="C991" s="13"/>
      <c r="H991" s="13"/>
      <c r="L991" s="13"/>
      <c r="N991" s="13"/>
    </row>
    <row r="992">
      <c r="C992" s="13"/>
      <c r="H992" s="13"/>
      <c r="L992" s="13"/>
      <c r="N992" s="13"/>
    </row>
    <row r="993">
      <c r="C993" s="13"/>
      <c r="H993" s="13"/>
      <c r="L993" s="13"/>
      <c r="N993" s="13"/>
    </row>
    <row r="994">
      <c r="C994" s="13"/>
      <c r="H994" s="13"/>
      <c r="L994" s="13"/>
      <c r="N994" s="13"/>
    </row>
    <row r="995">
      <c r="C995" s="13"/>
      <c r="H995" s="13"/>
      <c r="L995" s="13"/>
      <c r="N995" s="13"/>
    </row>
    <row r="996">
      <c r="C996" s="13"/>
      <c r="H996" s="13"/>
      <c r="L996" s="13"/>
      <c r="N996" s="13"/>
    </row>
    <row r="997">
      <c r="C997" s="13"/>
      <c r="H997" s="13"/>
      <c r="L997" s="13"/>
      <c r="N997" s="13"/>
    </row>
    <row r="998">
      <c r="C998" s="13"/>
      <c r="H998" s="13"/>
      <c r="L998" s="13"/>
      <c r="N998" s="13"/>
    </row>
    <row r="999">
      <c r="C999" s="13"/>
      <c r="H999" s="13"/>
      <c r="L999" s="13"/>
      <c r="N999" s="13"/>
    </row>
    <row r="1000">
      <c r="C1000" s="13"/>
      <c r="H1000" s="13"/>
      <c r="L1000" s="13"/>
      <c r="N1000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3" max="3" width="18.13"/>
    <col customWidth="1" min="4" max="4" width="17.75"/>
    <col customWidth="1" min="5" max="5" width="26.0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0"/>
    <col customWidth="1" min="8" max="8" width="16.75"/>
    <col customWidth="1" min="9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11</v>
      </c>
    </row>
    <row r="2">
      <c r="A2" s="6" t="s">
        <v>183</v>
      </c>
      <c r="B2" s="5">
        <v>1.0</v>
      </c>
      <c r="C2" s="1" t="s">
        <v>12</v>
      </c>
      <c r="D2" s="1" t="s">
        <v>13</v>
      </c>
      <c r="E2" s="1" t="s">
        <v>14</v>
      </c>
      <c r="F2" s="5">
        <v>16.3202</v>
      </c>
      <c r="G2" s="5">
        <v>936.803413</v>
      </c>
      <c r="H2" s="5">
        <v>3.4272</v>
      </c>
      <c r="I2" s="5">
        <v>477.0</v>
      </c>
    </row>
    <row r="3">
      <c r="A3" s="6" t="s">
        <v>183</v>
      </c>
      <c r="B3" s="5">
        <v>1.0</v>
      </c>
      <c r="C3" s="1" t="s">
        <v>12</v>
      </c>
      <c r="D3" s="1" t="s">
        <v>13</v>
      </c>
      <c r="E3" s="1" t="s">
        <v>17</v>
      </c>
      <c r="F3" s="5">
        <v>87.8634</v>
      </c>
      <c r="G3" s="5">
        <v>7019.116508</v>
      </c>
      <c r="H3" s="5">
        <v>30.7522</v>
      </c>
      <c r="I3" s="5">
        <v>754.0</v>
      </c>
    </row>
    <row r="4">
      <c r="A4" s="6" t="s">
        <v>183</v>
      </c>
      <c r="B4" s="5">
        <v>1.0</v>
      </c>
      <c r="C4" s="1" t="s">
        <v>12</v>
      </c>
      <c r="D4" s="1" t="s">
        <v>13</v>
      </c>
      <c r="E4" s="1" t="s">
        <v>21</v>
      </c>
      <c r="F4" s="5">
        <v>35.7182</v>
      </c>
      <c r="G4" s="5">
        <v>4166.453788</v>
      </c>
      <c r="H4" s="5">
        <v>17.8592</v>
      </c>
      <c r="I4" s="5">
        <v>629.0</v>
      </c>
    </row>
    <row r="5">
      <c r="A5" s="6" t="s">
        <v>183</v>
      </c>
      <c r="B5" s="5">
        <v>1.0</v>
      </c>
      <c r="C5" s="1" t="s">
        <v>12</v>
      </c>
      <c r="D5" s="1" t="s">
        <v>13</v>
      </c>
      <c r="E5" s="1" t="s">
        <v>25</v>
      </c>
      <c r="F5" s="5">
        <v>0.358</v>
      </c>
      <c r="G5" s="5">
        <v>66.38769</v>
      </c>
      <c r="H5" s="5">
        <v>0.2685</v>
      </c>
      <c r="I5" s="5">
        <v>29.0</v>
      </c>
    </row>
    <row r="6">
      <c r="A6" s="6" t="s">
        <v>183</v>
      </c>
      <c r="B6" s="5">
        <v>1.0</v>
      </c>
      <c r="C6" s="1" t="s">
        <v>12</v>
      </c>
      <c r="D6" s="1" t="s">
        <v>29</v>
      </c>
      <c r="E6" s="1" t="s">
        <v>21</v>
      </c>
      <c r="F6" s="5">
        <v>16.8368</v>
      </c>
      <c r="G6" s="5">
        <v>3227.992656</v>
      </c>
      <c r="H6" s="5">
        <v>6.7346</v>
      </c>
      <c r="I6" s="5">
        <v>663.0</v>
      </c>
    </row>
    <row r="7">
      <c r="A7" s="6" t="s">
        <v>183</v>
      </c>
      <c r="B7" s="5">
        <v>1.0</v>
      </c>
      <c r="C7" s="1" t="s">
        <v>12</v>
      </c>
      <c r="D7" s="1" t="s">
        <v>32</v>
      </c>
      <c r="E7" s="1" t="s">
        <v>14</v>
      </c>
      <c r="F7" s="5">
        <v>10.0639</v>
      </c>
      <c r="G7" s="5">
        <v>573.128758</v>
      </c>
      <c r="H7" s="5">
        <v>2.3147</v>
      </c>
      <c r="I7" s="5">
        <v>547.0</v>
      </c>
    </row>
    <row r="8">
      <c r="A8" s="6" t="s">
        <v>183</v>
      </c>
      <c r="B8" s="5">
        <v>1.0</v>
      </c>
      <c r="C8" s="1" t="s">
        <v>12</v>
      </c>
      <c r="D8" s="1" t="s">
        <v>32</v>
      </c>
      <c r="E8" s="1" t="s">
        <v>21</v>
      </c>
      <c r="F8" s="5">
        <v>5.1222</v>
      </c>
      <c r="G8" s="5">
        <v>559.444379</v>
      </c>
      <c r="H8" s="5">
        <v>2.305</v>
      </c>
      <c r="I8" s="5">
        <v>325.0</v>
      </c>
    </row>
    <row r="9">
      <c r="A9" s="6" t="s">
        <v>183</v>
      </c>
      <c r="B9" s="5">
        <v>1.0</v>
      </c>
      <c r="C9" s="1" t="s">
        <v>12</v>
      </c>
      <c r="D9" s="1" t="s">
        <v>38</v>
      </c>
      <c r="E9" s="1" t="s">
        <v>39</v>
      </c>
      <c r="F9" s="5">
        <v>3.4856</v>
      </c>
      <c r="G9" s="5">
        <v>328.755626</v>
      </c>
      <c r="H9" s="5">
        <v>0.6274</v>
      </c>
      <c r="I9" s="5">
        <v>96.0</v>
      </c>
    </row>
    <row r="10">
      <c r="A10" s="6" t="s">
        <v>183</v>
      </c>
      <c r="B10" s="5">
        <v>1.0</v>
      </c>
      <c r="C10" s="1" t="s">
        <v>12</v>
      </c>
      <c r="D10" s="1" t="s">
        <v>42</v>
      </c>
      <c r="E10" s="1" t="s">
        <v>17</v>
      </c>
      <c r="F10" s="5">
        <v>1.6929</v>
      </c>
      <c r="G10" s="5">
        <v>253.642919</v>
      </c>
      <c r="H10" s="5">
        <v>0.6264</v>
      </c>
      <c r="I10" s="5">
        <v>95.0</v>
      </c>
    </row>
    <row r="11">
      <c r="A11" s="6" t="s">
        <v>183</v>
      </c>
      <c r="B11" s="5">
        <v>1.0</v>
      </c>
      <c r="C11" s="1" t="s">
        <v>12</v>
      </c>
      <c r="D11" s="1" t="s">
        <v>45</v>
      </c>
      <c r="E11" s="1" t="s">
        <v>17</v>
      </c>
      <c r="F11" s="5">
        <v>2.8313</v>
      </c>
      <c r="G11" s="5">
        <v>200.763102</v>
      </c>
      <c r="H11" s="5">
        <v>1.0193</v>
      </c>
      <c r="I11" s="5">
        <v>191.0</v>
      </c>
    </row>
    <row r="12">
      <c r="A12" s="6" t="s">
        <v>183</v>
      </c>
      <c r="B12" s="5">
        <v>1.0</v>
      </c>
      <c r="C12" s="1" t="s">
        <v>12</v>
      </c>
      <c r="D12" s="1" t="s">
        <v>48</v>
      </c>
      <c r="E12" s="1" t="s">
        <v>49</v>
      </c>
      <c r="F12" s="5">
        <v>0.0068</v>
      </c>
      <c r="G12" s="5">
        <v>2.200698</v>
      </c>
      <c r="H12" s="5">
        <v>0.0019</v>
      </c>
      <c r="I12" s="5">
        <v>4.0</v>
      </c>
    </row>
    <row r="13">
      <c r="A13" s="6" t="s">
        <v>183</v>
      </c>
      <c r="B13" s="5">
        <v>1.0</v>
      </c>
      <c r="C13" s="1" t="s">
        <v>12</v>
      </c>
      <c r="D13" s="1" t="s">
        <v>48</v>
      </c>
      <c r="E13" s="1" t="s">
        <v>21</v>
      </c>
      <c r="F13" s="5">
        <v>0.5648</v>
      </c>
      <c r="G13" s="5">
        <v>71.031833</v>
      </c>
      <c r="H13" s="5">
        <v>0.2259</v>
      </c>
      <c r="I13" s="5">
        <v>78.0</v>
      </c>
    </row>
    <row r="14">
      <c r="A14" s="6" t="s">
        <v>183</v>
      </c>
      <c r="B14" s="5">
        <v>1.0</v>
      </c>
      <c r="C14" s="1" t="s">
        <v>12</v>
      </c>
      <c r="D14" s="1" t="s">
        <v>56</v>
      </c>
      <c r="E14" s="1" t="s">
        <v>21</v>
      </c>
      <c r="F14" s="5">
        <v>0.242</v>
      </c>
      <c r="G14" s="5">
        <v>61.805145</v>
      </c>
      <c r="H14" s="5">
        <v>0.0968</v>
      </c>
      <c r="I14" s="5">
        <v>96.0</v>
      </c>
    </row>
    <row r="15">
      <c r="A15" s="6" t="s">
        <v>183</v>
      </c>
      <c r="B15" s="5">
        <v>1.0</v>
      </c>
      <c r="C15" s="1" t="s">
        <v>12</v>
      </c>
      <c r="D15" s="1" t="s">
        <v>60</v>
      </c>
      <c r="E15" s="1" t="s">
        <v>39</v>
      </c>
      <c r="F15" s="5">
        <v>0.3707</v>
      </c>
      <c r="G15" s="5">
        <v>56.153614</v>
      </c>
      <c r="H15" s="5">
        <v>0.0704</v>
      </c>
      <c r="I15" s="5">
        <v>0.0</v>
      </c>
    </row>
    <row r="16">
      <c r="A16" s="6" t="s">
        <v>183</v>
      </c>
      <c r="B16" s="5">
        <v>1.0</v>
      </c>
      <c r="C16" s="1" t="s">
        <v>12</v>
      </c>
      <c r="D16" s="1" t="s">
        <v>64</v>
      </c>
      <c r="E16" s="1" t="s">
        <v>21</v>
      </c>
      <c r="F16" s="5">
        <v>0.321</v>
      </c>
      <c r="G16" s="5">
        <v>50.76976</v>
      </c>
      <c r="H16" s="5">
        <v>0.1284</v>
      </c>
      <c r="I16" s="5">
        <v>0.0</v>
      </c>
    </row>
    <row r="17">
      <c r="A17" s="6" t="s">
        <v>183</v>
      </c>
      <c r="B17" s="5">
        <v>1.0</v>
      </c>
      <c r="C17" s="1" t="s">
        <v>68</v>
      </c>
      <c r="D17" s="1" t="s">
        <v>13</v>
      </c>
      <c r="E17" s="1" t="s">
        <v>14</v>
      </c>
      <c r="F17" s="5">
        <v>66.7225</v>
      </c>
      <c r="G17" s="5">
        <v>4050.03638</v>
      </c>
      <c r="H17" s="5">
        <v>14.0117</v>
      </c>
      <c r="I17" s="5">
        <v>7561.0</v>
      </c>
    </row>
    <row r="18">
      <c r="A18" s="6" t="s">
        <v>183</v>
      </c>
      <c r="B18" s="5">
        <v>1.0</v>
      </c>
      <c r="C18" s="1" t="s">
        <v>68</v>
      </c>
      <c r="D18" s="1" t="s">
        <v>13</v>
      </c>
      <c r="E18" s="1" t="s">
        <v>72</v>
      </c>
      <c r="F18" s="5">
        <v>0.0013</v>
      </c>
      <c r="G18" s="5">
        <v>0.134999</v>
      </c>
      <c r="H18" s="5">
        <v>4.0E-4</v>
      </c>
      <c r="I18" s="5">
        <v>1.0</v>
      </c>
    </row>
    <row r="19">
      <c r="A19" s="6" t="s">
        <v>183</v>
      </c>
      <c r="B19" s="5">
        <v>1.0</v>
      </c>
      <c r="C19" s="1" t="s">
        <v>68</v>
      </c>
      <c r="D19" s="1" t="s">
        <v>13</v>
      </c>
      <c r="E19" s="1" t="s">
        <v>17</v>
      </c>
      <c r="F19" s="5">
        <v>77.9698</v>
      </c>
      <c r="G19" s="5">
        <v>7036.255168</v>
      </c>
      <c r="H19" s="5">
        <v>27.2894</v>
      </c>
      <c r="I19" s="5">
        <v>8754.0</v>
      </c>
    </row>
    <row r="20">
      <c r="A20" s="6" t="s">
        <v>183</v>
      </c>
      <c r="B20" s="5">
        <v>1.0</v>
      </c>
      <c r="C20" s="1" t="s">
        <v>68</v>
      </c>
      <c r="D20" s="1" t="s">
        <v>13</v>
      </c>
      <c r="E20" s="1" t="s">
        <v>21</v>
      </c>
      <c r="F20" s="5">
        <v>7.861</v>
      </c>
      <c r="G20" s="5">
        <v>1087.96951</v>
      </c>
      <c r="H20" s="5">
        <v>3.9304</v>
      </c>
      <c r="I20" s="5">
        <v>1426.0</v>
      </c>
    </row>
    <row r="21">
      <c r="A21" s="6" t="s">
        <v>183</v>
      </c>
      <c r="B21" s="5">
        <v>1.0</v>
      </c>
      <c r="C21" s="1" t="s">
        <v>68</v>
      </c>
      <c r="D21" s="1" t="s">
        <v>13</v>
      </c>
      <c r="E21" s="1" t="s">
        <v>25</v>
      </c>
      <c r="F21" s="5">
        <v>0.6025</v>
      </c>
      <c r="G21" s="5">
        <v>109.493529</v>
      </c>
      <c r="H21" s="5">
        <v>0.4518</v>
      </c>
      <c r="I21" s="5">
        <v>277.0</v>
      </c>
    </row>
    <row r="22">
      <c r="A22" s="6" t="s">
        <v>183</v>
      </c>
      <c r="B22" s="5">
        <v>1.0</v>
      </c>
      <c r="C22" s="1" t="s">
        <v>68</v>
      </c>
      <c r="D22" s="1" t="s">
        <v>45</v>
      </c>
      <c r="E22" s="1" t="s">
        <v>17</v>
      </c>
      <c r="F22" s="5">
        <v>52.7901</v>
      </c>
      <c r="G22" s="5">
        <v>3000.962605</v>
      </c>
      <c r="H22" s="5">
        <v>19.0044</v>
      </c>
      <c r="I22" s="5">
        <v>5948.0</v>
      </c>
    </row>
    <row r="23">
      <c r="A23" s="6" t="s">
        <v>183</v>
      </c>
      <c r="B23" s="5">
        <v>1.0</v>
      </c>
      <c r="C23" s="1" t="s">
        <v>68</v>
      </c>
      <c r="D23" s="1" t="s">
        <v>29</v>
      </c>
      <c r="E23" s="1" t="s">
        <v>21</v>
      </c>
      <c r="F23" s="5">
        <v>14.2126</v>
      </c>
      <c r="G23" s="5">
        <v>2169.309011</v>
      </c>
      <c r="H23" s="5">
        <v>5.6849</v>
      </c>
      <c r="I23" s="5">
        <v>1776.0</v>
      </c>
    </row>
    <row r="24">
      <c r="A24" s="6" t="s">
        <v>183</v>
      </c>
      <c r="B24" s="5">
        <v>1.0</v>
      </c>
      <c r="C24" s="1" t="s">
        <v>68</v>
      </c>
      <c r="D24" s="1" t="s">
        <v>32</v>
      </c>
      <c r="E24" s="1" t="s">
        <v>14</v>
      </c>
      <c r="F24" s="5">
        <v>4.3366</v>
      </c>
      <c r="G24" s="5">
        <v>319.951771</v>
      </c>
      <c r="H24" s="5">
        <v>0.9974</v>
      </c>
      <c r="I24" s="5">
        <v>1627.0</v>
      </c>
    </row>
    <row r="25">
      <c r="A25" s="6" t="s">
        <v>183</v>
      </c>
      <c r="B25" s="5">
        <v>1.0</v>
      </c>
      <c r="C25" s="1" t="s">
        <v>68</v>
      </c>
      <c r="D25" s="1" t="s">
        <v>32</v>
      </c>
      <c r="E25" s="1" t="s">
        <v>21</v>
      </c>
      <c r="F25" s="5">
        <v>1.6089</v>
      </c>
      <c r="G25" s="5">
        <v>234.200456</v>
      </c>
      <c r="H25" s="5">
        <v>0.7239</v>
      </c>
      <c r="I25" s="5">
        <v>514.0</v>
      </c>
    </row>
    <row r="26">
      <c r="A26" s="6" t="s">
        <v>183</v>
      </c>
      <c r="B26" s="5">
        <v>1.0</v>
      </c>
      <c r="C26" s="1" t="s">
        <v>68</v>
      </c>
      <c r="D26" s="1" t="s">
        <v>42</v>
      </c>
      <c r="E26" s="1" t="s">
        <v>17</v>
      </c>
      <c r="F26" s="5">
        <v>1.2559</v>
      </c>
      <c r="G26" s="5">
        <v>207.232319</v>
      </c>
      <c r="H26" s="5">
        <v>0.4648</v>
      </c>
      <c r="I26" s="5">
        <v>355.0</v>
      </c>
    </row>
    <row r="27">
      <c r="A27" s="6" t="s">
        <v>183</v>
      </c>
      <c r="B27" s="5">
        <v>1.0</v>
      </c>
      <c r="C27" s="1" t="s">
        <v>68</v>
      </c>
      <c r="D27" s="1" t="s">
        <v>38</v>
      </c>
      <c r="E27" s="1" t="s">
        <v>39</v>
      </c>
      <c r="F27" s="5">
        <v>2.0961</v>
      </c>
      <c r="G27" s="5">
        <v>177.535357</v>
      </c>
      <c r="H27" s="5">
        <v>0.3773</v>
      </c>
      <c r="I27" s="5">
        <v>298.0</v>
      </c>
    </row>
    <row r="28">
      <c r="A28" s="6" t="s">
        <v>183</v>
      </c>
      <c r="B28" s="5">
        <v>1.0</v>
      </c>
      <c r="C28" s="1" t="s">
        <v>68</v>
      </c>
      <c r="D28" s="1" t="s">
        <v>98</v>
      </c>
      <c r="E28" s="1" t="s">
        <v>17</v>
      </c>
      <c r="F28" s="5">
        <v>0.5244</v>
      </c>
      <c r="G28" s="5">
        <v>119.596253</v>
      </c>
      <c r="H28" s="5">
        <v>0.1835</v>
      </c>
      <c r="I28" s="5">
        <v>71.0</v>
      </c>
    </row>
    <row r="29">
      <c r="A29" s="6" t="s">
        <v>183</v>
      </c>
      <c r="B29" s="5">
        <v>1.0</v>
      </c>
      <c r="C29" s="1" t="s">
        <v>68</v>
      </c>
      <c r="D29" s="1" t="s">
        <v>102</v>
      </c>
      <c r="E29" s="1" t="s">
        <v>39</v>
      </c>
      <c r="F29" s="5">
        <v>0.0022</v>
      </c>
      <c r="G29" s="5">
        <v>0.930142</v>
      </c>
      <c r="H29" s="5">
        <v>4.0E-4</v>
      </c>
      <c r="I29" s="5">
        <v>2.0</v>
      </c>
    </row>
    <row r="30">
      <c r="A30" s="6" t="s">
        <v>183</v>
      </c>
      <c r="B30" s="5">
        <v>1.0</v>
      </c>
      <c r="C30" s="1" t="s">
        <v>68</v>
      </c>
      <c r="D30" s="1" t="s">
        <v>102</v>
      </c>
      <c r="E30" s="1" t="s">
        <v>21</v>
      </c>
      <c r="F30" s="5">
        <v>0.3416</v>
      </c>
      <c r="G30" s="5">
        <v>108.540446</v>
      </c>
      <c r="H30" s="5">
        <v>0.1367</v>
      </c>
      <c r="I30" s="5">
        <v>49.0</v>
      </c>
    </row>
    <row r="31">
      <c r="A31" s="6" t="s">
        <v>183</v>
      </c>
      <c r="B31" s="5">
        <v>1.0</v>
      </c>
      <c r="C31" s="1" t="s">
        <v>68</v>
      </c>
      <c r="D31" s="1" t="s">
        <v>108</v>
      </c>
      <c r="E31" s="1" t="s">
        <v>49</v>
      </c>
      <c r="F31" s="5">
        <v>1.0783</v>
      </c>
      <c r="G31" s="5">
        <v>51.908766</v>
      </c>
      <c r="H31" s="5">
        <v>0.302</v>
      </c>
      <c r="I31" s="5">
        <v>613.0</v>
      </c>
    </row>
    <row r="32">
      <c r="A32" s="6" t="s">
        <v>183</v>
      </c>
      <c r="B32" s="5">
        <v>1.0</v>
      </c>
      <c r="C32" s="1" t="s">
        <v>68</v>
      </c>
      <c r="D32" s="1" t="s">
        <v>112</v>
      </c>
      <c r="E32" s="1" t="s">
        <v>21</v>
      </c>
      <c r="F32" s="5">
        <v>0.4799</v>
      </c>
      <c r="G32" s="5">
        <v>43.137401</v>
      </c>
      <c r="H32" s="5">
        <v>0.24</v>
      </c>
      <c r="I32" s="5">
        <v>0.0</v>
      </c>
    </row>
    <row r="33">
      <c r="A33" s="6" t="s">
        <v>183</v>
      </c>
      <c r="B33" s="5">
        <v>1.0</v>
      </c>
      <c r="C33" s="1" t="s">
        <v>116</v>
      </c>
      <c r="D33" s="1" t="s">
        <v>13</v>
      </c>
      <c r="E33" s="1" t="s">
        <v>14</v>
      </c>
      <c r="F33" s="5">
        <v>173.1694</v>
      </c>
      <c r="G33" s="5">
        <v>8930.873194</v>
      </c>
      <c r="H33" s="5">
        <v>36.3655</v>
      </c>
      <c r="I33" s="5">
        <v>10568.0</v>
      </c>
    </row>
    <row r="34">
      <c r="A34" s="6" t="s">
        <v>183</v>
      </c>
      <c r="B34" s="5">
        <v>1.0</v>
      </c>
      <c r="C34" s="1" t="s">
        <v>116</v>
      </c>
      <c r="D34" s="1" t="s">
        <v>13</v>
      </c>
      <c r="E34" s="1" t="s">
        <v>17</v>
      </c>
      <c r="F34" s="5">
        <v>109.4041</v>
      </c>
      <c r="G34" s="5">
        <v>9457.396412</v>
      </c>
      <c r="H34" s="5">
        <v>38.2914</v>
      </c>
      <c r="I34" s="5">
        <v>8553.0</v>
      </c>
    </row>
    <row r="35">
      <c r="A35" s="6" t="s">
        <v>183</v>
      </c>
      <c r="B35" s="5">
        <v>1.0</v>
      </c>
      <c r="C35" s="1" t="s">
        <v>116</v>
      </c>
      <c r="D35" s="1" t="s">
        <v>13</v>
      </c>
      <c r="E35" s="1" t="s">
        <v>21</v>
      </c>
      <c r="F35" s="5">
        <v>41.8318</v>
      </c>
      <c r="G35" s="5">
        <v>4901.080918</v>
      </c>
      <c r="H35" s="5">
        <v>20.916</v>
      </c>
      <c r="I35" s="5">
        <v>2638.0</v>
      </c>
    </row>
    <row r="36">
      <c r="A36" s="6" t="s">
        <v>183</v>
      </c>
      <c r="B36" s="5">
        <v>1.0</v>
      </c>
      <c r="C36" s="1" t="s">
        <v>116</v>
      </c>
      <c r="D36" s="1" t="s">
        <v>13</v>
      </c>
      <c r="E36" s="1" t="s">
        <v>25</v>
      </c>
      <c r="F36" s="5">
        <v>0.0807</v>
      </c>
      <c r="G36" s="5">
        <v>15.311662</v>
      </c>
      <c r="H36" s="5">
        <v>0.0605</v>
      </c>
      <c r="I36" s="5">
        <v>53.0</v>
      </c>
    </row>
    <row r="37">
      <c r="A37" s="6" t="s">
        <v>183</v>
      </c>
      <c r="B37" s="5">
        <v>1.0</v>
      </c>
      <c r="C37" s="1" t="s">
        <v>116</v>
      </c>
      <c r="D37" s="1" t="s">
        <v>29</v>
      </c>
      <c r="E37" s="1" t="s">
        <v>21</v>
      </c>
      <c r="F37" s="5">
        <v>66.1422</v>
      </c>
      <c r="G37" s="5">
        <v>9564.403796</v>
      </c>
      <c r="H37" s="5">
        <v>26.4569</v>
      </c>
      <c r="I37" s="5">
        <v>5157.0</v>
      </c>
    </row>
    <row r="38">
      <c r="A38" s="6" t="s">
        <v>183</v>
      </c>
      <c r="B38" s="5">
        <v>1.0</v>
      </c>
      <c r="C38" s="1" t="s">
        <v>116</v>
      </c>
      <c r="D38" s="1" t="s">
        <v>45</v>
      </c>
      <c r="E38" s="1" t="s">
        <v>17</v>
      </c>
      <c r="F38" s="5">
        <v>55.3375</v>
      </c>
      <c r="G38" s="5">
        <v>3197.053251</v>
      </c>
      <c r="H38" s="5">
        <v>19.9215</v>
      </c>
      <c r="I38" s="5">
        <v>6724.0</v>
      </c>
    </row>
    <row r="39">
      <c r="A39" s="6" t="s">
        <v>183</v>
      </c>
      <c r="B39" s="5">
        <v>1.0</v>
      </c>
      <c r="C39" s="1" t="s">
        <v>116</v>
      </c>
      <c r="D39" s="1" t="s">
        <v>32</v>
      </c>
      <c r="E39" s="1" t="s">
        <v>14</v>
      </c>
      <c r="F39" s="5">
        <v>19.5669</v>
      </c>
      <c r="G39" s="5">
        <v>1090.341146</v>
      </c>
      <c r="H39" s="5">
        <v>4.5003</v>
      </c>
      <c r="I39" s="5">
        <v>3312.0</v>
      </c>
    </row>
    <row r="40">
      <c r="A40" s="6" t="s">
        <v>183</v>
      </c>
      <c r="B40" s="5">
        <v>1.0</v>
      </c>
      <c r="C40" s="1" t="s">
        <v>116</v>
      </c>
      <c r="D40" s="1" t="s">
        <v>32</v>
      </c>
      <c r="E40" s="1" t="s">
        <v>21</v>
      </c>
      <c r="F40" s="5">
        <v>7.0743</v>
      </c>
      <c r="G40" s="5">
        <v>918.309789</v>
      </c>
      <c r="H40" s="5">
        <v>3.1834</v>
      </c>
      <c r="I40" s="5">
        <v>1018.0</v>
      </c>
    </row>
    <row r="41">
      <c r="A41" s="6" t="s">
        <v>183</v>
      </c>
      <c r="B41" s="5">
        <v>1.0</v>
      </c>
      <c r="C41" s="1" t="s">
        <v>116</v>
      </c>
      <c r="D41" s="1" t="s">
        <v>42</v>
      </c>
      <c r="E41" s="1" t="s">
        <v>17</v>
      </c>
      <c r="F41" s="5">
        <v>5.5746</v>
      </c>
      <c r="G41" s="5">
        <v>811.85142</v>
      </c>
      <c r="H41" s="5">
        <v>2.0626</v>
      </c>
      <c r="I41" s="5">
        <v>709.0</v>
      </c>
    </row>
    <row r="42">
      <c r="A42" s="6" t="s">
        <v>183</v>
      </c>
      <c r="B42" s="5">
        <v>1.0</v>
      </c>
      <c r="C42" s="1" t="s">
        <v>116</v>
      </c>
      <c r="D42" s="1" t="s">
        <v>102</v>
      </c>
      <c r="E42" s="1" t="s">
        <v>39</v>
      </c>
      <c r="F42" s="5">
        <v>0.0088</v>
      </c>
      <c r="G42" s="5">
        <v>3.021369</v>
      </c>
      <c r="H42" s="5">
        <v>0.0017</v>
      </c>
      <c r="I42" s="5">
        <v>10.0</v>
      </c>
    </row>
    <row r="43">
      <c r="A43" s="6" t="s">
        <v>183</v>
      </c>
      <c r="B43" s="5">
        <v>1.0</v>
      </c>
      <c r="C43" s="1" t="s">
        <v>116</v>
      </c>
      <c r="D43" s="1" t="s">
        <v>102</v>
      </c>
      <c r="E43" s="1" t="s">
        <v>21</v>
      </c>
      <c r="F43" s="5">
        <v>1.7347</v>
      </c>
      <c r="G43" s="5">
        <v>489.019976</v>
      </c>
      <c r="H43" s="5">
        <v>0.6938</v>
      </c>
      <c r="I43" s="5">
        <v>223.0</v>
      </c>
    </row>
    <row r="44">
      <c r="A44" s="6" t="s">
        <v>183</v>
      </c>
      <c r="B44" s="5">
        <v>1.0</v>
      </c>
      <c r="C44" s="1" t="s">
        <v>116</v>
      </c>
      <c r="D44" s="1" t="s">
        <v>147</v>
      </c>
      <c r="E44" s="1" t="s">
        <v>39</v>
      </c>
      <c r="F44" s="5">
        <v>1.3486</v>
      </c>
      <c r="G44" s="5">
        <v>387.537281</v>
      </c>
      <c r="H44" s="5">
        <v>0.2563</v>
      </c>
      <c r="I44" s="5">
        <v>100.0</v>
      </c>
    </row>
    <row r="45">
      <c r="A45" s="6" t="s">
        <v>183</v>
      </c>
      <c r="B45" s="5">
        <v>1.0</v>
      </c>
      <c r="C45" s="1" t="s">
        <v>116</v>
      </c>
      <c r="D45" s="1" t="s">
        <v>147</v>
      </c>
      <c r="E45" s="1" t="s">
        <v>17</v>
      </c>
      <c r="F45" s="5">
        <v>0.0314</v>
      </c>
      <c r="G45" s="5">
        <v>10.497775</v>
      </c>
      <c r="H45" s="5">
        <v>0.011</v>
      </c>
      <c r="I45" s="5">
        <v>7.0</v>
      </c>
    </row>
    <row r="46">
      <c r="A46" s="6" t="s">
        <v>183</v>
      </c>
      <c r="B46" s="5">
        <v>1.0</v>
      </c>
      <c r="C46" s="1" t="s">
        <v>116</v>
      </c>
      <c r="D46" s="1" t="s">
        <v>147</v>
      </c>
      <c r="E46" s="1" t="s">
        <v>21</v>
      </c>
      <c r="F46" s="5">
        <v>0.0734</v>
      </c>
      <c r="G46" s="5">
        <v>36.070235</v>
      </c>
      <c r="H46" s="5">
        <v>0.0367</v>
      </c>
      <c r="I46" s="5">
        <v>50.0</v>
      </c>
    </row>
    <row r="47">
      <c r="A47" s="6" t="s">
        <v>183</v>
      </c>
      <c r="B47" s="5">
        <v>1.0</v>
      </c>
      <c r="C47" s="1" t="s">
        <v>116</v>
      </c>
      <c r="D47" s="1" t="s">
        <v>38</v>
      </c>
      <c r="E47" s="1" t="s">
        <v>39</v>
      </c>
      <c r="F47" s="5">
        <v>3.1912</v>
      </c>
      <c r="G47" s="5">
        <v>241.683626</v>
      </c>
      <c r="H47" s="5">
        <v>0.5744</v>
      </c>
      <c r="I47" s="5">
        <v>179.0</v>
      </c>
    </row>
    <row r="48">
      <c r="A48" s="6" t="s">
        <v>183</v>
      </c>
      <c r="B48" s="5">
        <v>1.0</v>
      </c>
      <c r="C48" s="1" t="s">
        <v>116</v>
      </c>
      <c r="D48" s="1" t="s">
        <v>158</v>
      </c>
      <c r="E48" s="1" t="s">
        <v>17</v>
      </c>
      <c r="F48" s="5">
        <v>0.0554</v>
      </c>
      <c r="G48" s="5">
        <v>25.307236</v>
      </c>
      <c r="H48" s="5">
        <v>0.0194</v>
      </c>
      <c r="I48" s="5">
        <v>0.0</v>
      </c>
    </row>
    <row r="49">
      <c r="A49" s="6" t="s">
        <v>183</v>
      </c>
      <c r="B49" s="5">
        <v>1.0</v>
      </c>
      <c r="C49" s="1" t="s">
        <v>116</v>
      </c>
      <c r="D49" s="1" t="s">
        <v>158</v>
      </c>
      <c r="E49" s="1" t="s">
        <v>21</v>
      </c>
      <c r="F49" s="5">
        <v>0.3194</v>
      </c>
      <c r="G49" s="5">
        <v>174.92429</v>
      </c>
      <c r="H49" s="5">
        <v>0.1341</v>
      </c>
      <c r="I49" s="5">
        <v>0.0</v>
      </c>
    </row>
    <row r="50">
      <c r="A50" s="6" t="s">
        <v>183</v>
      </c>
      <c r="B50" s="5">
        <v>1.0</v>
      </c>
      <c r="C50" s="1" t="s">
        <v>116</v>
      </c>
      <c r="D50" s="1" t="s">
        <v>165</v>
      </c>
      <c r="E50" s="1" t="s">
        <v>39</v>
      </c>
      <c r="F50" s="5">
        <v>0.3405</v>
      </c>
      <c r="G50" s="5">
        <v>46.280242</v>
      </c>
      <c r="H50" s="5">
        <v>0.0613</v>
      </c>
      <c r="I50" s="5">
        <v>63.0</v>
      </c>
    </row>
    <row r="51">
      <c r="A51" s="6" t="s">
        <v>183</v>
      </c>
      <c r="B51" s="5">
        <v>1.0</v>
      </c>
      <c r="C51" s="1" t="s">
        <v>116</v>
      </c>
      <c r="D51" s="1" t="s">
        <v>165</v>
      </c>
      <c r="E51" s="1" t="s">
        <v>17</v>
      </c>
      <c r="F51" s="5">
        <v>0.7489</v>
      </c>
      <c r="G51" s="5">
        <v>144.095549</v>
      </c>
      <c r="H51" s="5">
        <v>0.2622</v>
      </c>
      <c r="I51" s="5">
        <v>67.0</v>
      </c>
    </row>
    <row r="52">
      <c r="A52" s="6" t="s">
        <v>183</v>
      </c>
      <c r="B52" s="5">
        <v>2.0</v>
      </c>
      <c r="C52" s="1" t="s">
        <v>12</v>
      </c>
      <c r="D52" s="1" t="s">
        <v>13</v>
      </c>
      <c r="E52" s="1" t="s">
        <v>14</v>
      </c>
      <c r="F52" s="5">
        <v>15.4443</v>
      </c>
      <c r="G52" s="5">
        <v>902.021306</v>
      </c>
      <c r="H52" s="5">
        <v>3.2433</v>
      </c>
      <c r="I52" s="5">
        <v>479.0</v>
      </c>
    </row>
    <row r="53">
      <c r="A53" s="6" t="s">
        <v>183</v>
      </c>
      <c r="B53" s="5">
        <v>2.0</v>
      </c>
      <c r="C53" s="1" t="s">
        <v>12</v>
      </c>
      <c r="D53" s="1" t="s">
        <v>13</v>
      </c>
      <c r="E53" s="1" t="s">
        <v>17</v>
      </c>
      <c r="F53" s="5">
        <v>61.9945</v>
      </c>
      <c r="G53" s="5">
        <v>5267.687694</v>
      </c>
      <c r="H53" s="5">
        <v>21.6982</v>
      </c>
      <c r="I53" s="5">
        <v>771.0</v>
      </c>
    </row>
    <row r="54">
      <c r="A54" s="6" t="s">
        <v>183</v>
      </c>
      <c r="B54" s="5">
        <v>2.0</v>
      </c>
      <c r="C54" s="1" t="s">
        <v>12</v>
      </c>
      <c r="D54" s="1" t="s">
        <v>13</v>
      </c>
      <c r="E54" s="1" t="s">
        <v>21</v>
      </c>
      <c r="F54" s="5">
        <v>52.0653</v>
      </c>
      <c r="G54" s="5">
        <v>5737.79897</v>
      </c>
      <c r="H54" s="5">
        <v>26.0328</v>
      </c>
      <c r="I54" s="5">
        <v>648.0</v>
      </c>
    </row>
    <row r="55">
      <c r="A55" s="6" t="s">
        <v>183</v>
      </c>
      <c r="B55" s="5">
        <v>2.0</v>
      </c>
      <c r="C55" s="1" t="s">
        <v>12</v>
      </c>
      <c r="D55" s="1" t="s">
        <v>13</v>
      </c>
      <c r="E55" s="1" t="s">
        <v>25</v>
      </c>
      <c r="F55" s="5">
        <v>0.327</v>
      </c>
      <c r="G55" s="5">
        <v>61.337886</v>
      </c>
      <c r="H55" s="5">
        <v>0.2453</v>
      </c>
      <c r="I55" s="5">
        <v>23.0</v>
      </c>
    </row>
    <row r="56">
      <c r="A56" s="6" t="s">
        <v>183</v>
      </c>
      <c r="B56" s="5">
        <v>2.0</v>
      </c>
      <c r="C56" s="1" t="s">
        <v>12</v>
      </c>
      <c r="D56" s="1" t="s">
        <v>29</v>
      </c>
      <c r="E56" s="1" t="s">
        <v>21</v>
      </c>
      <c r="F56" s="5">
        <v>15.7978</v>
      </c>
      <c r="G56" s="5">
        <v>3177.907308</v>
      </c>
      <c r="H56" s="5">
        <v>6.319</v>
      </c>
      <c r="I56" s="5">
        <v>668.0</v>
      </c>
    </row>
    <row r="57">
      <c r="A57" s="6" t="s">
        <v>183</v>
      </c>
      <c r="B57" s="5">
        <v>2.0</v>
      </c>
      <c r="C57" s="1" t="s">
        <v>12</v>
      </c>
      <c r="D57" s="1" t="s">
        <v>32</v>
      </c>
      <c r="E57" s="1" t="s">
        <v>14</v>
      </c>
      <c r="F57" s="5">
        <v>16.1499</v>
      </c>
      <c r="G57" s="5">
        <v>874.324135</v>
      </c>
      <c r="H57" s="5">
        <v>3.7145</v>
      </c>
      <c r="I57" s="5">
        <v>525.0</v>
      </c>
    </row>
    <row r="58">
      <c r="A58" s="6" t="s">
        <v>183</v>
      </c>
      <c r="B58" s="5">
        <v>2.0</v>
      </c>
      <c r="C58" s="1" t="s">
        <v>12</v>
      </c>
      <c r="D58" s="1" t="s">
        <v>32</v>
      </c>
      <c r="E58" s="1" t="s">
        <v>21</v>
      </c>
      <c r="F58" s="5">
        <v>3.4374</v>
      </c>
      <c r="G58" s="5">
        <v>443.556823</v>
      </c>
      <c r="H58" s="5">
        <v>1.5468</v>
      </c>
      <c r="I58" s="5">
        <v>319.0</v>
      </c>
    </row>
    <row r="59">
      <c r="A59" s="6" t="s">
        <v>183</v>
      </c>
      <c r="B59" s="5">
        <v>2.0</v>
      </c>
      <c r="C59" s="1" t="s">
        <v>12</v>
      </c>
      <c r="D59" s="1" t="s">
        <v>38</v>
      </c>
      <c r="E59" s="1" t="s">
        <v>39</v>
      </c>
      <c r="F59" s="5">
        <v>3.1436</v>
      </c>
      <c r="G59" s="5">
        <v>306.878801</v>
      </c>
      <c r="H59" s="5">
        <v>0.5659</v>
      </c>
      <c r="I59" s="5">
        <v>89.0</v>
      </c>
    </row>
    <row r="60">
      <c r="A60" s="6" t="s">
        <v>183</v>
      </c>
      <c r="B60" s="5">
        <v>2.0</v>
      </c>
      <c r="C60" s="1" t="s">
        <v>12</v>
      </c>
      <c r="D60" s="1" t="s">
        <v>42</v>
      </c>
      <c r="E60" s="1" t="s">
        <v>17</v>
      </c>
      <c r="F60" s="5">
        <v>1.8528</v>
      </c>
      <c r="G60" s="5">
        <v>281.485434</v>
      </c>
      <c r="H60" s="5">
        <v>0.6855</v>
      </c>
      <c r="I60" s="5">
        <v>93.0</v>
      </c>
    </row>
    <row r="61">
      <c r="A61" s="6" t="s">
        <v>183</v>
      </c>
      <c r="B61" s="5">
        <v>2.0</v>
      </c>
      <c r="C61" s="1" t="s">
        <v>12</v>
      </c>
      <c r="D61" s="1" t="s">
        <v>45</v>
      </c>
      <c r="E61" s="1" t="s">
        <v>17</v>
      </c>
      <c r="F61" s="5">
        <v>2.481</v>
      </c>
      <c r="G61" s="5">
        <v>184.941745</v>
      </c>
      <c r="H61" s="5">
        <v>0.8931</v>
      </c>
      <c r="I61" s="5">
        <v>168.0</v>
      </c>
    </row>
    <row r="62">
      <c r="A62" s="6" t="s">
        <v>183</v>
      </c>
      <c r="B62" s="5">
        <v>2.0</v>
      </c>
      <c r="C62" s="1" t="s">
        <v>12</v>
      </c>
      <c r="D62" s="1" t="s">
        <v>48</v>
      </c>
      <c r="E62" s="1" t="s">
        <v>49</v>
      </c>
      <c r="F62" s="5">
        <v>0.0062</v>
      </c>
      <c r="G62" s="5">
        <v>2.004698</v>
      </c>
      <c r="H62" s="5">
        <v>0.0017</v>
      </c>
      <c r="I62" s="5">
        <v>4.0</v>
      </c>
    </row>
    <row r="63">
      <c r="A63" s="6" t="s">
        <v>183</v>
      </c>
      <c r="B63" s="5">
        <v>2.0</v>
      </c>
      <c r="C63" s="1" t="s">
        <v>12</v>
      </c>
      <c r="D63" s="1" t="s">
        <v>48</v>
      </c>
      <c r="E63" s="1" t="s">
        <v>21</v>
      </c>
      <c r="F63" s="5">
        <v>0.8744</v>
      </c>
      <c r="G63" s="5">
        <v>106.299765</v>
      </c>
      <c r="H63" s="5">
        <v>0.3498</v>
      </c>
      <c r="I63" s="5">
        <v>108.0</v>
      </c>
    </row>
    <row r="64">
      <c r="A64" s="6" t="s">
        <v>183</v>
      </c>
      <c r="B64" s="5">
        <v>2.0</v>
      </c>
      <c r="C64" s="1" t="s">
        <v>12</v>
      </c>
      <c r="D64" s="1" t="s">
        <v>56</v>
      </c>
      <c r="E64" s="1" t="s">
        <v>21</v>
      </c>
      <c r="F64" s="5">
        <v>0.2345</v>
      </c>
      <c r="G64" s="5">
        <v>57.967151</v>
      </c>
      <c r="H64" s="5">
        <v>0.0938</v>
      </c>
      <c r="I64" s="5">
        <v>93.0</v>
      </c>
    </row>
    <row r="65">
      <c r="A65" s="6" t="s">
        <v>183</v>
      </c>
      <c r="B65" s="5">
        <v>2.0</v>
      </c>
      <c r="C65" s="1" t="s">
        <v>12</v>
      </c>
      <c r="D65" s="1" t="s">
        <v>60</v>
      </c>
      <c r="E65" s="1" t="s">
        <v>39</v>
      </c>
      <c r="F65" s="5">
        <v>0.3319</v>
      </c>
      <c r="G65" s="5">
        <v>50.762267</v>
      </c>
      <c r="H65" s="5">
        <v>0.0631</v>
      </c>
      <c r="I65" s="5">
        <v>0.0</v>
      </c>
    </row>
    <row r="66">
      <c r="A66" s="6" t="s">
        <v>183</v>
      </c>
      <c r="B66" s="5">
        <v>2.0</v>
      </c>
      <c r="C66" s="1" t="s">
        <v>12</v>
      </c>
      <c r="D66" s="1" t="s">
        <v>64</v>
      </c>
      <c r="E66" s="1" t="s">
        <v>21</v>
      </c>
      <c r="F66" s="5">
        <v>0.2888</v>
      </c>
      <c r="G66" s="5">
        <v>46.506611</v>
      </c>
      <c r="H66" s="5">
        <v>0.1155</v>
      </c>
      <c r="I66" s="5">
        <v>70.0</v>
      </c>
    </row>
    <row r="67">
      <c r="A67" s="6" t="s">
        <v>183</v>
      </c>
      <c r="B67" s="5">
        <v>2.0</v>
      </c>
      <c r="C67" s="1" t="s">
        <v>68</v>
      </c>
      <c r="D67" s="1" t="s">
        <v>13</v>
      </c>
      <c r="E67" s="1" t="s">
        <v>14</v>
      </c>
      <c r="F67" s="5">
        <v>67.5195</v>
      </c>
      <c r="G67" s="5">
        <v>3973.243146</v>
      </c>
      <c r="H67" s="5">
        <v>14.1791</v>
      </c>
      <c r="I67" s="5">
        <v>8031.0</v>
      </c>
    </row>
    <row r="68">
      <c r="A68" s="6" t="s">
        <v>183</v>
      </c>
      <c r="B68" s="5">
        <v>2.0</v>
      </c>
      <c r="C68" s="1" t="s">
        <v>68</v>
      </c>
      <c r="D68" s="1" t="s">
        <v>13</v>
      </c>
      <c r="E68" s="1" t="s">
        <v>72</v>
      </c>
      <c r="F68" s="5">
        <v>0.0326</v>
      </c>
      <c r="G68" s="5">
        <v>2.724914</v>
      </c>
      <c r="H68" s="5">
        <v>0.0104</v>
      </c>
      <c r="I68" s="5">
        <v>16.0</v>
      </c>
    </row>
    <row r="69">
      <c r="A69" s="6" t="s">
        <v>183</v>
      </c>
      <c r="B69" s="5">
        <v>2.0</v>
      </c>
      <c r="C69" s="1" t="s">
        <v>68</v>
      </c>
      <c r="D69" s="1" t="s">
        <v>13</v>
      </c>
      <c r="E69" s="1" t="s">
        <v>17</v>
      </c>
      <c r="F69" s="5">
        <v>74.3137</v>
      </c>
      <c r="G69" s="5">
        <v>6994.827867</v>
      </c>
      <c r="H69" s="5">
        <v>26.0097</v>
      </c>
      <c r="I69" s="5">
        <v>9400.0</v>
      </c>
    </row>
    <row r="70">
      <c r="A70" s="6" t="s">
        <v>183</v>
      </c>
      <c r="B70" s="5">
        <v>2.0</v>
      </c>
      <c r="C70" s="1" t="s">
        <v>68</v>
      </c>
      <c r="D70" s="1" t="s">
        <v>13</v>
      </c>
      <c r="E70" s="1" t="s">
        <v>21</v>
      </c>
      <c r="F70" s="5">
        <v>6.0307</v>
      </c>
      <c r="G70" s="5">
        <v>839.264868</v>
      </c>
      <c r="H70" s="5">
        <v>3.0153</v>
      </c>
      <c r="I70" s="5">
        <v>1291.0</v>
      </c>
    </row>
    <row r="71">
      <c r="A71" s="6" t="s">
        <v>183</v>
      </c>
      <c r="B71" s="5">
        <v>2.0</v>
      </c>
      <c r="C71" s="1" t="s">
        <v>68</v>
      </c>
      <c r="D71" s="1" t="s">
        <v>13</v>
      </c>
      <c r="E71" s="1" t="s">
        <v>25</v>
      </c>
      <c r="F71" s="5">
        <v>0.4328</v>
      </c>
      <c r="G71" s="5">
        <v>79.266848</v>
      </c>
      <c r="H71" s="5">
        <v>0.3246</v>
      </c>
      <c r="I71" s="5">
        <v>279.0</v>
      </c>
    </row>
    <row r="72">
      <c r="A72" s="6" t="s">
        <v>183</v>
      </c>
      <c r="B72" s="5">
        <v>2.0</v>
      </c>
      <c r="C72" s="1" t="s">
        <v>68</v>
      </c>
      <c r="D72" s="1" t="s">
        <v>45</v>
      </c>
      <c r="E72" s="1" t="s">
        <v>17</v>
      </c>
      <c r="F72" s="5">
        <v>39.9546</v>
      </c>
      <c r="G72" s="5">
        <v>2210.363738</v>
      </c>
      <c r="H72" s="5">
        <v>14.3836</v>
      </c>
      <c r="I72" s="5">
        <v>5524.0</v>
      </c>
    </row>
    <row r="73">
      <c r="A73" s="6" t="s">
        <v>183</v>
      </c>
      <c r="B73" s="5">
        <v>2.0</v>
      </c>
      <c r="C73" s="1" t="s">
        <v>68</v>
      </c>
      <c r="D73" s="1" t="s">
        <v>29</v>
      </c>
      <c r="E73" s="1" t="s">
        <v>21</v>
      </c>
      <c r="F73" s="5">
        <v>11.616</v>
      </c>
      <c r="G73" s="5">
        <v>1969.556878</v>
      </c>
      <c r="H73" s="5">
        <v>4.6465</v>
      </c>
      <c r="I73" s="5">
        <v>1919.0</v>
      </c>
    </row>
    <row r="74">
      <c r="A74" s="6" t="s">
        <v>183</v>
      </c>
      <c r="B74" s="5">
        <v>2.0</v>
      </c>
      <c r="C74" s="1" t="s">
        <v>68</v>
      </c>
      <c r="D74" s="1" t="s">
        <v>32</v>
      </c>
      <c r="E74" s="1" t="s">
        <v>14</v>
      </c>
      <c r="F74" s="5">
        <v>2.6972</v>
      </c>
      <c r="G74" s="5">
        <v>195.339862</v>
      </c>
      <c r="H74" s="5">
        <v>0.6204</v>
      </c>
      <c r="I74" s="5">
        <v>1549.0</v>
      </c>
    </row>
    <row r="75">
      <c r="A75" s="6" t="s">
        <v>183</v>
      </c>
      <c r="B75" s="5">
        <v>2.0</v>
      </c>
      <c r="C75" s="1" t="s">
        <v>68</v>
      </c>
      <c r="D75" s="1" t="s">
        <v>32</v>
      </c>
      <c r="E75" s="1" t="s">
        <v>21</v>
      </c>
      <c r="F75" s="5">
        <v>1.1557</v>
      </c>
      <c r="G75" s="5">
        <v>203.567716</v>
      </c>
      <c r="H75" s="5">
        <v>0.5201</v>
      </c>
      <c r="I75" s="5">
        <v>518.0</v>
      </c>
    </row>
    <row r="76">
      <c r="A76" s="6" t="s">
        <v>183</v>
      </c>
      <c r="B76" s="5">
        <v>2.0</v>
      </c>
      <c r="C76" s="1" t="s">
        <v>68</v>
      </c>
      <c r="D76" s="1" t="s">
        <v>42</v>
      </c>
      <c r="E76" s="1" t="s">
        <v>17</v>
      </c>
      <c r="F76" s="5">
        <v>1.045</v>
      </c>
      <c r="G76" s="5">
        <v>178.409536</v>
      </c>
      <c r="H76" s="5">
        <v>0.3866</v>
      </c>
      <c r="I76" s="5">
        <v>253.0</v>
      </c>
    </row>
    <row r="77">
      <c r="A77" s="6" t="s">
        <v>183</v>
      </c>
      <c r="B77" s="5">
        <v>2.0</v>
      </c>
      <c r="C77" s="1" t="s">
        <v>68</v>
      </c>
      <c r="D77" s="1" t="s">
        <v>102</v>
      </c>
      <c r="E77" s="1" t="s">
        <v>39</v>
      </c>
      <c r="F77" s="5">
        <v>0.067</v>
      </c>
      <c r="G77" s="5">
        <v>22.854508</v>
      </c>
      <c r="H77" s="5">
        <v>0.0127</v>
      </c>
      <c r="I77" s="5">
        <v>51.0</v>
      </c>
    </row>
    <row r="78">
      <c r="A78" s="6" t="s">
        <v>183</v>
      </c>
      <c r="B78" s="5">
        <v>2.0</v>
      </c>
      <c r="C78" s="1" t="s">
        <v>68</v>
      </c>
      <c r="D78" s="1" t="s">
        <v>102</v>
      </c>
      <c r="E78" s="1" t="s">
        <v>21</v>
      </c>
      <c r="F78" s="5">
        <v>0.4186</v>
      </c>
      <c r="G78" s="5">
        <v>131.38103</v>
      </c>
      <c r="H78" s="5">
        <v>0.1674</v>
      </c>
      <c r="I78" s="5">
        <v>84.0</v>
      </c>
    </row>
    <row r="79">
      <c r="A79" s="6" t="s">
        <v>183</v>
      </c>
      <c r="B79" s="5">
        <v>2.0</v>
      </c>
      <c r="C79" s="1" t="s">
        <v>68</v>
      </c>
      <c r="D79" s="1" t="s">
        <v>38</v>
      </c>
      <c r="E79" s="1" t="s">
        <v>39</v>
      </c>
      <c r="F79" s="5">
        <v>1.0259</v>
      </c>
      <c r="G79" s="5">
        <v>91.413191</v>
      </c>
      <c r="H79" s="5">
        <v>0.1847</v>
      </c>
      <c r="I79" s="5">
        <v>233.0</v>
      </c>
    </row>
    <row r="80">
      <c r="A80" s="6" t="s">
        <v>183</v>
      </c>
      <c r="B80" s="5">
        <v>2.0</v>
      </c>
      <c r="C80" s="1" t="s">
        <v>68</v>
      </c>
      <c r="D80" s="1" t="s">
        <v>48</v>
      </c>
      <c r="E80" s="1" t="s">
        <v>21</v>
      </c>
      <c r="F80" s="5">
        <v>0.3508</v>
      </c>
      <c r="G80" s="5">
        <v>40.453398</v>
      </c>
      <c r="H80" s="5">
        <v>0.1403</v>
      </c>
      <c r="I80" s="5">
        <v>282.0</v>
      </c>
    </row>
    <row r="81">
      <c r="A81" s="6" t="s">
        <v>183</v>
      </c>
      <c r="B81" s="5">
        <v>2.0</v>
      </c>
      <c r="C81" s="1" t="s">
        <v>68</v>
      </c>
      <c r="D81" s="1" t="s">
        <v>165</v>
      </c>
      <c r="E81" s="1" t="s">
        <v>39</v>
      </c>
      <c r="F81" s="5">
        <v>0.0227</v>
      </c>
      <c r="G81" s="5">
        <v>3.238388</v>
      </c>
      <c r="H81" s="5">
        <v>0.0041</v>
      </c>
      <c r="I81" s="5">
        <v>0.0</v>
      </c>
    </row>
    <row r="82">
      <c r="A82" s="6" t="s">
        <v>183</v>
      </c>
      <c r="B82" s="5">
        <v>2.0</v>
      </c>
      <c r="C82" s="1" t="s">
        <v>68</v>
      </c>
      <c r="D82" s="1" t="s">
        <v>165</v>
      </c>
      <c r="E82" s="1" t="s">
        <v>17</v>
      </c>
      <c r="F82" s="5">
        <v>0.1831</v>
      </c>
      <c r="G82" s="5">
        <v>36.294018</v>
      </c>
      <c r="H82" s="5">
        <v>0.0641</v>
      </c>
      <c r="I82" s="5">
        <v>0.0</v>
      </c>
    </row>
    <row r="83">
      <c r="A83" s="6" t="s">
        <v>183</v>
      </c>
      <c r="B83" s="5">
        <v>2.0</v>
      </c>
      <c r="C83" s="1" t="s">
        <v>68</v>
      </c>
      <c r="D83" s="1" t="s">
        <v>281</v>
      </c>
      <c r="E83" s="1" t="s">
        <v>72</v>
      </c>
      <c r="F83" s="5">
        <v>0.1532</v>
      </c>
      <c r="G83" s="5">
        <v>27.976055</v>
      </c>
      <c r="H83" s="5">
        <v>0.0491</v>
      </c>
      <c r="I83" s="5">
        <v>0.0</v>
      </c>
    </row>
    <row r="84">
      <c r="A84" s="6" t="s">
        <v>183</v>
      </c>
      <c r="B84" s="5">
        <v>2.0</v>
      </c>
      <c r="C84" s="1" t="s">
        <v>68</v>
      </c>
      <c r="D84" s="1" t="s">
        <v>281</v>
      </c>
      <c r="E84" s="1" t="s">
        <v>21</v>
      </c>
      <c r="F84" s="5">
        <v>0.0295</v>
      </c>
      <c r="G84" s="5">
        <v>2.716891</v>
      </c>
      <c r="H84" s="5">
        <v>0.0118</v>
      </c>
      <c r="I84" s="5">
        <v>0.0</v>
      </c>
    </row>
    <row r="85">
      <c r="A85" s="6" t="s">
        <v>183</v>
      </c>
      <c r="B85" s="5">
        <v>2.0</v>
      </c>
      <c r="C85" s="1" t="s">
        <v>116</v>
      </c>
      <c r="D85" s="1" t="s">
        <v>13</v>
      </c>
      <c r="E85" s="1" t="s">
        <v>14</v>
      </c>
      <c r="F85" s="5">
        <v>124.2706</v>
      </c>
      <c r="G85" s="5">
        <v>6261.83286</v>
      </c>
      <c r="H85" s="5">
        <v>26.0969</v>
      </c>
      <c r="I85" s="5">
        <v>9957.0</v>
      </c>
    </row>
    <row r="86">
      <c r="A86" s="6" t="s">
        <v>183</v>
      </c>
      <c r="B86" s="5">
        <v>2.0</v>
      </c>
      <c r="C86" s="1" t="s">
        <v>116</v>
      </c>
      <c r="D86" s="1" t="s">
        <v>13</v>
      </c>
      <c r="E86" s="1" t="s">
        <v>17</v>
      </c>
      <c r="F86" s="5">
        <v>112.8185</v>
      </c>
      <c r="G86" s="5">
        <v>10193.829322</v>
      </c>
      <c r="H86" s="5">
        <v>39.4865</v>
      </c>
      <c r="I86" s="5">
        <v>8768.0</v>
      </c>
    </row>
    <row r="87">
      <c r="A87" s="6" t="s">
        <v>183</v>
      </c>
      <c r="B87" s="5">
        <v>2.0</v>
      </c>
      <c r="C87" s="1" t="s">
        <v>116</v>
      </c>
      <c r="D87" s="1" t="s">
        <v>13</v>
      </c>
      <c r="E87" s="1" t="s">
        <v>21</v>
      </c>
      <c r="F87" s="5">
        <v>25.1908</v>
      </c>
      <c r="G87" s="5">
        <v>3303.863573</v>
      </c>
      <c r="H87" s="5">
        <v>12.5954</v>
      </c>
      <c r="I87" s="5">
        <v>2630.0</v>
      </c>
    </row>
    <row r="88">
      <c r="A88" s="6" t="s">
        <v>183</v>
      </c>
      <c r="B88" s="5">
        <v>2.0</v>
      </c>
      <c r="C88" s="1" t="s">
        <v>116</v>
      </c>
      <c r="D88" s="1" t="s">
        <v>13</v>
      </c>
      <c r="E88" s="1" t="s">
        <v>25</v>
      </c>
      <c r="F88" s="5">
        <v>0.0843</v>
      </c>
      <c r="G88" s="5">
        <v>16.051771</v>
      </c>
      <c r="H88" s="5">
        <v>0.0633</v>
      </c>
      <c r="I88" s="5">
        <v>53.0</v>
      </c>
    </row>
    <row r="89">
      <c r="A89" s="6" t="s">
        <v>183</v>
      </c>
      <c r="B89" s="5">
        <v>2.0</v>
      </c>
      <c r="C89" s="1" t="s">
        <v>116</v>
      </c>
      <c r="D89" s="1" t="s">
        <v>29</v>
      </c>
      <c r="E89" s="1" t="s">
        <v>21</v>
      </c>
      <c r="F89" s="5">
        <v>30.8669</v>
      </c>
      <c r="G89" s="5">
        <v>5580.485107</v>
      </c>
      <c r="H89" s="5">
        <v>12.3467</v>
      </c>
      <c r="I89" s="5">
        <v>3891.0</v>
      </c>
    </row>
    <row r="90">
      <c r="A90" s="6" t="s">
        <v>183</v>
      </c>
      <c r="B90" s="5">
        <v>2.0</v>
      </c>
      <c r="C90" s="1" t="s">
        <v>116</v>
      </c>
      <c r="D90" s="1" t="s">
        <v>45</v>
      </c>
      <c r="E90" s="1" t="s">
        <v>17</v>
      </c>
      <c r="F90" s="5">
        <v>43.3914</v>
      </c>
      <c r="G90" s="5">
        <v>2388.342617</v>
      </c>
      <c r="H90" s="5">
        <v>15.6209</v>
      </c>
      <c r="I90" s="5">
        <v>6043.0</v>
      </c>
    </row>
    <row r="91">
      <c r="A91" s="6" t="s">
        <v>183</v>
      </c>
      <c r="B91" s="5">
        <v>2.0</v>
      </c>
      <c r="C91" s="1" t="s">
        <v>116</v>
      </c>
      <c r="D91" s="1" t="s">
        <v>32</v>
      </c>
      <c r="E91" s="1" t="s">
        <v>14</v>
      </c>
      <c r="F91" s="5">
        <v>9.44</v>
      </c>
      <c r="G91" s="5">
        <v>564.161924</v>
      </c>
      <c r="H91" s="5">
        <v>2.1712</v>
      </c>
      <c r="I91" s="5">
        <v>2546.0</v>
      </c>
    </row>
    <row r="92">
      <c r="A92" s="6" t="s">
        <v>183</v>
      </c>
      <c r="B92" s="5">
        <v>2.0</v>
      </c>
      <c r="C92" s="1" t="s">
        <v>116</v>
      </c>
      <c r="D92" s="1" t="s">
        <v>32</v>
      </c>
      <c r="E92" s="1" t="s">
        <v>21</v>
      </c>
      <c r="F92" s="5">
        <v>5.2153</v>
      </c>
      <c r="G92" s="5">
        <v>824.082768</v>
      </c>
      <c r="H92" s="5">
        <v>2.3468</v>
      </c>
      <c r="I92" s="5">
        <v>1093.0</v>
      </c>
    </row>
    <row r="93">
      <c r="A93" s="6" t="s">
        <v>183</v>
      </c>
      <c r="B93" s="5">
        <v>2.0</v>
      </c>
      <c r="C93" s="1" t="s">
        <v>116</v>
      </c>
      <c r="D93" s="1" t="s">
        <v>42</v>
      </c>
      <c r="E93" s="1" t="s">
        <v>17</v>
      </c>
      <c r="F93" s="5">
        <v>10.9837</v>
      </c>
      <c r="G93" s="5">
        <v>1386.735499</v>
      </c>
      <c r="H93" s="5">
        <v>4.064</v>
      </c>
      <c r="I93" s="5">
        <v>919.0</v>
      </c>
    </row>
    <row r="94">
      <c r="A94" s="6" t="s">
        <v>183</v>
      </c>
      <c r="B94" s="5">
        <v>2.0</v>
      </c>
      <c r="C94" s="1" t="s">
        <v>116</v>
      </c>
      <c r="D94" s="1" t="s">
        <v>102</v>
      </c>
      <c r="E94" s="1" t="s">
        <v>39</v>
      </c>
      <c r="F94" s="5">
        <v>0.0175</v>
      </c>
      <c r="G94" s="5">
        <v>6.433346</v>
      </c>
      <c r="H94" s="5">
        <v>0.0033</v>
      </c>
      <c r="I94" s="5">
        <v>13.0</v>
      </c>
    </row>
    <row r="95">
      <c r="A95" s="6" t="s">
        <v>183</v>
      </c>
      <c r="B95" s="5">
        <v>2.0</v>
      </c>
      <c r="C95" s="1" t="s">
        <v>116</v>
      </c>
      <c r="D95" s="1" t="s">
        <v>102</v>
      </c>
      <c r="E95" s="1" t="s">
        <v>21</v>
      </c>
      <c r="F95" s="5">
        <v>1.803</v>
      </c>
      <c r="G95" s="5">
        <v>520.283287</v>
      </c>
      <c r="H95" s="5">
        <v>0.7211</v>
      </c>
      <c r="I95" s="5">
        <v>238.0</v>
      </c>
    </row>
    <row r="96">
      <c r="A96" s="6" t="s">
        <v>183</v>
      </c>
      <c r="B96" s="5">
        <v>2.0</v>
      </c>
      <c r="C96" s="1" t="s">
        <v>116</v>
      </c>
      <c r="D96" s="1" t="s">
        <v>147</v>
      </c>
      <c r="E96" s="1" t="s">
        <v>39</v>
      </c>
      <c r="F96" s="5">
        <v>1.7385</v>
      </c>
      <c r="G96" s="5">
        <v>457.743868</v>
      </c>
      <c r="H96" s="5">
        <v>0.3303</v>
      </c>
      <c r="I96" s="5">
        <v>108.0</v>
      </c>
    </row>
    <row r="97">
      <c r="A97" s="6" t="s">
        <v>183</v>
      </c>
      <c r="B97" s="5">
        <v>2.0</v>
      </c>
      <c r="C97" s="1" t="s">
        <v>116</v>
      </c>
      <c r="D97" s="1" t="s">
        <v>147</v>
      </c>
      <c r="E97" s="1" t="s">
        <v>17</v>
      </c>
      <c r="F97" s="5">
        <v>0.0397</v>
      </c>
      <c r="G97" s="5">
        <v>13.110632</v>
      </c>
      <c r="H97" s="5">
        <v>0.014</v>
      </c>
      <c r="I97" s="5">
        <v>8.0</v>
      </c>
    </row>
    <row r="98">
      <c r="A98" s="6" t="s">
        <v>183</v>
      </c>
      <c r="B98" s="5">
        <v>2.0</v>
      </c>
      <c r="C98" s="1" t="s">
        <v>116</v>
      </c>
      <c r="D98" s="1" t="s">
        <v>147</v>
      </c>
      <c r="E98" s="1" t="s">
        <v>21</v>
      </c>
      <c r="F98" s="5">
        <v>0.0685</v>
      </c>
      <c r="G98" s="5">
        <v>33.706557</v>
      </c>
      <c r="H98" s="5">
        <v>0.0342</v>
      </c>
      <c r="I98" s="5">
        <v>40.0</v>
      </c>
    </row>
    <row r="99">
      <c r="A99" s="6" t="s">
        <v>183</v>
      </c>
      <c r="B99" s="5">
        <v>2.0</v>
      </c>
      <c r="C99" s="1" t="s">
        <v>116</v>
      </c>
      <c r="D99" s="1" t="s">
        <v>330</v>
      </c>
      <c r="E99" s="1" t="s">
        <v>39</v>
      </c>
      <c r="F99" s="5">
        <v>0.0016</v>
      </c>
      <c r="G99" s="5">
        <v>0.21092</v>
      </c>
      <c r="H99" s="5">
        <v>3.0E-4</v>
      </c>
      <c r="I99" s="5">
        <v>4.0</v>
      </c>
    </row>
    <row r="100">
      <c r="A100" s="6" t="s">
        <v>183</v>
      </c>
      <c r="B100" s="5">
        <v>2.0</v>
      </c>
      <c r="C100" s="1" t="s">
        <v>116</v>
      </c>
      <c r="D100" s="1" t="s">
        <v>330</v>
      </c>
      <c r="E100" s="1" t="s">
        <v>17</v>
      </c>
      <c r="F100" s="5">
        <v>2.2326</v>
      </c>
      <c r="G100" s="5">
        <v>287.868454</v>
      </c>
      <c r="H100" s="5">
        <v>0.7815</v>
      </c>
      <c r="I100" s="5">
        <v>150.0</v>
      </c>
    </row>
    <row r="101">
      <c r="A101" s="6" t="s">
        <v>183</v>
      </c>
      <c r="B101" s="5">
        <v>2.0</v>
      </c>
      <c r="C101" s="1" t="s">
        <v>116</v>
      </c>
      <c r="D101" s="1" t="s">
        <v>158</v>
      </c>
      <c r="E101" s="1" t="s">
        <v>17</v>
      </c>
      <c r="F101" s="5">
        <v>0.0526</v>
      </c>
      <c r="G101" s="5">
        <v>24.106433</v>
      </c>
      <c r="H101" s="5">
        <v>0.0184</v>
      </c>
      <c r="I101" s="5">
        <v>0.0</v>
      </c>
    </row>
    <row r="102">
      <c r="A102" s="6" t="s">
        <v>183</v>
      </c>
      <c r="B102" s="5">
        <v>2.0</v>
      </c>
      <c r="C102" s="1" t="s">
        <v>116</v>
      </c>
      <c r="D102" s="1" t="s">
        <v>158</v>
      </c>
      <c r="E102" s="1" t="s">
        <v>21</v>
      </c>
      <c r="F102" s="5">
        <v>0.3976</v>
      </c>
      <c r="G102" s="5">
        <v>205.549007</v>
      </c>
      <c r="H102" s="5">
        <v>0.167</v>
      </c>
      <c r="I102" s="5">
        <v>0.0</v>
      </c>
    </row>
    <row r="103">
      <c r="A103" s="6" t="s">
        <v>183</v>
      </c>
      <c r="B103" s="5">
        <v>2.0</v>
      </c>
      <c r="C103" s="1" t="s">
        <v>116</v>
      </c>
      <c r="D103" s="1" t="s">
        <v>345</v>
      </c>
      <c r="E103" s="1" t="s">
        <v>72</v>
      </c>
      <c r="F103" s="5">
        <v>0.1842</v>
      </c>
      <c r="G103" s="5">
        <v>34.832102</v>
      </c>
      <c r="H103" s="5">
        <v>0.0608</v>
      </c>
      <c r="I103" s="5">
        <v>0.0</v>
      </c>
    </row>
    <row r="104">
      <c r="A104" s="6" t="s">
        <v>183</v>
      </c>
      <c r="B104" s="5">
        <v>2.0</v>
      </c>
      <c r="C104" s="1" t="s">
        <v>116</v>
      </c>
      <c r="D104" s="1" t="s">
        <v>345</v>
      </c>
      <c r="E104" s="1" t="s">
        <v>21</v>
      </c>
      <c r="F104" s="5">
        <v>0.3193</v>
      </c>
      <c r="G104" s="5">
        <v>146.807534</v>
      </c>
      <c r="H104" s="5">
        <v>0.1597</v>
      </c>
      <c r="I104" s="5">
        <v>0.0</v>
      </c>
    </row>
    <row r="105">
      <c r="A105" s="6" t="s">
        <v>183</v>
      </c>
      <c r="B105" s="5">
        <v>3.0</v>
      </c>
      <c r="C105" s="1" t="s">
        <v>12</v>
      </c>
      <c r="D105" s="1" t="s">
        <v>13</v>
      </c>
      <c r="E105" s="1" t="s">
        <v>14</v>
      </c>
      <c r="F105" s="5">
        <v>15.7516</v>
      </c>
      <c r="G105" s="5">
        <v>928.92665</v>
      </c>
      <c r="H105" s="5">
        <v>3.3079</v>
      </c>
      <c r="I105" s="5">
        <v>480.0</v>
      </c>
    </row>
    <row r="106">
      <c r="A106" s="6" t="s">
        <v>183</v>
      </c>
      <c r="B106" s="5">
        <v>3.0</v>
      </c>
      <c r="C106" s="1" t="s">
        <v>12</v>
      </c>
      <c r="D106" s="1" t="s">
        <v>13</v>
      </c>
      <c r="E106" s="1" t="s">
        <v>17</v>
      </c>
      <c r="F106" s="5">
        <v>116.7506</v>
      </c>
      <c r="G106" s="5">
        <v>9105.207427</v>
      </c>
      <c r="H106" s="5">
        <v>40.8628</v>
      </c>
      <c r="I106" s="5">
        <v>776.0</v>
      </c>
    </row>
    <row r="107">
      <c r="A107" s="6" t="s">
        <v>183</v>
      </c>
      <c r="B107" s="5">
        <v>3.0</v>
      </c>
      <c r="C107" s="1" t="s">
        <v>12</v>
      </c>
      <c r="D107" s="1" t="s">
        <v>13</v>
      </c>
      <c r="E107" s="1" t="s">
        <v>21</v>
      </c>
      <c r="F107" s="5">
        <v>44.6502</v>
      </c>
      <c r="G107" s="5">
        <v>5049.820876</v>
      </c>
      <c r="H107" s="5">
        <v>22.3251</v>
      </c>
      <c r="I107" s="5">
        <v>664.0</v>
      </c>
    </row>
    <row r="108">
      <c r="A108" s="6" t="s">
        <v>183</v>
      </c>
      <c r="B108" s="5">
        <v>3.0</v>
      </c>
      <c r="C108" s="1" t="s">
        <v>12</v>
      </c>
      <c r="D108" s="1" t="s">
        <v>13</v>
      </c>
      <c r="E108" s="1" t="s">
        <v>25</v>
      </c>
      <c r="F108" s="5">
        <v>0.3076</v>
      </c>
      <c r="G108" s="5">
        <v>58.307367</v>
      </c>
      <c r="H108" s="5">
        <v>0.2307</v>
      </c>
      <c r="I108" s="5">
        <v>23.0</v>
      </c>
    </row>
    <row r="109">
      <c r="A109" s="6" t="s">
        <v>183</v>
      </c>
      <c r="B109" s="5">
        <v>3.0</v>
      </c>
      <c r="C109" s="1" t="s">
        <v>12</v>
      </c>
      <c r="D109" s="1" t="s">
        <v>29</v>
      </c>
      <c r="E109" s="1" t="s">
        <v>21</v>
      </c>
      <c r="F109" s="5">
        <v>17.3306</v>
      </c>
      <c r="G109" s="5">
        <v>3529.609076</v>
      </c>
      <c r="H109" s="5">
        <v>6.9322</v>
      </c>
      <c r="I109" s="5">
        <v>668.0</v>
      </c>
    </row>
    <row r="110">
      <c r="A110" s="6" t="s">
        <v>183</v>
      </c>
      <c r="B110" s="5">
        <v>3.0</v>
      </c>
      <c r="C110" s="1" t="s">
        <v>12</v>
      </c>
      <c r="D110" s="1" t="s">
        <v>32</v>
      </c>
      <c r="E110" s="1" t="s">
        <v>14</v>
      </c>
      <c r="F110" s="5">
        <v>11.6185</v>
      </c>
      <c r="G110" s="5">
        <v>677.017966</v>
      </c>
      <c r="H110" s="5">
        <v>2.6723</v>
      </c>
      <c r="I110" s="5">
        <v>503.0</v>
      </c>
    </row>
    <row r="111">
      <c r="A111" s="6" t="s">
        <v>183</v>
      </c>
      <c r="B111" s="5">
        <v>3.0</v>
      </c>
      <c r="C111" s="1" t="s">
        <v>12</v>
      </c>
      <c r="D111" s="1" t="s">
        <v>32</v>
      </c>
      <c r="E111" s="1" t="s">
        <v>72</v>
      </c>
      <c r="F111" s="5">
        <v>6.0E-4</v>
      </c>
      <c r="G111" s="5">
        <v>0.042303</v>
      </c>
      <c r="H111" s="5">
        <v>2.0E-4</v>
      </c>
      <c r="I111" s="5">
        <v>2.0</v>
      </c>
    </row>
    <row r="112">
      <c r="A112" s="6" t="s">
        <v>183</v>
      </c>
      <c r="B112" s="5">
        <v>3.0</v>
      </c>
      <c r="C112" s="1" t="s">
        <v>12</v>
      </c>
      <c r="D112" s="1" t="s">
        <v>32</v>
      </c>
      <c r="E112" s="1" t="s">
        <v>21</v>
      </c>
      <c r="F112" s="5">
        <v>2.8369</v>
      </c>
      <c r="G112" s="5">
        <v>433.006136</v>
      </c>
      <c r="H112" s="5">
        <v>1.2766</v>
      </c>
      <c r="I112" s="5">
        <v>301.0</v>
      </c>
    </row>
    <row r="113">
      <c r="A113" s="6" t="s">
        <v>183</v>
      </c>
      <c r="B113" s="5">
        <v>3.0</v>
      </c>
      <c r="C113" s="1" t="s">
        <v>12</v>
      </c>
      <c r="D113" s="1" t="s">
        <v>32</v>
      </c>
      <c r="E113" s="1" t="s">
        <v>25</v>
      </c>
      <c r="F113" s="5">
        <v>6.0E-4</v>
      </c>
      <c r="G113" s="5">
        <v>0.096674</v>
      </c>
      <c r="H113" s="5">
        <v>3.0E-4</v>
      </c>
      <c r="I113" s="5">
        <v>1.0</v>
      </c>
    </row>
    <row r="114">
      <c r="A114" s="6" t="s">
        <v>183</v>
      </c>
      <c r="B114" s="5">
        <v>3.0</v>
      </c>
      <c r="C114" s="1" t="s">
        <v>12</v>
      </c>
      <c r="D114" s="1" t="s">
        <v>38</v>
      </c>
      <c r="E114" s="1" t="s">
        <v>39</v>
      </c>
      <c r="F114" s="5">
        <v>3.3968</v>
      </c>
      <c r="G114" s="5">
        <v>329.873082</v>
      </c>
      <c r="H114" s="5">
        <v>0.6114</v>
      </c>
      <c r="I114" s="5">
        <v>93.0</v>
      </c>
    </row>
    <row r="115">
      <c r="A115" s="6" t="s">
        <v>183</v>
      </c>
      <c r="B115" s="5">
        <v>3.0</v>
      </c>
      <c r="C115" s="1" t="s">
        <v>12</v>
      </c>
      <c r="D115" s="1" t="s">
        <v>42</v>
      </c>
      <c r="E115" s="1" t="s">
        <v>17</v>
      </c>
      <c r="F115" s="5">
        <v>2.1223</v>
      </c>
      <c r="G115" s="5">
        <v>317.591342</v>
      </c>
      <c r="H115" s="5">
        <v>0.7853</v>
      </c>
      <c r="I115" s="5">
        <v>95.0</v>
      </c>
    </row>
    <row r="116">
      <c r="A116" s="6" t="s">
        <v>183</v>
      </c>
      <c r="B116" s="5">
        <v>3.0</v>
      </c>
      <c r="C116" s="1" t="s">
        <v>12</v>
      </c>
      <c r="D116" s="1" t="s">
        <v>45</v>
      </c>
      <c r="E116" s="1" t="s">
        <v>17</v>
      </c>
      <c r="F116" s="5">
        <v>2.6176</v>
      </c>
      <c r="G116" s="5">
        <v>197.90962</v>
      </c>
      <c r="H116" s="5">
        <v>0.9423</v>
      </c>
      <c r="I116" s="5">
        <v>128.0</v>
      </c>
    </row>
    <row r="117">
      <c r="A117" s="6" t="s">
        <v>183</v>
      </c>
      <c r="B117" s="5">
        <v>3.0</v>
      </c>
      <c r="C117" s="1" t="s">
        <v>12</v>
      </c>
      <c r="D117" s="1" t="s">
        <v>48</v>
      </c>
      <c r="E117" s="1" t="s">
        <v>49</v>
      </c>
      <c r="F117" s="5">
        <v>0.0099</v>
      </c>
      <c r="G117" s="5">
        <v>3.203644</v>
      </c>
      <c r="H117" s="5">
        <v>0.0027</v>
      </c>
      <c r="I117" s="5">
        <v>2.0</v>
      </c>
    </row>
    <row r="118">
      <c r="A118" s="6" t="s">
        <v>183</v>
      </c>
      <c r="B118" s="5">
        <v>3.0</v>
      </c>
      <c r="C118" s="1" t="s">
        <v>12</v>
      </c>
      <c r="D118" s="1" t="s">
        <v>48</v>
      </c>
      <c r="E118" s="1" t="s">
        <v>21</v>
      </c>
      <c r="F118" s="5">
        <v>1.0074</v>
      </c>
      <c r="G118" s="5">
        <v>121.778651</v>
      </c>
      <c r="H118" s="5">
        <v>0.4029</v>
      </c>
      <c r="I118" s="5">
        <v>114.0</v>
      </c>
    </row>
    <row r="119">
      <c r="A119" s="6" t="s">
        <v>183</v>
      </c>
      <c r="B119" s="5">
        <v>3.0</v>
      </c>
      <c r="C119" s="1" t="s">
        <v>12</v>
      </c>
      <c r="D119" s="1" t="s">
        <v>56</v>
      </c>
      <c r="E119" s="1" t="s">
        <v>21</v>
      </c>
      <c r="F119" s="5">
        <v>0.3357</v>
      </c>
      <c r="G119" s="5">
        <v>78.294403</v>
      </c>
      <c r="H119" s="5">
        <v>0.1343</v>
      </c>
      <c r="I119" s="5">
        <v>96.0</v>
      </c>
    </row>
    <row r="120">
      <c r="A120" s="6" t="s">
        <v>183</v>
      </c>
      <c r="B120" s="5">
        <v>3.0</v>
      </c>
      <c r="C120" s="1" t="s">
        <v>12</v>
      </c>
      <c r="D120" s="1" t="s">
        <v>60</v>
      </c>
      <c r="E120" s="1" t="s">
        <v>39</v>
      </c>
      <c r="F120" s="5">
        <v>0.3775</v>
      </c>
      <c r="G120" s="5">
        <v>58.161958</v>
      </c>
      <c r="H120" s="5">
        <v>0.0717</v>
      </c>
      <c r="I120" s="5">
        <v>0.0</v>
      </c>
    </row>
    <row r="121">
      <c r="A121" s="6" t="s">
        <v>183</v>
      </c>
      <c r="B121" s="5">
        <v>3.0</v>
      </c>
      <c r="C121" s="1" t="s">
        <v>12</v>
      </c>
      <c r="D121" s="1" t="s">
        <v>60</v>
      </c>
      <c r="E121" s="1" t="s">
        <v>17</v>
      </c>
      <c r="F121" s="5">
        <v>7.0E-4</v>
      </c>
      <c r="G121" s="5">
        <v>0.094486</v>
      </c>
      <c r="H121" s="5">
        <v>3.0E-4</v>
      </c>
      <c r="I121" s="5">
        <v>0.0</v>
      </c>
    </row>
    <row r="122">
      <c r="A122" s="6" t="s">
        <v>183</v>
      </c>
      <c r="B122" s="5">
        <v>3.0</v>
      </c>
      <c r="C122" s="1" t="s">
        <v>12</v>
      </c>
      <c r="D122" s="1" t="s">
        <v>64</v>
      </c>
      <c r="E122" s="1" t="s">
        <v>21</v>
      </c>
      <c r="F122" s="5">
        <v>0.2882</v>
      </c>
      <c r="G122" s="5">
        <v>45.010945</v>
      </c>
      <c r="H122" s="5">
        <v>0.1152</v>
      </c>
      <c r="I122" s="5">
        <v>0.0</v>
      </c>
    </row>
    <row r="123">
      <c r="A123" s="6" t="s">
        <v>183</v>
      </c>
      <c r="B123" s="5">
        <v>3.0</v>
      </c>
      <c r="C123" s="1" t="s">
        <v>68</v>
      </c>
      <c r="D123" s="1" t="s">
        <v>13</v>
      </c>
      <c r="E123" s="1" t="s">
        <v>14</v>
      </c>
      <c r="F123" s="5">
        <v>59.9181</v>
      </c>
      <c r="G123" s="5">
        <v>3925.894315</v>
      </c>
      <c r="H123" s="5">
        <v>12.5828</v>
      </c>
      <c r="I123" s="5">
        <v>7797.0</v>
      </c>
    </row>
    <row r="124">
      <c r="A124" s="6" t="s">
        <v>183</v>
      </c>
      <c r="B124" s="5">
        <v>3.0</v>
      </c>
      <c r="C124" s="1" t="s">
        <v>68</v>
      </c>
      <c r="D124" s="1" t="s">
        <v>13</v>
      </c>
      <c r="E124" s="1" t="s">
        <v>72</v>
      </c>
      <c r="F124" s="5">
        <v>0.0025</v>
      </c>
      <c r="G124" s="5">
        <v>0.239033</v>
      </c>
      <c r="H124" s="5">
        <v>8.0E-4</v>
      </c>
      <c r="I124" s="5">
        <v>3.0</v>
      </c>
    </row>
    <row r="125">
      <c r="A125" s="6" t="s">
        <v>183</v>
      </c>
      <c r="B125" s="5">
        <v>3.0</v>
      </c>
      <c r="C125" s="1" t="s">
        <v>68</v>
      </c>
      <c r="D125" s="1" t="s">
        <v>13</v>
      </c>
      <c r="E125" s="1" t="s">
        <v>17</v>
      </c>
      <c r="F125" s="5">
        <v>69.8611</v>
      </c>
      <c r="G125" s="5">
        <v>6958.625881</v>
      </c>
      <c r="H125" s="5">
        <v>24.4513</v>
      </c>
      <c r="I125" s="5">
        <v>8564.0</v>
      </c>
    </row>
    <row r="126">
      <c r="A126" s="6" t="s">
        <v>183</v>
      </c>
      <c r="B126" s="5">
        <v>3.0</v>
      </c>
      <c r="C126" s="1" t="s">
        <v>68</v>
      </c>
      <c r="D126" s="1" t="s">
        <v>13</v>
      </c>
      <c r="E126" s="1" t="s">
        <v>21</v>
      </c>
      <c r="F126" s="5">
        <v>8.2565</v>
      </c>
      <c r="G126" s="5">
        <v>1088.468861</v>
      </c>
      <c r="H126" s="5">
        <v>4.1283</v>
      </c>
      <c r="I126" s="5">
        <v>1297.0</v>
      </c>
    </row>
    <row r="127">
      <c r="A127" s="6" t="s">
        <v>183</v>
      </c>
      <c r="B127" s="5">
        <v>3.0</v>
      </c>
      <c r="C127" s="1" t="s">
        <v>68</v>
      </c>
      <c r="D127" s="1" t="s">
        <v>13</v>
      </c>
      <c r="E127" s="1" t="s">
        <v>25</v>
      </c>
      <c r="F127" s="5">
        <v>0.3656</v>
      </c>
      <c r="G127" s="5">
        <v>62.655918</v>
      </c>
      <c r="H127" s="5">
        <v>0.2742</v>
      </c>
      <c r="I127" s="5">
        <v>283.0</v>
      </c>
    </row>
    <row r="128">
      <c r="A128" s="6" t="s">
        <v>183</v>
      </c>
      <c r="B128" s="5">
        <v>3.0</v>
      </c>
      <c r="C128" s="1" t="s">
        <v>68</v>
      </c>
      <c r="D128" s="1" t="s">
        <v>29</v>
      </c>
      <c r="E128" s="1" t="s">
        <v>21</v>
      </c>
      <c r="F128" s="5">
        <v>10.6065</v>
      </c>
      <c r="G128" s="5">
        <v>1949.093433</v>
      </c>
      <c r="H128" s="5">
        <v>4.2427</v>
      </c>
      <c r="I128" s="5">
        <v>1612.0</v>
      </c>
    </row>
    <row r="129">
      <c r="A129" s="6" t="s">
        <v>183</v>
      </c>
      <c r="B129" s="5">
        <v>3.0</v>
      </c>
      <c r="C129" s="1" t="s">
        <v>68</v>
      </c>
      <c r="D129" s="1" t="s">
        <v>45</v>
      </c>
      <c r="E129" s="1" t="s">
        <v>17</v>
      </c>
      <c r="F129" s="5">
        <v>15.8856</v>
      </c>
      <c r="G129" s="5">
        <v>1072.220825</v>
      </c>
      <c r="H129" s="5">
        <v>5.7188</v>
      </c>
      <c r="I129" s="5">
        <v>3521.0</v>
      </c>
    </row>
    <row r="130">
      <c r="A130" s="6" t="s">
        <v>183</v>
      </c>
      <c r="B130" s="5">
        <v>3.0</v>
      </c>
      <c r="C130" s="1" t="s">
        <v>68</v>
      </c>
      <c r="D130" s="1" t="s">
        <v>32</v>
      </c>
      <c r="E130" s="1" t="s">
        <v>14</v>
      </c>
      <c r="F130" s="5">
        <v>4.2058</v>
      </c>
      <c r="G130" s="5">
        <v>285.332048</v>
      </c>
      <c r="H130" s="5">
        <v>0.9673</v>
      </c>
      <c r="I130" s="5">
        <v>1440.0</v>
      </c>
    </row>
    <row r="131">
      <c r="A131" s="6" t="s">
        <v>183</v>
      </c>
      <c r="B131" s="5">
        <v>3.0</v>
      </c>
      <c r="C131" s="1" t="s">
        <v>68</v>
      </c>
      <c r="D131" s="1" t="s">
        <v>32</v>
      </c>
      <c r="E131" s="1" t="s">
        <v>21</v>
      </c>
      <c r="F131" s="5">
        <v>1.0539</v>
      </c>
      <c r="G131" s="5">
        <v>177.547756</v>
      </c>
      <c r="H131" s="5">
        <v>0.4744</v>
      </c>
      <c r="I131" s="5">
        <v>434.0</v>
      </c>
    </row>
    <row r="132">
      <c r="A132" s="6" t="s">
        <v>183</v>
      </c>
      <c r="B132" s="5">
        <v>3.0</v>
      </c>
      <c r="C132" s="1" t="s">
        <v>68</v>
      </c>
      <c r="D132" s="1" t="s">
        <v>465</v>
      </c>
      <c r="E132" s="1" t="s">
        <v>21</v>
      </c>
      <c r="F132" s="5">
        <v>2.5053</v>
      </c>
      <c r="G132" s="5">
        <v>321.675</v>
      </c>
      <c r="H132" s="5">
        <v>1.2527</v>
      </c>
      <c r="I132" s="5">
        <v>976.0</v>
      </c>
    </row>
    <row r="133">
      <c r="A133" s="6" t="s">
        <v>183</v>
      </c>
      <c r="B133" s="5">
        <v>3.0</v>
      </c>
      <c r="C133" s="1" t="s">
        <v>68</v>
      </c>
      <c r="D133" s="1" t="s">
        <v>42</v>
      </c>
      <c r="E133" s="1" t="s">
        <v>17</v>
      </c>
      <c r="F133" s="5">
        <v>0.7486</v>
      </c>
      <c r="G133" s="5">
        <v>124.803203</v>
      </c>
      <c r="H133" s="5">
        <v>0.277</v>
      </c>
      <c r="I133" s="5">
        <v>253.0</v>
      </c>
    </row>
    <row r="134">
      <c r="A134" s="6" t="s">
        <v>183</v>
      </c>
      <c r="B134" s="5">
        <v>3.0</v>
      </c>
      <c r="C134" s="1" t="s">
        <v>68</v>
      </c>
      <c r="D134" s="1" t="s">
        <v>98</v>
      </c>
      <c r="E134" s="1" t="s">
        <v>17</v>
      </c>
      <c r="F134" s="5">
        <v>0.5124</v>
      </c>
      <c r="G134" s="5">
        <v>123.330744</v>
      </c>
      <c r="H134" s="5">
        <v>0.1794</v>
      </c>
      <c r="I134" s="5">
        <v>72.0</v>
      </c>
    </row>
    <row r="135">
      <c r="A135" s="6" t="s">
        <v>183</v>
      </c>
      <c r="B135" s="5">
        <v>3.0</v>
      </c>
      <c r="C135" s="1" t="s">
        <v>68</v>
      </c>
      <c r="D135" s="1" t="s">
        <v>38</v>
      </c>
      <c r="E135" s="1" t="s">
        <v>39</v>
      </c>
      <c r="F135" s="5">
        <v>1.1978</v>
      </c>
      <c r="G135" s="5">
        <v>108.865611</v>
      </c>
      <c r="H135" s="5">
        <v>0.2156</v>
      </c>
      <c r="I135" s="5">
        <v>239.0</v>
      </c>
    </row>
    <row r="136">
      <c r="A136" s="6" t="s">
        <v>183</v>
      </c>
      <c r="B136" s="5">
        <v>3.0</v>
      </c>
      <c r="C136" s="1" t="s">
        <v>68</v>
      </c>
      <c r="D136" s="1" t="s">
        <v>102</v>
      </c>
      <c r="E136" s="1" t="s">
        <v>39</v>
      </c>
      <c r="F136" s="5">
        <v>0.0058</v>
      </c>
      <c r="G136" s="5">
        <v>1.605336</v>
      </c>
      <c r="H136" s="5">
        <v>0.0011</v>
      </c>
      <c r="I136" s="5">
        <v>0.0</v>
      </c>
    </row>
    <row r="137">
      <c r="A137" s="6" t="s">
        <v>183</v>
      </c>
      <c r="B137" s="5">
        <v>3.0</v>
      </c>
      <c r="C137" s="1" t="s">
        <v>68</v>
      </c>
      <c r="D137" s="1" t="s">
        <v>102</v>
      </c>
      <c r="E137" s="1" t="s">
        <v>21</v>
      </c>
      <c r="F137" s="5">
        <v>0.3065</v>
      </c>
      <c r="G137" s="5">
        <v>93.23621</v>
      </c>
      <c r="H137" s="5">
        <v>0.1226</v>
      </c>
      <c r="I137" s="5">
        <v>0.0</v>
      </c>
    </row>
    <row r="138">
      <c r="A138" s="6" t="s">
        <v>183</v>
      </c>
      <c r="B138" s="5">
        <v>3.0</v>
      </c>
      <c r="C138" s="1" t="s">
        <v>68</v>
      </c>
      <c r="D138" s="1" t="s">
        <v>48</v>
      </c>
      <c r="E138" s="1" t="s">
        <v>21</v>
      </c>
      <c r="F138" s="5">
        <v>0.42</v>
      </c>
      <c r="G138" s="5">
        <v>48.423851</v>
      </c>
      <c r="H138" s="5">
        <v>0.168</v>
      </c>
      <c r="I138" s="5">
        <v>292.0</v>
      </c>
    </row>
    <row r="139">
      <c r="A139" s="6" t="s">
        <v>183</v>
      </c>
      <c r="B139" s="5">
        <v>3.0</v>
      </c>
      <c r="C139" s="1" t="s">
        <v>116</v>
      </c>
      <c r="D139" s="1" t="s">
        <v>13</v>
      </c>
      <c r="E139" s="1" t="s">
        <v>14</v>
      </c>
      <c r="F139" s="5">
        <v>80.8349</v>
      </c>
      <c r="G139" s="5">
        <v>4860.261843</v>
      </c>
      <c r="H139" s="5">
        <v>16.9753</v>
      </c>
      <c r="I139" s="5">
        <v>10268.0</v>
      </c>
    </row>
    <row r="140">
      <c r="A140" s="6" t="s">
        <v>183</v>
      </c>
      <c r="B140" s="5">
        <v>3.0</v>
      </c>
      <c r="C140" s="1" t="s">
        <v>116</v>
      </c>
      <c r="D140" s="1" t="s">
        <v>13</v>
      </c>
      <c r="E140" s="1" t="s">
        <v>17</v>
      </c>
      <c r="F140" s="5">
        <v>98.0553</v>
      </c>
      <c r="G140" s="5">
        <v>9525.273204</v>
      </c>
      <c r="H140" s="5">
        <v>34.3194</v>
      </c>
      <c r="I140" s="5">
        <v>8169.0</v>
      </c>
    </row>
    <row r="141">
      <c r="A141" s="6" t="s">
        <v>183</v>
      </c>
      <c r="B141" s="5">
        <v>3.0</v>
      </c>
      <c r="C141" s="1" t="s">
        <v>116</v>
      </c>
      <c r="D141" s="1" t="s">
        <v>13</v>
      </c>
      <c r="E141" s="1" t="s">
        <v>21</v>
      </c>
      <c r="F141" s="5">
        <v>41.2775</v>
      </c>
      <c r="G141" s="5">
        <v>5053.812038</v>
      </c>
      <c r="H141" s="5">
        <v>20.6387</v>
      </c>
      <c r="I141" s="5">
        <v>2632.0</v>
      </c>
    </row>
    <row r="142">
      <c r="A142" s="6" t="s">
        <v>183</v>
      </c>
      <c r="B142" s="5">
        <v>3.0</v>
      </c>
      <c r="C142" s="1" t="s">
        <v>116</v>
      </c>
      <c r="D142" s="1" t="s">
        <v>13</v>
      </c>
      <c r="E142" s="1" t="s">
        <v>25</v>
      </c>
      <c r="F142" s="5">
        <v>0.0844</v>
      </c>
      <c r="G142" s="5">
        <v>13.352451</v>
      </c>
      <c r="H142" s="5">
        <v>0.0633</v>
      </c>
      <c r="I142" s="5">
        <v>65.0</v>
      </c>
    </row>
    <row r="143">
      <c r="A143" s="6" t="s">
        <v>183</v>
      </c>
      <c r="B143" s="5">
        <v>3.0</v>
      </c>
      <c r="C143" s="1" t="s">
        <v>116</v>
      </c>
      <c r="D143" s="1" t="s">
        <v>29</v>
      </c>
      <c r="E143" s="1" t="s">
        <v>21</v>
      </c>
      <c r="F143" s="5">
        <v>22.7859</v>
      </c>
      <c r="G143" s="5">
        <v>4874.68381</v>
      </c>
      <c r="H143" s="5">
        <v>9.1144</v>
      </c>
      <c r="I143" s="5">
        <v>2764.0</v>
      </c>
    </row>
    <row r="144">
      <c r="A144" s="6" t="s">
        <v>183</v>
      </c>
      <c r="B144" s="5">
        <v>3.0</v>
      </c>
      <c r="C144" s="1" t="s">
        <v>116</v>
      </c>
      <c r="D144" s="1" t="s">
        <v>32</v>
      </c>
      <c r="E144" s="1" t="s">
        <v>14</v>
      </c>
      <c r="F144" s="5">
        <v>8.6386</v>
      </c>
      <c r="G144" s="5">
        <v>518.473264</v>
      </c>
      <c r="H144" s="5">
        <v>1.9869</v>
      </c>
      <c r="I144" s="5">
        <v>1801.0</v>
      </c>
    </row>
    <row r="145">
      <c r="A145" s="6" t="s">
        <v>183</v>
      </c>
      <c r="B145" s="5">
        <v>3.0</v>
      </c>
      <c r="C145" s="1" t="s">
        <v>116</v>
      </c>
      <c r="D145" s="1" t="s">
        <v>32</v>
      </c>
      <c r="E145" s="1" t="s">
        <v>21</v>
      </c>
      <c r="F145" s="5">
        <v>4.9757</v>
      </c>
      <c r="G145" s="5">
        <v>855.17176</v>
      </c>
      <c r="H145" s="5">
        <v>2.2391</v>
      </c>
      <c r="I145" s="5">
        <v>1471.0</v>
      </c>
    </row>
    <row r="146">
      <c r="A146" s="6" t="s">
        <v>183</v>
      </c>
      <c r="B146" s="5">
        <v>3.0</v>
      </c>
      <c r="C146" s="1" t="s">
        <v>116</v>
      </c>
      <c r="D146" s="1" t="s">
        <v>45</v>
      </c>
      <c r="E146" s="1" t="s">
        <v>17</v>
      </c>
      <c r="F146" s="5">
        <v>20.996</v>
      </c>
      <c r="G146" s="5">
        <v>1306.620265</v>
      </c>
      <c r="H146" s="5">
        <v>7.5586</v>
      </c>
      <c r="I146" s="5">
        <v>3778.0</v>
      </c>
    </row>
    <row r="147">
      <c r="A147" s="6" t="s">
        <v>183</v>
      </c>
      <c r="B147" s="5">
        <v>3.0</v>
      </c>
      <c r="C147" s="1" t="s">
        <v>116</v>
      </c>
      <c r="D147" s="1" t="s">
        <v>42</v>
      </c>
      <c r="E147" s="1" t="s">
        <v>17</v>
      </c>
      <c r="F147" s="5">
        <v>8.5074</v>
      </c>
      <c r="G147" s="5">
        <v>1124.589953</v>
      </c>
      <c r="H147" s="5">
        <v>3.1477</v>
      </c>
      <c r="I147" s="5">
        <v>869.0</v>
      </c>
    </row>
    <row r="148">
      <c r="A148" s="6" t="s">
        <v>183</v>
      </c>
      <c r="B148" s="5">
        <v>3.0</v>
      </c>
      <c r="C148" s="1" t="s">
        <v>116</v>
      </c>
      <c r="D148" s="1" t="s">
        <v>465</v>
      </c>
      <c r="E148" s="1" t="s">
        <v>21</v>
      </c>
      <c r="F148" s="5">
        <v>6.3937</v>
      </c>
      <c r="G148" s="5">
        <v>811.186105</v>
      </c>
      <c r="H148" s="5">
        <v>3.1969</v>
      </c>
      <c r="I148" s="5">
        <v>2485.0</v>
      </c>
    </row>
    <row r="149">
      <c r="A149" s="6" t="s">
        <v>183</v>
      </c>
      <c r="B149" s="5">
        <v>3.0</v>
      </c>
      <c r="C149" s="1" t="s">
        <v>116</v>
      </c>
      <c r="D149" s="1" t="s">
        <v>147</v>
      </c>
      <c r="E149" s="1" t="s">
        <v>39</v>
      </c>
      <c r="F149" s="5">
        <v>2.5576</v>
      </c>
      <c r="G149" s="5">
        <v>700.968116</v>
      </c>
      <c r="H149" s="5">
        <v>0.4859</v>
      </c>
      <c r="I149" s="5">
        <v>111.0</v>
      </c>
    </row>
    <row r="150">
      <c r="A150" s="6" t="s">
        <v>183</v>
      </c>
      <c r="B150" s="5">
        <v>3.0</v>
      </c>
      <c r="C150" s="1" t="s">
        <v>116</v>
      </c>
      <c r="D150" s="1" t="s">
        <v>147</v>
      </c>
      <c r="E150" s="1" t="s">
        <v>17</v>
      </c>
      <c r="F150" s="5">
        <v>0.0412</v>
      </c>
      <c r="G150" s="5">
        <v>13.251864</v>
      </c>
      <c r="H150" s="5">
        <v>0.0145</v>
      </c>
      <c r="I150" s="5">
        <v>6.0</v>
      </c>
    </row>
    <row r="151">
      <c r="A151" s="6" t="s">
        <v>183</v>
      </c>
      <c r="B151" s="5">
        <v>3.0</v>
      </c>
      <c r="C151" s="1" t="s">
        <v>116</v>
      </c>
      <c r="D151" s="1" t="s">
        <v>147</v>
      </c>
      <c r="E151" s="1" t="s">
        <v>21</v>
      </c>
      <c r="F151" s="5">
        <v>0.0818</v>
      </c>
      <c r="G151" s="5">
        <v>39.988526</v>
      </c>
      <c r="H151" s="5">
        <v>0.0408</v>
      </c>
      <c r="I151" s="5">
        <v>47.0</v>
      </c>
    </row>
    <row r="152">
      <c r="A152" s="6" t="s">
        <v>183</v>
      </c>
      <c r="B152" s="5">
        <v>3.0</v>
      </c>
      <c r="C152" s="1" t="s">
        <v>116</v>
      </c>
      <c r="D152" s="1" t="s">
        <v>102</v>
      </c>
      <c r="E152" s="1" t="s">
        <v>39</v>
      </c>
      <c r="F152" s="5">
        <v>0.0322</v>
      </c>
      <c r="G152" s="5">
        <v>7.884587</v>
      </c>
      <c r="H152" s="5">
        <v>0.0061</v>
      </c>
      <c r="I152" s="5">
        <v>21.0</v>
      </c>
    </row>
    <row r="153">
      <c r="A153" s="6" t="s">
        <v>183</v>
      </c>
      <c r="B153" s="5">
        <v>3.0</v>
      </c>
      <c r="C153" s="1" t="s">
        <v>116</v>
      </c>
      <c r="D153" s="1" t="s">
        <v>102</v>
      </c>
      <c r="E153" s="1" t="s">
        <v>21</v>
      </c>
      <c r="F153" s="5">
        <v>2.1445</v>
      </c>
      <c r="G153" s="5">
        <v>603.625107</v>
      </c>
      <c r="H153" s="5">
        <v>0.8577</v>
      </c>
      <c r="I153" s="5">
        <v>257.0</v>
      </c>
    </row>
    <row r="154">
      <c r="A154" s="6" t="s">
        <v>183</v>
      </c>
      <c r="B154" s="5">
        <v>3.0</v>
      </c>
      <c r="C154" s="1" t="s">
        <v>116</v>
      </c>
      <c r="D154" s="1" t="s">
        <v>158</v>
      </c>
      <c r="E154" s="1" t="s">
        <v>17</v>
      </c>
      <c r="F154" s="5">
        <v>0.0577</v>
      </c>
      <c r="G154" s="5">
        <v>25.981502</v>
      </c>
      <c r="H154" s="5">
        <v>0.0202</v>
      </c>
      <c r="I154" s="5">
        <v>0.0</v>
      </c>
    </row>
    <row r="155">
      <c r="A155" s="6" t="s">
        <v>183</v>
      </c>
      <c r="B155" s="5">
        <v>3.0</v>
      </c>
      <c r="C155" s="1" t="s">
        <v>116</v>
      </c>
      <c r="D155" s="1" t="s">
        <v>158</v>
      </c>
      <c r="E155" s="1" t="s">
        <v>21</v>
      </c>
      <c r="F155" s="5">
        <v>0.5458</v>
      </c>
      <c r="G155" s="5">
        <v>290.24294</v>
      </c>
      <c r="H155" s="5">
        <v>0.2292</v>
      </c>
      <c r="I155" s="5">
        <v>0.0</v>
      </c>
    </row>
    <row r="156">
      <c r="A156" s="6" t="s">
        <v>183</v>
      </c>
      <c r="B156" s="5">
        <v>3.0</v>
      </c>
      <c r="C156" s="1" t="s">
        <v>116</v>
      </c>
      <c r="D156" s="1" t="s">
        <v>330</v>
      </c>
      <c r="E156" s="1" t="s">
        <v>39</v>
      </c>
      <c r="F156" s="5">
        <v>4.0E-4</v>
      </c>
      <c r="G156" s="5">
        <v>0.049663</v>
      </c>
      <c r="H156" s="5">
        <v>1.0E-4</v>
      </c>
      <c r="I156" s="5">
        <v>1.0</v>
      </c>
    </row>
    <row r="157">
      <c r="A157" s="6" t="s">
        <v>183</v>
      </c>
      <c r="B157" s="5">
        <v>3.0</v>
      </c>
      <c r="C157" s="1" t="s">
        <v>116</v>
      </c>
      <c r="D157" s="1" t="s">
        <v>330</v>
      </c>
      <c r="E157" s="1" t="s">
        <v>17</v>
      </c>
      <c r="F157" s="5">
        <v>1.3841</v>
      </c>
      <c r="G157" s="5">
        <v>238.904142</v>
      </c>
      <c r="H157" s="5">
        <v>0.4844</v>
      </c>
      <c r="I157" s="5">
        <v>158.0</v>
      </c>
    </row>
    <row r="158">
      <c r="A158" s="6" t="s">
        <v>183</v>
      </c>
      <c r="B158" s="5">
        <v>4.0</v>
      </c>
      <c r="C158" s="1" t="s">
        <v>12</v>
      </c>
      <c r="D158" s="1" t="s">
        <v>13</v>
      </c>
      <c r="E158" s="1" t="s">
        <v>14</v>
      </c>
      <c r="F158" s="5">
        <v>13.1809</v>
      </c>
      <c r="G158" s="5">
        <v>819.698677</v>
      </c>
      <c r="H158" s="5">
        <v>2.768</v>
      </c>
      <c r="I158" s="5">
        <v>478.0</v>
      </c>
    </row>
    <row r="159">
      <c r="A159" s="6" t="s">
        <v>183</v>
      </c>
      <c r="B159" s="5">
        <v>4.0</v>
      </c>
      <c r="C159" s="1" t="s">
        <v>12</v>
      </c>
      <c r="D159" s="1" t="s">
        <v>13</v>
      </c>
      <c r="E159" s="1" t="s">
        <v>17</v>
      </c>
      <c r="F159" s="5">
        <v>54.8537</v>
      </c>
      <c r="G159" s="5">
        <v>4806.202042</v>
      </c>
      <c r="H159" s="5">
        <v>19.1989</v>
      </c>
      <c r="I159" s="5">
        <v>786.0</v>
      </c>
    </row>
    <row r="160">
      <c r="A160" s="6" t="s">
        <v>183</v>
      </c>
      <c r="B160" s="5">
        <v>4.0</v>
      </c>
      <c r="C160" s="1" t="s">
        <v>12</v>
      </c>
      <c r="D160" s="1" t="s">
        <v>13</v>
      </c>
      <c r="E160" s="1" t="s">
        <v>21</v>
      </c>
      <c r="F160" s="5">
        <v>48.5498</v>
      </c>
      <c r="G160" s="5">
        <v>5104.909681</v>
      </c>
      <c r="H160" s="5">
        <v>24.2748</v>
      </c>
      <c r="I160" s="5">
        <v>663.0</v>
      </c>
    </row>
    <row r="161">
      <c r="A161" s="6" t="s">
        <v>183</v>
      </c>
      <c r="B161" s="5">
        <v>4.0</v>
      </c>
      <c r="C161" s="1" t="s">
        <v>12</v>
      </c>
      <c r="D161" s="1" t="s">
        <v>13</v>
      </c>
      <c r="E161" s="1" t="s">
        <v>25</v>
      </c>
      <c r="F161" s="5">
        <v>1.082</v>
      </c>
      <c r="G161" s="5">
        <v>129.175226</v>
      </c>
      <c r="H161" s="5">
        <v>0.8115</v>
      </c>
      <c r="I161" s="5">
        <v>23.0</v>
      </c>
    </row>
    <row r="162">
      <c r="A162" s="6" t="s">
        <v>183</v>
      </c>
      <c r="B162" s="5">
        <v>4.0</v>
      </c>
      <c r="C162" s="1" t="s">
        <v>12</v>
      </c>
      <c r="D162" s="1" t="s">
        <v>29</v>
      </c>
      <c r="E162" s="1" t="s">
        <v>21</v>
      </c>
      <c r="F162" s="5">
        <v>14.6887</v>
      </c>
      <c r="G162" s="5">
        <v>3008.328546</v>
      </c>
      <c r="H162" s="5">
        <v>5.8755</v>
      </c>
      <c r="I162" s="5">
        <v>671.0</v>
      </c>
    </row>
    <row r="163">
      <c r="A163" s="6" t="s">
        <v>183</v>
      </c>
      <c r="B163" s="5">
        <v>4.0</v>
      </c>
      <c r="C163" s="1" t="s">
        <v>12</v>
      </c>
      <c r="D163" s="1" t="s">
        <v>32</v>
      </c>
      <c r="E163" s="1" t="s">
        <v>14</v>
      </c>
      <c r="F163" s="5">
        <v>10.8278</v>
      </c>
      <c r="G163" s="5">
        <v>634.098977</v>
      </c>
      <c r="H163" s="5">
        <v>2.4904</v>
      </c>
      <c r="I163" s="5">
        <v>482.0</v>
      </c>
    </row>
    <row r="164">
      <c r="A164" s="6" t="s">
        <v>183</v>
      </c>
      <c r="B164" s="5">
        <v>4.0</v>
      </c>
      <c r="C164" s="1" t="s">
        <v>12</v>
      </c>
      <c r="D164" s="1" t="s">
        <v>32</v>
      </c>
      <c r="E164" s="1" t="s">
        <v>72</v>
      </c>
      <c r="F164" s="5">
        <v>1.0E-4</v>
      </c>
      <c r="G164" s="5">
        <v>0.007028</v>
      </c>
      <c r="H164" s="5">
        <v>0.0</v>
      </c>
      <c r="I164" s="5">
        <v>0.0</v>
      </c>
    </row>
    <row r="165">
      <c r="A165" s="6" t="s">
        <v>183</v>
      </c>
      <c r="B165" s="5">
        <v>4.0</v>
      </c>
      <c r="C165" s="1" t="s">
        <v>12</v>
      </c>
      <c r="D165" s="1" t="s">
        <v>32</v>
      </c>
      <c r="E165" s="1" t="s">
        <v>21</v>
      </c>
      <c r="F165" s="5">
        <v>2.0152</v>
      </c>
      <c r="G165" s="5">
        <v>337.342593</v>
      </c>
      <c r="H165" s="5">
        <v>0.9069</v>
      </c>
      <c r="I165" s="5">
        <v>302.0</v>
      </c>
    </row>
    <row r="166">
      <c r="A166" s="6" t="s">
        <v>183</v>
      </c>
      <c r="B166" s="5">
        <v>4.0</v>
      </c>
      <c r="C166" s="1" t="s">
        <v>12</v>
      </c>
      <c r="D166" s="1" t="s">
        <v>32</v>
      </c>
      <c r="E166" s="1" t="s">
        <v>25</v>
      </c>
      <c r="F166" s="5">
        <v>1.0E-4</v>
      </c>
      <c r="G166" s="5">
        <v>0.016112</v>
      </c>
      <c r="H166" s="5">
        <v>1.0E-4</v>
      </c>
      <c r="I166" s="5">
        <v>2.0</v>
      </c>
    </row>
    <row r="167">
      <c r="A167" s="6" t="s">
        <v>183</v>
      </c>
      <c r="B167" s="5">
        <v>4.0</v>
      </c>
      <c r="C167" s="1" t="s">
        <v>12</v>
      </c>
      <c r="D167" s="1" t="s">
        <v>38</v>
      </c>
      <c r="E167" s="1" t="s">
        <v>39</v>
      </c>
      <c r="F167" s="5">
        <v>2.9288</v>
      </c>
      <c r="G167" s="5">
        <v>285.831332</v>
      </c>
      <c r="H167" s="5">
        <v>0.5272</v>
      </c>
      <c r="I167" s="5">
        <v>94.0</v>
      </c>
    </row>
    <row r="168">
      <c r="A168" s="6" t="s">
        <v>183</v>
      </c>
      <c r="B168" s="5">
        <v>4.0</v>
      </c>
      <c r="C168" s="1" t="s">
        <v>12</v>
      </c>
      <c r="D168" s="1" t="s">
        <v>42</v>
      </c>
      <c r="E168" s="1" t="s">
        <v>17</v>
      </c>
      <c r="F168" s="5">
        <v>1.8156</v>
      </c>
      <c r="G168" s="5">
        <v>283.721208</v>
      </c>
      <c r="H168" s="5">
        <v>0.6717</v>
      </c>
      <c r="I168" s="5">
        <v>115.0</v>
      </c>
    </row>
    <row r="169">
      <c r="A169" s="6" t="s">
        <v>183</v>
      </c>
      <c r="B169" s="5">
        <v>4.0</v>
      </c>
      <c r="C169" s="1" t="s">
        <v>12</v>
      </c>
      <c r="D169" s="1" t="s">
        <v>45</v>
      </c>
      <c r="E169" s="1" t="s">
        <v>17</v>
      </c>
      <c r="F169" s="5">
        <v>2.3171</v>
      </c>
      <c r="G169" s="5">
        <v>172.71895</v>
      </c>
      <c r="H169" s="5">
        <v>0.8341</v>
      </c>
      <c r="I169" s="5">
        <v>119.0</v>
      </c>
    </row>
    <row r="170">
      <c r="A170" s="6" t="s">
        <v>183</v>
      </c>
      <c r="B170" s="5">
        <v>4.0</v>
      </c>
      <c r="C170" s="1" t="s">
        <v>12</v>
      </c>
      <c r="D170" s="1" t="s">
        <v>48</v>
      </c>
      <c r="E170" s="1" t="s">
        <v>49</v>
      </c>
      <c r="F170" s="5">
        <v>0.0111</v>
      </c>
      <c r="G170" s="5">
        <v>3.648823</v>
      </c>
      <c r="H170" s="5">
        <v>0.0031</v>
      </c>
      <c r="I170" s="5">
        <v>4.0</v>
      </c>
    </row>
    <row r="171">
      <c r="A171" s="6" t="s">
        <v>183</v>
      </c>
      <c r="B171" s="5">
        <v>4.0</v>
      </c>
      <c r="C171" s="1" t="s">
        <v>12</v>
      </c>
      <c r="D171" s="1" t="s">
        <v>48</v>
      </c>
      <c r="E171" s="1" t="s">
        <v>21</v>
      </c>
      <c r="F171" s="5">
        <v>0.8561</v>
      </c>
      <c r="G171" s="5">
        <v>102.900452</v>
      </c>
      <c r="H171" s="5">
        <v>0.3424</v>
      </c>
      <c r="I171" s="5">
        <v>113.0</v>
      </c>
    </row>
    <row r="172">
      <c r="A172" s="6" t="s">
        <v>183</v>
      </c>
      <c r="B172" s="5">
        <v>4.0</v>
      </c>
      <c r="C172" s="1" t="s">
        <v>12</v>
      </c>
      <c r="D172" s="1" t="s">
        <v>56</v>
      </c>
      <c r="E172" s="1" t="s">
        <v>21</v>
      </c>
      <c r="F172" s="5">
        <v>0.3016</v>
      </c>
      <c r="G172" s="5">
        <v>68.126832</v>
      </c>
      <c r="H172" s="5">
        <v>0.1206</v>
      </c>
      <c r="I172" s="5">
        <v>105.0</v>
      </c>
    </row>
    <row r="173">
      <c r="A173" s="6" t="s">
        <v>183</v>
      </c>
      <c r="B173" s="5">
        <v>4.0</v>
      </c>
      <c r="C173" s="1" t="s">
        <v>12</v>
      </c>
      <c r="D173" s="1" t="s">
        <v>60</v>
      </c>
      <c r="E173" s="1" t="s">
        <v>39</v>
      </c>
      <c r="F173" s="5">
        <v>0.2712</v>
      </c>
      <c r="G173" s="5">
        <v>41.763937</v>
      </c>
      <c r="H173" s="5">
        <v>0.0515</v>
      </c>
      <c r="I173" s="5">
        <v>0.0</v>
      </c>
    </row>
    <row r="174">
      <c r="A174" s="6" t="s">
        <v>183</v>
      </c>
      <c r="B174" s="5">
        <v>4.0</v>
      </c>
      <c r="C174" s="1" t="s">
        <v>12</v>
      </c>
      <c r="D174" s="1" t="s">
        <v>64</v>
      </c>
      <c r="E174" s="1" t="s">
        <v>21</v>
      </c>
      <c r="F174" s="5">
        <v>0.2237</v>
      </c>
      <c r="G174" s="5">
        <v>30.341988</v>
      </c>
      <c r="H174" s="5">
        <v>0.0895</v>
      </c>
      <c r="I174" s="5">
        <v>0.0</v>
      </c>
    </row>
    <row r="175">
      <c r="A175" s="6" t="s">
        <v>183</v>
      </c>
      <c r="B175" s="5">
        <v>4.0</v>
      </c>
      <c r="C175" s="1" t="s">
        <v>68</v>
      </c>
      <c r="D175" s="1" t="s">
        <v>13</v>
      </c>
      <c r="E175" s="1" t="s">
        <v>14</v>
      </c>
      <c r="F175" s="5">
        <v>65.925</v>
      </c>
      <c r="G175" s="5">
        <v>4037.903364</v>
      </c>
      <c r="H175" s="5">
        <v>13.8442</v>
      </c>
      <c r="I175" s="5">
        <v>8093.0</v>
      </c>
    </row>
    <row r="176">
      <c r="A176" s="6" t="s">
        <v>183</v>
      </c>
      <c r="B176" s="5">
        <v>4.0</v>
      </c>
      <c r="C176" s="1" t="s">
        <v>68</v>
      </c>
      <c r="D176" s="1" t="s">
        <v>13</v>
      </c>
      <c r="E176" s="1" t="s">
        <v>72</v>
      </c>
      <c r="F176" s="5">
        <v>0.0015</v>
      </c>
      <c r="G176" s="5">
        <v>0.171467</v>
      </c>
      <c r="H176" s="5">
        <v>5.0E-4</v>
      </c>
      <c r="I176" s="5">
        <v>2.0</v>
      </c>
    </row>
    <row r="177">
      <c r="A177" s="6" t="s">
        <v>183</v>
      </c>
      <c r="B177" s="5">
        <v>4.0</v>
      </c>
      <c r="C177" s="1" t="s">
        <v>68</v>
      </c>
      <c r="D177" s="1" t="s">
        <v>13</v>
      </c>
      <c r="E177" s="1" t="s">
        <v>17</v>
      </c>
      <c r="F177" s="5">
        <v>62.98</v>
      </c>
      <c r="G177" s="5">
        <v>6338.200409</v>
      </c>
      <c r="H177" s="5">
        <v>22.043</v>
      </c>
      <c r="I177" s="5">
        <v>8792.0</v>
      </c>
    </row>
    <row r="178">
      <c r="A178" s="6" t="s">
        <v>183</v>
      </c>
      <c r="B178" s="5">
        <v>4.0</v>
      </c>
      <c r="C178" s="1" t="s">
        <v>68</v>
      </c>
      <c r="D178" s="1" t="s">
        <v>13</v>
      </c>
      <c r="E178" s="1" t="s">
        <v>21</v>
      </c>
      <c r="F178" s="5">
        <v>6.1918</v>
      </c>
      <c r="G178" s="5">
        <v>880.140635</v>
      </c>
      <c r="H178" s="5">
        <v>3.0959</v>
      </c>
      <c r="I178" s="5">
        <v>1462.0</v>
      </c>
    </row>
    <row r="179">
      <c r="A179" s="6" t="s">
        <v>183</v>
      </c>
      <c r="B179" s="5">
        <v>4.0</v>
      </c>
      <c r="C179" s="1" t="s">
        <v>68</v>
      </c>
      <c r="D179" s="1" t="s">
        <v>13</v>
      </c>
      <c r="E179" s="1" t="s">
        <v>25</v>
      </c>
      <c r="F179" s="5">
        <v>0.5044</v>
      </c>
      <c r="G179" s="5">
        <v>80.219931</v>
      </c>
      <c r="H179" s="5">
        <v>0.3783</v>
      </c>
      <c r="I179" s="5">
        <v>323.0</v>
      </c>
    </row>
    <row r="180">
      <c r="A180" s="6" t="s">
        <v>183</v>
      </c>
      <c r="B180" s="5">
        <v>4.0</v>
      </c>
      <c r="C180" s="1" t="s">
        <v>68</v>
      </c>
      <c r="D180" s="1" t="s">
        <v>29</v>
      </c>
      <c r="E180" s="1" t="s">
        <v>21</v>
      </c>
      <c r="F180" s="5">
        <v>8.3434</v>
      </c>
      <c r="G180" s="5">
        <v>1553.383466</v>
      </c>
      <c r="H180" s="5">
        <v>3.3374</v>
      </c>
      <c r="I180" s="5">
        <v>1496.0</v>
      </c>
    </row>
    <row r="181">
      <c r="A181" s="6" t="s">
        <v>183</v>
      </c>
      <c r="B181" s="5">
        <v>4.0</v>
      </c>
      <c r="C181" s="1" t="s">
        <v>68</v>
      </c>
      <c r="D181" s="1" t="s">
        <v>45</v>
      </c>
      <c r="E181" s="1" t="s">
        <v>17</v>
      </c>
      <c r="F181" s="5">
        <v>17.1067</v>
      </c>
      <c r="G181" s="5">
        <v>1076.441935</v>
      </c>
      <c r="H181" s="5">
        <v>6.1584</v>
      </c>
      <c r="I181" s="5">
        <v>2626.0</v>
      </c>
    </row>
    <row r="182">
      <c r="A182" s="6" t="s">
        <v>183</v>
      </c>
      <c r="B182" s="5">
        <v>4.0</v>
      </c>
      <c r="C182" s="1" t="s">
        <v>68</v>
      </c>
      <c r="D182" s="1" t="s">
        <v>32</v>
      </c>
      <c r="E182" s="1" t="s">
        <v>14</v>
      </c>
      <c r="F182" s="5">
        <v>3.1584</v>
      </c>
      <c r="G182" s="5">
        <v>225.61309</v>
      </c>
      <c r="H182" s="5">
        <v>0.7264</v>
      </c>
      <c r="I182" s="5">
        <v>1774.0</v>
      </c>
    </row>
    <row r="183">
      <c r="A183" s="6" t="s">
        <v>183</v>
      </c>
      <c r="B183" s="5">
        <v>4.0</v>
      </c>
      <c r="C183" s="1" t="s">
        <v>68</v>
      </c>
      <c r="D183" s="1" t="s">
        <v>32</v>
      </c>
      <c r="E183" s="1" t="s">
        <v>21</v>
      </c>
      <c r="F183" s="5">
        <v>1.2491</v>
      </c>
      <c r="G183" s="5">
        <v>242.389454</v>
      </c>
      <c r="H183" s="5">
        <v>0.5621</v>
      </c>
      <c r="I183" s="5">
        <v>580.0</v>
      </c>
    </row>
    <row r="184">
      <c r="A184" s="6" t="s">
        <v>183</v>
      </c>
      <c r="B184" s="5">
        <v>4.0</v>
      </c>
      <c r="C184" s="1" t="s">
        <v>68</v>
      </c>
      <c r="D184" s="1" t="s">
        <v>465</v>
      </c>
      <c r="E184" s="1" t="s">
        <v>21</v>
      </c>
      <c r="F184" s="5">
        <v>2.3394</v>
      </c>
      <c r="G184" s="5">
        <v>258.553945</v>
      </c>
      <c r="H184" s="5">
        <v>1.1697</v>
      </c>
      <c r="I184" s="5">
        <v>996.0</v>
      </c>
    </row>
    <row r="185">
      <c r="A185" s="6" t="s">
        <v>183</v>
      </c>
      <c r="B185" s="5">
        <v>4.0</v>
      </c>
      <c r="C185" s="1" t="s">
        <v>68</v>
      </c>
      <c r="D185" s="1" t="s">
        <v>42</v>
      </c>
      <c r="E185" s="1" t="s">
        <v>17</v>
      </c>
      <c r="F185" s="5">
        <v>1.1033</v>
      </c>
      <c r="G185" s="5">
        <v>186.019152</v>
      </c>
      <c r="H185" s="5">
        <v>0.4082</v>
      </c>
      <c r="I185" s="5">
        <v>406.0</v>
      </c>
    </row>
    <row r="186">
      <c r="A186" s="6" t="s">
        <v>183</v>
      </c>
      <c r="B186" s="5">
        <v>4.0</v>
      </c>
      <c r="C186" s="1" t="s">
        <v>68</v>
      </c>
      <c r="D186" s="1" t="s">
        <v>38</v>
      </c>
      <c r="E186" s="1" t="s">
        <v>39</v>
      </c>
      <c r="F186" s="5">
        <v>1.1104</v>
      </c>
      <c r="G186" s="5">
        <v>98.75062</v>
      </c>
      <c r="H186" s="5">
        <v>0.1999</v>
      </c>
      <c r="I186" s="5">
        <v>243.0</v>
      </c>
    </row>
    <row r="187">
      <c r="A187" s="6" t="s">
        <v>183</v>
      </c>
      <c r="B187" s="5">
        <v>4.0</v>
      </c>
      <c r="C187" s="1" t="s">
        <v>68</v>
      </c>
      <c r="D187" s="1" t="s">
        <v>729</v>
      </c>
      <c r="E187" s="1" t="s">
        <v>21</v>
      </c>
      <c r="F187" s="5">
        <v>0.3346</v>
      </c>
      <c r="G187" s="5">
        <v>58.388659</v>
      </c>
      <c r="H187" s="5">
        <v>0.1673</v>
      </c>
      <c r="I187" s="5">
        <v>0.0</v>
      </c>
    </row>
    <row r="188">
      <c r="A188" s="6" t="s">
        <v>183</v>
      </c>
      <c r="B188" s="5">
        <v>4.0</v>
      </c>
      <c r="C188" s="1" t="s">
        <v>68</v>
      </c>
      <c r="D188" s="1" t="s">
        <v>56</v>
      </c>
      <c r="E188" s="1" t="s">
        <v>21</v>
      </c>
      <c r="F188" s="5">
        <v>0.2126</v>
      </c>
      <c r="G188" s="5">
        <v>55.786411</v>
      </c>
      <c r="H188" s="5">
        <v>0.0851</v>
      </c>
      <c r="I188" s="5">
        <v>104.0</v>
      </c>
    </row>
    <row r="189">
      <c r="A189" s="6" t="s">
        <v>183</v>
      </c>
      <c r="B189" s="5">
        <v>4.0</v>
      </c>
      <c r="C189" s="1" t="s">
        <v>68</v>
      </c>
      <c r="D189" s="1" t="s">
        <v>48</v>
      </c>
      <c r="E189" s="1" t="s">
        <v>49</v>
      </c>
      <c r="F189" s="5">
        <v>7.0E-4</v>
      </c>
      <c r="G189" s="5">
        <v>0.259456</v>
      </c>
      <c r="H189" s="5">
        <v>2.0E-4</v>
      </c>
      <c r="I189" s="5">
        <v>2.0</v>
      </c>
    </row>
    <row r="190">
      <c r="A190" s="6" t="s">
        <v>183</v>
      </c>
      <c r="B190" s="5">
        <v>4.0</v>
      </c>
      <c r="C190" s="1" t="s">
        <v>68</v>
      </c>
      <c r="D190" s="1" t="s">
        <v>48</v>
      </c>
      <c r="E190" s="1" t="s">
        <v>21</v>
      </c>
      <c r="F190" s="5">
        <v>0.4675</v>
      </c>
      <c r="G190" s="5">
        <v>50.164253</v>
      </c>
      <c r="H190" s="5">
        <v>0.187</v>
      </c>
      <c r="I190" s="5">
        <v>307.0</v>
      </c>
    </row>
    <row r="191">
      <c r="A191" s="6" t="s">
        <v>183</v>
      </c>
      <c r="B191" s="5">
        <v>4.0</v>
      </c>
      <c r="C191" s="1" t="s">
        <v>116</v>
      </c>
      <c r="D191" s="1" t="s">
        <v>13</v>
      </c>
      <c r="E191" s="1" t="s">
        <v>14</v>
      </c>
      <c r="F191" s="5">
        <v>156.6125</v>
      </c>
      <c r="G191" s="5">
        <v>8413.267214</v>
      </c>
      <c r="H191" s="5">
        <v>32.8887</v>
      </c>
      <c r="I191" s="5">
        <v>11160.0</v>
      </c>
    </row>
    <row r="192">
      <c r="A192" s="6" t="s">
        <v>183</v>
      </c>
      <c r="B192" s="5">
        <v>4.0</v>
      </c>
      <c r="C192" s="1" t="s">
        <v>116</v>
      </c>
      <c r="D192" s="1" t="s">
        <v>13</v>
      </c>
      <c r="E192" s="1" t="s">
        <v>17</v>
      </c>
      <c r="F192" s="5">
        <v>95.5966</v>
      </c>
      <c r="G192" s="5">
        <v>8971.843249</v>
      </c>
      <c r="H192" s="5">
        <v>33.4589</v>
      </c>
      <c r="I192" s="5">
        <v>8304.0</v>
      </c>
    </row>
    <row r="193">
      <c r="A193" s="6" t="s">
        <v>183</v>
      </c>
      <c r="B193" s="5">
        <v>4.0</v>
      </c>
      <c r="C193" s="1" t="s">
        <v>116</v>
      </c>
      <c r="D193" s="1" t="s">
        <v>13</v>
      </c>
      <c r="E193" s="1" t="s">
        <v>21</v>
      </c>
      <c r="F193" s="5">
        <v>20.3404</v>
      </c>
      <c r="G193" s="5">
        <v>2762.443039</v>
      </c>
      <c r="H193" s="5">
        <v>10.1702</v>
      </c>
      <c r="I193" s="5">
        <v>2421.0</v>
      </c>
    </row>
    <row r="194">
      <c r="A194" s="6" t="s">
        <v>183</v>
      </c>
      <c r="B194" s="5">
        <v>4.0</v>
      </c>
      <c r="C194" s="1" t="s">
        <v>116</v>
      </c>
      <c r="D194" s="1" t="s">
        <v>13</v>
      </c>
      <c r="E194" s="1" t="s">
        <v>25</v>
      </c>
      <c r="F194" s="5">
        <v>0.2203</v>
      </c>
      <c r="G194" s="5">
        <v>33.022278</v>
      </c>
      <c r="H194" s="5">
        <v>0.1653</v>
      </c>
      <c r="I194" s="5">
        <v>65.0</v>
      </c>
    </row>
    <row r="195">
      <c r="A195" s="6" t="s">
        <v>183</v>
      </c>
      <c r="B195" s="5">
        <v>4.0</v>
      </c>
      <c r="C195" s="1" t="s">
        <v>116</v>
      </c>
      <c r="D195" s="1" t="s">
        <v>29</v>
      </c>
      <c r="E195" s="1" t="s">
        <v>21</v>
      </c>
      <c r="F195" s="5">
        <v>32.7492</v>
      </c>
      <c r="G195" s="5">
        <v>5927.9104</v>
      </c>
      <c r="H195" s="5">
        <v>13.0998</v>
      </c>
      <c r="I195" s="5">
        <v>2316.0</v>
      </c>
    </row>
    <row r="196">
      <c r="A196" s="6" t="s">
        <v>183</v>
      </c>
      <c r="B196" s="5">
        <v>4.0</v>
      </c>
      <c r="C196" s="1" t="s">
        <v>116</v>
      </c>
      <c r="D196" s="1" t="s">
        <v>45</v>
      </c>
      <c r="E196" s="1" t="s">
        <v>17</v>
      </c>
      <c r="F196" s="5">
        <v>18.3218</v>
      </c>
      <c r="G196" s="5">
        <v>1168.584361</v>
      </c>
      <c r="H196" s="5">
        <v>6.5958</v>
      </c>
      <c r="I196" s="5">
        <v>2651.0</v>
      </c>
    </row>
    <row r="197">
      <c r="A197" s="6" t="s">
        <v>183</v>
      </c>
      <c r="B197" s="5">
        <v>4.0</v>
      </c>
      <c r="C197" s="1" t="s">
        <v>116</v>
      </c>
      <c r="D197" s="1" t="s">
        <v>32</v>
      </c>
      <c r="E197" s="1" t="s">
        <v>14</v>
      </c>
      <c r="F197" s="5">
        <v>4.8246</v>
      </c>
      <c r="G197" s="5">
        <v>343.430485</v>
      </c>
      <c r="H197" s="5">
        <v>1.1096</v>
      </c>
      <c r="I197" s="5">
        <v>1399.0</v>
      </c>
    </row>
    <row r="198">
      <c r="A198" s="6" t="s">
        <v>183</v>
      </c>
      <c r="B198" s="5">
        <v>4.0</v>
      </c>
      <c r="C198" s="1" t="s">
        <v>116</v>
      </c>
      <c r="D198" s="1" t="s">
        <v>32</v>
      </c>
      <c r="E198" s="1" t="s">
        <v>21</v>
      </c>
      <c r="F198" s="5">
        <v>3.4998</v>
      </c>
      <c r="G198" s="5">
        <v>654.637547</v>
      </c>
      <c r="H198" s="5">
        <v>1.5748</v>
      </c>
      <c r="I198" s="5">
        <v>1473.0</v>
      </c>
    </row>
    <row r="199">
      <c r="A199" s="6" t="s">
        <v>183</v>
      </c>
      <c r="B199" s="5">
        <v>4.0</v>
      </c>
      <c r="C199" s="1" t="s">
        <v>116</v>
      </c>
      <c r="D199" s="1" t="s">
        <v>42</v>
      </c>
      <c r="E199" s="1" t="s">
        <v>17</v>
      </c>
      <c r="F199" s="5">
        <v>4.6311</v>
      </c>
      <c r="G199" s="5">
        <v>722.763649</v>
      </c>
      <c r="H199" s="5">
        <v>1.7135</v>
      </c>
      <c r="I199" s="5">
        <v>743.0</v>
      </c>
    </row>
    <row r="200">
      <c r="A200" s="6" t="s">
        <v>183</v>
      </c>
      <c r="B200" s="5">
        <v>4.0</v>
      </c>
      <c r="C200" s="1" t="s">
        <v>116</v>
      </c>
      <c r="D200" s="1" t="s">
        <v>465</v>
      </c>
      <c r="E200" s="1" t="s">
        <v>21</v>
      </c>
      <c r="F200" s="5">
        <v>5.7053</v>
      </c>
      <c r="G200" s="5">
        <v>649.040983</v>
      </c>
      <c r="H200" s="5">
        <v>2.8527</v>
      </c>
      <c r="I200" s="5">
        <v>2566.0</v>
      </c>
    </row>
    <row r="201">
      <c r="A201" s="6" t="s">
        <v>183</v>
      </c>
      <c r="B201" s="5">
        <v>4.0</v>
      </c>
      <c r="C201" s="1" t="s">
        <v>116</v>
      </c>
      <c r="D201" s="1" t="s">
        <v>147</v>
      </c>
      <c r="E201" s="1" t="s">
        <v>39</v>
      </c>
      <c r="F201" s="5">
        <v>1.692</v>
      </c>
      <c r="G201" s="5">
        <v>457.457559</v>
      </c>
      <c r="H201" s="5">
        <v>0.3215</v>
      </c>
      <c r="I201" s="5">
        <v>115.0</v>
      </c>
    </row>
    <row r="202">
      <c r="A202" s="6" t="s">
        <v>183</v>
      </c>
      <c r="B202" s="5">
        <v>4.0</v>
      </c>
      <c r="C202" s="1" t="s">
        <v>116</v>
      </c>
      <c r="D202" s="1" t="s">
        <v>147</v>
      </c>
      <c r="E202" s="1" t="s">
        <v>17</v>
      </c>
      <c r="F202" s="5">
        <v>0.0232</v>
      </c>
      <c r="G202" s="5">
        <v>7.416068</v>
      </c>
      <c r="H202" s="5">
        <v>0.0082</v>
      </c>
      <c r="I202" s="5">
        <v>6.0</v>
      </c>
    </row>
    <row r="203">
      <c r="A203" s="6" t="s">
        <v>183</v>
      </c>
      <c r="B203" s="5">
        <v>4.0</v>
      </c>
      <c r="C203" s="1" t="s">
        <v>116</v>
      </c>
      <c r="D203" s="1" t="s">
        <v>147</v>
      </c>
      <c r="E203" s="1" t="s">
        <v>21</v>
      </c>
      <c r="F203" s="5">
        <v>0.0639</v>
      </c>
      <c r="G203" s="5">
        <v>31.154171</v>
      </c>
      <c r="H203" s="5">
        <v>0.0319</v>
      </c>
      <c r="I203" s="5">
        <v>54.0</v>
      </c>
    </row>
    <row r="204">
      <c r="A204" s="6" t="s">
        <v>183</v>
      </c>
      <c r="B204" s="5">
        <v>4.0</v>
      </c>
      <c r="C204" s="1" t="s">
        <v>116</v>
      </c>
      <c r="D204" s="1" t="s">
        <v>102</v>
      </c>
      <c r="E204" s="1" t="s">
        <v>39</v>
      </c>
      <c r="F204" s="5">
        <v>0.0877</v>
      </c>
      <c r="G204" s="5">
        <v>10.94554</v>
      </c>
      <c r="H204" s="5">
        <v>0.0166</v>
      </c>
      <c r="I204" s="5">
        <v>28.0</v>
      </c>
    </row>
    <row r="205">
      <c r="A205" s="6" t="s">
        <v>183</v>
      </c>
      <c r="B205" s="5">
        <v>4.0</v>
      </c>
      <c r="C205" s="1" t="s">
        <v>116</v>
      </c>
      <c r="D205" s="1" t="s">
        <v>102</v>
      </c>
      <c r="E205" s="1" t="s">
        <v>17</v>
      </c>
      <c r="F205" s="5">
        <v>7.0E-4</v>
      </c>
      <c r="G205" s="5">
        <v>0.250637</v>
      </c>
      <c r="H205" s="5">
        <v>2.0E-4</v>
      </c>
      <c r="I205" s="5">
        <v>1.0</v>
      </c>
    </row>
    <row r="206">
      <c r="A206" s="6" t="s">
        <v>183</v>
      </c>
      <c r="B206" s="5">
        <v>4.0</v>
      </c>
      <c r="C206" s="1" t="s">
        <v>116</v>
      </c>
      <c r="D206" s="1" t="s">
        <v>102</v>
      </c>
      <c r="E206" s="1" t="s">
        <v>21</v>
      </c>
      <c r="F206" s="5">
        <v>1.7914</v>
      </c>
      <c r="G206" s="5">
        <v>455.096599</v>
      </c>
      <c r="H206" s="5">
        <v>0.7166</v>
      </c>
      <c r="I206" s="5">
        <v>262.0</v>
      </c>
    </row>
    <row r="207">
      <c r="A207" s="6" t="s">
        <v>183</v>
      </c>
      <c r="B207" s="5">
        <v>4.0</v>
      </c>
      <c r="C207" s="1" t="s">
        <v>116</v>
      </c>
      <c r="D207" s="1" t="s">
        <v>158</v>
      </c>
      <c r="E207" s="1" t="s">
        <v>17</v>
      </c>
      <c r="F207" s="5">
        <v>0.0597</v>
      </c>
      <c r="G207" s="5">
        <v>27.19477</v>
      </c>
      <c r="H207" s="5">
        <v>0.0209</v>
      </c>
      <c r="I207" s="5">
        <v>0.0</v>
      </c>
    </row>
    <row r="208">
      <c r="A208" s="6" t="s">
        <v>183</v>
      </c>
      <c r="B208" s="5">
        <v>4.0</v>
      </c>
      <c r="C208" s="1" t="s">
        <v>116</v>
      </c>
      <c r="D208" s="1" t="s">
        <v>158</v>
      </c>
      <c r="E208" s="1" t="s">
        <v>21</v>
      </c>
      <c r="F208" s="5">
        <v>0.7026</v>
      </c>
      <c r="G208" s="5">
        <v>360.11203</v>
      </c>
      <c r="H208" s="5">
        <v>0.2951</v>
      </c>
      <c r="I208" s="5">
        <v>0.0</v>
      </c>
    </row>
    <row r="209">
      <c r="A209" s="6" t="s">
        <v>183</v>
      </c>
      <c r="B209" s="5">
        <v>4.0</v>
      </c>
      <c r="C209" s="1" t="s">
        <v>116</v>
      </c>
      <c r="D209" s="1" t="s">
        <v>165</v>
      </c>
      <c r="E209" s="1" t="s">
        <v>39</v>
      </c>
      <c r="F209" s="5">
        <v>0.3512</v>
      </c>
      <c r="G209" s="5">
        <v>54.916409</v>
      </c>
      <c r="H209" s="5">
        <v>0.0632</v>
      </c>
      <c r="I209" s="5">
        <v>0.0</v>
      </c>
    </row>
    <row r="210">
      <c r="A210" s="6" t="s">
        <v>183</v>
      </c>
      <c r="B210" s="5">
        <v>4.0</v>
      </c>
      <c r="C210" s="1" t="s">
        <v>116</v>
      </c>
      <c r="D210" s="1" t="s">
        <v>165</v>
      </c>
      <c r="E210" s="1" t="s">
        <v>17</v>
      </c>
      <c r="F210" s="5">
        <v>0.6254</v>
      </c>
      <c r="G210" s="5">
        <v>129.905255</v>
      </c>
      <c r="H210" s="5">
        <v>0.2188</v>
      </c>
      <c r="I210" s="5">
        <v>0.0</v>
      </c>
    </row>
    <row r="211">
      <c r="A211" s="6" t="s">
        <v>183</v>
      </c>
      <c r="B211" s="5">
        <v>5.0</v>
      </c>
      <c r="C211" s="1" t="s">
        <v>12</v>
      </c>
      <c r="D211" s="1" t="s">
        <v>13</v>
      </c>
      <c r="E211" s="1" t="s">
        <v>14</v>
      </c>
      <c r="F211" s="5">
        <v>22.3576</v>
      </c>
      <c r="G211" s="5">
        <v>1261.464109</v>
      </c>
      <c r="H211" s="5">
        <v>4.6951</v>
      </c>
      <c r="I211" s="5">
        <v>572.0</v>
      </c>
    </row>
    <row r="212">
      <c r="A212" s="6" t="s">
        <v>183</v>
      </c>
      <c r="B212" s="5">
        <v>5.0</v>
      </c>
      <c r="C212" s="1" t="s">
        <v>12</v>
      </c>
      <c r="D212" s="1" t="s">
        <v>13</v>
      </c>
      <c r="E212" s="1" t="s">
        <v>17</v>
      </c>
      <c r="F212" s="5">
        <v>57.154</v>
      </c>
      <c r="G212" s="5">
        <v>5056.081495</v>
      </c>
      <c r="H212" s="5">
        <v>20.0039</v>
      </c>
      <c r="I212" s="5">
        <v>778.0</v>
      </c>
    </row>
    <row r="213">
      <c r="A213" s="6" t="s">
        <v>183</v>
      </c>
      <c r="B213" s="5">
        <v>5.0</v>
      </c>
      <c r="C213" s="1" t="s">
        <v>12</v>
      </c>
      <c r="D213" s="1" t="s">
        <v>13</v>
      </c>
      <c r="E213" s="1" t="s">
        <v>21</v>
      </c>
      <c r="F213" s="5">
        <v>29.5413</v>
      </c>
      <c r="G213" s="5">
        <v>3514.288662</v>
      </c>
      <c r="H213" s="5">
        <v>14.7706</v>
      </c>
      <c r="I213" s="5">
        <v>640.0</v>
      </c>
    </row>
    <row r="214">
      <c r="A214" s="6" t="s">
        <v>183</v>
      </c>
      <c r="B214" s="5">
        <v>5.0</v>
      </c>
      <c r="C214" s="1" t="s">
        <v>12</v>
      </c>
      <c r="D214" s="1" t="s">
        <v>13</v>
      </c>
      <c r="E214" s="1" t="s">
        <v>25</v>
      </c>
      <c r="F214" s="5">
        <v>0.3545</v>
      </c>
      <c r="G214" s="5">
        <v>67.328507</v>
      </c>
      <c r="H214" s="5">
        <v>0.2658</v>
      </c>
      <c r="I214" s="5">
        <v>22.0</v>
      </c>
    </row>
    <row r="215">
      <c r="A215" s="6" t="s">
        <v>183</v>
      </c>
      <c r="B215" s="5">
        <v>5.0</v>
      </c>
      <c r="C215" s="1" t="s">
        <v>12</v>
      </c>
      <c r="D215" s="1" t="s">
        <v>29</v>
      </c>
      <c r="E215" s="1" t="s">
        <v>21</v>
      </c>
      <c r="F215" s="5">
        <v>17.0951</v>
      </c>
      <c r="G215" s="5">
        <v>3209.643513</v>
      </c>
      <c r="H215" s="5">
        <v>6.8381</v>
      </c>
      <c r="I215" s="5">
        <v>633.0</v>
      </c>
    </row>
    <row r="216">
      <c r="A216" s="6" t="s">
        <v>183</v>
      </c>
      <c r="B216" s="5">
        <v>5.0</v>
      </c>
      <c r="C216" s="1" t="s">
        <v>12</v>
      </c>
      <c r="D216" s="1" t="s">
        <v>32</v>
      </c>
      <c r="E216" s="1" t="s">
        <v>14</v>
      </c>
      <c r="F216" s="5">
        <v>12.0351</v>
      </c>
      <c r="G216" s="5">
        <v>665.216812</v>
      </c>
      <c r="H216" s="5">
        <v>2.7681</v>
      </c>
      <c r="I216" s="5">
        <v>478.0</v>
      </c>
    </row>
    <row r="217">
      <c r="A217" s="6" t="s">
        <v>183</v>
      </c>
      <c r="B217" s="5">
        <v>5.0</v>
      </c>
      <c r="C217" s="1" t="s">
        <v>12</v>
      </c>
      <c r="D217" s="1" t="s">
        <v>32</v>
      </c>
      <c r="E217" s="1" t="s">
        <v>21</v>
      </c>
      <c r="F217" s="5">
        <v>1.8037</v>
      </c>
      <c r="G217" s="5">
        <v>280.366585</v>
      </c>
      <c r="H217" s="5">
        <v>0.8117</v>
      </c>
      <c r="I217" s="5">
        <v>285.0</v>
      </c>
    </row>
    <row r="218">
      <c r="A218" s="6" t="s">
        <v>183</v>
      </c>
      <c r="B218" s="5">
        <v>5.0</v>
      </c>
      <c r="C218" s="1" t="s">
        <v>12</v>
      </c>
      <c r="D218" s="1" t="s">
        <v>42</v>
      </c>
      <c r="E218" s="1" t="s">
        <v>17</v>
      </c>
      <c r="F218" s="5">
        <v>2.1726</v>
      </c>
      <c r="G218" s="5">
        <v>330.982913</v>
      </c>
      <c r="H218" s="5">
        <v>0.8038</v>
      </c>
      <c r="I218" s="5">
        <v>138.0</v>
      </c>
    </row>
    <row r="219">
      <c r="A219" s="6" t="s">
        <v>183</v>
      </c>
      <c r="B219" s="5">
        <v>5.0</v>
      </c>
      <c r="C219" s="1" t="s">
        <v>12</v>
      </c>
      <c r="D219" s="1" t="s">
        <v>38</v>
      </c>
      <c r="E219" s="1" t="s">
        <v>39</v>
      </c>
      <c r="F219" s="5">
        <v>3.2213</v>
      </c>
      <c r="G219" s="5">
        <v>305.898532</v>
      </c>
      <c r="H219" s="5">
        <v>0.5798</v>
      </c>
      <c r="I219" s="5">
        <v>95.0</v>
      </c>
    </row>
    <row r="220">
      <c r="A220" s="6" t="s">
        <v>183</v>
      </c>
      <c r="B220" s="5">
        <v>5.0</v>
      </c>
      <c r="C220" s="1" t="s">
        <v>12</v>
      </c>
      <c r="D220" s="1" t="s">
        <v>45</v>
      </c>
      <c r="E220" s="1" t="s">
        <v>17</v>
      </c>
      <c r="F220" s="5">
        <v>1.8592</v>
      </c>
      <c r="G220" s="5">
        <v>140.871749</v>
      </c>
      <c r="H220" s="5">
        <v>0.6692</v>
      </c>
      <c r="I220" s="5">
        <v>105.0</v>
      </c>
    </row>
    <row r="221">
      <c r="A221" s="6" t="s">
        <v>183</v>
      </c>
      <c r="B221" s="5">
        <v>5.0</v>
      </c>
      <c r="C221" s="1" t="s">
        <v>12</v>
      </c>
      <c r="D221" s="1" t="s">
        <v>56</v>
      </c>
      <c r="E221" s="1" t="s">
        <v>21</v>
      </c>
      <c r="F221" s="5">
        <v>0.6509</v>
      </c>
      <c r="G221" s="5">
        <v>126.123622</v>
      </c>
      <c r="H221" s="5">
        <v>0.2604</v>
      </c>
      <c r="I221" s="5">
        <v>138.0</v>
      </c>
    </row>
    <row r="222">
      <c r="A222" s="6" t="s">
        <v>183</v>
      </c>
      <c r="B222" s="5">
        <v>5.0</v>
      </c>
      <c r="C222" s="1" t="s">
        <v>12</v>
      </c>
      <c r="D222" s="1" t="s">
        <v>48</v>
      </c>
      <c r="E222" s="1" t="s">
        <v>49</v>
      </c>
      <c r="F222" s="5">
        <v>0.0081</v>
      </c>
      <c r="G222" s="5">
        <v>2.613454</v>
      </c>
      <c r="H222" s="5">
        <v>0.0023</v>
      </c>
      <c r="I222" s="5">
        <v>3.0</v>
      </c>
    </row>
    <row r="223">
      <c r="A223" s="6" t="s">
        <v>183</v>
      </c>
      <c r="B223" s="5">
        <v>5.0</v>
      </c>
      <c r="C223" s="1" t="s">
        <v>12</v>
      </c>
      <c r="D223" s="1" t="s">
        <v>48</v>
      </c>
      <c r="E223" s="1" t="s">
        <v>21</v>
      </c>
      <c r="F223" s="5">
        <v>0.7626</v>
      </c>
      <c r="G223" s="5">
        <v>92.107813</v>
      </c>
      <c r="H223" s="5">
        <v>0.305</v>
      </c>
      <c r="I223" s="5">
        <v>115.0</v>
      </c>
    </row>
    <row r="224">
      <c r="A224" s="6" t="s">
        <v>183</v>
      </c>
      <c r="B224" s="5">
        <v>5.0</v>
      </c>
      <c r="C224" s="1" t="s">
        <v>12</v>
      </c>
      <c r="D224" s="1" t="s">
        <v>60</v>
      </c>
      <c r="E224" s="1" t="s">
        <v>39</v>
      </c>
      <c r="F224" s="5">
        <v>0.2396</v>
      </c>
      <c r="G224" s="5">
        <v>37.023186</v>
      </c>
      <c r="H224" s="5">
        <v>0.0455</v>
      </c>
      <c r="I224" s="5">
        <v>0.0</v>
      </c>
    </row>
    <row r="225">
      <c r="A225" s="6" t="s">
        <v>183</v>
      </c>
      <c r="B225" s="5">
        <v>5.0</v>
      </c>
      <c r="C225" s="1" t="s">
        <v>12</v>
      </c>
      <c r="D225" s="1" t="s">
        <v>60</v>
      </c>
      <c r="E225" s="1" t="s">
        <v>17</v>
      </c>
      <c r="F225" s="5">
        <v>0.0011</v>
      </c>
      <c r="G225" s="5">
        <v>0.119351</v>
      </c>
      <c r="H225" s="5">
        <v>4.0E-4</v>
      </c>
      <c r="I225" s="5">
        <v>0.0</v>
      </c>
    </row>
    <row r="226">
      <c r="A226" s="6" t="s">
        <v>183</v>
      </c>
      <c r="B226" s="5">
        <v>5.0</v>
      </c>
      <c r="C226" s="1" t="s">
        <v>12</v>
      </c>
      <c r="D226" s="1" t="s">
        <v>848</v>
      </c>
      <c r="E226" s="1" t="s">
        <v>21</v>
      </c>
      <c r="F226" s="5">
        <v>0.1731</v>
      </c>
      <c r="G226" s="5">
        <v>35.477459</v>
      </c>
      <c r="H226" s="5">
        <v>0.0693</v>
      </c>
      <c r="I226" s="5">
        <v>46.0</v>
      </c>
    </row>
    <row r="227">
      <c r="A227" s="6" t="s">
        <v>183</v>
      </c>
      <c r="B227" s="5">
        <v>5.0</v>
      </c>
      <c r="C227" s="1" t="s">
        <v>68</v>
      </c>
      <c r="D227" s="1" t="s">
        <v>13</v>
      </c>
      <c r="E227" s="1" t="s">
        <v>14</v>
      </c>
      <c r="F227" s="5">
        <v>62.2945</v>
      </c>
      <c r="G227" s="5">
        <v>3886.490741</v>
      </c>
      <c r="H227" s="5">
        <v>13.0819</v>
      </c>
      <c r="I227" s="5">
        <v>7742.0</v>
      </c>
    </row>
    <row r="228">
      <c r="A228" s="6" t="s">
        <v>183</v>
      </c>
      <c r="B228" s="5">
        <v>5.0</v>
      </c>
      <c r="C228" s="1" t="s">
        <v>68</v>
      </c>
      <c r="D228" s="1" t="s">
        <v>13</v>
      </c>
      <c r="E228" s="1" t="s">
        <v>72</v>
      </c>
      <c r="F228" s="5">
        <v>7.0E-4</v>
      </c>
      <c r="G228" s="5">
        <v>0.07665</v>
      </c>
      <c r="H228" s="5">
        <v>2.0E-4</v>
      </c>
      <c r="I228" s="5">
        <v>1.0</v>
      </c>
    </row>
    <row r="229">
      <c r="A229" s="6" t="s">
        <v>183</v>
      </c>
      <c r="B229" s="5">
        <v>5.0</v>
      </c>
      <c r="C229" s="1" t="s">
        <v>68</v>
      </c>
      <c r="D229" s="1" t="s">
        <v>13</v>
      </c>
      <c r="E229" s="1" t="s">
        <v>17</v>
      </c>
      <c r="F229" s="5">
        <v>65.0353</v>
      </c>
      <c r="G229" s="5">
        <v>6461.604885</v>
      </c>
      <c r="H229" s="5">
        <v>22.7624</v>
      </c>
      <c r="I229" s="5">
        <v>8213.0</v>
      </c>
    </row>
    <row r="230">
      <c r="A230" s="6" t="s">
        <v>183</v>
      </c>
      <c r="B230" s="5">
        <v>5.0</v>
      </c>
      <c r="C230" s="1" t="s">
        <v>68</v>
      </c>
      <c r="D230" s="1" t="s">
        <v>13</v>
      </c>
      <c r="E230" s="1" t="s">
        <v>21</v>
      </c>
      <c r="F230" s="5">
        <v>7.079</v>
      </c>
      <c r="G230" s="5">
        <v>978.03047</v>
      </c>
      <c r="H230" s="5">
        <v>3.5394</v>
      </c>
      <c r="I230" s="5">
        <v>1256.0</v>
      </c>
    </row>
    <row r="231">
      <c r="A231" s="6" t="s">
        <v>183</v>
      </c>
      <c r="B231" s="5">
        <v>5.0</v>
      </c>
      <c r="C231" s="1" t="s">
        <v>68</v>
      </c>
      <c r="D231" s="1" t="s">
        <v>13</v>
      </c>
      <c r="E231" s="1" t="s">
        <v>25</v>
      </c>
      <c r="F231" s="5">
        <v>0.4188</v>
      </c>
      <c r="G231" s="5">
        <v>71.137857</v>
      </c>
      <c r="H231" s="5">
        <v>0.3141</v>
      </c>
      <c r="I231" s="5">
        <v>337.0</v>
      </c>
    </row>
    <row r="232">
      <c r="A232" s="6" t="s">
        <v>183</v>
      </c>
      <c r="B232" s="5">
        <v>5.0</v>
      </c>
      <c r="C232" s="1" t="s">
        <v>68</v>
      </c>
      <c r="D232" s="1" t="s">
        <v>29</v>
      </c>
      <c r="E232" s="1" t="s">
        <v>21</v>
      </c>
      <c r="F232" s="5">
        <v>9.4711</v>
      </c>
      <c r="G232" s="5">
        <v>1704.141979</v>
      </c>
      <c r="H232" s="5">
        <v>3.7885</v>
      </c>
      <c r="I232" s="5">
        <v>1342.0</v>
      </c>
    </row>
    <row r="233">
      <c r="A233" s="6" t="s">
        <v>183</v>
      </c>
      <c r="B233" s="5">
        <v>5.0</v>
      </c>
      <c r="C233" s="1" t="s">
        <v>68</v>
      </c>
      <c r="D233" s="1" t="s">
        <v>45</v>
      </c>
      <c r="E233" s="1" t="s">
        <v>17</v>
      </c>
      <c r="F233" s="5">
        <v>14.6881</v>
      </c>
      <c r="G233" s="5">
        <v>881.70831</v>
      </c>
      <c r="H233" s="5">
        <v>5.2878</v>
      </c>
      <c r="I233" s="5">
        <v>2350.0</v>
      </c>
    </row>
    <row r="234">
      <c r="A234" s="6" t="s">
        <v>183</v>
      </c>
      <c r="B234" s="5">
        <v>5.0</v>
      </c>
      <c r="C234" s="1" t="s">
        <v>68</v>
      </c>
      <c r="D234" s="1" t="s">
        <v>32</v>
      </c>
      <c r="E234" s="1" t="s">
        <v>14</v>
      </c>
      <c r="F234" s="5">
        <v>3.7982</v>
      </c>
      <c r="G234" s="5">
        <v>283.989748</v>
      </c>
      <c r="H234" s="5">
        <v>0.8736</v>
      </c>
      <c r="I234" s="5">
        <v>1569.0</v>
      </c>
    </row>
    <row r="235">
      <c r="A235" s="6" t="s">
        <v>183</v>
      </c>
      <c r="B235" s="5">
        <v>5.0</v>
      </c>
      <c r="C235" s="1" t="s">
        <v>68</v>
      </c>
      <c r="D235" s="1" t="s">
        <v>32</v>
      </c>
      <c r="E235" s="1" t="s">
        <v>21</v>
      </c>
      <c r="F235" s="5">
        <v>0.6053</v>
      </c>
      <c r="G235" s="5">
        <v>112.811286</v>
      </c>
      <c r="H235" s="5">
        <v>0.2724</v>
      </c>
      <c r="I235" s="5">
        <v>330.0</v>
      </c>
    </row>
    <row r="236">
      <c r="A236" s="6" t="s">
        <v>183</v>
      </c>
      <c r="B236" s="5">
        <v>5.0</v>
      </c>
      <c r="C236" s="1" t="s">
        <v>68</v>
      </c>
      <c r="D236" s="1" t="s">
        <v>42</v>
      </c>
      <c r="E236" s="1" t="s">
        <v>17</v>
      </c>
      <c r="F236" s="5">
        <v>1.528</v>
      </c>
      <c r="G236" s="5">
        <v>224.946184</v>
      </c>
      <c r="H236" s="5">
        <v>0.5654</v>
      </c>
      <c r="I236" s="5">
        <v>327.0</v>
      </c>
    </row>
    <row r="237">
      <c r="A237" s="6" t="s">
        <v>183</v>
      </c>
      <c r="B237" s="5">
        <v>5.0</v>
      </c>
      <c r="C237" s="1" t="s">
        <v>68</v>
      </c>
      <c r="D237" s="1" t="s">
        <v>465</v>
      </c>
      <c r="E237" s="1" t="s">
        <v>21</v>
      </c>
      <c r="F237" s="5">
        <v>1.291</v>
      </c>
      <c r="G237" s="5">
        <v>137.342741</v>
      </c>
      <c r="H237" s="5">
        <v>0.6456</v>
      </c>
      <c r="I237" s="5">
        <v>780.0</v>
      </c>
    </row>
    <row r="238">
      <c r="A238" s="6" t="s">
        <v>183</v>
      </c>
      <c r="B238" s="5">
        <v>5.0</v>
      </c>
      <c r="C238" s="1" t="s">
        <v>68</v>
      </c>
      <c r="D238" s="1" t="s">
        <v>38</v>
      </c>
      <c r="E238" s="1" t="s">
        <v>39</v>
      </c>
      <c r="F238" s="5">
        <v>1.3652</v>
      </c>
      <c r="G238" s="5">
        <v>128.123744</v>
      </c>
      <c r="H238" s="5">
        <v>0.2457</v>
      </c>
      <c r="I238" s="5">
        <v>245.0</v>
      </c>
    </row>
    <row r="239">
      <c r="A239" s="6" t="s">
        <v>183</v>
      </c>
      <c r="B239" s="5">
        <v>5.0</v>
      </c>
      <c r="C239" s="1" t="s">
        <v>68</v>
      </c>
      <c r="D239" s="1" t="s">
        <v>48</v>
      </c>
      <c r="E239" s="1" t="s">
        <v>49</v>
      </c>
      <c r="F239" s="5">
        <v>0.0013</v>
      </c>
      <c r="G239" s="5">
        <v>0.429929</v>
      </c>
      <c r="H239" s="5">
        <v>3.0E-4</v>
      </c>
      <c r="I239" s="5">
        <v>2.0</v>
      </c>
    </row>
    <row r="240">
      <c r="A240" s="6" t="s">
        <v>183</v>
      </c>
      <c r="B240" s="5">
        <v>5.0</v>
      </c>
      <c r="C240" s="1" t="s">
        <v>68</v>
      </c>
      <c r="D240" s="1" t="s">
        <v>48</v>
      </c>
      <c r="E240" s="1" t="s">
        <v>21</v>
      </c>
      <c r="F240" s="5">
        <v>0.5541</v>
      </c>
      <c r="G240" s="5">
        <v>65.790073</v>
      </c>
      <c r="H240" s="5">
        <v>0.2217</v>
      </c>
      <c r="I240" s="5">
        <v>334.0</v>
      </c>
    </row>
    <row r="241">
      <c r="A241" s="6" t="s">
        <v>183</v>
      </c>
      <c r="B241" s="5">
        <v>5.0</v>
      </c>
      <c r="C241" s="1" t="s">
        <v>68</v>
      </c>
      <c r="D241" s="1" t="s">
        <v>962</v>
      </c>
      <c r="E241" s="1" t="s">
        <v>17</v>
      </c>
      <c r="F241" s="5">
        <v>0.7088</v>
      </c>
      <c r="G241" s="5">
        <v>42.52785</v>
      </c>
      <c r="H241" s="5">
        <v>0.2481</v>
      </c>
      <c r="I241" s="5">
        <v>188.0</v>
      </c>
    </row>
    <row r="242">
      <c r="A242" s="6" t="s">
        <v>183</v>
      </c>
      <c r="B242" s="5">
        <v>5.0</v>
      </c>
      <c r="C242" s="1" t="s">
        <v>68</v>
      </c>
      <c r="D242" s="1" t="s">
        <v>56</v>
      </c>
      <c r="E242" s="1" t="s">
        <v>21</v>
      </c>
      <c r="F242" s="5">
        <v>0.1453</v>
      </c>
      <c r="G242" s="5">
        <v>41.459526</v>
      </c>
      <c r="H242" s="5">
        <v>0.0581</v>
      </c>
      <c r="I242" s="5">
        <v>0.0</v>
      </c>
    </row>
    <row r="243">
      <c r="A243" s="6" t="s">
        <v>183</v>
      </c>
      <c r="B243" s="5">
        <v>5.0</v>
      </c>
      <c r="C243" s="1" t="s">
        <v>116</v>
      </c>
      <c r="D243" s="1" t="s">
        <v>13</v>
      </c>
      <c r="E243" s="1" t="s">
        <v>14</v>
      </c>
      <c r="F243" s="5">
        <v>126.6888</v>
      </c>
      <c r="G243" s="5">
        <v>6964.641234</v>
      </c>
      <c r="H243" s="5">
        <v>26.6046</v>
      </c>
      <c r="I243" s="5">
        <v>11236.0</v>
      </c>
    </row>
    <row r="244">
      <c r="A244" s="6" t="s">
        <v>183</v>
      </c>
      <c r="B244" s="5">
        <v>5.0</v>
      </c>
      <c r="C244" s="1" t="s">
        <v>116</v>
      </c>
      <c r="D244" s="1" t="s">
        <v>13</v>
      </c>
      <c r="E244" s="1" t="s">
        <v>17</v>
      </c>
      <c r="F244" s="5">
        <v>87.3889</v>
      </c>
      <c r="G244" s="5">
        <v>7894.581306</v>
      </c>
      <c r="H244" s="5">
        <v>30.5861</v>
      </c>
      <c r="I244" s="5">
        <v>7935.0</v>
      </c>
    </row>
    <row r="245">
      <c r="A245" s="6" t="s">
        <v>183</v>
      </c>
      <c r="B245" s="5">
        <v>5.0</v>
      </c>
      <c r="C245" s="1" t="s">
        <v>116</v>
      </c>
      <c r="D245" s="1" t="s">
        <v>13</v>
      </c>
      <c r="E245" s="1" t="s">
        <v>21</v>
      </c>
      <c r="F245" s="5">
        <v>17.5314</v>
      </c>
      <c r="G245" s="5">
        <v>2313.44746</v>
      </c>
      <c r="H245" s="5">
        <v>8.7657</v>
      </c>
      <c r="I245" s="5">
        <v>2129.0</v>
      </c>
    </row>
    <row r="246">
      <c r="A246" s="6" t="s">
        <v>183</v>
      </c>
      <c r="B246" s="5">
        <v>5.0</v>
      </c>
      <c r="C246" s="1" t="s">
        <v>116</v>
      </c>
      <c r="D246" s="1" t="s">
        <v>13</v>
      </c>
      <c r="E246" s="1" t="s">
        <v>25</v>
      </c>
      <c r="F246" s="5">
        <v>0.0754</v>
      </c>
      <c r="G246" s="5">
        <v>10.34063</v>
      </c>
      <c r="H246" s="5">
        <v>0.0566</v>
      </c>
      <c r="I246" s="5">
        <v>34.0</v>
      </c>
    </row>
    <row r="247">
      <c r="A247" s="6" t="s">
        <v>183</v>
      </c>
      <c r="B247" s="5">
        <v>5.0</v>
      </c>
      <c r="C247" s="1" t="s">
        <v>116</v>
      </c>
      <c r="D247" s="1" t="s">
        <v>29</v>
      </c>
      <c r="E247" s="1" t="s">
        <v>21</v>
      </c>
      <c r="F247" s="5">
        <v>23.8464</v>
      </c>
      <c r="G247" s="5">
        <v>4815.378802</v>
      </c>
      <c r="H247" s="5">
        <v>9.5385</v>
      </c>
      <c r="I247" s="5">
        <v>2262.0</v>
      </c>
    </row>
    <row r="248">
      <c r="A248" s="6" t="s">
        <v>183</v>
      </c>
      <c r="B248" s="5">
        <v>5.0</v>
      </c>
      <c r="C248" s="1" t="s">
        <v>116</v>
      </c>
      <c r="D248" s="1" t="s">
        <v>32</v>
      </c>
      <c r="E248" s="1" t="s">
        <v>14</v>
      </c>
      <c r="F248" s="5">
        <v>8.3302</v>
      </c>
      <c r="G248" s="5">
        <v>493.352945</v>
      </c>
      <c r="H248" s="5">
        <v>1.9159</v>
      </c>
      <c r="I248" s="5">
        <v>1621.0</v>
      </c>
    </row>
    <row r="249">
      <c r="A249" s="6" t="s">
        <v>183</v>
      </c>
      <c r="B249" s="5">
        <v>5.0</v>
      </c>
      <c r="C249" s="1" t="s">
        <v>116</v>
      </c>
      <c r="D249" s="1" t="s">
        <v>32</v>
      </c>
      <c r="E249" s="1" t="s">
        <v>21</v>
      </c>
      <c r="F249" s="5">
        <v>3.6336</v>
      </c>
      <c r="G249" s="5">
        <v>655.264603</v>
      </c>
      <c r="H249" s="5">
        <v>1.6351</v>
      </c>
      <c r="I249" s="5">
        <v>1225.0</v>
      </c>
    </row>
    <row r="250">
      <c r="A250" s="6" t="s">
        <v>183</v>
      </c>
      <c r="B250" s="5">
        <v>5.0</v>
      </c>
      <c r="C250" s="1" t="s">
        <v>116</v>
      </c>
      <c r="D250" s="1" t="s">
        <v>45</v>
      </c>
      <c r="E250" s="1" t="s">
        <v>17</v>
      </c>
      <c r="F250" s="5">
        <v>16.1501</v>
      </c>
      <c r="G250" s="5">
        <v>985.101548</v>
      </c>
      <c r="H250" s="5">
        <v>5.814</v>
      </c>
      <c r="I250" s="5">
        <v>2207.0</v>
      </c>
    </row>
    <row r="251">
      <c r="A251" s="6" t="s">
        <v>183</v>
      </c>
      <c r="B251" s="5">
        <v>5.0</v>
      </c>
      <c r="C251" s="1" t="s">
        <v>116</v>
      </c>
      <c r="D251" s="1" t="s">
        <v>42</v>
      </c>
      <c r="E251" s="1" t="s">
        <v>17</v>
      </c>
      <c r="F251" s="5">
        <v>6.3243</v>
      </c>
      <c r="G251" s="5">
        <v>868.844336</v>
      </c>
      <c r="H251" s="5">
        <v>2.34</v>
      </c>
      <c r="I251" s="5">
        <v>827.0</v>
      </c>
    </row>
    <row r="252">
      <c r="A252" s="6" t="s">
        <v>183</v>
      </c>
      <c r="B252" s="5">
        <v>5.0</v>
      </c>
      <c r="C252" s="1" t="s">
        <v>116</v>
      </c>
      <c r="D252" s="1" t="s">
        <v>147</v>
      </c>
      <c r="E252" s="1" t="s">
        <v>39</v>
      </c>
      <c r="F252" s="5">
        <v>1.477</v>
      </c>
      <c r="G252" s="5">
        <v>390.842837</v>
      </c>
      <c r="H252" s="5">
        <v>0.2805</v>
      </c>
      <c r="I252" s="5">
        <v>106.0</v>
      </c>
    </row>
    <row r="253">
      <c r="A253" s="6" t="s">
        <v>183</v>
      </c>
      <c r="B253" s="5">
        <v>5.0</v>
      </c>
      <c r="C253" s="1" t="s">
        <v>116</v>
      </c>
      <c r="D253" s="1" t="s">
        <v>147</v>
      </c>
      <c r="E253" s="1" t="s">
        <v>17</v>
      </c>
      <c r="F253" s="5">
        <v>0.0267</v>
      </c>
      <c r="G253" s="5">
        <v>8.962127</v>
      </c>
      <c r="H253" s="5">
        <v>0.0093</v>
      </c>
      <c r="I253" s="5">
        <v>5.0</v>
      </c>
    </row>
    <row r="254">
      <c r="A254" s="6" t="s">
        <v>183</v>
      </c>
      <c r="B254" s="5">
        <v>5.0</v>
      </c>
      <c r="C254" s="1" t="s">
        <v>116</v>
      </c>
      <c r="D254" s="1" t="s">
        <v>147</v>
      </c>
      <c r="E254" s="1" t="s">
        <v>21</v>
      </c>
      <c r="F254" s="5">
        <v>0.079</v>
      </c>
      <c r="G254" s="5">
        <v>38.584694</v>
      </c>
      <c r="H254" s="5">
        <v>0.0395</v>
      </c>
      <c r="I254" s="5">
        <v>48.0</v>
      </c>
    </row>
    <row r="255">
      <c r="A255" s="6" t="s">
        <v>183</v>
      </c>
      <c r="B255" s="5">
        <v>5.0</v>
      </c>
      <c r="C255" s="1" t="s">
        <v>116</v>
      </c>
      <c r="D255" s="1" t="s">
        <v>102</v>
      </c>
      <c r="E255" s="1" t="s">
        <v>39</v>
      </c>
      <c r="F255" s="5">
        <v>0.0357</v>
      </c>
      <c r="G255" s="5">
        <v>5.718368</v>
      </c>
      <c r="H255" s="5">
        <v>0.0068</v>
      </c>
      <c r="I255" s="5">
        <v>14.0</v>
      </c>
    </row>
    <row r="256">
      <c r="A256" s="6" t="s">
        <v>183</v>
      </c>
      <c r="B256" s="5">
        <v>5.0</v>
      </c>
      <c r="C256" s="1" t="s">
        <v>116</v>
      </c>
      <c r="D256" s="1" t="s">
        <v>102</v>
      </c>
      <c r="E256" s="1" t="s">
        <v>21</v>
      </c>
      <c r="F256" s="5">
        <v>1.3731</v>
      </c>
      <c r="G256" s="5">
        <v>365.607411</v>
      </c>
      <c r="H256" s="5">
        <v>0.5491</v>
      </c>
      <c r="I256" s="5">
        <v>202.0</v>
      </c>
    </row>
    <row r="257">
      <c r="A257" s="6" t="s">
        <v>183</v>
      </c>
      <c r="B257" s="5">
        <v>5.0</v>
      </c>
      <c r="C257" s="1" t="s">
        <v>116</v>
      </c>
      <c r="D257" s="1" t="s">
        <v>465</v>
      </c>
      <c r="E257" s="1" t="s">
        <v>21</v>
      </c>
      <c r="F257" s="5">
        <v>3.2629</v>
      </c>
      <c r="G257" s="5">
        <v>358.536068</v>
      </c>
      <c r="H257" s="5">
        <v>1.6315</v>
      </c>
      <c r="I257" s="5">
        <v>1966.0</v>
      </c>
    </row>
    <row r="258">
      <c r="A258" s="6" t="s">
        <v>183</v>
      </c>
      <c r="B258" s="5">
        <v>5.0</v>
      </c>
      <c r="C258" s="1" t="s">
        <v>116</v>
      </c>
      <c r="D258" s="1" t="s">
        <v>345</v>
      </c>
      <c r="E258" s="1" t="s">
        <v>72</v>
      </c>
      <c r="F258" s="5">
        <v>0.2498</v>
      </c>
      <c r="G258" s="5">
        <v>46.870565</v>
      </c>
      <c r="H258" s="5">
        <v>0.0825</v>
      </c>
      <c r="I258" s="5">
        <v>0.0</v>
      </c>
    </row>
    <row r="259">
      <c r="A259" s="6" t="s">
        <v>183</v>
      </c>
      <c r="B259" s="5">
        <v>5.0</v>
      </c>
      <c r="C259" s="1" t="s">
        <v>116</v>
      </c>
      <c r="D259" s="1" t="s">
        <v>345</v>
      </c>
      <c r="E259" s="1" t="s">
        <v>21</v>
      </c>
      <c r="F259" s="5">
        <v>0.4852</v>
      </c>
      <c r="G259" s="5">
        <v>215.208807</v>
      </c>
      <c r="H259" s="5">
        <v>0.2426</v>
      </c>
      <c r="I259" s="5">
        <v>0.0</v>
      </c>
    </row>
    <row r="260">
      <c r="A260" s="6" t="s">
        <v>183</v>
      </c>
      <c r="B260" s="5">
        <v>5.0</v>
      </c>
      <c r="C260" s="1" t="s">
        <v>116</v>
      </c>
      <c r="D260" s="1" t="s">
        <v>158</v>
      </c>
      <c r="E260" s="1" t="s">
        <v>17</v>
      </c>
      <c r="F260" s="5">
        <v>0.0654</v>
      </c>
      <c r="G260" s="5">
        <v>29.755378</v>
      </c>
      <c r="H260" s="5">
        <v>0.0229</v>
      </c>
      <c r="I260" s="5">
        <v>0.0</v>
      </c>
    </row>
    <row r="261">
      <c r="A261" s="6" t="s">
        <v>183</v>
      </c>
      <c r="B261" s="5">
        <v>5.0</v>
      </c>
      <c r="C261" s="1" t="s">
        <v>116</v>
      </c>
      <c r="D261" s="1" t="s">
        <v>158</v>
      </c>
      <c r="E261" s="1" t="s">
        <v>21</v>
      </c>
      <c r="F261" s="5">
        <v>0.313</v>
      </c>
      <c r="G261" s="5">
        <v>173.026412</v>
      </c>
      <c r="H261" s="5">
        <v>0.1314</v>
      </c>
      <c r="I261" s="5">
        <v>0.0</v>
      </c>
    </row>
    <row r="262">
      <c r="A262" s="6" t="s">
        <v>183</v>
      </c>
      <c r="B262" s="5">
        <v>6.0</v>
      </c>
      <c r="C262" s="1" t="s">
        <v>12</v>
      </c>
      <c r="D262" s="1" t="s">
        <v>13</v>
      </c>
      <c r="E262" s="1" t="s">
        <v>14</v>
      </c>
      <c r="F262" s="5">
        <v>17.4455</v>
      </c>
      <c r="G262" s="5">
        <v>1029.598821</v>
      </c>
      <c r="H262" s="5">
        <v>3.6635</v>
      </c>
      <c r="I262" s="5">
        <v>598.0</v>
      </c>
    </row>
    <row r="263">
      <c r="A263" s="6" t="s">
        <v>183</v>
      </c>
      <c r="B263" s="5">
        <v>6.0</v>
      </c>
      <c r="C263" s="1" t="s">
        <v>12</v>
      </c>
      <c r="D263" s="1" t="s">
        <v>13</v>
      </c>
      <c r="E263" s="1" t="s">
        <v>17</v>
      </c>
      <c r="F263" s="5">
        <v>45.0632</v>
      </c>
      <c r="G263" s="5">
        <v>4036.583675</v>
      </c>
      <c r="H263" s="5">
        <v>15.7722</v>
      </c>
      <c r="I263" s="5">
        <v>719.0</v>
      </c>
    </row>
    <row r="264">
      <c r="A264" s="6" t="s">
        <v>183</v>
      </c>
      <c r="B264" s="5">
        <v>6.0</v>
      </c>
      <c r="C264" s="1" t="s">
        <v>12</v>
      </c>
      <c r="D264" s="1" t="s">
        <v>13</v>
      </c>
      <c r="E264" s="1" t="s">
        <v>21</v>
      </c>
      <c r="F264" s="5">
        <v>50.0413</v>
      </c>
      <c r="G264" s="5">
        <v>5268.299434</v>
      </c>
      <c r="H264" s="5">
        <v>25.0206</v>
      </c>
      <c r="I264" s="5">
        <v>620.0</v>
      </c>
    </row>
    <row r="265">
      <c r="A265" s="6" t="s">
        <v>183</v>
      </c>
      <c r="B265" s="5">
        <v>6.0</v>
      </c>
      <c r="C265" s="1" t="s">
        <v>12</v>
      </c>
      <c r="D265" s="1" t="s">
        <v>13</v>
      </c>
      <c r="E265" s="1" t="s">
        <v>25</v>
      </c>
      <c r="F265" s="5">
        <v>2.063</v>
      </c>
      <c r="G265" s="5">
        <v>213.294153</v>
      </c>
      <c r="H265" s="5">
        <v>1.5473</v>
      </c>
      <c r="I265" s="5">
        <v>22.0</v>
      </c>
    </row>
    <row r="266">
      <c r="A266" s="6" t="s">
        <v>183</v>
      </c>
      <c r="B266" s="5">
        <v>6.0</v>
      </c>
      <c r="C266" s="1" t="s">
        <v>12</v>
      </c>
      <c r="D266" s="1" t="s">
        <v>29</v>
      </c>
      <c r="E266" s="1" t="s">
        <v>21</v>
      </c>
      <c r="F266" s="5">
        <v>13.2913</v>
      </c>
      <c r="G266" s="5">
        <v>2643.416951</v>
      </c>
      <c r="H266" s="5">
        <v>5.3166</v>
      </c>
      <c r="I266" s="5">
        <v>580.0</v>
      </c>
    </row>
    <row r="267">
      <c r="A267" s="6" t="s">
        <v>183</v>
      </c>
      <c r="B267" s="5">
        <v>6.0</v>
      </c>
      <c r="C267" s="1" t="s">
        <v>12</v>
      </c>
      <c r="D267" s="1" t="s">
        <v>32</v>
      </c>
      <c r="E267" s="1" t="s">
        <v>14</v>
      </c>
      <c r="F267" s="5">
        <v>10.7218</v>
      </c>
      <c r="G267" s="5">
        <v>622.228998</v>
      </c>
      <c r="H267" s="5">
        <v>2.4661</v>
      </c>
      <c r="I267" s="5">
        <v>490.0</v>
      </c>
    </row>
    <row r="268">
      <c r="A268" s="6" t="s">
        <v>183</v>
      </c>
      <c r="B268" s="5">
        <v>6.0</v>
      </c>
      <c r="C268" s="1" t="s">
        <v>12</v>
      </c>
      <c r="D268" s="1" t="s">
        <v>32</v>
      </c>
      <c r="E268" s="1" t="s">
        <v>21</v>
      </c>
      <c r="F268" s="5">
        <v>1.0215</v>
      </c>
      <c r="G268" s="5">
        <v>160.392984</v>
      </c>
      <c r="H268" s="5">
        <v>0.4597</v>
      </c>
      <c r="I268" s="5">
        <v>222.0</v>
      </c>
    </row>
    <row r="269">
      <c r="A269" s="6" t="s">
        <v>183</v>
      </c>
      <c r="B269" s="5">
        <v>6.0</v>
      </c>
      <c r="C269" s="1" t="s">
        <v>12</v>
      </c>
      <c r="D269" s="1" t="s">
        <v>42</v>
      </c>
      <c r="E269" s="1" t="s">
        <v>17</v>
      </c>
      <c r="F269" s="5">
        <v>2.7663</v>
      </c>
      <c r="G269" s="5">
        <v>391.482226</v>
      </c>
      <c r="H269" s="5">
        <v>1.0235</v>
      </c>
      <c r="I269" s="5">
        <v>150.0</v>
      </c>
    </row>
    <row r="270">
      <c r="A270" s="6" t="s">
        <v>183</v>
      </c>
      <c r="B270" s="5">
        <v>6.0</v>
      </c>
      <c r="C270" s="1" t="s">
        <v>12</v>
      </c>
      <c r="D270" s="1" t="s">
        <v>38</v>
      </c>
      <c r="E270" s="1" t="s">
        <v>39</v>
      </c>
      <c r="F270" s="5">
        <v>3.937</v>
      </c>
      <c r="G270" s="5">
        <v>360.477244</v>
      </c>
      <c r="H270" s="5">
        <v>0.7087</v>
      </c>
      <c r="I270" s="5">
        <v>98.0</v>
      </c>
    </row>
    <row r="271">
      <c r="A271" s="6" t="s">
        <v>183</v>
      </c>
      <c r="B271" s="5">
        <v>6.0</v>
      </c>
      <c r="C271" s="1" t="s">
        <v>12</v>
      </c>
      <c r="D271" s="1" t="s">
        <v>45</v>
      </c>
      <c r="E271" s="1" t="s">
        <v>17</v>
      </c>
      <c r="F271" s="5">
        <v>2.1413</v>
      </c>
      <c r="G271" s="5">
        <v>156.110209</v>
      </c>
      <c r="H271" s="5">
        <v>0.7709</v>
      </c>
      <c r="I271" s="5">
        <v>100.0</v>
      </c>
    </row>
    <row r="272">
      <c r="A272" s="6" t="s">
        <v>183</v>
      </c>
      <c r="B272" s="5">
        <v>6.0</v>
      </c>
      <c r="C272" s="1" t="s">
        <v>12</v>
      </c>
      <c r="D272" s="1" t="s">
        <v>56</v>
      </c>
      <c r="E272" s="1" t="s">
        <v>21</v>
      </c>
      <c r="F272" s="5">
        <v>0.5585</v>
      </c>
      <c r="G272" s="5">
        <v>117.64838</v>
      </c>
      <c r="H272" s="5">
        <v>0.2234</v>
      </c>
      <c r="I272" s="5">
        <v>164.0</v>
      </c>
    </row>
    <row r="273">
      <c r="A273" s="6" t="s">
        <v>183</v>
      </c>
      <c r="B273" s="5">
        <v>6.0</v>
      </c>
      <c r="C273" s="1" t="s">
        <v>12</v>
      </c>
      <c r="D273" s="1" t="s">
        <v>48</v>
      </c>
      <c r="E273" s="1" t="s">
        <v>49</v>
      </c>
      <c r="F273" s="5">
        <v>0.0048</v>
      </c>
      <c r="G273" s="5">
        <v>1.560646</v>
      </c>
      <c r="H273" s="5">
        <v>0.0014</v>
      </c>
      <c r="I273" s="5">
        <v>4.0</v>
      </c>
    </row>
    <row r="274">
      <c r="A274" s="6" t="s">
        <v>183</v>
      </c>
      <c r="B274" s="5">
        <v>6.0</v>
      </c>
      <c r="C274" s="1" t="s">
        <v>12</v>
      </c>
      <c r="D274" s="1" t="s">
        <v>48</v>
      </c>
      <c r="E274" s="1" t="s">
        <v>21</v>
      </c>
      <c r="F274" s="5">
        <v>0.7672</v>
      </c>
      <c r="G274" s="5">
        <v>92.905343</v>
      </c>
      <c r="H274" s="5">
        <v>0.3069</v>
      </c>
      <c r="I274" s="5">
        <v>117.0</v>
      </c>
    </row>
    <row r="275">
      <c r="A275" s="6" t="s">
        <v>183</v>
      </c>
      <c r="B275" s="5">
        <v>6.0</v>
      </c>
      <c r="C275" s="1" t="s">
        <v>12</v>
      </c>
      <c r="D275" s="1" t="s">
        <v>147</v>
      </c>
      <c r="E275" s="1" t="s">
        <v>39</v>
      </c>
      <c r="F275" s="5">
        <v>1.1305</v>
      </c>
      <c r="G275" s="5">
        <v>55.474507</v>
      </c>
      <c r="H275" s="5">
        <v>0.2148</v>
      </c>
      <c r="I275" s="5">
        <v>82.0</v>
      </c>
    </row>
    <row r="276">
      <c r="A276" s="6" t="s">
        <v>183</v>
      </c>
      <c r="B276" s="5">
        <v>6.0</v>
      </c>
      <c r="C276" s="1" t="s">
        <v>12</v>
      </c>
      <c r="D276" s="1" t="s">
        <v>147</v>
      </c>
      <c r="E276" s="1" t="s">
        <v>17</v>
      </c>
      <c r="F276" s="5">
        <v>0.0013</v>
      </c>
      <c r="G276" s="5">
        <v>0.425287</v>
      </c>
      <c r="H276" s="5">
        <v>5.0E-4</v>
      </c>
      <c r="I276" s="5">
        <v>1.0</v>
      </c>
    </row>
    <row r="277">
      <c r="A277" s="6" t="s">
        <v>183</v>
      </c>
      <c r="B277" s="5">
        <v>6.0</v>
      </c>
      <c r="C277" s="1" t="s">
        <v>12</v>
      </c>
      <c r="D277" s="1" t="s">
        <v>848</v>
      </c>
      <c r="E277" s="1" t="s">
        <v>21</v>
      </c>
      <c r="F277" s="5">
        <v>0.211</v>
      </c>
      <c r="G277" s="5">
        <v>44.131594</v>
      </c>
      <c r="H277" s="5">
        <v>0.0843</v>
      </c>
      <c r="I277" s="5">
        <v>0.0</v>
      </c>
    </row>
    <row r="278">
      <c r="A278" s="6" t="s">
        <v>183</v>
      </c>
      <c r="B278" s="5">
        <v>6.0</v>
      </c>
      <c r="C278" s="1" t="s">
        <v>68</v>
      </c>
      <c r="D278" s="1" t="s">
        <v>13</v>
      </c>
      <c r="E278" s="1" t="s">
        <v>14</v>
      </c>
      <c r="F278" s="5">
        <v>45.3431</v>
      </c>
      <c r="G278" s="5">
        <v>3056.350782</v>
      </c>
      <c r="H278" s="5">
        <v>9.522</v>
      </c>
      <c r="I278" s="5">
        <v>7767.0</v>
      </c>
    </row>
    <row r="279">
      <c r="A279" s="6" t="s">
        <v>183</v>
      </c>
      <c r="B279" s="5">
        <v>6.0</v>
      </c>
      <c r="C279" s="1" t="s">
        <v>68</v>
      </c>
      <c r="D279" s="1" t="s">
        <v>13</v>
      </c>
      <c r="E279" s="1" t="s">
        <v>72</v>
      </c>
      <c r="F279" s="5">
        <v>0.0013</v>
      </c>
      <c r="G279" s="5">
        <v>0.142293</v>
      </c>
      <c r="H279" s="5">
        <v>4.0E-4</v>
      </c>
      <c r="I279" s="5">
        <v>2.0</v>
      </c>
    </row>
    <row r="280">
      <c r="A280" s="6" t="s">
        <v>183</v>
      </c>
      <c r="B280" s="5">
        <v>6.0</v>
      </c>
      <c r="C280" s="1" t="s">
        <v>68</v>
      </c>
      <c r="D280" s="1" t="s">
        <v>13</v>
      </c>
      <c r="E280" s="1" t="s">
        <v>17</v>
      </c>
      <c r="F280" s="5">
        <v>76.6523</v>
      </c>
      <c r="G280" s="5">
        <v>6777.613965</v>
      </c>
      <c r="H280" s="5">
        <v>26.8282</v>
      </c>
      <c r="I280" s="5">
        <v>8911.0</v>
      </c>
    </row>
    <row r="281">
      <c r="A281" s="6" t="s">
        <v>183</v>
      </c>
      <c r="B281" s="5">
        <v>6.0</v>
      </c>
      <c r="C281" s="1" t="s">
        <v>68</v>
      </c>
      <c r="D281" s="1" t="s">
        <v>13</v>
      </c>
      <c r="E281" s="1" t="s">
        <v>21</v>
      </c>
      <c r="F281" s="5">
        <v>5.9658</v>
      </c>
      <c r="G281" s="5">
        <v>822.030462</v>
      </c>
      <c r="H281" s="5">
        <v>2.9829</v>
      </c>
      <c r="I281" s="5">
        <v>1480.0</v>
      </c>
    </row>
    <row r="282">
      <c r="A282" s="6" t="s">
        <v>183</v>
      </c>
      <c r="B282" s="5">
        <v>6.0</v>
      </c>
      <c r="C282" s="1" t="s">
        <v>68</v>
      </c>
      <c r="D282" s="1" t="s">
        <v>13</v>
      </c>
      <c r="E282" s="1" t="s">
        <v>25</v>
      </c>
      <c r="F282" s="5">
        <v>0.4157</v>
      </c>
      <c r="G282" s="5">
        <v>66.62911</v>
      </c>
      <c r="H282" s="5">
        <v>0.3118</v>
      </c>
      <c r="I282" s="5">
        <v>308.0</v>
      </c>
    </row>
    <row r="283">
      <c r="A283" s="6" t="s">
        <v>183</v>
      </c>
      <c r="B283" s="5">
        <v>6.0</v>
      </c>
      <c r="C283" s="1" t="s">
        <v>68</v>
      </c>
      <c r="D283" s="1" t="s">
        <v>29</v>
      </c>
      <c r="E283" s="1" t="s">
        <v>21</v>
      </c>
      <c r="F283" s="5">
        <v>5.8056</v>
      </c>
      <c r="G283" s="5">
        <v>1161.256081</v>
      </c>
      <c r="H283" s="5">
        <v>2.3222</v>
      </c>
      <c r="I283" s="5">
        <v>1295.0</v>
      </c>
    </row>
    <row r="284">
      <c r="A284" s="6" t="s">
        <v>183</v>
      </c>
      <c r="B284" s="5">
        <v>6.0</v>
      </c>
      <c r="C284" s="1" t="s">
        <v>68</v>
      </c>
      <c r="D284" s="1" t="s">
        <v>45</v>
      </c>
      <c r="E284" s="1" t="s">
        <v>17</v>
      </c>
      <c r="F284" s="5">
        <v>18.7903</v>
      </c>
      <c r="G284" s="5">
        <v>1016.720657</v>
      </c>
      <c r="H284" s="5">
        <v>6.7645</v>
      </c>
      <c r="I284" s="5">
        <v>2074.0</v>
      </c>
    </row>
    <row r="285">
      <c r="A285" s="6" t="s">
        <v>183</v>
      </c>
      <c r="B285" s="5">
        <v>6.0</v>
      </c>
      <c r="C285" s="1" t="s">
        <v>68</v>
      </c>
      <c r="D285" s="1" t="s">
        <v>32</v>
      </c>
      <c r="E285" s="1" t="s">
        <v>14</v>
      </c>
      <c r="F285" s="5">
        <v>3.3244</v>
      </c>
      <c r="G285" s="5">
        <v>262.774193</v>
      </c>
      <c r="H285" s="5">
        <v>0.7646</v>
      </c>
      <c r="I285" s="5">
        <v>1783.0</v>
      </c>
    </row>
    <row r="286">
      <c r="A286" s="6" t="s">
        <v>183</v>
      </c>
      <c r="B286" s="5">
        <v>6.0</v>
      </c>
      <c r="C286" s="1" t="s">
        <v>68</v>
      </c>
      <c r="D286" s="1" t="s">
        <v>32</v>
      </c>
      <c r="E286" s="1" t="s">
        <v>21</v>
      </c>
      <c r="F286" s="5">
        <v>0.5825</v>
      </c>
      <c r="G286" s="5">
        <v>119.821694</v>
      </c>
      <c r="H286" s="5">
        <v>0.2621</v>
      </c>
      <c r="I286" s="5">
        <v>235.0</v>
      </c>
    </row>
    <row r="287">
      <c r="A287" s="6" t="s">
        <v>183</v>
      </c>
      <c r="B287" s="5">
        <v>6.0</v>
      </c>
      <c r="C287" s="1" t="s">
        <v>68</v>
      </c>
      <c r="D287" s="1" t="s">
        <v>42</v>
      </c>
      <c r="E287" s="1" t="s">
        <v>17</v>
      </c>
      <c r="F287" s="5">
        <v>1.3844</v>
      </c>
      <c r="G287" s="5">
        <v>236.517256</v>
      </c>
      <c r="H287" s="5">
        <v>0.5123</v>
      </c>
      <c r="I287" s="5">
        <v>320.0</v>
      </c>
    </row>
    <row r="288">
      <c r="A288" s="6" t="s">
        <v>183</v>
      </c>
      <c r="B288" s="5">
        <v>6.0</v>
      </c>
      <c r="C288" s="1" t="s">
        <v>68</v>
      </c>
      <c r="D288" s="1" t="s">
        <v>38</v>
      </c>
      <c r="E288" s="1" t="s">
        <v>39</v>
      </c>
      <c r="F288" s="5">
        <v>1.34</v>
      </c>
      <c r="G288" s="5">
        <v>120.12206</v>
      </c>
      <c r="H288" s="5">
        <v>0.2412</v>
      </c>
      <c r="I288" s="5">
        <v>367.0</v>
      </c>
    </row>
    <row r="289">
      <c r="A289" s="6" t="s">
        <v>183</v>
      </c>
      <c r="B289" s="5">
        <v>6.0</v>
      </c>
      <c r="C289" s="1" t="s">
        <v>68</v>
      </c>
      <c r="D289" s="1" t="s">
        <v>465</v>
      </c>
      <c r="E289" s="1" t="s">
        <v>21</v>
      </c>
      <c r="F289" s="5">
        <v>0.8894</v>
      </c>
      <c r="G289" s="5">
        <v>92.652783</v>
      </c>
      <c r="H289" s="5">
        <v>0.4446</v>
      </c>
      <c r="I289" s="5">
        <v>608.0</v>
      </c>
    </row>
    <row r="290">
      <c r="A290" s="6" t="s">
        <v>183</v>
      </c>
      <c r="B290" s="5">
        <v>6.0</v>
      </c>
      <c r="C290" s="1" t="s">
        <v>68</v>
      </c>
      <c r="D290" s="1" t="s">
        <v>48</v>
      </c>
      <c r="E290" s="1" t="s">
        <v>49</v>
      </c>
      <c r="F290" s="5">
        <v>0.0027</v>
      </c>
      <c r="G290" s="5">
        <v>1.081717</v>
      </c>
      <c r="H290" s="5">
        <v>7.0E-4</v>
      </c>
      <c r="I290" s="5">
        <v>2.0</v>
      </c>
    </row>
    <row r="291">
      <c r="A291" s="6" t="s">
        <v>183</v>
      </c>
      <c r="B291" s="5">
        <v>6.0</v>
      </c>
      <c r="C291" s="1" t="s">
        <v>68</v>
      </c>
      <c r="D291" s="1" t="s">
        <v>48</v>
      </c>
      <c r="E291" s="1" t="s">
        <v>21</v>
      </c>
      <c r="F291" s="5">
        <v>0.5157</v>
      </c>
      <c r="G291" s="5">
        <v>56.30877</v>
      </c>
      <c r="H291" s="5">
        <v>0.2063</v>
      </c>
      <c r="I291" s="5">
        <v>338.0</v>
      </c>
    </row>
    <row r="292">
      <c r="A292" s="6" t="s">
        <v>183</v>
      </c>
      <c r="B292" s="5">
        <v>6.0</v>
      </c>
      <c r="C292" s="1" t="s">
        <v>68</v>
      </c>
      <c r="D292" s="1" t="s">
        <v>108</v>
      </c>
      <c r="E292" s="1" t="s">
        <v>49</v>
      </c>
      <c r="F292" s="5">
        <v>1.0837</v>
      </c>
      <c r="G292" s="5">
        <v>49.519426</v>
      </c>
      <c r="H292" s="5">
        <v>0.3034</v>
      </c>
      <c r="I292" s="5">
        <v>701.0</v>
      </c>
    </row>
    <row r="293">
      <c r="A293" s="6" t="s">
        <v>183</v>
      </c>
      <c r="B293" s="5">
        <v>6.0</v>
      </c>
      <c r="C293" s="1" t="s">
        <v>68</v>
      </c>
      <c r="D293" s="1" t="s">
        <v>112</v>
      </c>
      <c r="E293" s="1" t="s">
        <v>21</v>
      </c>
      <c r="F293" s="5">
        <v>0.5387</v>
      </c>
      <c r="G293" s="5">
        <v>47.024197</v>
      </c>
      <c r="H293" s="5">
        <v>0.2693</v>
      </c>
      <c r="I293" s="5">
        <v>121.0</v>
      </c>
    </row>
    <row r="294">
      <c r="A294" s="6" t="s">
        <v>183</v>
      </c>
      <c r="B294" s="5">
        <v>6.0</v>
      </c>
      <c r="C294" s="1" t="s">
        <v>116</v>
      </c>
      <c r="D294" s="1" t="s">
        <v>13</v>
      </c>
      <c r="E294" s="1" t="s">
        <v>14</v>
      </c>
      <c r="F294" s="5">
        <v>75.9334</v>
      </c>
      <c r="G294" s="5">
        <v>4901.720639</v>
      </c>
      <c r="H294" s="5">
        <v>15.946</v>
      </c>
      <c r="I294" s="5">
        <v>10036.0</v>
      </c>
    </row>
    <row r="295">
      <c r="A295" s="6" t="s">
        <v>183</v>
      </c>
      <c r="B295" s="5">
        <v>6.0</v>
      </c>
      <c r="C295" s="1" t="s">
        <v>116</v>
      </c>
      <c r="D295" s="1" t="s">
        <v>13</v>
      </c>
      <c r="E295" s="1" t="s">
        <v>17</v>
      </c>
      <c r="F295" s="5">
        <v>96.8199</v>
      </c>
      <c r="G295" s="5">
        <v>7862.024497</v>
      </c>
      <c r="H295" s="5">
        <v>33.887</v>
      </c>
      <c r="I295" s="5">
        <v>8203.0</v>
      </c>
    </row>
    <row r="296">
      <c r="A296" s="6" t="s">
        <v>183</v>
      </c>
      <c r="B296" s="5">
        <v>6.0</v>
      </c>
      <c r="C296" s="1" t="s">
        <v>116</v>
      </c>
      <c r="D296" s="1" t="s">
        <v>13</v>
      </c>
      <c r="E296" s="1" t="s">
        <v>21</v>
      </c>
      <c r="F296" s="5">
        <v>14.8417</v>
      </c>
      <c r="G296" s="5">
        <v>1864.033093</v>
      </c>
      <c r="H296" s="5">
        <v>7.4208</v>
      </c>
      <c r="I296" s="5">
        <v>1810.0</v>
      </c>
    </row>
    <row r="297">
      <c r="A297" s="6" t="s">
        <v>183</v>
      </c>
      <c r="B297" s="5">
        <v>6.0</v>
      </c>
      <c r="C297" s="1" t="s">
        <v>116</v>
      </c>
      <c r="D297" s="1" t="s">
        <v>13</v>
      </c>
      <c r="E297" s="1" t="s">
        <v>25</v>
      </c>
      <c r="F297" s="5">
        <v>0.1094</v>
      </c>
      <c r="G297" s="5">
        <v>15.912793</v>
      </c>
      <c r="H297" s="5">
        <v>0.082</v>
      </c>
      <c r="I297" s="5">
        <v>71.0</v>
      </c>
    </row>
    <row r="298">
      <c r="A298" s="6" t="s">
        <v>183</v>
      </c>
      <c r="B298" s="5">
        <v>6.0</v>
      </c>
      <c r="C298" s="1" t="s">
        <v>116</v>
      </c>
      <c r="D298" s="1" t="s">
        <v>29</v>
      </c>
      <c r="E298" s="1" t="s">
        <v>21</v>
      </c>
      <c r="F298" s="5">
        <v>20.4412</v>
      </c>
      <c r="G298" s="5">
        <v>4241.478373</v>
      </c>
      <c r="H298" s="5">
        <v>8.1765</v>
      </c>
      <c r="I298" s="5">
        <v>2246.0</v>
      </c>
    </row>
    <row r="299">
      <c r="A299" s="6" t="s">
        <v>183</v>
      </c>
      <c r="B299" s="5">
        <v>6.0</v>
      </c>
      <c r="C299" s="1" t="s">
        <v>116</v>
      </c>
      <c r="D299" s="1" t="s">
        <v>45</v>
      </c>
      <c r="E299" s="1" t="s">
        <v>17</v>
      </c>
      <c r="F299" s="5">
        <v>31.2794</v>
      </c>
      <c r="G299" s="5">
        <v>1824.296596</v>
      </c>
      <c r="H299" s="5">
        <v>11.2606</v>
      </c>
      <c r="I299" s="5">
        <v>2090.0</v>
      </c>
    </row>
    <row r="300">
      <c r="A300" s="6" t="s">
        <v>183</v>
      </c>
      <c r="B300" s="5">
        <v>6.0</v>
      </c>
      <c r="C300" s="1" t="s">
        <v>116</v>
      </c>
      <c r="D300" s="1" t="s">
        <v>42</v>
      </c>
      <c r="E300" s="1" t="s">
        <v>17</v>
      </c>
      <c r="F300" s="5">
        <v>8.0562</v>
      </c>
      <c r="G300" s="5">
        <v>1209.394551</v>
      </c>
      <c r="H300" s="5">
        <v>2.9808</v>
      </c>
      <c r="I300" s="5">
        <v>630.0</v>
      </c>
    </row>
    <row r="301">
      <c r="A301" s="6" t="s">
        <v>183</v>
      </c>
      <c r="B301" s="5">
        <v>6.0</v>
      </c>
      <c r="C301" s="1" t="s">
        <v>116</v>
      </c>
      <c r="D301" s="1" t="s">
        <v>32</v>
      </c>
      <c r="E301" s="1" t="s">
        <v>14</v>
      </c>
      <c r="F301" s="5">
        <v>4.3128</v>
      </c>
      <c r="G301" s="5">
        <v>302.101449</v>
      </c>
      <c r="H301" s="5">
        <v>0.9919</v>
      </c>
      <c r="I301" s="5">
        <v>1587.0</v>
      </c>
    </row>
    <row r="302">
      <c r="A302" s="6" t="s">
        <v>183</v>
      </c>
      <c r="B302" s="5">
        <v>6.0</v>
      </c>
      <c r="C302" s="1" t="s">
        <v>116</v>
      </c>
      <c r="D302" s="1" t="s">
        <v>32</v>
      </c>
      <c r="E302" s="1" t="s">
        <v>21</v>
      </c>
      <c r="F302" s="5">
        <v>3.1105</v>
      </c>
      <c r="G302" s="5">
        <v>565.056658</v>
      </c>
      <c r="H302" s="5">
        <v>1.3997</v>
      </c>
      <c r="I302" s="5">
        <v>1088.0</v>
      </c>
    </row>
    <row r="303">
      <c r="A303" s="6" t="s">
        <v>183</v>
      </c>
      <c r="B303" s="5">
        <v>6.0</v>
      </c>
      <c r="C303" s="1" t="s">
        <v>116</v>
      </c>
      <c r="D303" s="1" t="s">
        <v>147</v>
      </c>
      <c r="E303" s="1" t="s">
        <v>39</v>
      </c>
      <c r="F303" s="5">
        <v>1.7589</v>
      </c>
      <c r="G303" s="5">
        <v>476.183387</v>
      </c>
      <c r="H303" s="5">
        <v>0.3342</v>
      </c>
      <c r="I303" s="5">
        <v>97.0</v>
      </c>
    </row>
    <row r="304">
      <c r="A304" s="6" t="s">
        <v>183</v>
      </c>
      <c r="B304" s="5">
        <v>6.0</v>
      </c>
      <c r="C304" s="1" t="s">
        <v>116</v>
      </c>
      <c r="D304" s="1" t="s">
        <v>147</v>
      </c>
      <c r="E304" s="1" t="s">
        <v>17</v>
      </c>
      <c r="F304" s="5">
        <v>0.0245</v>
      </c>
      <c r="G304" s="5">
        <v>7.848517</v>
      </c>
      <c r="H304" s="5">
        <v>0.0087</v>
      </c>
      <c r="I304" s="5">
        <v>6.0</v>
      </c>
    </row>
    <row r="305">
      <c r="A305" s="6" t="s">
        <v>183</v>
      </c>
      <c r="B305" s="5">
        <v>6.0</v>
      </c>
      <c r="C305" s="1" t="s">
        <v>116</v>
      </c>
      <c r="D305" s="1" t="s">
        <v>147</v>
      </c>
      <c r="E305" s="1" t="s">
        <v>21</v>
      </c>
      <c r="F305" s="5">
        <v>0.0558</v>
      </c>
      <c r="G305" s="5">
        <v>27.373598</v>
      </c>
      <c r="H305" s="5">
        <v>0.0279</v>
      </c>
      <c r="I305" s="5">
        <v>43.0</v>
      </c>
    </row>
    <row r="306">
      <c r="A306" s="6" t="s">
        <v>183</v>
      </c>
      <c r="B306" s="5">
        <v>6.0</v>
      </c>
      <c r="C306" s="1" t="s">
        <v>116</v>
      </c>
      <c r="D306" s="1" t="s">
        <v>102</v>
      </c>
      <c r="E306" s="1" t="s">
        <v>39</v>
      </c>
      <c r="F306" s="5">
        <v>0.0135</v>
      </c>
      <c r="G306" s="5">
        <v>3.280559</v>
      </c>
      <c r="H306" s="5">
        <v>0.0026</v>
      </c>
      <c r="I306" s="5">
        <v>7.0</v>
      </c>
    </row>
    <row r="307">
      <c r="A307" s="6" t="s">
        <v>183</v>
      </c>
      <c r="B307" s="5">
        <v>6.0</v>
      </c>
      <c r="C307" s="1" t="s">
        <v>116</v>
      </c>
      <c r="D307" s="1" t="s">
        <v>102</v>
      </c>
      <c r="E307" s="1" t="s">
        <v>21</v>
      </c>
      <c r="F307" s="5">
        <v>1.3282</v>
      </c>
      <c r="G307" s="5">
        <v>371.495588</v>
      </c>
      <c r="H307" s="5">
        <v>0.5313</v>
      </c>
      <c r="I307" s="5">
        <v>220.0</v>
      </c>
    </row>
    <row r="308">
      <c r="A308" s="6" t="s">
        <v>183</v>
      </c>
      <c r="B308" s="5">
        <v>6.0</v>
      </c>
      <c r="C308" s="1" t="s">
        <v>116</v>
      </c>
      <c r="D308" s="1" t="s">
        <v>465</v>
      </c>
      <c r="E308" s="1" t="s">
        <v>21</v>
      </c>
      <c r="F308" s="5">
        <v>2.1193</v>
      </c>
      <c r="G308" s="5">
        <v>223.758046</v>
      </c>
      <c r="H308" s="5">
        <v>1.0596</v>
      </c>
      <c r="I308" s="5">
        <v>1456.0</v>
      </c>
    </row>
    <row r="309">
      <c r="A309" s="6" t="s">
        <v>183</v>
      </c>
      <c r="B309" s="5">
        <v>6.0</v>
      </c>
      <c r="C309" s="1" t="s">
        <v>116</v>
      </c>
      <c r="D309" s="1" t="s">
        <v>165</v>
      </c>
      <c r="E309" s="1" t="s">
        <v>39</v>
      </c>
      <c r="F309" s="5">
        <v>0.3927</v>
      </c>
      <c r="G309" s="5">
        <v>60.613095</v>
      </c>
      <c r="H309" s="5">
        <v>0.0707</v>
      </c>
      <c r="I309" s="5">
        <v>0.0</v>
      </c>
    </row>
    <row r="310">
      <c r="A310" s="6" t="s">
        <v>183</v>
      </c>
      <c r="B310" s="5">
        <v>6.0</v>
      </c>
      <c r="C310" s="1" t="s">
        <v>116</v>
      </c>
      <c r="D310" s="1" t="s">
        <v>165</v>
      </c>
      <c r="E310" s="1" t="s">
        <v>17</v>
      </c>
      <c r="F310" s="5">
        <v>0.5521</v>
      </c>
      <c r="G310" s="5">
        <v>120.995908</v>
      </c>
      <c r="H310" s="5">
        <v>0.1933</v>
      </c>
      <c r="I310" s="5">
        <v>0.0</v>
      </c>
    </row>
    <row r="311">
      <c r="A311" s="6" t="s">
        <v>183</v>
      </c>
      <c r="B311" s="5">
        <v>6.0</v>
      </c>
      <c r="C311" s="1" t="s">
        <v>116</v>
      </c>
      <c r="D311" s="1" t="s">
        <v>345</v>
      </c>
      <c r="E311" s="1" t="s">
        <v>72</v>
      </c>
      <c r="F311" s="5">
        <v>0.1282</v>
      </c>
      <c r="G311" s="5">
        <v>24.489549</v>
      </c>
      <c r="H311" s="5">
        <v>0.0423</v>
      </c>
      <c r="I311" s="5">
        <v>0.0</v>
      </c>
    </row>
    <row r="312">
      <c r="A312" s="6" t="s">
        <v>183</v>
      </c>
      <c r="B312" s="5">
        <v>6.0</v>
      </c>
      <c r="C312" s="1" t="s">
        <v>116</v>
      </c>
      <c r="D312" s="1" t="s">
        <v>345</v>
      </c>
      <c r="E312" s="1" t="s">
        <v>21</v>
      </c>
      <c r="F312" s="5">
        <v>0.3336</v>
      </c>
      <c r="G312" s="5">
        <v>149.109018</v>
      </c>
      <c r="H312" s="5">
        <v>0.1667</v>
      </c>
      <c r="I312" s="5">
        <v>0.0</v>
      </c>
    </row>
    <row r="313">
      <c r="A313" s="6" t="s">
        <v>183</v>
      </c>
      <c r="B313" s="5">
        <v>7.0</v>
      </c>
      <c r="C313" s="1" t="s">
        <v>12</v>
      </c>
      <c r="D313" s="1" t="s">
        <v>13</v>
      </c>
      <c r="E313" s="1" t="s">
        <v>14</v>
      </c>
      <c r="F313" s="5">
        <v>15.1169</v>
      </c>
      <c r="G313" s="5">
        <v>870.325083</v>
      </c>
      <c r="H313" s="5">
        <v>3.1746</v>
      </c>
      <c r="I313" s="5">
        <v>608.0</v>
      </c>
    </row>
    <row r="314">
      <c r="A314" s="6" t="s">
        <v>183</v>
      </c>
      <c r="B314" s="5">
        <v>7.0</v>
      </c>
      <c r="C314" s="1" t="s">
        <v>12</v>
      </c>
      <c r="D314" s="1" t="s">
        <v>13</v>
      </c>
      <c r="E314" s="1" t="s">
        <v>17</v>
      </c>
      <c r="F314" s="5">
        <v>87.8911</v>
      </c>
      <c r="G314" s="5">
        <v>7403.354863</v>
      </c>
      <c r="H314" s="5">
        <v>30.7618</v>
      </c>
      <c r="I314" s="5">
        <v>714.0</v>
      </c>
    </row>
    <row r="315">
      <c r="A315" s="6" t="s">
        <v>183</v>
      </c>
      <c r="B315" s="5">
        <v>7.0</v>
      </c>
      <c r="C315" s="1" t="s">
        <v>12</v>
      </c>
      <c r="D315" s="1" t="s">
        <v>13</v>
      </c>
      <c r="E315" s="1" t="s">
        <v>21</v>
      </c>
      <c r="F315" s="5">
        <v>21.0883</v>
      </c>
      <c r="G315" s="5">
        <v>2552.483087</v>
      </c>
      <c r="H315" s="5">
        <v>10.5441</v>
      </c>
      <c r="I315" s="5">
        <v>578.0</v>
      </c>
    </row>
    <row r="316">
      <c r="A316" s="6" t="s">
        <v>183</v>
      </c>
      <c r="B316" s="5">
        <v>7.0</v>
      </c>
      <c r="C316" s="1" t="s">
        <v>12</v>
      </c>
      <c r="D316" s="1" t="s">
        <v>13</v>
      </c>
      <c r="E316" s="1" t="s">
        <v>25</v>
      </c>
      <c r="F316" s="5">
        <v>0.0356</v>
      </c>
      <c r="G316" s="5">
        <v>6.283229</v>
      </c>
      <c r="H316" s="5">
        <v>0.0267</v>
      </c>
      <c r="I316" s="5">
        <v>10.0</v>
      </c>
    </row>
    <row r="317">
      <c r="A317" s="6" t="s">
        <v>183</v>
      </c>
      <c r="B317" s="5">
        <v>7.0</v>
      </c>
      <c r="C317" s="1" t="s">
        <v>12</v>
      </c>
      <c r="D317" s="1" t="s">
        <v>29</v>
      </c>
      <c r="E317" s="1" t="s">
        <v>21</v>
      </c>
      <c r="F317" s="5">
        <v>14.4919</v>
      </c>
      <c r="G317" s="5">
        <v>2822.831024</v>
      </c>
      <c r="H317" s="5">
        <v>5.7967</v>
      </c>
      <c r="I317" s="5">
        <v>575.0</v>
      </c>
    </row>
    <row r="318">
      <c r="A318" s="6" t="s">
        <v>183</v>
      </c>
      <c r="B318" s="5">
        <v>7.0</v>
      </c>
      <c r="C318" s="1" t="s">
        <v>12</v>
      </c>
      <c r="D318" s="1" t="s">
        <v>32</v>
      </c>
      <c r="E318" s="1" t="s">
        <v>14</v>
      </c>
      <c r="F318" s="5">
        <v>7.9988</v>
      </c>
      <c r="G318" s="5">
        <v>472.153171</v>
      </c>
      <c r="H318" s="5">
        <v>1.8397</v>
      </c>
      <c r="I318" s="5">
        <v>475.0</v>
      </c>
    </row>
    <row r="319">
      <c r="A319" s="6" t="s">
        <v>183</v>
      </c>
      <c r="B319" s="5">
        <v>7.0</v>
      </c>
      <c r="C319" s="1" t="s">
        <v>12</v>
      </c>
      <c r="D319" s="1" t="s">
        <v>32</v>
      </c>
      <c r="E319" s="1" t="s">
        <v>21</v>
      </c>
      <c r="F319" s="5">
        <v>0.7098</v>
      </c>
      <c r="G319" s="5">
        <v>116.373314</v>
      </c>
      <c r="H319" s="5">
        <v>0.3194</v>
      </c>
      <c r="I319" s="5">
        <v>166.0</v>
      </c>
    </row>
    <row r="320">
      <c r="A320" s="6" t="s">
        <v>183</v>
      </c>
      <c r="B320" s="5">
        <v>7.0</v>
      </c>
      <c r="C320" s="1" t="s">
        <v>12</v>
      </c>
      <c r="D320" s="1" t="s">
        <v>42</v>
      </c>
      <c r="E320" s="1" t="s">
        <v>17</v>
      </c>
      <c r="F320" s="5">
        <v>2.7746</v>
      </c>
      <c r="G320" s="5">
        <v>382.445638</v>
      </c>
      <c r="H320" s="5">
        <v>1.0267</v>
      </c>
      <c r="I320" s="5">
        <v>151.0</v>
      </c>
    </row>
    <row r="321">
      <c r="A321" s="6" t="s">
        <v>183</v>
      </c>
      <c r="B321" s="5">
        <v>7.0</v>
      </c>
      <c r="C321" s="1" t="s">
        <v>12</v>
      </c>
      <c r="D321" s="1" t="s">
        <v>38</v>
      </c>
      <c r="E321" s="1" t="s">
        <v>39</v>
      </c>
      <c r="F321" s="5">
        <v>3.0071</v>
      </c>
      <c r="G321" s="5">
        <v>290.430785</v>
      </c>
      <c r="H321" s="5">
        <v>0.5413</v>
      </c>
      <c r="I321" s="5">
        <v>97.0</v>
      </c>
    </row>
    <row r="322">
      <c r="A322" s="6" t="s">
        <v>183</v>
      </c>
      <c r="B322" s="5">
        <v>7.0</v>
      </c>
      <c r="C322" s="1" t="s">
        <v>12</v>
      </c>
      <c r="D322" s="1" t="s">
        <v>45</v>
      </c>
      <c r="E322" s="1" t="s">
        <v>17</v>
      </c>
      <c r="F322" s="5">
        <v>3.0332</v>
      </c>
      <c r="G322" s="5">
        <v>201.709554</v>
      </c>
      <c r="H322" s="5">
        <v>1.0919</v>
      </c>
      <c r="I322" s="5">
        <v>172.0</v>
      </c>
    </row>
    <row r="323">
      <c r="A323" s="6" t="s">
        <v>183</v>
      </c>
      <c r="B323" s="5">
        <v>7.0</v>
      </c>
      <c r="C323" s="1" t="s">
        <v>12</v>
      </c>
      <c r="D323" s="1" t="s">
        <v>56</v>
      </c>
      <c r="E323" s="1" t="s">
        <v>21</v>
      </c>
      <c r="F323" s="5">
        <v>0.5598</v>
      </c>
      <c r="G323" s="5">
        <v>112.794113</v>
      </c>
      <c r="H323" s="5">
        <v>0.2239</v>
      </c>
      <c r="I323" s="5">
        <v>183.0</v>
      </c>
    </row>
    <row r="324">
      <c r="A324" s="6" t="s">
        <v>183</v>
      </c>
      <c r="B324" s="5">
        <v>7.0</v>
      </c>
      <c r="C324" s="1" t="s">
        <v>12</v>
      </c>
      <c r="D324" s="1" t="s">
        <v>48</v>
      </c>
      <c r="E324" s="1" t="s">
        <v>49</v>
      </c>
      <c r="F324" s="5">
        <v>0.0062</v>
      </c>
      <c r="G324" s="5">
        <v>1.986265</v>
      </c>
      <c r="H324" s="5">
        <v>0.0017</v>
      </c>
      <c r="I324" s="5">
        <v>3.0</v>
      </c>
    </row>
    <row r="325">
      <c r="A325" s="6" t="s">
        <v>183</v>
      </c>
      <c r="B325" s="5">
        <v>7.0</v>
      </c>
      <c r="C325" s="1" t="s">
        <v>12</v>
      </c>
      <c r="D325" s="1" t="s">
        <v>48</v>
      </c>
      <c r="E325" s="1" t="s">
        <v>21</v>
      </c>
      <c r="F325" s="5">
        <v>0.7859</v>
      </c>
      <c r="G325" s="5">
        <v>93.897746</v>
      </c>
      <c r="H325" s="5">
        <v>0.3144</v>
      </c>
      <c r="I325" s="5">
        <v>117.0</v>
      </c>
    </row>
    <row r="326">
      <c r="A326" s="6" t="s">
        <v>183</v>
      </c>
      <c r="B326" s="5">
        <v>7.0</v>
      </c>
      <c r="C326" s="1" t="s">
        <v>12</v>
      </c>
      <c r="D326" s="1" t="s">
        <v>848</v>
      </c>
      <c r="E326" s="1" t="s">
        <v>21</v>
      </c>
      <c r="F326" s="5">
        <v>0.2265</v>
      </c>
      <c r="G326" s="5">
        <v>47.412949</v>
      </c>
      <c r="H326" s="5">
        <v>0.0906</v>
      </c>
      <c r="I326" s="5">
        <v>57.0</v>
      </c>
    </row>
    <row r="327">
      <c r="A327" s="6" t="s">
        <v>183</v>
      </c>
      <c r="B327" s="5">
        <v>7.0</v>
      </c>
      <c r="C327" s="1" t="s">
        <v>12</v>
      </c>
      <c r="D327" s="1" t="s">
        <v>60</v>
      </c>
      <c r="E327" s="1" t="s">
        <v>39</v>
      </c>
      <c r="F327" s="5">
        <v>0.2089</v>
      </c>
      <c r="G327" s="5">
        <v>35.509419</v>
      </c>
      <c r="H327" s="5">
        <v>0.0397</v>
      </c>
      <c r="I327" s="5">
        <v>0.0</v>
      </c>
    </row>
    <row r="328">
      <c r="A328" s="6" t="s">
        <v>183</v>
      </c>
      <c r="B328" s="5">
        <v>7.0</v>
      </c>
      <c r="C328" s="1" t="s">
        <v>12</v>
      </c>
      <c r="D328" s="1" t="s">
        <v>60</v>
      </c>
      <c r="E328" s="1" t="s">
        <v>17</v>
      </c>
      <c r="F328" s="5">
        <v>0.0011</v>
      </c>
      <c r="G328" s="5">
        <v>0.149852</v>
      </c>
      <c r="H328" s="5">
        <v>4.0E-4</v>
      </c>
      <c r="I328" s="5">
        <v>0.0</v>
      </c>
    </row>
    <row r="329">
      <c r="A329" s="6" t="s">
        <v>183</v>
      </c>
      <c r="B329" s="5">
        <v>7.0</v>
      </c>
      <c r="C329" s="1" t="s">
        <v>68</v>
      </c>
      <c r="D329" s="1" t="s">
        <v>13</v>
      </c>
      <c r="E329" s="1" t="s">
        <v>14</v>
      </c>
      <c r="F329" s="5">
        <v>50.7063</v>
      </c>
      <c r="G329" s="5">
        <v>3398.473048</v>
      </c>
      <c r="H329" s="5">
        <v>10.6483</v>
      </c>
      <c r="I329" s="5">
        <v>8349.0</v>
      </c>
    </row>
    <row r="330">
      <c r="A330" s="6" t="s">
        <v>183</v>
      </c>
      <c r="B330" s="5">
        <v>7.0</v>
      </c>
      <c r="C330" s="1" t="s">
        <v>68</v>
      </c>
      <c r="D330" s="1" t="s">
        <v>13</v>
      </c>
      <c r="E330" s="1" t="s">
        <v>72</v>
      </c>
      <c r="F330" s="5">
        <v>1.0E-4</v>
      </c>
      <c r="G330" s="5">
        <v>0.010941</v>
      </c>
      <c r="H330" s="5">
        <v>0.0</v>
      </c>
      <c r="I330" s="5">
        <v>0.0</v>
      </c>
    </row>
    <row r="331">
      <c r="A331" s="6" t="s">
        <v>183</v>
      </c>
      <c r="B331" s="5">
        <v>7.0</v>
      </c>
      <c r="C331" s="1" t="s">
        <v>68</v>
      </c>
      <c r="D331" s="1" t="s">
        <v>13</v>
      </c>
      <c r="E331" s="1" t="s">
        <v>17</v>
      </c>
      <c r="F331" s="5">
        <v>63.5335</v>
      </c>
      <c r="G331" s="5">
        <v>5999.003434</v>
      </c>
      <c r="H331" s="5">
        <v>22.2367</v>
      </c>
      <c r="I331" s="5">
        <v>8630.0</v>
      </c>
    </row>
    <row r="332">
      <c r="A332" s="6" t="s">
        <v>183</v>
      </c>
      <c r="B332" s="5">
        <v>7.0</v>
      </c>
      <c r="C332" s="1" t="s">
        <v>68</v>
      </c>
      <c r="D332" s="1" t="s">
        <v>13</v>
      </c>
      <c r="E332" s="1" t="s">
        <v>21</v>
      </c>
      <c r="F332" s="5">
        <v>6.463</v>
      </c>
      <c r="G332" s="5">
        <v>909.795361</v>
      </c>
      <c r="H332" s="5">
        <v>3.2316</v>
      </c>
      <c r="I332" s="5">
        <v>1457.0</v>
      </c>
    </row>
    <row r="333">
      <c r="A333" s="6" t="s">
        <v>183</v>
      </c>
      <c r="B333" s="5">
        <v>7.0</v>
      </c>
      <c r="C333" s="1" t="s">
        <v>68</v>
      </c>
      <c r="D333" s="1" t="s">
        <v>13</v>
      </c>
      <c r="E333" s="1" t="s">
        <v>25</v>
      </c>
      <c r="F333" s="5">
        <v>0.4626</v>
      </c>
      <c r="G333" s="5">
        <v>79.825211</v>
      </c>
      <c r="H333" s="5">
        <v>0.347</v>
      </c>
      <c r="I333" s="5">
        <v>307.0</v>
      </c>
    </row>
    <row r="334">
      <c r="A334" s="6" t="s">
        <v>183</v>
      </c>
      <c r="B334" s="5">
        <v>7.0</v>
      </c>
      <c r="C334" s="1" t="s">
        <v>68</v>
      </c>
      <c r="D334" s="1" t="s">
        <v>29</v>
      </c>
      <c r="E334" s="1" t="s">
        <v>21</v>
      </c>
      <c r="F334" s="5">
        <v>7.2124</v>
      </c>
      <c r="G334" s="5">
        <v>1518.623836</v>
      </c>
      <c r="H334" s="5">
        <v>2.8849</v>
      </c>
      <c r="I334" s="5">
        <v>1343.0</v>
      </c>
    </row>
    <row r="335">
      <c r="A335" s="6" t="s">
        <v>183</v>
      </c>
      <c r="B335" s="5">
        <v>7.0</v>
      </c>
      <c r="C335" s="1" t="s">
        <v>68</v>
      </c>
      <c r="D335" s="1" t="s">
        <v>45</v>
      </c>
      <c r="E335" s="1" t="s">
        <v>17</v>
      </c>
      <c r="F335" s="5">
        <v>8.89</v>
      </c>
      <c r="G335" s="5">
        <v>612.199476</v>
      </c>
      <c r="H335" s="5">
        <v>3.2004</v>
      </c>
      <c r="I335" s="5">
        <v>1973.0</v>
      </c>
    </row>
    <row r="336">
      <c r="A336" s="6" t="s">
        <v>183</v>
      </c>
      <c r="B336" s="5">
        <v>7.0</v>
      </c>
      <c r="C336" s="1" t="s">
        <v>68</v>
      </c>
      <c r="D336" s="1" t="s">
        <v>32</v>
      </c>
      <c r="E336" s="1" t="s">
        <v>14</v>
      </c>
      <c r="F336" s="5">
        <v>2.8537</v>
      </c>
      <c r="G336" s="5">
        <v>235.936746</v>
      </c>
      <c r="H336" s="5">
        <v>0.6564</v>
      </c>
      <c r="I336" s="5">
        <v>1216.0</v>
      </c>
    </row>
    <row r="337">
      <c r="A337" s="6" t="s">
        <v>183</v>
      </c>
      <c r="B337" s="5">
        <v>7.0</v>
      </c>
      <c r="C337" s="1" t="s">
        <v>68</v>
      </c>
      <c r="D337" s="1" t="s">
        <v>32</v>
      </c>
      <c r="E337" s="1" t="s">
        <v>21</v>
      </c>
      <c r="F337" s="5">
        <v>1.1924</v>
      </c>
      <c r="G337" s="5">
        <v>193.56644</v>
      </c>
      <c r="H337" s="5">
        <v>0.5366</v>
      </c>
      <c r="I337" s="5">
        <v>292.0</v>
      </c>
    </row>
    <row r="338">
      <c r="A338" s="6" t="s">
        <v>183</v>
      </c>
      <c r="B338" s="5">
        <v>7.0</v>
      </c>
      <c r="C338" s="1" t="s">
        <v>68</v>
      </c>
      <c r="D338" s="1" t="s">
        <v>42</v>
      </c>
      <c r="E338" s="1" t="s">
        <v>17</v>
      </c>
      <c r="F338" s="5">
        <v>0.7997</v>
      </c>
      <c r="G338" s="5">
        <v>132.964286</v>
      </c>
      <c r="H338" s="5">
        <v>0.2959</v>
      </c>
      <c r="I338" s="5">
        <v>484.0</v>
      </c>
    </row>
    <row r="339">
      <c r="A339" s="6" t="s">
        <v>183</v>
      </c>
      <c r="B339" s="5">
        <v>7.0</v>
      </c>
      <c r="C339" s="1" t="s">
        <v>68</v>
      </c>
      <c r="D339" s="1" t="s">
        <v>38</v>
      </c>
      <c r="E339" s="1" t="s">
        <v>39</v>
      </c>
      <c r="F339" s="5">
        <v>1.3448</v>
      </c>
      <c r="G339" s="5">
        <v>119.129525</v>
      </c>
      <c r="H339" s="5">
        <v>0.242</v>
      </c>
      <c r="I339" s="5">
        <v>394.0</v>
      </c>
    </row>
    <row r="340">
      <c r="A340" s="6" t="s">
        <v>183</v>
      </c>
      <c r="B340" s="5">
        <v>7.0</v>
      </c>
      <c r="C340" s="1" t="s">
        <v>68</v>
      </c>
      <c r="D340" s="1" t="s">
        <v>1259</v>
      </c>
      <c r="E340" s="1" t="s">
        <v>17</v>
      </c>
      <c r="F340" s="5">
        <v>0.4297</v>
      </c>
      <c r="G340" s="5">
        <v>86.020452</v>
      </c>
      <c r="H340" s="5">
        <v>0.1504</v>
      </c>
      <c r="I340" s="5">
        <v>0.0</v>
      </c>
    </row>
    <row r="341">
      <c r="A341" s="6" t="s">
        <v>183</v>
      </c>
      <c r="B341" s="5">
        <v>7.0</v>
      </c>
      <c r="C341" s="1" t="s">
        <v>68</v>
      </c>
      <c r="D341" s="1" t="s">
        <v>48</v>
      </c>
      <c r="E341" s="1" t="s">
        <v>49</v>
      </c>
      <c r="F341" s="5">
        <v>0.0053</v>
      </c>
      <c r="G341" s="5">
        <v>1.922279</v>
      </c>
      <c r="H341" s="5">
        <v>0.0015</v>
      </c>
      <c r="I341" s="5">
        <v>2.0</v>
      </c>
    </row>
    <row r="342">
      <c r="A342" s="6" t="s">
        <v>183</v>
      </c>
      <c r="B342" s="5">
        <v>7.0</v>
      </c>
      <c r="C342" s="1" t="s">
        <v>68</v>
      </c>
      <c r="D342" s="1" t="s">
        <v>48</v>
      </c>
      <c r="E342" s="1" t="s">
        <v>21</v>
      </c>
      <c r="F342" s="5">
        <v>0.6454</v>
      </c>
      <c r="G342" s="5">
        <v>70.732262</v>
      </c>
      <c r="H342" s="5">
        <v>0.2581</v>
      </c>
      <c r="I342" s="5">
        <v>422.0</v>
      </c>
    </row>
    <row r="343">
      <c r="A343" s="6" t="s">
        <v>183</v>
      </c>
      <c r="B343" s="5">
        <v>7.0</v>
      </c>
      <c r="C343" s="1" t="s">
        <v>68</v>
      </c>
      <c r="D343" s="1" t="s">
        <v>102</v>
      </c>
      <c r="E343" s="1" t="s">
        <v>39</v>
      </c>
      <c r="F343" s="5">
        <v>0.0299</v>
      </c>
      <c r="G343" s="5">
        <v>10.112935</v>
      </c>
      <c r="H343" s="5">
        <v>0.0057</v>
      </c>
      <c r="I343" s="5">
        <v>0.0</v>
      </c>
    </row>
    <row r="344">
      <c r="A344" s="6" t="s">
        <v>183</v>
      </c>
      <c r="B344" s="5">
        <v>7.0</v>
      </c>
      <c r="C344" s="1" t="s">
        <v>68</v>
      </c>
      <c r="D344" s="1" t="s">
        <v>102</v>
      </c>
      <c r="E344" s="1" t="s">
        <v>21</v>
      </c>
      <c r="F344" s="5">
        <v>0.1454</v>
      </c>
      <c r="G344" s="5">
        <v>46.945756</v>
      </c>
      <c r="H344" s="5">
        <v>0.0582</v>
      </c>
      <c r="I344" s="5">
        <v>0.0</v>
      </c>
    </row>
    <row r="345">
      <c r="A345" s="6" t="s">
        <v>183</v>
      </c>
      <c r="B345" s="5">
        <v>7.0</v>
      </c>
      <c r="C345" s="1" t="s">
        <v>68</v>
      </c>
      <c r="D345" s="1" t="s">
        <v>465</v>
      </c>
      <c r="E345" s="1" t="s">
        <v>21</v>
      </c>
      <c r="F345" s="5">
        <v>0.4858</v>
      </c>
      <c r="G345" s="5">
        <v>51.738094</v>
      </c>
      <c r="H345" s="5">
        <v>0.2429</v>
      </c>
      <c r="I345" s="5">
        <v>400.0</v>
      </c>
    </row>
    <row r="346">
      <c r="A346" s="6" t="s">
        <v>183</v>
      </c>
      <c r="B346" s="5">
        <v>7.0</v>
      </c>
      <c r="C346" s="1" t="s">
        <v>116</v>
      </c>
      <c r="D346" s="1" t="s">
        <v>13</v>
      </c>
      <c r="E346" s="1" t="s">
        <v>14</v>
      </c>
      <c r="F346" s="5">
        <v>86.1022</v>
      </c>
      <c r="G346" s="5">
        <v>5422.054982</v>
      </c>
      <c r="H346" s="5">
        <v>18.0815</v>
      </c>
      <c r="I346" s="5">
        <v>11371.0</v>
      </c>
    </row>
    <row r="347">
      <c r="A347" s="6" t="s">
        <v>183</v>
      </c>
      <c r="B347" s="5">
        <v>7.0</v>
      </c>
      <c r="C347" s="1" t="s">
        <v>116</v>
      </c>
      <c r="D347" s="1" t="s">
        <v>13</v>
      </c>
      <c r="E347" s="1" t="s">
        <v>17</v>
      </c>
      <c r="F347" s="5">
        <v>67.7327</v>
      </c>
      <c r="G347" s="5">
        <v>5977.697769</v>
      </c>
      <c r="H347" s="5">
        <v>23.7064</v>
      </c>
      <c r="I347" s="5">
        <v>7935.0</v>
      </c>
    </row>
    <row r="348">
      <c r="A348" s="6" t="s">
        <v>183</v>
      </c>
      <c r="B348" s="5">
        <v>7.0</v>
      </c>
      <c r="C348" s="1" t="s">
        <v>116</v>
      </c>
      <c r="D348" s="1" t="s">
        <v>13</v>
      </c>
      <c r="E348" s="1" t="s">
        <v>21</v>
      </c>
      <c r="F348" s="5">
        <v>11.1159</v>
      </c>
      <c r="G348" s="5">
        <v>1411.179164</v>
      </c>
      <c r="H348" s="5">
        <v>5.558</v>
      </c>
      <c r="I348" s="5">
        <v>1569.0</v>
      </c>
    </row>
    <row r="349">
      <c r="A349" s="6" t="s">
        <v>183</v>
      </c>
      <c r="B349" s="5">
        <v>7.0</v>
      </c>
      <c r="C349" s="1" t="s">
        <v>116</v>
      </c>
      <c r="D349" s="1" t="s">
        <v>13</v>
      </c>
      <c r="E349" s="1" t="s">
        <v>25</v>
      </c>
      <c r="F349" s="5">
        <v>1.0494</v>
      </c>
      <c r="G349" s="5">
        <v>147.300122</v>
      </c>
      <c r="H349" s="5">
        <v>0.7871</v>
      </c>
      <c r="I349" s="5">
        <v>117.0</v>
      </c>
    </row>
    <row r="350">
      <c r="A350" s="6" t="s">
        <v>183</v>
      </c>
      <c r="B350" s="5">
        <v>7.0</v>
      </c>
      <c r="C350" s="1" t="s">
        <v>116</v>
      </c>
      <c r="D350" s="1" t="s">
        <v>29</v>
      </c>
      <c r="E350" s="1" t="s">
        <v>21</v>
      </c>
      <c r="F350" s="5">
        <v>36.3771</v>
      </c>
      <c r="G350" s="5">
        <v>6144.165251</v>
      </c>
      <c r="H350" s="5">
        <v>14.5509</v>
      </c>
      <c r="I350" s="5">
        <v>2354.0</v>
      </c>
    </row>
    <row r="351">
      <c r="A351" s="6" t="s">
        <v>183</v>
      </c>
      <c r="B351" s="5">
        <v>7.0</v>
      </c>
      <c r="C351" s="1" t="s">
        <v>116</v>
      </c>
      <c r="D351" s="1" t="s">
        <v>45</v>
      </c>
      <c r="E351" s="1" t="s">
        <v>17</v>
      </c>
      <c r="F351" s="5">
        <v>21.8827</v>
      </c>
      <c r="G351" s="5">
        <v>1520.411846</v>
      </c>
      <c r="H351" s="5">
        <v>7.8778</v>
      </c>
      <c r="I351" s="5">
        <v>2063.0</v>
      </c>
    </row>
    <row r="352">
      <c r="A352" s="6" t="s">
        <v>183</v>
      </c>
      <c r="B352" s="5">
        <v>7.0</v>
      </c>
      <c r="C352" s="1" t="s">
        <v>116</v>
      </c>
      <c r="D352" s="1" t="s">
        <v>32</v>
      </c>
      <c r="E352" s="1" t="s">
        <v>14</v>
      </c>
      <c r="F352" s="5">
        <v>8.3303</v>
      </c>
      <c r="G352" s="5">
        <v>521.917002</v>
      </c>
      <c r="H352" s="5">
        <v>1.916</v>
      </c>
      <c r="I352" s="5">
        <v>1689.0</v>
      </c>
    </row>
    <row r="353">
      <c r="A353" s="6" t="s">
        <v>183</v>
      </c>
      <c r="B353" s="5">
        <v>7.0</v>
      </c>
      <c r="C353" s="1" t="s">
        <v>116</v>
      </c>
      <c r="D353" s="1" t="s">
        <v>32</v>
      </c>
      <c r="E353" s="1" t="s">
        <v>21</v>
      </c>
      <c r="F353" s="5">
        <v>2.7617</v>
      </c>
      <c r="G353" s="5">
        <v>499.183237</v>
      </c>
      <c r="H353" s="5">
        <v>1.2428</v>
      </c>
      <c r="I353" s="5">
        <v>1130.0</v>
      </c>
    </row>
    <row r="354">
      <c r="A354" s="6" t="s">
        <v>183</v>
      </c>
      <c r="B354" s="5">
        <v>7.0</v>
      </c>
      <c r="C354" s="1" t="s">
        <v>116</v>
      </c>
      <c r="D354" s="1" t="s">
        <v>42</v>
      </c>
      <c r="E354" s="1" t="s">
        <v>17</v>
      </c>
      <c r="F354" s="5">
        <v>2.5479</v>
      </c>
      <c r="G354" s="5">
        <v>411.200988</v>
      </c>
      <c r="H354" s="5">
        <v>0.9427</v>
      </c>
      <c r="I354" s="5">
        <v>718.0</v>
      </c>
    </row>
    <row r="355">
      <c r="A355" s="6" t="s">
        <v>183</v>
      </c>
      <c r="B355" s="5">
        <v>7.0</v>
      </c>
      <c r="C355" s="1" t="s">
        <v>116</v>
      </c>
      <c r="D355" s="1" t="s">
        <v>102</v>
      </c>
      <c r="E355" s="1" t="s">
        <v>39</v>
      </c>
      <c r="F355" s="5">
        <v>0.02</v>
      </c>
      <c r="G355" s="5">
        <v>3.348456</v>
      </c>
      <c r="H355" s="5">
        <v>0.0038</v>
      </c>
      <c r="I355" s="5">
        <v>7.0</v>
      </c>
    </row>
    <row r="356">
      <c r="A356" s="6" t="s">
        <v>183</v>
      </c>
      <c r="B356" s="5">
        <v>7.0</v>
      </c>
      <c r="C356" s="1" t="s">
        <v>116</v>
      </c>
      <c r="D356" s="1" t="s">
        <v>102</v>
      </c>
      <c r="E356" s="1" t="s">
        <v>17</v>
      </c>
      <c r="F356" s="5">
        <v>7.0E-4</v>
      </c>
      <c r="G356" s="5">
        <v>0.242017</v>
      </c>
      <c r="H356" s="5">
        <v>2.0E-4</v>
      </c>
      <c r="I356" s="5">
        <v>1.0</v>
      </c>
    </row>
    <row r="357">
      <c r="A357" s="6" t="s">
        <v>183</v>
      </c>
      <c r="B357" s="5">
        <v>7.0</v>
      </c>
      <c r="C357" s="1" t="s">
        <v>116</v>
      </c>
      <c r="D357" s="1" t="s">
        <v>102</v>
      </c>
      <c r="E357" s="1" t="s">
        <v>21</v>
      </c>
      <c r="F357" s="5">
        <v>1.3619</v>
      </c>
      <c r="G357" s="5">
        <v>374.905378</v>
      </c>
      <c r="H357" s="5">
        <v>0.5448</v>
      </c>
      <c r="I357" s="5">
        <v>235.0</v>
      </c>
    </row>
    <row r="358">
      <c r="A358" s="6" t="s">
        <v>183</v>
      </c>
      <c r="B358" s="5">
        <v>7.0</v>
      </c>
      <c r="C358" s="1" t="s">
        <v>116</v>
      </c>
      <c r="D358" s="1" t="s">
        <v>147</v>
      </c>
      <c r="E358" s="1" t="s">
        <v>39</v>
      </c>
      <c r="F358" s="5">
        <v>1.0443</v>
      </c>
      <c r="G358" s="5">
        <v>298.579602</v>
      </c>
      <c r="H358" s="5">
        <v>0.1984</v>
      </c>
      <c r="I358" s="5">
        <v>96.0</v>
      </c>
    </row>
    <row r="359">
      <c r="A359" s="6" t="s">
        <v>183</v>
      </c>
      <c r="B359" s="5">
        <v>7.0</v>
      </c>
      <c r="C359" s="1" t="s">
        <v>116</v>
      </c>
      <c r="D359" s="1" t="s">
        <v>147</v>
      </c>
      <c r="E359" s="1" t="s">
        <v>17</v>
      </c>
      <c r="F359" s="5">
        <v>0.045</v>
      </c>
      <c r="G359" s="5">
        <v>9.620347</v>
      </c>
      <c r="H359" s="5">
        <v>0.0158</v>
      </c>
      <c r="I359" s="5">
        <v>7.0</v>
      </c>
    </row>
    <row r="360">
      <c r="A360" s="6" t="s">
        <v>183</v>
      </c>
      <c r="B360" s="5">
        <v>7.0</v>
      </c>
      <c r="C360" s="1" t="s">
        <v>116</v>
      </c>
      <c r="D360" s="1" t="s">
        <v>147</v>
      </c>
      <c r="E360" s="1" t="s">
        <v>21</v>
      </c>
      <c r="F360" s="5">
        <v>0.0452</v>
      </c>
      <c r="G360" s="5">
        <v>22.065598</v>
      </c>
      <c r="H360" s="5">
        <v>0.0226</v>
      </c>
      <c r="I360" s="5">
        <v>46.0</v>
      </c>
    </row>
    <row r="361">
      <c r="A361" s="6" t="s">
        <v>183</v>
      </c>
      <c r="B361" s="5">
        <v>7.0</v>
      </c>
      <c r="C361" s="1" t="s">
        <v>116</v>
      </c>
      <c r="D361" s="1" t="s">
        <v>165</v>
      </c>
      <c r="E361" s="1" t="s">
        <v>39</v>
      </c>
      <c r="F361" s="5">
        <v>0.291</v>
      </c>
      <c r="G361" s="5">
        <v>49.084923</v>
      </c>
      <c r="H361" s="5">
        <v>0.0524</v>
      </c>
      <c r="I361" s="5">
        <v>0.0</v>
      </c>
    </row>
    <row r="362">
      <c r="A362" s="6" t="s">
        <v>183</v>
      </c>
      <c r="B362" s="5">
        <v>7.0</v>
      </c>
      <c r="C362" s="1" t="s">
        <v>116</v>
      </c>
      <c r="D362" s="1" t="s">
        <v>165</v>
      </c>
      <c r="E362" s="1" t="s">
        <v>17</v>
      </c>
      <c r="F362" s="5">
        <v>0.6584</v>
      </c>
      <c r="G362" s="5">
        <v>140.649292</v>
      </c>
      <c r="H362" s="5">
        <v>0.2304</v>
      </c>
      <c r="I362" s="5">
        <v>0.0</v>
      </c>
    </row>
    <row r="363">
      <c r="A363" s="6" t="s">
        <v>183</v>
      </c>
      <c r="B363" s="5">
        <v>7.0</v>
      </c>
      <c r="C363" s="1" t="s">
        <v>116</v>
      </c>
      <c r="D363" s="1" t="s">
        <v>158</v>
      </c>
      <c r="E363" s="1" t="s">
        <v>39</v>
      </c>
      <c r="F363" s="5">
        <v>9.0E-4</v>
      </c>
      <c r="G363" s="5">
        <v>0.424558</v>
      </c>
      <c r="H363" s="5">
        <v>1.0E-4</v>
      </c>
      <c r="I363" s="5">
        <v>0.0</v>
      </c>
    </row>
    <row r="364">
      <c r="A364" s="6" t="s">
        <v>183</v>
      </c>
      <c r="B364" s="5">
        <v>7.0</v>
      </c>
      <c r="C364" s="1" t="s">
        <v>116</v>
      </c>
      <c r="D364" s="1" t="s">
        <v>158</v>
      </c>
      <c r="E364" s="1" t="s">
        <v>17</v>
      </c>
      <c r="F364" s="5">
        <v>0.0458</v>
      </c>
      <c r="G364" s="5">
        <v>20.850142</v>
      </c>
      <c r="H364" s="5">
        <v>0.016</v>
      </c>
      <c r="I364" s="5">
        <v>0.0</v>
      </c>
    </row>
    <row r="365">
      <c r="A365" s="6" t="s">
        <v>183</v>
      </c>
      <c r="B365" s="5">
        <v>7.0</v>
      </c>
      <c r="C365" s="1" t="s">
        <v>116</v>
      </c>
      <c r="D365" s="1" t="s">
        <v>158</v>
      </c>
      <c r="E365" s="1" t="s">
        <v>21</v>
      </c>
      <c r="F365" s="5">
        <v>0.2691</v>
      </c>
      <c r="G365" s="5">
        <v>140.824207</v>
      </c>
      <c r="H365" s="5">
        <v>0.1131</v>
      </c>
      <c r="I365" s="5">
        <v>0.0</v>
      </c>
    </row>
    <row r="366">
      <c r="A366" s="6" t="s">
        <v>183</v>
      </c>
      <c r="B366" s="5">
        <v>7.0</v>
      </c>
      <c r="C366" s="1" t="s">
        <v>116</v>
      </c>
      <c r="D366" s="1" t="s">
        <v>38</v>
      </c>
      <c r="E366" s="1" t="s">
        <v>39</v>
      </c>
      <c r="F366" s="5">
        <v>1.5679</v>
      </c>
      <c r="G366" s="5">
        <v>154.4753</v>
      </c>
      <c r="H366" s="5">
        <v>0.2822</v>
      </c>
      <c r="I366" s="5">
        <v>201.0</v>
      </c>
    </row>
    <row r="367">
      <c r="A367" s="6" t="s">
        <v>183</v>
      </c>
      <c r="B367" s="5">
        <v>8.0</v>
      </c>
      <c r="C367" s="1" t="s">
        <v>12</v>
      </c>
      <c r="D367" s="1" t="s">
        <v>13</v>
      </c>
      <c r="E367" s="1" t="s">
        <v>14</v>
      </c>
      <c r="F367" s="5">
        <v>14.4989</v>
      </c>
      <c r="G367" s="5">
        <v>839.675037</v>
      </c>
      <c r="H367" s="5">
        <v>3.0448</v>
      </c>
      <c r="I367" s="5">
        <v>529.0</v>
      </c>
    </row>
    <row r="368">
      <c r="A368" s="6" t="s">
        <v>183</v>
      </c>
      <c r="B368" s="5">
        <v>8.0</v>
      </c>
      <c r="C368" s="1" t="s">
        <v>12</v>
      </c>
      <c r="D368" s="1" t="s">
        <v>13</v>
      </c>
      <c r="E368" s="1" t="s">
        <v>17</v>
      </c>
      <c r="F368" s="5">
        <v>52.6967</v>
      </c>
      <c r="G368" s="5">
        <v>4545.647378</v>
      </c>
      <c r="H368" s="5">
        <v>18.4438</v>
      </c>
      <c r="I368" s="5">
        <v>697.0</v>
      </c>
    </row>
    <row r="369">
      <c r="A369" s="6" t="s">
        <v>183</v>
      </c>
      <c r="B369" s="5">
        <v>8.0</v>
      </c>
      <c r="C369" s="1" t="s">
        <v>12</v>
      </c>
      <c r="D369" s="1" t="s">
        <v>13</v>
      </c>
      <c r="E369" s="1" t="s">
        <v>21</v>
      </c>
      <c r="F369" s="5">
        <v>27.0943</v>
      </c>
      <c r="G369" s="5">
        <v>2912.236932</v>
      </c>
      <c r="H369" s="5">
        <v>13.5471</v>
      </c>
      <c r="I369" s="5">
        <v>506.0</v>
      </c>
    </row>
    <row r="370">
      <c r="A370" s="6" t="s">
        <v>183</v>
      </c>
      <c r="B370" s="5">
        <v>8.0</v>
      </c>
      <c r="C370" s="1" t="s">
        <v>12</v>
      </c>
      <c r="D370" s="1" t="s">
        <v>13</v>
      </c>
      <c r="E370" s="1" t="s">
        <v>25</v>
      </c>
      <c r="F370" s="5">
        <v>0.011</v>
      </c>
      <c r="G370" s="5">
        <v>2.343986</v>
      </c>
      <c r="H370" s="5">
        <v>0.0082</v>
      </c>
      <c r="I370" s="5">
        <v>5.0</v>
      </c>
    </row>
    <row r="371">
      <c r="A371" s="6" t="s">
        <v>183</v>
      </c>
      <c r="B371" s="5">
        <v>8.0</v>
      </c>
      <c r="C371" s="1" t="s">
        <v>12</v>
      </c>
      <c r="D371" s="1" t="s">
        <v>29</v>
      </c>
      <c r="E371" s="1" t="s">
        <v>21</v>
      </c>
      <c r="F371" s="5">
        <v>15.9888</v>
      </c>
      <c r="G371" s="5">
        <v>3144.032997</v>
      </c>
      <c r="H371" s="5">
        <v>6.3956</v>
      </c>
      <c r="I371" s="5">
        <v>580.0</v>
      </c>
    </row>
    <row r="372">
      <c r="A372" s="6" t="s">
        <v>183</v>
      </c>
      <c r="B372" s="5">
        <v>8.0</v>
      </c>
      <c r="C372" s="1" t="s">
        <v>12</v>
      </c>
      <c r="D372" s="1" t="s">
        <v>32</v>
      </c>
      <c r="E372" s="1" t="s">
        <v>14</v>
      </c>
      <c r="F372" s="5">
        <v>6.511</v>
      </c>
      <c r="G372" s="5">
        <v>386.054146</v>
      </c>
      <c r="H372" s="5">
        <v>1.4975</v>
      </c>
      <c r="I372" s="5">
        <v>461.0</v>
      </c>
    </row>
    <row r="373">
      <c r="A373" s="6" t="s">
        <v>183</v>
      </c>
      <c r="B373" s="5">
        <v>8.0</v>
      </c>
      <c r="C373" s="1" t="s">
        <v>12</v>
      </c>
      <c r="D373" s="1" t="s">
        <v>32</v>
      </c>
      <c r="E373" s="1" t="s">
        <v>21</v>
      </c>
      <c r="F373" s="5">
        <v>2.0056</v>
      </c>
      <c r="G373" s="5">
        <v>152.672372</v>
      </c>
      <c r="H373" s="5">
        <v>0.9025</v>
      </c>
      <c r="I373" s="5">
        <v>106.0</v>
      </c>
    </row>
    <row r="374">
      <c r="A374" s="6" t="s">
        <v>183</v>
      </c>
      <c r="B374" s="5">
        <v>8.0</v>
      </c>
      <c r="C374" s="1" t="s">
        <v>12</v>
      </c>
      <c r="D374" s="1" t="s">
        <v>45</v>
      </c>
      <c r="E374" s="1" t="s">
        <v>17</v>
      </c>
      <c r="F374" s="5">
        <v>8.5171</v>
      </c>
      <c r="G374" s="5">
        <v>418.475559</v>
      </c>
      <c r="H374" s="5">
        <v>3.0662</v>
      </c>
      <c r="I374" s="5">
        <v>172.0</v>
      </c>
    </row>
    <row r="375">
      <c r="A375" s="6" t="s">
        <v>183</v>
      </c>
      <c r="B375" s="5">
        <v>8.0</v>
      </c>
      <c r="C375" s="1" t="s">
        <v>12</v>
      </c>
      <c r="D375" s="1" t="s">
        <v>42</v>
      </c>
      <c r="E375" s="1" t="s">
        <v>17</v>
      </c>
      <c r="F375" s="5">
        <v>2.522</v>
      </c>
      <c r="G375" s="5">
        <v>373.798464</v>
      </c>
      <c r="H375" s="5">
        <v>0.9331</v>
      </c>
      <c r="I375" s="5">
        <v>153.0</v>
      </c>
    </row>
    <row r="376">
      <c r="A376" s="6" t="s">
        <v>183</v>
      </c>
      <c r="B376" s="5">
        <v>8.0</v>
      </c>
      <c r="C376" s="1" t="s">
        <v>12</v>
      </c>
      <c r="D376" s="1" t="s">
        <v>38</v>
      </c>
      <c r="E376" s="1" t="s">
        <v>39</v>
      </c>
      <c r="F376" s="5">
        <v>2.8443</v>
      </c>
      <c r="G376" s="5">
        <v>284.902185</v>
      </c>
      <c r="H376" s="5">
        <v>0.512</v>
      </c>
      <c r="I376" s="5">
        <v>97.0</v>
      </c>
    </row>
    <row r="377">
      <c r="A377" s="6" t="s">
        <v>183</v>
      </c>
      <c r="B377" s="5">
        <v>8.0</v>
      </c>
      <c r="C377" s="1" t="s">
        <v>12</v>
      </c>
      <c r="D377" s="1" t="s">
        <v>56</v>
      </c>
      <c r="E377" s="1" t="s">
        <v>21</v>
      </c>
      <c r="F377" s="5">
        <v>0.6974</v>
      </c>
      <c r="G377" s="5">
        <v>127.709397</v>
      </c>
      <c r="H377" s="5">
        <v>0.2789</v>
      </c>
      <c r="I377" s="5">
        <v>187.0</v>
      </c>
    </row>
    <row r="378">
      <c r="A378" s="6" t="s">
        <v>183</v>
      </c>
      <c r="B378" s="5">
        <v>8.0</v>
      </c>
      <c r="C378" s="1" t="s">
        <v>12</v>
      </c>
      <c r="D378" s="1" t="s">
        <v>48</v>
      </c>
      <c r="E378" s="1" t="s">
        <v>49</v>
      </c>
      <c r="F378" s="5">
        <v>0.0076</v>
      </c>
      <c r="G378" s="5">
        <v>2.463735</v>
      </c>
      <c r="H378" s="5">
        <v>0.0022</v>
      </c>
      <c r="I378" s="5">
        <v>3.0</v>
      </c>
    </row>
    <row r="379">
      <c r="A379" s="6" t="s">
        <v>183</v>
      </c>
      <c r="B379" s="5">
        <v>8.0</v>
      </c>
      <c r="C379" s="1" t="s">
        <v>12</v>
      </c>
      <c r="D379" s="1" t="s">
        <v>48</v>
      </c>
      <c r="E379" s="1" t="s">
        <v>21</v>
      </c>
      <c r="F379" s="5">
        <v>0.7316</v>
      </c>
      <c r="G379" s="5">
        <v>88.74046</v>
      </c>
      <c r="H379" s="5">
        <v>0.2927</v>
      </c>
      <c r="I379" s="5">
        <v>116.0</v>
      </c>
    </row>
    <row r="380">
      <c r="A380" s="6" t="s">
        <v>183</v>
      </c>
      <c r="B380" s="5">
        <v>8.0</v>
      </c>
      <c r="C380" s="1" t="s">
        <v>12</v>
      </c>
      <c r="D380" s="1" t="s">
        <v>848</v>
      </c>
      <c r="E380" s="1" t="s">
        <v>21</v>
      </c>
      <c r="F380" s="5">
        <v>0.2518</v>
      </c>
      <c r="G380" s="5">
        <v>52.956799</v>
      </c>
      <c r="H380" s="5">
        <v>0.1007</v>
      </c>
      <c r="I380" s="5">
        <v>57.0</v>
      </c>
    </row>
    <row r="381">
      <c r="A381" s="6" t="s">
        <v>183</v>
      </c>
      <c r="B381" s="5">
        <v>8.0</v>
      </c>
      <c r="C381" s="1" t="s">
        <v>12</v>
      </c>
      <c r="D381" s="1" t="s">
        <v>64</v>
      </c>
      <c r="E381" s="1" t="s">
        <v>39</v>
      </c>
      <c r="F381" s="5">
        <v>0.2349</v>
      </c>
      <c r="G381" s="5">
        <v>24.720427</v>
      </c>
      <c r="H381" s="5">
        <v>0.0423</v>
      </c>
      <c r="I381" s="5">
        <v>79.0</v>
      </c>
    </row>
    <row r="382">
      <c r="A382" s="6" t="s">
        <v>183</v>
      </c>
      <c r="B382" s="5">
        <v>8.0</v>
      </c>
      <c r="C382" s="1" t="s">
        <v>12</v>
      </c>
      <c r="D382" s="1" t="s">
        <v>64</v>
      </c>
      <c r="E382" s="1" t="s">
        <v>21</v>
      </c>
      <c r="F382" s="5">
        <v>0.0802</v>
      </c>
      <c r="G382" s="5">
        <v>9.577978</v>
      </c>
      <c r="H382" s="5">
        <v>0.0321</v>
      </c>
      <c r="I382" s="5">
        <v>40.0</v>
      </c>
    </row>
    <row r="383">
      <c r="A383" s="6" t="s">
        <v>183</v>
      </c>
      <c r="B383" s="5">
        <v>8.0</v>
      </c>
      <c r="C383" s="1" t="s">
        <v>68</v>
      </c>
      <c r="D383" s="1" t="s">
        <v>13</v>
      </c>
      <c r="E383" s="1" t="s">
        <v>14</v>
      </c>
      <c r="F383" s="5">
        <v>61.301</v>
      </c>
      <c r="G383" s="5">
        <v>3827.928427</v>
      </c>
      <c r="H383" s="5">
        <v>12.8733</v>
      </c>
      <c r="I383" s="5">
        <v>8388.0</v>
      </c>
    </row>
    <row r="384">
      <c r="A384" s="6" t="s">
        <v>183</v>
      </c>
      <c r="B384" s="5">
        <v>8.0</v>
      </c>
      <c r="C384" s="1" t="s">
        <v>68</v>
      </c>
      <c r="D384" s="1" t="s">
        <v>13</v>
      </c>
      <c r="E384" s="1" t="s">
        <v>72</v>
      </c>
      <c r="F384" s="5">
        <v>0.0047</v>
      </c>
      <c r="G384" s="5">
        <v>0.54729</v>
      </c>
      <c r="H384" s="5">
        <v>0.0015</v>
      </c>
      <c r="I384" s="5">
        <v>2.0</v>
      </c>
    </row>
    <row r="385">
      <c r="A385" s="6" t="s">
        <v>183</v>
      </c>
      <c r="B385" s="5">
        <v>8.0</v>
      </c>
      <c r="C385" s="1" t="s">
        <v>68</v>
      </c>
      <c r="D385" s="1" t="s">
        <v>13</v>
      </c>
      <c r="E385" s="1" t="s">
        <v>17</v>
      </c>
      <c r="F385" s="5">
        <v>70.3388</v>
      </c>
      <c r="G385" s="5">
        <v>6359.161149</v>
      </c>
      <c r="H385" s="5">
        <v>24.6186</v>
      </c>
      <c r="I385" s="5">
        <v>9467.0</v>
      </c>
    </row>
    <row r="386">
      <c r="A386" s="6" t="s">
        <v>183</v>
      </c>
      <c r="B386" s="5">
        <v>8.0</v>
      </c>
      <c r="C386" s="1" t="s">
        <v>68</v>
      </c>
      <c r="D386" s="1" t="s">
        <v>13</v>
      </c>
      <c r="E386" s="1" t="s">
        <v>21</v>
      </c>
      <c r="F386" s="5">
        <v>5.8793</v>
      </c>
      <c r="G386" s="5">
        <v>836.630462</v>
      </c>
      <c r="H386" s="5">
        <v>2.9397</v>
      </c>
      <c r="I386" s="5">
        <v>1318.0</v>
      </c>
    </row>
    <row r="387">
      <c r="A387" s="6" t="s">
        <v>183</v>
      </c>
      <c r="B387" s="5">
        <v>8.0</v>
      </c>
      <c r="C387" s="1" t="s">
        <v>68</v>
      </c>
      <c r="D387" s="1" t="s">
        <v>13</v>
      </c>
      <c r="E387" s="1" t="s">
        <v>25</v>
      </c>
      <c r="F387" s="5">
        <v>0.3656</v>
      </c>
      <c r="G387" s="5">
        <v>58.669398</v>
      </c>
      <c r="H387" s="5">
        <v>0.2742</v>
      </c>
      <c r="I387" s="5">
        <v>307.0</v>
      </c>
    </row>
    <row r="388">
      <c r="A388" s="6" t="s">
        <v>183</v>
      </c>
      <c r="B388" s="5">
        <v>8.0</v>
      </c>
      <c r="C388" s="1" t="s">
        <v>68</v>
      </c>
      <c r="D388" s="1" t="s">
        <v>29</v>
      </c>
      <c r="E388" s="1" t="s">
        <v>21</v>
      </c>
      <c r="F388" s="5">
        <v>8.3404</v>
      </c>
      <c r="G388" s="5">
        <v>1734.232667</v>
      </c>
      <c r="H388" s="5">
        <v>3.3361</v>
      </c>
      <c r="I388" s="5">
        <v>1323.0</v>
      </c>
    </row>
    <row r="389">
      <c r="A389" s="6" t="s">
        <v>183</v>
      </c>
      <c r="B389" s="5">
        <v>8.0</v>
      </c>
      <c r="C389" s="1" t="s">
        <v>68</v>
      </c>
      <c r="D389" s="1" t="s">
        <v>45</v>
      </c>
      <c r="E389" s="1" t="s">
        <v>17</v>
      </c>
      <c r="F389" s="5">
        <v>14.2728</v>
      </c>
      <c r="G389" s="5">
        <v>797.208189</v>
      </c>
      <c r="H389" s="5">
        <v>5.1383</v>
      </c>
      <c r="I389" s="5">
        <v>2058.0</v>
      </c>
    </row>
    <row r="390">
      <c r="A390" s="6" t="s">
        <v>183</v>
      </c>
      <c r="B390" s="5">
        <v>8.0</v>
      </c>
      <c r="C390" s="1" t="s">
        <v>68</v>
      </c>
      <c r="D390" s="1" t="s">
        <v>32</v>
      </c>
      <c r="E390" s="1" t="s">
        <v>14</v>
      </c>
      <c r="F390" s="5">
        <v>3.2773</v>
      </c>
      <c r="G390" s="5">
        <v>258.942763</v>
      </c>
      <c r="H390" s="5">
        <v>0.7538</v>
      </c>
      <c r="I390" s="5">
        <v>1415.0</v>
      </c>
    </row>
    <row r="391">
      <c r="A391" s="6" t="s">
        <v>183</v>
      </c>
      <c r="B391" s="5">
        <v>8.0</v>
      </c>
      <c r="C391" s="1" t="s">
        <v>68</v>
      </c>
      <c r="D391" s="1" t="s">
        <v>32</v>
      </c>
      <c r="E391" s="1" t="s">
        <v>21</v>
      </c>
      <c r="F391" s="5">
        <v>1.2451</v>
      </c>
      <c r="G391" s="5">
        <v>129.596335</v>
      </c>
      <c r="H391" s="5">
        <v>0.5604</v>
      </c>
      <c r="I391" s="5">
        <v>250.0</v>
      </c>
    </row>
    <row r="392">
      <c r="A392" s="6" t="s">
        <v>183</v>
      </c>
      <c r="B392" s="5">
        <v>8.0</v>
      </c>
      <c r="C392" s="1" t="s">
        <v>68</v>
      </c>
      <c r="D392" s="1" t="s">
        <v>42</v>
      </c>
      <c r="E392" s="1" t="s">
        <v>17</v>
      </c>
      <c r="F392" s="5">
        <v>1.1263</v>
      </c>
      <c r="G392" s="5">
        <v>178.452502</v>
      </c>
      <c r="H392" s="5">
        <v>0.4167</v>
      </c>
      <c r="I392" s="5">
        <v>409.0</v>
      </c>
    </row>
    <row r="393">
      <c r="A393" s="6" t="s">
        <v>183</v>
      </c>
      <c r="B393" s="5">
        <v>8.0</v>
      </c>
      <c r="C393" s="1" t="s">
        <v>68</v>
      </c>
      <c r="D393" s="1" t="s">
        <v>98</v>
      </c>
      <c r="E393" s="1" t="s">
        <v>17</v>
      </c>
      <c r="F393" s="5">
        <v>0.5196</v>
      </c>
      <c r="G393" s="5">
        <v>112.748627</v>
      </c>
      <c r="H393" s="5">
        <v>0.1818</v>
      </c>
      <c r="I393" s="5">
        <v>0.0</v>
      </c>
    </row>
    <row r="394">
      <c r="A394" s="6" t="s">
        <v>183</v>
      </c>
      <c r="B394" s="5">
        <v>8.0</v>
      </c>
      <c r="C394" s="1" t="s">
        <v>68</v>
      </c>
      <c r="D394" s="1" t="s">
        <v>38</v>
      </c>
      <c r="E394" s="1" t="s">
        <v>39</v>
      </c>
      <c r="F394" s="5">
        <v>1.1651</v>
      </c>
      <c r="G394" s="5">
        <v>103.196774</v>
      </c>
      <c r="H394" s="5">
        <v>0.2097</v>
      </c>
      <c r="I394" s="5">
        <v>256.0</v>
      </c>
    </row>
    <row r="395">
      <c r="A395" s="6" t="s">
        <v>183</v>
      </c>
      <c r="B395" s="5">
        <v>8.0</v>
      </c>
      <c r="C395" s="1" t="s">
        <v>68</v>
      </c>
      <c r="D395" s="1" t="s">
        <v>48</v>
      </c>
      <c r="E395" s="1" t="s">
        <v>49</v>
      </c>
      <c r="F395" s="5">
        <v>0.0091</v>
      </c>
      <c r="G395" s="5">
        <v>3.297931</v>
      </c>
      <c r="H395" s="5">
        <v>0.0025</v>
      </c>
      <c r="I395" s="5">
        <v>4.0</v>
      </c>
    </row>
    <row r="396">
      <c r="A396" s="6" t="s">
        <v>183</v>
      </c>
      <c r="B396" s="5">
        <v>8.0</v>
      </c>
      <c r="C396" s="1" t="s">
        <v>68</v>
      </c>
      <c r="D396" s="1" t="s">
        <v>48</v>
      </c>
      <c r="E396" s="1" t="s">
        <v>21</v>
      </c>
      <c r="F396" s="5">
        <v>0.7014</v>
      </c>
      <c r="G396" s="5">
        <v>85.608891</v>
      </c>
      <c r="H396" s="5">
        <v>0.2805</v>
      </c>
      <c r="I396" s="5">
        <v>397.0</v>
      </c>
    </row>
    <row r="397">
      <c r="A397" s="6" t="s">
        <v>183</v>
      </c>
      <c r="B397" s="5">
        <v>8.0</v>
      </c>
      <c r="C397" s="1" t="s">
        <v>68</v>
      </c>
      <c r="D397" s="1" t="s">
        <v>544</v>
      </c>
      <c r="E397" s="1" t="s">
        <v>17</v>
      </c>
      <c r="F397" s="5">
        <v>1.589</v>
      </c>
      <c r="G397" s="5">
        <v>84.815141</v>
      </c>
      <c r="H397" s="5">
        <v>0.5562</v>
      </c>
      <c r="I397" s="5">
        <v>243.0</v>
      </c>
    </row>
    <row r="398">
      <c r="A398" s="6" t="s">
        <v>183</v>
      </c>
      <c r="B398" s="5">
        <v>8.0</v>
      </c>
      <c r="C398" s="1" t="s">
        <v>68</v>
      </c>
      <c r="D398" s="1" t="s">
        <v>102</v>
      </c>
      <c r="E398" s="1" t="s">
        <v>39</v>
      </c>
      <c r="F398" s="5">
        <v>0.0665</v>
      </c>
      <c r="G398" s="5">
        <v>22.486045</v>
      </c>
      <c r="H398" s="5">
        <v>0.0126</v>
      </c>
      <c r="I398" s="5">
        <v>0.0</v>
      </c>
    </row>
    <row r="399">
      <c r="A399" s="6" t="s">
        <v>183</v>
      </c>
      <c r="B399" s="5">
        <v>8.0</v>
      </c>
      <c r="C399" s="1" t="s">
        <v>68</v>
      </c>
      <c r="D399" s="1" t="s">
        <v>102</v>
      </c>
      <c r="E399" s="1" t="s">
        <v>21</v>
      </c>
      <c r="F399" s="5">
        <v>0.1584</v>
      </c>
      <c r="G399" s="5">
        <v>50.11333</v>
      </c>
      <c r="H399" s="5">
        <v>0.0635</v>
      </c>
      <c r="I399" s="5">
        <v>0.0</v>
      </c>
    </row>
    <row r="400">
      <c r="A400" s="6" t="s">
        <v>183</v>
      </c>
      <c r="B400" s="5">
        <v>8.0</v>
      </c>
      <c r="C400" s="1" t="s">
        <v>116</v>
      </c>
      <c r="D400" s="1" t="s">
        <v>13</v>
      </c>
      <c r="E400" s="1" t="s">
        <v>14</v>
      </c>
      <c r="F400" s="5">
        <v>119.2838</v>
      </c>
      <c r="G400" s="5">
        <v>6709.745395</v>
      </c>
      <c r="H400" s="5">
        <v>25.0496</v>
      </c>
      <c r="I400" s="5">
        <v>11510.0</v>
      </c>
    </row>
    <row r="401">
      <c r="A401" s="6" t="s">
        <v>183</v>
      </c>
      <c r="B401" s="5">
        <v>8.0</v>
      </c>
      <c r="C401" s="1" t="s">
        <v>116</v>
      </c>
      <c r="D401" s="1" t="s">
        <v>13</v>
      </c>
      <c r="E401" s="1" t="s">
        <v>17</v>
      </c>
      <c r="F401" s="5">
        <v>88.3211</v>
      </c>
      <c r="G401" s="5">
        <v>7205.293469</v>
      </c>
      <c r="H401" s="5">
        <v>30.9124</v>
      </c>
      <c r="I401" s="5">
        <v>7827.0</v>
      </c>
    </row>
    <row r="402">
      <c r="A402" s="6" t="s">
        <v>183</v>
      </c>
      <c r="B402" s="5">
        <v>8.0</v>
      </c>
      <c r="C402" s="1" t="s">
        <v>116</v>
      </c>
      <c r="D402" s="1" t="s">
        <v>13</v>
      </c>
      <c r="E402" s="1" t="s">
        <v>21</v>
      </c>
      <c r="F402" s="5">
        <v>9.9844</v>
      </c>
      <c r="G402" s="5">
        <v>1220.229029</v>
      </c>
      <c r="H402" s="5">
        <v>4.9923</v>
      </c>
      <c r="I402" s="5">
        <v>1230.0</v>
      </c>
    </row>
    <row r="403">
      <c r="A403" s="6" t="s">
        <v>183</v>
      </c>
      <c r="B403" s="5">
        <v>8.0</v>
      </c>
      <c r="C403" s="1" t="s">
        <v>116</v>
      </c>
      <c r="D403" s="1" t="s">
        <v>13</v>
      </c>
      <c r="E403" s="1" t="s">
        <v>25</v>
      </c>
      <c r="F403" s="5">
        <v>0.4328</v>
      </c>
      <c r="G403" s="5">
        <v>66.266284</v>
      </c>
      <c r="H403" s="5">
        <v>0.3246</v>
      </c>
      <c r="I403" s="5">
        <v>117.0</v>
      </c>
    </row>
    <row r="404">
      <c r="A404" s="6" t="s">
        <v>183</v>
      </c>
      <c r="B404" s="5">
        <v>8.0</v>
      </c>
      <c r="C404" s="1" t="s">
        <v>116</v>
      </c>
      <c r="D404" s="1" t="s">
        <v>29</v>
      </c>
      <c r="E404" s="1" t="s">
        <v>21</v>
      </c>
      <c r="F404" s="5">
        <v>34.6937</v>
      </c>
      <c r="G404" s="5">
        <v>6101.673406</v>
      </c>
      <c r="H404" s="5">
        <v>13.8775</v>
      </c>
      <c r="I404" s="5">
        <v>2016.0</v>
      </c>
    </row>
    <row r="405">
      <c r="A405" s="6" t="s">
        <v>183</v>
      </c>
      <c r="B405" s="5">
        <v>8.0</v>
      </c>
      <c r="C405" s="1" t="s">
        <v>116</v>
      </c>
      <c r="D405" s="1" t="s">
        <v>45</v>
      </c>
      <c r="E405" s="1" t="s">
        <v>17</v>
      </c>
      <c r="F405" s="5">
        <v>31.6173</v>
      </c>
      <c r="G405" s="5">
        <v>1907.523043</v>
      </c>
      <c r="H405" s="5">
        <v>11.3822</v>
      </c>
      <c r="I405" s="5">
        <v>1997.0</v>
      </c>
    </row>
    <row r="406">
      <c r="A406" s="6" t="s">
        <v>183</v>
      </c>
      <c r="B406" s="5">
        <v>8.0</v>
      </c>
      <c r="C406" s="1" t="s">
        <v>116</v>
      </c>
      <c r="D406" s="1" t="s">
        <v>32</v>
      </c>
      <c r="E406" s="1" t="s">
        <v>14</v>
      </c>
      <c r="F406" s="5">
        <v>5.6584</v>
      </c>
      <c r="G406" s="5">
        <v>363.135918</v>
      </c>
      <c r="H406" s="5">
        <v>1.3014</v>
      </c>
      <c r="I406" s="5">
        <v>1584.0</v>
      </c>
    </row>
    <row r="407">
      <c r="A407" s="6" t="s">
        <v>183</v>
      </c>
      <c r="B407" s="5">
        <v>8.0</v>
      </c>
      <c r="C407" s="1" t="s">
        <v>116</v>
      </c>
      <c r="D407" s="1" t="s">
        <v>32</v>
      </c>
      <c r="E407" s="1" t="s">
        <v>21</v>
      </c>
      <c r="F407" s="5">
        <v>3.9685</v>
      </c>
      <c r="G407" s="5">
        <v>436.589117</v>
      </c>
      <c r="H407" s="5">
        <v>1.7858</v>
      </c>
      <c r="I407" s="5">
        <v>872.0</v>
      </c>
    </row>
    <row r="408">
      <c r="A408" s="6" t="s">
        <v>183</v>
      </c>
      <c r="B408" s="5">
        <v>8.0</v>
      </c>
      <c r="C408" s="1" t="s">
        <v>116</v>
      </c>
      <c r="D408" s="1" t="s">
        <v>42</v>
      </c>
      <c r="E408" s="1" t="s">
        <v>17</v>
      </c>
      <c r="F408" s="5">
        <v>2.5182</v>
      </c>
      <c r="G408" s="5">
        <v>415.783864</v>
      </c>
      <c r="H408" s="5">
        <v>0.9317</v>
      </c>
      <c r="I408" s="5">
        <v>479.0</v>
      </c>
    </row>
    <row r="409">
      <c r="A409" s="6" t="s">
        <v>183</v>
      </c>
      <c r="B409" s="5">
        <v>8.0</v>
      </c>
      <c r="C409" s="1" t="s">
        <v>116</v>
      </c>
      <c r="D409" s="1" t="s">
        <v>147</v>
      </c>
      <c r="E409" s="1" t="s">
        <v>39</v>
      </c>
      <c r="F409" s="5">
        <v>1.2499</v>
      </c>
      <c r="G409" s="5">
        <v>347.719692</v>
      </c>
      <c r="H409" s="5">
        <v>0.2374</v>
      </c>
      <c r="I409" s="5">
        <v>91.0</v>
      </c>
    </row>
    <row r="410">
      <c r="A410" s="6" t="s">
        <v>183</v>
      </c>
      <c r="B410" s="5">
        <v>8.0</v>
      </c>
      <c r="C410" s="1" t="s">
        <v>116</v>
      </c>
      <c r="D410" s="1" t="s">
        <v>147</v>
      </c>
      <c r="E410" s="1" t="s">
        <v>17</v>
      </c>
      <c r="F410" s="5">
        <v>0.0308</v>
      </c>
      <c r="G410" s="5">
        <v>9.360229</v>
      </c>
      <c r="H410" s="5">
        <v>0.0109</v>
      </c>
      <c r="I410" s="5">
        <v>6.0</v>
      </c>
    </row>
    <row r="411">
      <c r="A411" s="6" t="s">
        <v>183</v>
      </c>
      <c r="B411" s="5">
        <v>8.0</v>
      </c>
      <c r="C411" s="1" t="s">
        <v>116</v>
      </c>
      <c r="D411" s="1" t="s">
        <v>147</v>
      </c>
      <c r="E411" s="1" t="s">
        <v>21</v>
      </c>
      <c r="F411" s="5">
        <v>0.054</v>
      </c>
      <c r="G411" s="5">
        <v>26.511486</v>
      </c>
      <c r="H411" s="5">
        <v>0.027</v>
      </c>
      <c r="I411" s="5">
        <v>41.0</v>
      </c>
    </row>
    <row r="412">
      <c r="A412" s="6" t="s">
        <v>183</v>
      </c>
      <c r="B412" s="5">
        <v>8.0</v>
      </c>
      <c r="C412" s="1" t="s">
        <v>116</v>
      </c>
      <c r="D412" s="1" t="s">
        <v>102</v>
      </c>
      <c r="E412" s="1" t="s">
        <v>39</v>
      </c>
      <c r="F412" s="5">
        <v>0.0164</v>
      </c>
      <c r="G412" s="5">
        <v>2.915876</v>
      </c>
      <c r="H412" s="5">
        <v>0.0031</v>
      </c>
      <c r="I412" s="5">
        <v>7.0</v>
      </c>
    </row>
    <row r="413">
      <c r="A413" s="6" t="s">
        <v>183</v>
      </c>
      <c r="B413" s="5">
        <v>8.0</v>
      </c>
      <c r="C413" s="1" t="s">
        <v>116</v>
      </c>
      <c r="D413" s="1" t="s">
        <v>102</v>
      </c>
      <c r="E413" s="1" t="s">
        <v>17</v>
      </c>
      <c r="F413" s="5">
        <v>7.0E-4</v>
      </c>
      <c r="G413" s="5">
        <v>0.183668</v>
      </c>
      <c r="H413" s="5">
        <v>2.0E-4</v>
      </c>
      <c r="I413" s="5">
        <v>1.0</v>
      </c>
    </row>
    <row r="414">
      <c r="A414" s="6" t="s">
        <v>183</v>
      </c>
      <c r="B414" s="5">
        <v>8.0</v>
      </c>
      <c r="C414" s="1" t="s">
        <v>116</v>
      </c>
      <c r="D414" s="1" t="s">
        <v>102</v>
      </c>
      <c r="E414" s="1" t="s">
        <v>21</v>
      </c>
      <c r="F414" s="5">
        <v>1.1977</v>
      </c>
      <c r="G414" s="5">
        <v>345.456599</v>
      </c>
      <c r="H414" s="5">
        <v>0.4792</v>
      </c>
      <c r="I414" s="5">
        <v>201.0</v>
      </c>
    </row>
    <row r="415">
      <c r="A415" s="6" t="s">
        <v>183</v>
      </c>
      <c r="B415" s="5">
        <v>8.0</v>
      </c>
      <c r="C415" s="1" t="s">
        <v>116</v>
      </c>
      <c r="D415" s="1" t="s">
        <v>158</v>
      </c>
      <c r="E415" s="1" t="s">
        <v>39</v>
      </c>
      <c r="F415" s="5">
        <v>5.0E-4</v>
      </c>
      <c r="G415" s="5">
        <v>0.235851</v>
      </c>
      <c r="H415" s="5">
        <v>1.0E-4</v>
      </c>
      <c r="I415" s="5">
        <v>0.0</v>
      </c>
    </row>
    <row r="416">
      <c r="A416" s="6" t="s">
        <v>183</v>
      </c>
      <c r="B416" s="5">
        <v>8.0</v>
      </c>
      <c r="C416" s="1" t="s">
        <v>116</v>
      </c>
      <c r="D416" s="1" t="s">
        <v>158</v>
      </c>
      <c r="E416" s="1" t="s">
        <v>17</v>
      </c>
      <c r="F416" s="5">
        <v>0.0491</v>
      </c>
      <c r="G416" s="5">
        <v>21.17829</v>
      </c>
      <c r="H416" s="5">
        <v>0.0172</v>
      </c>
      <c r="I416" s="5">
        <v>0.0</v>
      </c>
    </row>
    <row r="417">
      <c r="A417" s="6" t="s">
        <v>183</v>
      </c>
      <c r="B417" s="5">
        <v>8.0</v>
      </c>
      <c r="C417" s="1" t="s">
        <v>116</v>
      </c>
      <c r="D417" s="1" t="s">
        <v>158</v>
      </c>
      <c r="E417" s="1" t="s">
        <v>21</v>
      </c>
      <c r="F417" s="5">
        <v>0.3095</v>
      </c>
      <c r="G417" s="5">
        <v>161.393145</v>
      </c>
      <c r="H417" s="5">
        <v>0.13</v>
      </c>
      <c r="I417" s="5">
        <v>0.0</v>
      </c>
    </row>
    <row r="418">
      <c r="A418" s="6" t="s">
        <v>183</v>
      </c>
      <c r="B418" s="5">
        <v>8.0</v>
      </c>
      <c r="C418" s="1" t="s">
        <v>116</v>
      </c>
      <c r="D418" s="1" t="s">
        <v>165</v>
      </c>
      <c r="E418" s="1" t="s">
        <v>39</v>
      </c>
      <c r="F418" s="5">
        <v>0.2466</v>
      </c>
      <c r="G418" s="5">
        <v>41.636364</v>
      </c>
      <c r="H418" s="5">
        <v>0.0444</v>
      </c>
      <c r="I418" s="5">
        <v>0.0</v>
      </c>
    </row>
    <row r="419">
      <c r="A419" s="6" t="s">
        <v>183</v>
      </c>
      <c r="B419" s="5">
        <v>8.0</v>
      </c>
      <c r="C419" s="1" t="s">
        <v>116</v>
      </c>
      <c r="D419" s="1" t="s">
        <v>165</v>
      </c>
      <c r="E419" s="1" t="s">
        <v>17</v>
      </c>
      <c r="F419" s="5">
        <v>0.5598</v>
      </c>
      <c r="G419" s="5">
        <v>128.825793</v>
      </c>
      <c r="H419" s="5">
        <v>0.1959</v>
      </c>
      <c r="I419" s="5">
        <v>0.0</v>
      </c>
    </row>
    <row r="420">
      <c r="A420" s="6" t="s">
        <v>183</v>
      </c>
      <c r="B420" s="5">
        <v>8.0</v>
      </c>
      <c r="C420" s="1" t="s">
        <v>116</v>
      </c>
      <c r="D420" s="1" t="s">
        <v>38</v>
      </c>
      <c r="E420" s="1" t="s">
        <v>39</v>
      </c>
      <c r="F420" s="5">
        <v>1.442</v>
      </c>
      <c r="G420" s="5">
        <v>152.140199</v>
      </c>
      <c r="H420" s="5">
        <v>0.2596</v>
      </c>
      <c r="I420" s="5">
        <v>190.0</v>
      </c>
    </row>
    <row r="421">
      <c r="A421" s="6" t="s">
        <v>183</v>
      </c>
      <c r="B421" s="5">
        <v>9.0</v>
      </c>
      <c r="C421" s="1" t="s">
        <v>12</v>
      </c>
      <c r="D421" s="1" t="s">
        <v>13</v>
      </c>
      <c r="E421" s="1" t="s">
        <v>14</v>
      </c>
      <c r="F421" s="5">
        <v>11.6793</v>
      </c>
      <c r="G421" s="5">
        <v>692.956619</v>
      </c>
      <c r="H421" s="5">
        <v>2.4527</v>
      </c>
      <c r="I421" s="5">
        <v>532.0</v>
      </c>
    </row>
    <row r="422">
      <c r="A422" s="6" t="s">
        <v>183</v>
      </c>
      <c r="B422" s="5">
        <v>9.0</v>
      </c>
      <c r="C422" s="1" t="s">
        <v>12</v>
      </c>
      <c r="D422" s="1" t="s">
        <v>13</v>
      </c>
      <c r="E422" s="1" t="s">
        <v>17</v>
      </c>
      <c r="F422" s="5">
        <v>83.769</v>
      </c>
      <c r="G422" s="5">
        <v>6512.425501</v>
      </c>
      <c r="H422" s="5">
        <v>29.3192</v>
      </c>
      <c r="I422" s="5">
        <v>710.0</v>
      </c>
    </row>
    <row r="423">
      <c r="A423" s="6" t="s">
        <v>183</v>
      </c>
      <c r="B423" s="5">
        <v>9.0</v>
      </c>
      <c r="C423" s="1" t="s">
        <v>12</v>
      </c>
      <c r="D423" s="1" t="s">
        <v>13</v>
      </c>
      <c r="E423" s="1" t="s">
        <v>21</v>
      </c>
      <c r="F423" s="5">
        <v>17.6986</v>
      </c>
      <c r="G423" s="5">
        <v>2124.543597</v>
      </c>
      <c r="H423" s="5">
        <v>8.8492</v>
      </c>
      <c r="I423" s="5">
        <v>508.0</v>
      </c>
    </row>
    <row r="424">
      <c r="A424" s="6" t="s">
        <v>183</v>
      </c>
      <c r="B424" s="5">
        <v>9.0</v>
      </c>
      <c r="C424" s="1" t="s">
        <v>12</v>
      </c>
      <c r="D424" s="1" t="s">
        <v>13</v>
      </c>
      <c r="E424" s="1" t="s">
        <v>25</v>
      </c>
      <c r="F424" s="5">
        <v>0.0047</v>
      </c>
      <c r="G424" s="5">
        <v>1.028076</v>
      </c>
      <c r="H424" s="5">
        <v>0.0036</v>
      </c>
      <c r="I424" s="5">
        <v>5.0</v>
      </c>
    </row>
    <row r="425">
      <c r="A425" s="6" t="s">
        <v>183</v>
      </c>
      <c r="B425" s="5">
        <v>9.0</v>
      </c>
      <c r="C425" s="1" t="s">
        <v>12</v>
      </c>
      <c r="D425" s="1" t="s">
        <v>29</v>
      </c>
      <c r="E425" s="1" t="s">
        <v>21</v>
      </c>
      <c r="F425" s="5">
        <v>28.8596</v>
      </c>
      <c r="G425" s="5">
        <v>4467.334807</v>
      </c>
      <c r="H425" s="5">
        <v>11.5439</v>
      </c>
      <c r="I425" s="5">
        <v>646.0</v>
      </c>
    </row>
    <row r="426">
      <c r="A426" s="6" t="s">
        <v>183</v>
      </c>
      <c r="B426" s="5">
        <v>9.0</v>
      </c>
      <c r="C426" s="1" t="s">
        <v>12</v>
      </c>
      <c r="D426" s="1" t="s">
        <v>32</v>
      </c>
      <c r="E426" s="1" t="s">
        <v>14</v>
      </c>
      <c r="F426" s="5">
        <v>6.6518</v>
      </c>
      <c r="G426" s="5">
        <v>372.043144</v>
      </c>
      <c r="H426" s="5">
        <v>1.5299</v>
      </c>
      <c r="I426" s="5">
        <v>454.0</v>
      </c>
    </row>
    <row r="427">
      <c r="A427" s="6" t="s">
        <v>183</v>
      </c>
      <c r="B427" s="5">
        <v>9.0</v>
      </c>
      <c r="C427" s="1" t="s">
        <v>12</v>
      </c>
      <c r="D427" s="1" t="s">
        <v>32</v>
      </c>
      <c r="E427" s="1" t="s">
        <v>21</v>
      </c>
      <c r="F427" s="5">
        <v>0.5486</v>
      </c>
      <c r="G427" s="5">
        <v>60.611304</v>
      </c>
      <c r="H427" s="5">
        <v>0.2469</v>
      </c>
      <c r="I427" s="5">
        <v>91.0</v>
      </c>
    </row>
    <row r="428">
      <c r="A428" s="6" t="s">
        <v>183</v>
      </c>
      <c r="B428" s="5">
        <v>9.0</v>
      </c>
      <c r="C428" s="1" t="s">
        <v>12</v>
      </c>
      <c r="D428" s="1" t="s">
        <v>42</v>
      </c>
      <c r="E428" s="1" t="s">
        <v>17</v>
      </c>
      <c r="F428" s="5">
        <v>2.4629</v>
      </c>
      <c r="G428" s="5">
        <v>369.873609</v>
      </c>
      <c r="H428" s="5">
        <v>0.9113</v>
      </c>
      <c r="I428" s="5">
        <v>162.0</v>
      </c>
    </row>
    <row r="429">
      <c r="A429" s="6" t="s">
        <v>183</v>
      </c>
      <c r="B429" s="5">
        <v>9.0</v>
      </c>
      <c r="C429" s="1" t="s">
        <v>12</v>
      </c>
      <c r="D429" s="1" t="s">
        <v>45</v>
      </c>
      <c r="E429" s="1" t="s">
        <v>17</v>
      </c>
      <c r="F429" s="5">
        <v>5.6566</v>
      </c>
      <c r="G429" s="5">
        <v>335.499881</v>
      </c>
      <c r="H429" s="5">
        <v>2.0364</v>
      </c>
      <c r="I429" s="5">
        <v>174.0</v>
      </c>
    </row>
    <row r="430">
      <c r="A430" s="6" t="s">
        <v>183</v>
      </c>
      <c r="B430" s="5">
        <v>9.0</v>
      </c>
      <c r="C430" s="1" t="s">
        <v>12</v>
      </c>
      <c r="D430" s="1" t="s">
        <v>38</v>
      </c>
      <c r="E430" s="1" t="s">
        <v>39</v>
      </c>
      <c r="F430" s="5">
        <v>2.7855</v>
      </c>
      <c r="G430" s="5">
        <v>291.057245</v>
      </c>
      <c r="H430" s="5">
        <v>0.5015</v>
      </c>
      <c r="I430" s="5">
        <v>98.0</v>
      </c>
    </row>
    <row r="431">
      <c r="A431" s="6" t="s">
        <v>183</v>
      </c>
      <c r="B431" s="5">
        <v>9.0</v>
      </c>
      <c r="C431" s="1" t="s">
        <v>12</v>
      </c>
      <c r="D431" s="1" t="s">
        <v>48</v>
      </c>
      <c r="E431" s="1" t="s">
        <v>49</v>
      </c>
      <c r="F431" s="5">
        <v>0.0043</v>
      </c>
      <c r="G431" s="5">
        <v>1.373928</v>
      </c>
      <c r="H431" s="5">
        <v>0.0013</v>
      </c>
      <c r="I431" s="5">
        <v>3.0</v>
      </c>
    </row>
    <row r="432">
      <c r="A432" s="6" t="s">
        <v>183</v>
      </c>
      <c r="B432" s="5">
        <v>9.0</v>
      </c>
      <c r="C432" s="1" t="s">
        <v>12</v>
      </c>
      <c r="D432" s="1" t="s">
        <v>48</v>
      </c>
      <c r="E432" s="1" t="s">
        <v>21</v>
      </c>
      <c r="F432" s="5">
        <v>0.7638</v>
      </c>
      <c r="G432" s="5">
        <v>92.426348</v>
      </c>
      <c r="H432" s="5">
        <v>0.3055</v>
      </c>
      <c r="I432" s="5">
        <v>121.0</v>
      </c>
    </row>
    <row r="433">
      <c r="A433" s="6" t="s">
        <v>183</v>
      </c>
      <c r="B433" s="5">
        <v>9.0</v>
      </c>
      <c r="C433" s="1" t="s">
        <v>12</v>
      </c>
      <c r="D433" s="1" t="s">
        <v>56</v>
      </c>
      <c r="E433" s="1" t="s">
        <v>21</v>
      </c>
      <c r="F433" s="5">
        <v>0.4745</v>
      </c>
      <c r="G433" s="5">
        <v>93.170169</v>
      </c>
      <c r="H433" s="5">
        <v>0.1898</v>
      </c>
      <c r="I433" s="5">
        <v>181.0</v>
      </c>
    </row>
    <row r="434">
      <c r="A434" s="6" t="s">
        <v>183</v>
      </c>
      <c r="B434" s="5">
        <v>9.0</v>
      </c>
      <c r="C434" s="1" t="s">
        <v>12</v>
      </c>
      <c r="D434" s="1" t="s">
        <v>848</v>
      </c>
      <c r="E434" s="1" t="s">
        <v>21</v>
      </c>
      <c r="F434" s="5">
        <v>0.242</v>
      </c>
      <c r="G434" s="5">
        <v>51.531351</v>
      </c>
      <c r="H434" s="5">
        <v>0.0967</v>
      </c>
      <c r="I434" s="5">
        <v>47.0</v>
      </c>
    </row>
    <row r="435">
      <c r="A435" s="6" t="s">
        <v>183</v>
      </c>
      <c r="B435" s="5">
        <v>9.0</v>
      </c>
      <c r="C435" s="1" t="s">
        <v>12</v>
      </c>
      <c r="D435" s="1" t="s">
        <v>60</v>
      </c>
      <c r="E435" s="1" t="s">
        <v>39</v>
      </c>
      <c r="F435" s="5">
        <v>0.2164</v>
      </c>
      <c r="G435" s="5">
        <v>35.386023</v>
      </c>
      <c r="H435" s="5">
        <v>0.0411</v>
      </c>
      <c r="I435" s="5">
        <v>0.0</v>
      </c>
    </row>
    <row r="436">
      <c r="A436" s="6" t="s">
        <v>183</v>
      </c>
      <c r="B436" s="5">
        <v>9.0</v>
      </c>
      <c r="C436" s="1" t="s">
        <v>12</v>
      </c>
      <c r="D436" s="1" t="s">
        <v>60</v>
      </c>
      <c r="E436" s="1" t="s">
        <v>17</v>
      </c>
      <c r="F436" s="5">
        <v>0.0013</v>
      </c>
      <c r="G436" s="5">
        <v>0.175645</v>
      </c>
      <c r="H436" s="5">
        <v>5.0E-4</v>
      </c>
      <c r="I436" s="5">
        <v>0.0</v>
      </c>
    </row>
    <row r="437">
      <c r="A437" s="6" t="s">
        <v>183</v>
      </c>
      <c r="B437" s="5">
        <v>9.0</v>
      </c>
      <c r="C437" s="1" t="s">
        <v>68</v>
      </c>
      <c r="D437" s="1" t="s">
        <v>13</v>
      </c>
      <c r="E437" s="1" t="s">
        <v>14</v>
      </c>
      <c r="F437" s="5">
        <v>53.5782</v>
      </c>
      <c r="G437" s="5">
        <v>3386.327367</v>
      </c>
      <c r="H437" s="5">
        <v>11.2514</v>
      </c>
      <c r="I437" s="5">
        <v>7789.0</v>
      </c>
    </row>
    <row r="438">
      <c r="A438" s="6" t="s">
        <v>183</v>
      </c>
      <c r="B438" s="5">
        <v>9.0</v>
      </c>
      <c r="C438" s="1" t="s">
        <v>68</v>
      </c>
      <c r="D438" s="1" t="s">
        <v>13</v>
      </c>
      <c r="E438" s="1" t="s">
        <v>72</v>
      </c>
      <c r="F438" s="5">
        <v>0.0086</v>
      </c>
      <c r="G438" s="5">
        <v>0.985176</v>
      </c>
      <c r="H438" s="5">
        <v>0.0027</v>
      </c>
      <c r="I438" s="5">
        <v>1.0</v>
      </c>
    </row>
    <row r="439">
      <c r="A439" s="6" t="s">
        <v>183</v>
      </c>
      <c r="B439" s="5">
        <v>9.0</v>
      </c>
      <c r="C439" s="1" t="s">
        <v>68</v>
      </c>
      <c r="D439" s="1" t="s">
        <v>13</v>
      </c>
      <c r="E439" s="1" t="s">
        <v>17</v>
      </c>
      <c r="F439" s="5">
        <v>68.3218</v>
      </c>
      <c r="G439" s="5">
        <v>6367.316132</v>
      </c>
      <c r="H439" s="5">
        <v>23.9125</v>
      </c>
      <c r="I439" s="5">
        <v>9323.0</v>
      </c>
    </row>
    <row r="440">
      <c r="A440" s="6" t="s">
        <v>183</v>
      </c>
      <c r="B440" s="5">
        <v>9.0</v>
      </c>
      <c r="C440" s="1" t="s">
        <v>68</v>
      </c>
      <c r="D440" s="1" t="s">
        <v>13</v>
      </c>
      <c r="E440" s="1" t="s">
        <v>21</v>
      </c>
      <c r="F440" s="5">
        <v>5.7032</v>
      </c>
      <c r="G440" s="5">
        <v>825.612183</v>
      </c>
      <c r="H440" s="5">
        <v>2.8516</v>
      </c>
      <c r="I440" s="5">
        <v>1288.0</v>
      </c>
    </row>
    <row r="441">
      <c r="A441" s="6" t="s">
        <v>183</v>
      </c>
      <c r="B441" s="5">
        <v>9.0</v>
      </c>
      <c r="C441" s="1" t="s">
        <v>68</v>
      </c>
      <c r="D441" s="1" t="s">
        <v>13</v>
      </c>
      <c r="E441" s="1" t="s">
        <v>25</v>
      </c>
      <c r="F441" s="5">
        <v>0.3981</v>
      </c>
      <c r="G441" s="5">
        <v>68.190552</v>
      </c>
      <c r="H441" s="5">
        <v>0.2986</v>
      </c>
      <c r="I441" s="5">
        <v>305.0</v>
      </c>
    </row>
    <row r="442">
      <c r="A442" s="6" t="s">
        <v>183</v>
      </c>
      <c r="B442" s="5">
        <v>9.0</v>
      </c>
      <c r="C442" s="1" t="s">
        <v>68</v>
      </c>
      <c r="D442" s="1" t="s">
        <v>29</v>
      </c>
      <c r="E442" s="1" t="s">
        <v>21</v>
      </c>
      <c r="F442" s="5">
        <v>9.4641</v>
      </c>
      <c r="G442" s="5">
        <v>1951.666573</v>
      </c>
      <c r="H442" s="5">
        <v>3.7857</v>
      </c>
      <c r="I442" s="5">
        <v>1363.0</v>
      </c>
    </row>
    <row r="443">
      <c r="A443" s="6" t="s">
        <v>183</v>
      </c>
      <c r="B443" s="5">
        <v>9.0</v>
      </c>
      <c r="C443" s="1" t="s">
        <v>68</v>
      </c>
      <c r="D443" s="1" t="s">
        <v>45</v>
      </c>
      <c r="E443" s="1" t="s">
        <v>17</v>
      </c>
      <c r="F443" s="5">
        <v>8.1878</v>
      </c>
      <c r="G443" s="5">
        <v>600.12229</v>
      </c>
      <c r="H443" s="5">
        <v>2.9476</v>
      </c>
      <c r="I443" s="5">
        <v>1787.0</v>
      </c>
    </row>
    <row r="444">
      <c r="A444" s="6" t="s">
        <v>183</v>
      </c>
      <c r="B444" s="5">
        <v>9.0</v>
      </c>
      <c r="C444" s="1" t="s">
        <v>68</v>
      </c>
      <c r="D444" s="1" t="s">
        <v>32</v>
      </c>
      <c r="E444" s="1" t="s">
        <v>14</v>
      </c>
      <c r="F444" s="5">
        <v>2.3518</v>
      </c>
      <c r="G444" s="5">
        <v>180.630856</v>
      </c>
      <c r="H444" s="5">
        <v>0.5409</v>
      </c>
      <c r="I444" s="5">
        <v>1360.0</v>
      </c>
    </row>
    <row r="445">
      <c r="A445" s="6" t="s">
        <v>183</v>
      </c>
      <c r="B445" s="5">
        <v>9.0</v>
      </c>
      <c r="C445" s="1" t="s">
        <v>68</v>
      </c>
      <c r="D445" s="1" t="s">
        <v>32</v>
      </c>
      <c r="E445" s="1" t="s">
        <v>21</v>
      </c>
      <c r="F445" s="5">
        <v>0.87</v>
      </c>
      <c r="G445" s="5">
        <v>156.616257</v>
      </c>
      <c r="H445" s="5">
        <v>0.3915</v>
      </c>
      <c r="I445" s="5">
        <v>319.0</v>
      </c>
    </row>
    <row r="446">
      <c r="A446" s="6" t="s">
        <v>183</v>
      </c>
      <c r="B446" s="5">
        <v>9.0</v>
      </c>
      <c r="C446" s="1" t="s">
        <v>68</v>
      </c>
      <c r="D446" s="1" t="s">
        <v>38</v>
      </c>
      <c r="E446" s="1" t="s">
        <v>39</v>
      </c>
      <c r="F446" s="5">
        <v>1.1543</v>
      </c>
      <c r="G446" s="5">
        <v>102.778449</v>
      </c>
      <c r="H446" s="5">
        <v>0.2078</v>
      </c>
      <c r="I446" s="5">
        <v>259.0</v>
      </c>
    </row>
    <row r="447">
      <c r="A447" s="6" t="s">
        <v>183</v>
      </c>
      <c r="B447" s="5">
        <v>9.0</v>
      </c>
      <c r="C447" s="1" t="s">
        <v>68</v>
      </c>
      <c r="D447" s="1" t="s">
        <v>42</v>
      </c>
      <c r="E447" s="1" t="s">
        <v>17</v>
      </c>
      <c r="F447" s="5">
        <v>0.6243</v>
      </c>
      <c r="G447" s="5">
        <v>99.389678</v>
      </c>
      <c r="H447" s="5">
        <v>0.231</v>
      </c>
      <c r="I447" s="5">
        <v>234.0</v>
      </c>
    </row>
    <row r="448">
      <c r="A448" s="6" t="s">
        <v>183</v>
      </c>
      <c r="B448" s="5">
        <v>9.0</v>
      </c>
      <c r="C448" s="1" t="s">
        <v>68</v>
      </c>
      <c r="D448" s="1" t="s">
        <v>102</v>
      </c>
      <c r="E448" s="1" t="s">
        <v>39</v>
      </c>
      <c r="F448" s="5">
        <v>0.0622</v>
      </c>
      <c r="G448" s="5">
        <v>20.959746</v>
      </c>
      <c r="H448" s="5">
        <v>0.0118</v>
      </c>
      <c r="I448" s="5">
        <v>73.0</v>
      </c>
    </row>
    <row r="449">
      <c r="A449" s="6" t="s">
        <v>183</v>
      </c>
      <c r="B449" s="5">
        <v>9.0</v>
      </c>
      <c r="C449" s="1" t="s">
        <v>68</v>
      </c>
      <c r="D449" s="1" t="s">
        <v>102</v>
      </c>
      <c r="E449" s="1" t="s">
        <v>21</v>
      </c>
      <c r="F449" s="5">
        <v>0.1746</v>
      </c>
      <c r="G449" s="5">
        <v>59.082552</v>
      </c>
      <c r="H449" s="5">
        <v>0.0698</v>
      </c>
      <c r="I449" s="5">
        <v>74.0</v>
      </c>
    </row>
    <row r="450">
      <c r="A450" s="6" t="s">
        <v>183</v>
      </c>
      <c r="B450" s="5">
        <v>9.0</v>
      </c>
      <c r="C450" s="1" t="s">
        <v>68</v>
      </c>
      <c r="D450" s="1" t="s">
        <v>98</v>
      </c>
      <c r="E450" s="1" t="s">
        <v>17</v>
      </c>
      <c r="F450" s="5">
        <v>0.2874</v>
      </c>
      <c r="G450" s="5">
        <v>65.509333</v>
      </c>
      <c r="H450" s="5">
        <v>0.1005</v>
      </c>
      <c r="I450" s="5">
        <v>0.0</v>
      </c>
    </row>
    <row r="451">
      <c r="A451" s="6" t="s">
        <v>183</v>
      </c>
      <c r="B451" s="5">
        <v>9.0</v>
      </c>
      <c r="C451" s="1" t="s">
        <v>68</v>
      </c>
      <c r="D451" s="1" t="s">
        <v>108</v>
      </c>
      <c r="E451" s="1" t="s">
        <v>49</v>
      </c>
      <c r="F451" s="5">
        <v>1.3202</v>
      </c>
      <c r="G451" s="5">
        <v>62.586761</v>
      </c>
      <c r="H451" s="5">
        <v>0.3697</v>
      </c>
      <c r="I451" s="5">
        <v>830.0</v>
      </c>
    </row>
    <row r="452">
      <c r="A452" s="6" t="s">
        <v>183</v>
      </c>
      <c r="B452" s="5">
        <v>9.0</v>
      </c>
      <c r="C452" s="1" t="s">
        <v>68</v>
      </c>
      <c r="D452" s="1" t="s">
        <v>48</v>
      </c>
      <c r="E452" s="1" t="s">
        <v>49</v>
      </c>
      <c r="F452" s="5">
        <v>0.0022</v>
      </c>
      <c r="G452" s="5">
        <v>0.854022</v>
      </c>
      <c r="H452" s="5">
        <v>6.0E-4</v>
      </c>
      <c r="I452" s="5">
        <v>2.0</v>
      </c>
    </row>
    <row r="453">
      <c r="A453" s="6" t="s">
        <v>183</v>
      </c>
      <c r="B453" s="5">
        <v>9.0</v>
      </c>
      <c r="C453" s="1" t="s">
        <v>68</v>
      </c>
      <c r="D453" s="1" t="s">
        <v>48</v>
      </c>
      <c r="E453" s="1" t="s">
        <v>21</v>
      </c>
      <c r="F453" s="5">
        <v>0.4761</v>
      </c>
      <c r="G453" s="5">
        <v>55.913785</v>
      </c>
      <c r="H453" s="5">
        <v>0.1904</v>
      </c>
      <c r="I453" s="5">
        <v>334.0</v>
      </c>
    </row>
    <row r="454">
      <c r="A454" s="6" t="s">
        <v>183</v>
      </c>
      <c r="B454" s="5">
        <v>9.0</v>
      </c>
      <c r="C454" s="1" t="s">
        <v>116</v>
      </c>
      <c r="D454" s="1" t="s">
        <v>13</v>
      </c>
      <c r="E454" s="1" t="s">
        <v>14</v>
      </c>
      <c r="F454" s="5">
        <v>137.4557</v>
      </c>
      <c r="G454" s="5">
        <v>7628.51873</v>
      </c>
      <c r="H454" s="5">
        <v>28.8657</v>
      </c>
      <c r="I454" s="5">
        <v>11267.0</v>
      </c>
    </row>
    <row r="455">
      <c r="A455" s="6" t="s">
        <v>183</v>
      </c>
      <c r="B455" s="5">
        <v>9.0</v>
      </c>
      <c r="C455" s="1" t="s">
        <v>116</v>
      </c>
      <c r="D455" s="1" t="s">
        <v>13</v>
      </c>
      <c r="E455" s="1" t="s">
        <v>17</v>
      </c>
      <c r="F455" s="5">
        <v>150.4766</v>
      </c>
      <c r="G455" s="5">
        <v>11344.359734</v>
      </c>
      <c r="H455" s="5">
        <v>52.6668</v>
      </c>
      <c r="I455" s="5">
        <v>11891.0</v>
      </c>
    </row>
    <row r="456">
      <c r="A456" s="6" t="s">
        <v>183</v>
      </c>
      <c r="B456" s="5">
        <v>9.0</v>
      </c>
      <c r="C456" s="1" t="s">
        <v>116</v>
      </c>
      <c r="D456" s="1" t="s">
        <v>13</v>
      </c>
      <c r="E456" s="1" t="s">
        <v>21</v>
      </c>
      <c r="F456" s="5">
        <v>9.1911</v>
      </c>
      <c r="G456" s="5">
        <v>1138.447524</v>
      </c>
      <c r="H456" s="5">
        <v>4.5955</v>
      </c>
      <c r="I456" s="5">
        <v>1076.0</v>
      </c>
    </row>
    <row r="457">
      <c r="A457" s="6" t="s">
        <v>183</v>
      </c>
      <c r="B457" s="5">
        <v>9.0</v>
      </c>
      <c r="C457" s="1" t="s">
        <v>116</v>
      </c>
      <c r="D457" s="1" t="s">
        <v>13</v>
      </c>
      <c r="E457" s="1" t="s">
        <v>25</v>
      </c>
      <c r="F457" s="5">
        <v>0.199</v>
      </c>
      <c r="G457" s="5">
        <v>33.195005</v>
      </c>
      <c r="H457" s="5">
        <v>0.1493</v>
      </c>
      <c r="I457" s="5">
        <v>67.0</v>
      </c>
    </row>
    <row r="458">
      <c r="A458" s="6" t="s">
        <v>183</v>
      </c>
      <c r="B458" s="5">
        <v>9.0</v>
      </c>
      <c r="C458" s="1" t="s">
        <v>116</v>
      </c>
      <c r="D458" s="1" t="s">
        <v>29</v>
      </c>
      <c r="E458" s="1" t="s">
        <v>21</v>
      </c>
      <c r="F458" s="5">
        <v>27.316</v>
      </c>
      <c r="G458" s="5">
        <v>5429.497506</v>
      </c>
      <c r="H458" s="5">
        <v>10.9264</v>
      </c>
      <c r="I458" s="5">
        <v>2225.0</v>
      </c>
    </row>
    <row r="459">
      <c r="A459" s="6" t="s">
        <v>183</v>
      </c>
      <c r="B459" s="5">
        <v>9.0</v>
      </c>
      <c r="C459" s="1" t="s">
        <v>116</v>
      </c>
      <c r="D459" s="1" t="s">
        <v>45</v>
      </c>
      <c r="E459" s="1" t="s">
        <v>17</v>
      </c>
      <c r="F459" s="5">
        <v>26.433</v>
      </c>
      <c r="G459" s="5">
        <v>1826.391006</v>
      </c>
      <c r="H459" s="5">
        <v>9.5158</v>
      </c>
      <c r="I459" s="5">
        <v>2081.0</v>
      </c>
    </row>
    <row r="460">
      <c r="A460" s="6" t="s">
        <v>183</v>
      </c>
      <c r="B460" s="5">
        <v>9.0</v>
      </c>
      <c r="C460" s="1" t="s">
        <v>116</v>
      </c>
      <c r="D460" s="1" t="s">
        <v>32</v>
      </c>
      <c r="E460" s="1" t="s">
        <v>14</v>
      </c>
      <c r="F460" s="5">
        <v>5.6877</v>
      </c>
      <c r="G460" s="5">
        <v>372.513254</v>
      </c>
      <c r="H460" s="5">
        <v>1.3082</v>
      </c>
      <c r="I460" s="5">
        <v>1505.0</v>
      </c>
    </row>
    <row r="461">
      <c r="A461" s="6" t="s">
        <v>183</v>
      </c>
      <c r="B461" s="5">
        <v>9.0</v>
      </c>
      <c r="C461" s="1" t="s">
        <v>116</v>
      </c>
      <c r="D461" s="1" t="s">
        <v>32</v>
      </c>
      <c r="E461" s="1" t="s">
        <v>21</v>
      </c>
      <c r="F461" s="5">
        <v>1.856</v>
      </c>
      <c r="G461" s="5">
        <v>283.975691</v>
      </c>
      <c r="H461" s="5">
        <v>0.8352</v>
      </c>
      <c r="I461" s="5">
        <v>847.0</v>
      </c>
    </row>
    <row r="462">
      <c r="A462" s="6" t="s">
        <v>183</v>
      </c>
      <c r="B462" s="5">
        <v>9.0</v>
      </c>
      <c r="C462" s="1" t="s">
        <v>116</v>
      </c>
      <c r="D462" s="1" t="s">
        <v>42</v>
      </c>
      <c r="E462" s="1" t="s">
        <v>17</v>
      </c>
      <c r="F462" s="5">
        <v>2.9929</v>
      </c>
      <c r="G462" s="5">
        <v>496.055713</v>
      </c>
      <c r="H462" s="5">
        <v>1.1074</v>
      </c>
      <c r="I462" s="5">
        <v>574.0</v>
      </c>
    </row>
    <row r="463">
      <c r="A463" s="6" t="s">
        <v>183</v>
      </c>
      <c r="B463" s="5">
        <v>9.0</v>
      </c>
      <c r="C463" s="1" t="s">
        <v>116</v>
      </c>
      <c r="D463" s="1" t="s">
        <v>147</v>
      </c>
      <c r="E463" s="1" t="s">
        <v>39</v>
      </c>
      <c r="F463" s="5">
        <v>1.0918</v>
      </c>
      <c r="G463" s="5">
        <v>304.052439</v>
      </c>
      <c r="H463" s="5">
        <v>0.2073</v>
      </c>
      <c r="I463" s="5">
        <v>86.0</v>
      </c>
    </row>
    <row r="464">
      <c r="A464" s="6" t="s">
        <v>183</v>
      </c>
      <c r="B464" s="5">
        <v>9.0</v>
      </c>
      <c r="C464" s="1" t="s">
        <v>116</v>
      </c>
      <c r="D464" s="1" t="s">
        <v>147</v>
      </c>
      <c r="E464" s="1" t="s">
        <v>17</v>
      </c>
      <c r="F464" s="5">
        <v>0.0356</v>
      </c>
      <c r="G464" s="5">
        <v>9.524402</v>
      </c>
      <c r="H464" s="5">
        <v>0.0125</v>
      </c>
      <c r="I464" s="5">
        <v>8.0</v>
      </c>
    </row>
    <row r="465">
      <c r="A465" s="6" t="s">
        <v>183</v>
      </c>
      <c r="B465" s="5">
        <v>9.0</v>
      </c>
      <c r="C465" s="1" t="s">
        <v>116</v>
      </c>
      <c r="D465" s="1" t="s">
        <v>147</v>
      </c>
      <c r="E465" s="1" t="s">
        <v>21</v>
      </c>
      <c r="F465" s="5">
        <v>0.066</v>
      </c>
      <c r="G465" s="5">
        <v>32.461528</v>
      </c>
      <c r="H465" s="5">
        <v>0.033</v>
      </c>
      <c r="I465" s="5">
        <v>53.0</v>
      </c>
    </row>
    <row r="466">
      <c r="A466" s="6" t="s">
        <v>183</v>
      </c>
      <c r="B466" s="5">
        <v>9.0</v>
      </c>
      <c r="C466" s="1" t="s">
        <v>116</v>
      </c>
      <c r="D466" s="1" t="s">
        <v>102</v>
      </c>
      <c r="E466" s="1" t="s">
        <v>39</v>
      </c>
      <c r="F466" s="5">
        <v>0.0163</v>
      </c>
      <c r="G466" s="5">
        <v>2.042558</v>
      </c>
      <c r="H466" s="5">
        <v>0.0031</v>
      </c>
      <c r="I466" s="5">
        <v>4.0</v>
      </c>
    </row>
    <row r="467">
      <c r="A467" s="6" t="s">
        <v>183</v>
      </c>
      <c r="B467" s="5">
        <v>9.0</v>
      </c>
      <c r="C467" s="1" t="s">
        <v>116</v>
      </c>
      <c r="D467" s="1" t="s">
        <v>102</v>
      </c>
      <c r="E467" s="1" t="s">
        <v>17</v>
      </c>
      <c r="F467" s="5">
        <v>7.0E-4</v>
      </c>
      <c r="G467" s="5">
        <v>0.255941</v>
      </c>
      <c r="H467" s="5">
        <v>2.0E-4</v>
      </c>
      <c r="I467" s="5">
        <v>1.0</v>
      </c>
    </row>
    <row r="468">
      <c r="A468" s="6" t="s">
        <v>183</v>
      </c>
      <c r="B468" s="5">
        <v>9.0</v>
      </c>
      <c r="C468" s="1" t="s">
        <v>116</v>
      </c>
      <c r="D468" s="1" t="s">
        <v>102</v>
      </c>
      <c r="E468" s="1" t="s">
        <v>21</v>
      </c>
      <c r="F468" s="5">
        <v>1.0473</v>
      </c>
      <c r="G468" s="5">
        <v>309.440934</v>
      </c>
      <c r="H468" s="5">
        <v>0.4189</v>
      </c>
      <c r="I468" s="5">
        <v>170.0</v>
      </c>
    </row>
    <row r="469">
      <c r="A469" s="6" t="s">
        <v>183</v>
      </c>
      <c r="B469" s="5">
        <v>9.0</v>
      </c>
      <c r="C469" s="1" t="s">
        <v>116</v>
      </c>
      <c r="D469" s="1" t="s">
        <v>165</v>
      </c>
      <c r="E469" s="1" t="s">
        <v>39</v>
      </c>
      <c r="F469" s="5">
        <v>0.3415</v>
      </c>
      <c r="G469" s="5">
        <v>57.675272</v>
      </c>
      <c r="H469" s="5">
        <v>0.0615</v>
      </c>
      <c r="I469" s="5">
        <v>0.0</v>
      </c>
    </row>
    <row r="470">
      <c r="A470" s="6" t="s">
        <v>183</v>
      </c>
      <c r="B470" s="5">
        <v>9.0</v>
      </c>
      <c r="C470" s="1" t="s">
        <v>116</v>
      </c>
      <c r="D470" s="1" t="s">
        <v>165</v>
      </c>
      <c r="E470" s="1" t="s">
        <v>17</v>
      </c>
      <c r="F470" s="5">
        <v>0.6851</v>
      </c>
      <c r="G470" s="5">
        <v>159.264256</v>
      </c>
      <c r="H470" s="5">
        <v>0.2398</v>
      </c>
      <c r="I470" s="5">
        <v>0.0</v>
      </c>
    </row>
    <row r="471">
      <c r="A471" s="6" t="s">
        <v>183</v>
      </c>
      <c r="B471" s="5">
        <v>9.0</v>
      </c>
      <c r="C471" s="1" t="s">
        <v>116</v>
      </c>
      <c r="D471" s="1" t="s">
        <v>158</v>
      </c>
      <c r="E471" s="1" t="s">
        <v>39</v>
      </c>
      <c r="F471" s="5">
        <v>7.0E-4</v>
      </c>
      <c r="G471" s="5">
        <v>0.330204</v>
      </c>
      <c r="H471" s="5">
        <v>1.0E-4</v>
      </c>
      <c r="I471" s="5">
        <v>0.0</v>
      </c>
    </row>
    <row r="472">
      <c r="A472" s="6" t="s">
        <v>183</v>
      </c>
      <c r="B472" s="5">
        <v>9.0</v>
      </c>
      <c r="C472" s="1" t="s">
        <v>116</v>
      </c>
      <c r="D472" s="1" t="s">
        <v>158</v>
      </c>
      <c r="E472" s="1" t="s">
        <v>17</v>
      </c>
      <c r="F472" s="5">
        <v>0.0619</v>
      </c>
      <c r="G472" s="5">
        <v>28.234317</v>
      </c>
      <c r="H472" s="5">
        <v>0.0216</v>
      </c>
      <c r="I472" s="5">
        <v>0.0</v>
      </c>
    </row>
    <row r="473">
      <c r="A473" s="6" t="s">
        <v>183</v>
      </c>
      <c r="B473" s="5">
        <v>9.0</v>
      </c>
      <c r="C473" s="1" t="s">
        <v>116</v>
      </c>
      <c r="D473" s="1" t="s">
        <v>158</v>
      </c>
      <c r="E473" s="1" t="s">
        <v>21</v>
      </c>
      <c r="F473" s="5">
        <v>0.2886</v>
      </c>
      <c r="G473" s="5">
        <v>156.94971</v>
      </c>
      <c r="H473" s="5">
        <v>0.1213</v>
      </c>
      <c r="I473" s="5">
        <v>0.0</v>
      </c>
    </row>
    <row r="474">
      <c r="A474" s="6" t="s">
        <v>183</v>
      </c>
      <c r="B474" s="5">
        <v>9.0</v>
      </c>
      <c r="C474" s="1" t="s">
        <v>116</v>
      </c>
      <c r="D474" s="1" t="s">
        <v>330</v>
      </c>
      <c r="E474" s="1" t="s">
        <v>39</v>
      </c>
      <c r="F474" s="5">
        <v>2.0E-4</v>
      </c>
      <c r="G474" s="5">
        <v>0.024798</v>
      </c>
      <c r="H474" s="5">
        <v>1.0E-4</v>
      </c>
      <c r="I474" s="5">
        <v>2.0</v>
      </c>
    </row>
    <row r="475">
      <c r="A475" s="6" t="s">
        <v>183</v>
      </c>
      <c r="B475" s="5">
        <v>9.0</v>
      </c>
      <c r="C475" s="1" t="s">
        <v>116</v>
      </c>
      <c r="D475" s="1" t="s">
        <v>330</v>
      </c>
      <c r="E475" s="1" t="s">
        <v>17</v>
      </c>
      <c r="F475" s="5">
        <v>0.7629</v>
      </c>
      <c r="G475" s="5">
        <v>151.892613</v>
      </c>
      <c r="H475" s="5">
        <v>0.267</v>
      </c>
      <c r="I475" s="5">
        <v>114.0</v>
      </c>
    </row>
    <row r="476">
      <c r="A476" s="6" t="s">
        <v>183</v>
      </c>
      <c r="B476" s="5">
        <v>10.0</v>
      </c>
      <c r="C476" s="1" t="s">
        <v>12</v>
      </c>
      <c r="D476" s="1" t="s">
        <v>13</v>
      </c>
      <c r="E476" s="1" t="s">
        <v>14</v>
      </c>
      <c r="F476" s="5">
        <v>11.8332</v>
      </c>
      <c r="G476" s="5">
        <v>714.140479</v>
      </c>
      <c r="H476" s="5">
        <v>2.485</v>
      </c>
      <c r="I476" s="5">
        <v>536.0</v>
      </c>
    </row>
    <row r="477">
      <c r="A477" s="6" t="s">
        <v>183</v>
      </c>
      <c r="B477" s="5">
        <v>10.0</v>
      </c>
      <c r="C477" s="1" t="s">
        <v>12</v>
      </c>
      <c r="D477" s="1" t="s">
        <v>13</v>
      </c>
      <c r="E477" s="1" t="s">
        <v>17</v>
      </c>
      <c r="F477" s="5">
        <v>60.0832</v>
      </c>
      <c r="G477" s="5">
        <v>5107.393573</v>
      </c>
      <c r="H477" s="5">
        <v>21.0291</v>
      </c>
      <c r="I477" s="5">
        <v>776.0</v>
      </c>
    </row>
    <row r="478">
      <c r="A478" s="6" t="s">
        <v>183</v>
      </c>
      <c r="B478" s="5">
        <v>10.0</v>
      </c>
      <c r="C478" s="1" t="s">
        <v>12</v>
      </c>
      <c r="D478" s="1" t="s">
        <v>13</v>
      </c>
      <c r="E478" s="1" t="s">
        <v>21</v>
      </c>
      <c r="F478" s="5">
        <v>49.1396</v>
      </c>
      <c r="G478" s="5">
        <v>4853.057025</v>
      </c>
      <c r="H478" s="5">
        <v>24.5699</v>
      </c>
      <c r="I478" s="5">
        <v>513.0</v>
      </c>
    </row>
    <row r="479">
      <c r="A479" s="6" t="s">
        <v>183</v>
      </c>
      <c r="B479" s="5">
        <v>10.0</v>
      </c>
      <c r="C479" s="1" t="s">
        <v>12</v>
      </c>
      <c r="D479" s="1" t="s">
        <v>13</v>
      </c>
      <c r="E479" s="1" t="s">
        <v>25</v>
      </c>
      <c r="F479" s="5">
        <v>0.0046</v>
      </c>
      <c r="G479" s="5">
        <v>1.010239</v>
      </c>
      <c r="H479" s="5">
        <v>0.0035</v>
      </c>
      <c r="I479" s="5">
        <v>4.0</v>
      </c>
    </row>
    <row r="480">
      <c r="A480" s="6" t="s">
        <v>183</v>
      </c>
      <c r="B480" s="5">
        <v>10.0</v>
      </c>
      <c r="C480" s="1" t="s">
        <v>12</v>
      </c>
      <c r="D480" s="1" t="s">
        <v>29</v>
      </c>
      <c r="E480" s="1" t="s">
        <v>14</v>
      </c>
      <c r="F480" s="5">
        <v>0.0014</v>
      </c>
      <c r="G480" s="5">
        <v>0.155886</v>
      </c>
      <c r="H480" s="5">
        <v>3.0E-4</v>
      </c>
      <c r="I480" s="5">
        <v>2.0</v>
      </c>
    </row>
    <row r="481">
      <c r="A481" s="6" t="s">
        <v>183</v>
      </c>
      <c r="B481" s="5">
        <v>10.0</v>
      </c>
      <c r="C481" s="1" t="s">
        <v>12</v>
      </c>
      <c r="D481" s="1" t="s">
        <v>29</v>
      </c>
      <c r="E481" s="1" t="s">
        <v>21</v>
      </c>
      <c r="F481" s="5">
        <v>33.0503</v>
      </c>
      <c r="G481" s="5">
        <v>5290.42563599999</v>
      </c>
      <c r="H481" s="5">
        <v>13.2201</v>
      </c>
      <c r="I481" s="5">
        <v>649.0</v>
      </c>
    </row>
    <row r="482">
      <c r="A482" s="6" t="s">
        <v>183</v>
      </c>
      <c r="B482" s="5">
        <v>10.0</v>
      </c>
      <c r="C482" s="1" t="s">
        <v>12</v>
      </c>
      <c r="D482" s="1" t="s">
        <v>32</v>
      </c>
      <c r="E482" s="1" t="s">
        <v>14</v>
      </c>
      <c r="F482" s="5">
        <v>7.4771</v>
      </c>
      <c r="G482" s="5">
        <v>414.764541</v>
      </c>
      <c r="H482" s="5">
        <v>1.7197</v>
      </c>
      <c r="I482" s="5">
        <v>469.0</v>
      </c>
    </row>
    <row r="483">
      <c r="A483" s="6" t="s">
        <v>183</v>
      </c>
      <c r="B483" s="5">
        <v>10.0</v>
      </c>
      <c r="C483" s="1" t="s">
        <v>12</v>
      </c>
      <c r="D483" s="1" t="s">
        <v>32</v>
      </c>
      <c r="E483" s="1" t="s">
        <v>21</v>
      </c>
      <c r="F483" s="5">
        <v>0.9903</v>
      </c>
      <c r="G483" s="5">
        <v>126.79139</v>
      </c>
      <c r="H483" s="5">
        <v>0.4456</v>
      </c>
      <c r="I483" s="5">
        <v>273.0</v>
      </c>
    </row>
    <row r="484">
      <c r="A484" s="6" t="s">
        <v>183</v>
      </c>
      <c r="B484" s="5">
        <v>10.0</v>
      </c>
      <c r="C484" s="1" t="s">
        <v>12</v>
      </c>
      <c r="D484" s="1" t="s">
        <v>45</v>
      </c>
      <c r="E484" s="1" t="s">
        <v>17</v>
      </c>
      <c r="F484" s="5">
        <v>9.4438</v>
      </c>
      <c r="G484" s="5">
        <v>458.541928</v>
      </c>
      <c r="H484" s="5">
        <v>3.3997</v>
      </c>
      <c r="I484" s="5">
        <v>171.0</v>
      </c>
    </row>
    <row r="485">
      <c r="A485" s="6" t="s">
        <v>183</v>
      </c>
      <c r="B485" s="5">
        <v>10.0</v>
      </c>
      <c r="C485" s="1" t="s">
        <v>12</v>
      </c>
      <c r="D485" s="1" t="s">
        <v>42</v>
      </c>
      <c r="E485" s="1" t="s">
        <v>17</v>
      </c>
      <c r="F485" s="5">
        <v>2.7065</v>
      </c>
      <c r="G485" s="5">
        <v>367.066608</v>
      </c>
      <c r="H485" s="5">
        <v>1.0014</v>
      </c>
      <c r="I485" s="5">
        <v>167.0</v>
      </c>
    </row>
    <row r="486">
      <c r="A486" s="6" t="s">
        <v>183</v>
      </c>
      <c r="B486" s="5">
        <v>10.0</v>
      </c>
      <c r="C486" s="1" t="s">
        <v>12</v>
      </c>
      <c r="D486" s="1" t="s">
        <v>38</v>
      </c>
      <c r="E486" s="1" t="s">
        <v>39</v>
      </c>
      <c r="F486" s="5">
        <v>2.7049</v>
      </c>
      <c r="G486" s="5">
        <v>285.144203</v>
      </c>
      <c r="H486" s="5">
        <v>0.4869</v>
      </c>
      <c r="I486" s="5">
        <v>101.0</v>
      </c>
    </row>
    <row r="487">
      <c r="A487" s="6" t="s">
        <v>183</v>
      </c>
      <c r="B487" s="5">
        <v>10.0</v>
      </c>
      <c r="C487" s="1" t="s">
        <v>12</v>
      </c>
      <c r="D487" s="1" t="s">
        <v>56</v>
      </c>
      <c r="E487" s="1" t="s">
        <v>21</v>
      </c>
      <c r="F487" s="5">
        <v>0.5902</v>
      </c>
      <c r="G487" s="5">
        <v>116.502147</v>
      </c>
      <c r="H487" s="5">
        <v>0.2361</v>
      </c>
      <c r="I487" s="5">
        <v>209.0</v>
      </c>
    </row>
    <row r="488">
      <c r="A488" s="6" t="s">
        <v>183</v>
      </c>
      <c r="B488" s="5">
        <v>10.0</v>
      </c>
      <c r="C488" s="1" t="s">
        <v>12</v>
      </c>
      <c r="D488" s="1" t="s">
        <v>48</v>
      </c>
      <c r="E488" s="1" t="s">
        <v>49</v>
      </c>
      <c r="F488" s="5">
        <v>0.0085</v>
      </c>
      <c r="G488" s="5">
        <v>2.76735</v>
      </c>
      <c r="H488" s="5">
        <v>0.0024</v>
      </c>
      <c r="I488" s="5">
        <v>2.0</v>
      </c>
    </row>
    <row r="489">
      <c r="A489" s="6" t="s">
        <v>183</v>
      </c>
      <c r="B489" s="5">
        <v>10.0</v>
      </c>
      <c r="C489" s="1" t="s">
        <v>12</v>
      </c>
      <c r="D489" s="1" t="s">
        <v>48</v>
      </c>
      <c r="E489" s="1" t="s">
        <v>21</v>
      </c>
      <c r="F489" s="5">
        <v>0.866</v>
      </c>
      <c r="G489" s="5">
        <v>105.254914</v>
      </c>
      <c r="H489" s="5">
        <v>0.3464</v>
      </c>
      <c r="I489" s="5">
        <v>118.0</v>
      </c>
    </row>
    <row r="490">
      <c r="A490" s="6" t="s">
        <v>183</v>
      </c>
      <c r="B490" s="5">
        <v>10.0</v>
      </c>
      <c r="C490" s="1" t="s">
        <v>12</v>
      </c>
      <c r="D490" s="1" t="s">
        <v>848</v>
      </c>
      <c r="E490" s="1" t="s">
        <v>21</v>
      </c>
      <c r="F490" s="5">
        <v>0.3019</v>
      </c>
      <c r="G490" s="5">
        <v>52.337633</v>
      </c>
      <c r="H490" s="5">
        <v>0.1207</v>
      </c>
      <c r="I490" s="5">
        <v>57.0</v>
      </c>
    </row>
    <row r="491">
      <c r="A491" s="6" t="s">
        <v>183</v>
      </c>
      <c r="B491" s="5">
        <v>10.0</v>
      </c>
      <c r="C491" s="1" t="s">
        <v>12</v>
      </c>
      <c r="D491" s="1" t="s">
        <v>60</v>
      </c>
      <c r="E491" s="1" t="s">
        <v>39</v>
      </c>
      <c r="F491" s="5">
        <v>0.2288</v>
      </c>
      <c r="G491" s="5">
        <v>36.775135</v>
      </c>
      <c r="H491" s="5">
        <v>0.0435</v>
      </c>
      <c r="I491" s="5">
        <v>0.0</v>
      </c>
    </row>
    <row r="492">
      <c r="A492" s="6" t="s">
        <v>183</v>
      </c>
      <c r="B492" s="5">
        <v>10.0</v>
      </c>
      <c r="C492" s="1" t="s">
        <v>12</v>
      </c>
      <c r="D492" s="1" t="s">
        <v>60</v>
      </c>
      <c r="E492" s="1" t="s">
        <v>17</v>
      </c>
      <c r="F492" s="5">
        <v>0.0013</v>
      </c>
      <c r="G492" s="5">
        <v>0.185591</v>
      </c>
      <c r="H492" s="5">
        <v>5.0E-4</v>
      </c>
      <c r="I492" s="5">
        <v>0.0</v>
      </c>
    </row>
    <row r="493">
      <c r="A493" s="6" t="s">
        <v>183</v>
      </c>
      <c r="B493" s="5">
        <v>10.0</v>
      </c>
      <c r="C493" s="1" t="s">
        <v>68</v>
      </c>
      <c r="D493" s="1" t="s">
        <v>13</v>
      </c>
      <c r="E493" s="1" t="s">
        <v>14</v>
      </c>
      <c r="F493" s="5">
        <v>63.946</v>
      </c>
      <c r="G493" s="5">
        <v>3988.521059</v>
      </c>
      <c r="H493" s="5">
        <v>13.4286</v>
      </c>
      <c r="I493" s="5">
        <v>9001.0</v>
      </c>
    </row>
    <row r="494">
      <c r="A494" s="6" t="s">
        <v>183</v>
      </c>
      <c r="B494" s="5">
        <v>10.0</v>
      </c>
      <c r="C494" s="1" t="s">
        <v>68</v>
      </c>
      <c r="D494" s="1" t="s">
        <v>13</v>
      </c>
      <c r="E494" s="1" t="s">
        <v>17</v>
      </c>
      <c r="F494" s="5">
        <v>68.5442</v>
      </c>
      <c r="G494" s="5">
        <v>6497.563792</v>
      </c>
      <c r="H494" s="5">
        <v>23.9904</v>
      </c>
      <c r="I494" s="5">
        <v>9709.0</v>
      </c>
    </row>
    <row r="495">
      <c r="A495" s="6" t="s">
        <v>183</v>
      </c>
      <c r="B495" s="5">
        <v>10.0</v>
      </c>
      <c r="C495" s="1" t="s">
        <v>68</v>
      </c>
      <c r="D495" s="1" t="s">
        <v>13</v>
      </c>
      <c r="E495" s="1" t="s">
        <v>21</v>
      </c>
      <c r="F495" s="5">
        <v>7.1943</v>
      </c>
      <c r="G495" s="5">
        <v>1051.550903</v>
      </c>
      <c r="H495" s="5">
        <v>3.5971</v>
      </c>
      <c r="I495" s="5">
        <v>1303.0</v>
      </c>
    </row>
    <row r="496">
      <c r="A496" s="6" t="s">
        <v>183</v>
      </c>
      <c r="B496" s="5">
        <v>10.0</v>
      </c>
      <c r="C496" s="1" t="s">
        <v>68</v>
      </c>
      <c r="D496" s="1" t="s">
        <v>13</v>
      </c>
      <c r="E496" s="1" t="s">
        <v>25</v>
      </c>
      <c r="F496" s="5">
        <v>0.3737</v>
      </c>
      <c r="G496" s="5">
        <v>60.48214</v>
      </c>
      <c r="H496" s="5">
        <v>0.2803</v>
      </c>
      <c r="I496" s="5">
        <v>252.0</v>
      </c>
    </row>
    <row r="497">
      <c r="A497" s="6" t="s">
        <v>183</v>
      </c>
      <c r="B497" s="5">
        <v>10.0</v>
      </c>
      <c r="C497" s="1" t="s">
        <v>68</v>
      </c>
      <c r="D497" s="1" t="s">
        <v>29</v>
      </c>
      <c r="E497" s="1" t="s">
        <v>21</v>
      </c>
      <c r="F497" s="5">
        <v>9.9453</v>
      </c>
      <c r="G497" s="5">
        <v>2087.819981</v>
      </c>
      <c r="H497" s="5">
        <v>3.978</v>
      </c>
      <c r="I497" s="5">
        <v>1419.0</v>
      </c>
    </row>
    <row r="498">
      <c r="A498" s="6" t="s">
        <v>183</v>
      </c>
      <c r="B498" s="5">
        <v>10.0</v>
      </c>
      <c r="C498" s="1" t="s">
        <v>68</v>
      </c>
      <c r="D498" s="1" t="s">
        <v>45</v>
      </c>
      <c r="E498" s="1" t="s">
        <v>17</v>
      </c>
      <c r="F498" s="5">
        <v>18.3968</v>
      </c>
      <c r="G498" s="5">
        <v>987.116457</v>
      </c>
      <c r="H498" s="5">
        <v>6.6228</v>
      </c>
      <c r="I498" s="5">
        <v>1872.0</v>
      </c>
    </row>
    <row r="499">
      <c r="A499" s="6" t="s">
        <v>183</v>
      </c>
      <c r="B499" s="5">
        <v>10.0</v>
      </c>
      <c r="C499" s="1" t="s">
        <v>68</v>
      </c>
      <c r="D499" s="1" t="s">
        <v>32</v>
      </c>
      <c r="E499" s="1" t="s">
        <v>14</v>
      </c>
      <c r="F499" s="5">
        <v>2.4861</v>
      </c>
      <c r="G499" s="5">
        <v>194.282214</v>
      </c>
      <c r="H499" s="5">
        <v>0.5718</v>
      </c>
      <c r="I499" s="5">
        <v>1454.0</v>
      </c>
    </row>
    <row r="500">
      <c r="A500" s="6" t="s">
        <v>183</v>
      </c>
      <c r="B500" s="5">
        <v>10.0</v>
      </c>
      <c r="C500" s="1" t="s">
        <v>68</v>
      </c>
      <c r="D500" s="1" t="s">
        <v>32</v>
      </c>
      <c r="E500" s="1" t="s">
        <v>21</v>
      </c>
      <c r="F500" s="5">
        <v>0.6058</v>
      </c>
      <c r="G500" s="5">
        <v>109.808417</v>
      </c>
      <c r="H500" s="5">
        <v>0.2726</v>
      </c>
      <c r="I500" s="5">
        <v>275.0</v>
      </c>
    </row>
    <row r="501">
      <c r="A501" s="6" t="s">
        <v>183</v>
      </c>
      <c r="B501" s="5">
        <v>10.0</v>
      </c>
      <c r="C501" s="1" t="s">
        <v>68</v>
      </c>
      <c r="D501" s="1" t="s">
        <v>544</v>
      </c>
      <c r="E501" s="1" t="s">
        <v>17</v>
      </c>
      <c r="F501" s="5">
        <v>2.9654</v>
      </c>
      <c r="G501" s="5">
        <v>165.082083</v>
      </c>
      <c r="H501" s="5">
        <v>1.0379</v>
      </c>
      <c r="I501" s="5">
        <v>249.0</v>
      </c>
    </row>
    <row r="502">
      <c r="A502" s="6" t="s">
        <v>183</v>
      </c>
      <c r="B502" s="5">
        <v>10.0</v>
      </c>
      <c r="C502" s="1" t="s">
        <v>68</v>
      </c>
      <c r="D502" s="1" t="s">
        <v>42</v>
      </c>
      <c r="E502" s="1" t="s">
        <v>17</v>
      </c>
      <c r="F502" s="5">
        <v>0.768</v>
      </c>
      <c r="G502" s="5">
        <v>129.934828</v>
      </c>
      <c r="H502" s="5">
        <v>0.2841</v>
      </c>
      <c r="I502" s="5">
        <v>201.0</v>
      </c>
    </row>
    <row r="503">
      <c r="A503" s="6" t="s">
        <v>183</v>
      </c>
      <c r="B503" s="5">
        <v>10.0</v>
      </c>
      <c r="C503" s="1" t="s">
        <v>68</v>
      </c>
      <c r="D503" s="1" t="s">
        <v>38</v>
      </c>
      <c r="E503" s="1" t="s">
        <v>39</v>
      </c>
      <c r="F503" s="5">
        <v>1.1305</v>
      </c>
      <c r="G503" s="5">
        <v>100.544796</v>
      </c>
      <c r="H503" s="5">
        <v>0.2034</v>
      </c>
      <c r="I503" s="5">
        <v>177.0</v>
      </c>
    </row>
    <row r="504">
      <c r="A504" s="6" t="s">
        <v>183</v>
      </c>
      <c r="B504" s="5">
        <v>10.0</v>
      </c>
      <c r="C504" s="1" t="s">
        <v>68</v>
      </c>
      <c r="D504" s="1" t="s">
        <v>102</v>
      </c>
      <c r="E504" s="1" t="s">
        <v>39</v>
      </c>
      <c r="F504" s="5">
        <v>0.0634</v>
      </c>
      <c r="G504" s="5">
        <v>21.322639</v>
      </c>
      <c r="H504" s="5">
        <v>0.0121</v>
      </c>
      <c r="I504" s="5">
        <v>0.0</v>
      </c>
    </row>
    <row r="505">
      <c r="A505" s="6" t="s">
        <v>183</v>
      </c>
      <c r="B505" s="5">
        <v>10.0</v>
      </c>
      <c r="C505" s="1" t="s">
        <v>68</v>
      </c>
      <c r="D505" s="1" t="s">
        <v>102</v>
      </c>
      <c r="E505" s="1" t="s">
        <v>21</v>
      </c>
      <c r="F505" s="5">
        <v>0.1881</v>
      </c>
      <c r="G505" s="5">
        <v>65.471207</v>
      </c>
      <c r="H505" s="5">
        <v>0.0753</v>
      </c>
      <c r="I505" s="5">
        <v>0.0</v>
      </c>
    </row>
    <row r="506">
      <c r="A506" s="6" t="s">
        <v>183</v>
      </c>
      <c r="B506" s="5">
        <v>10.0</v>
      </c>
      <c r="C506" s="1" t="s">
        <v>68</v>
      </c>
      <c r="D506" s="1" t="s">
        <v>98</v>
      </c>
      <c r="E506" s="1" t="s">
        <v>17</v>
      </c>
      <c r="F506" s="5">
        <v>0.3189</v>
      </c>
      <c r="G506" s="5">
        <v>70.952597</v>
      </c>
      <c r="H506" s="5">
        <v>0.1117</v>
      </c>
      <c r="I506" s="5">
        <v>0.0</v>
      </c>
    </row>
    <row r="507">
      <c r="A507" s="6" t="s">
        <v>183</v>
      </c>
      <c r="B507" s="5">
        <v>10.0</v>
      </c>
      <c r="C507" s="1" t="s">
        <v>68</v>
      </c>
      <c r="D507" s="1" t="s">
        <v>48</v>
      </c>
      <c r="E507" s="1" t="s">
        <v>49</v>
      </c>
      <c r="F507" s="5">
        <v>0.0016</v>
      </c>
      <c r="G507" s="5">
        <v>0.643301</v>
      </c>
      <c r="H507" s="5">
        <v>5.0E-4</v>
      </c>
      <c r="I507" s="5">
        <v>2.0</v>
      </c>
    </row>
    <row r="508">
      <c r="A508" s="6" t="s">
        <v>183</v>
      </c>
      <c r="B508" s="5">
        <v>10.0</v>
      </c>
      <c r="C508" s="1" t="s">
        <v>68</v>
      </c>
      <c r="D508" s="1" t="s">
        <v>48</v>
      </c>
      <c r="E508" s="1" t="s">
        <v>21</v>
      </c>
      <c r="F508" s="5">
        <v>0.5194</v>
      </c>
      <c r="G508" s="5">
        <v>68.15899</v>
      </c>
      <c r="H508" s="5">
        <v>0.2077</v>
      </c>
      <c r="I508" s="5">
        <v>270.0</v>
      </c>
    </row>
    <row r="509">
      <c r="A509" s="6" t="s">
        <v>183</v>
      </c>
      <c r="B509" s="5">
        <v>10.0</v>
      </c>
      <c r="C509" s="1" t="s">
        <v>116</v>
      </c>
      <c r="D509" s="1" t="s">
        <v>13</v>
      </c>
      <c r="E509" s="1" t="s">
        <v>14</v>
      </c>
      <c r="F509" s="5">
        <v>131.0205</v>
      </c>
      <c r="G509" s="5">
        <v>7190.91765</v>
      </c>
      <c r="H509" s="5">
        <v>27.5144</v>
      </c>
      <c r="I509" s="5">
        <v>11485.0</v>
      </c>
    </row>
    <row r="510">
      <c r="A510" s="6" t="s">
        <v>183</v>
      </c>
      <c r="B510" s="5">
        <v>10.0</v>
      </c>
      <c r="C510" s="1" t="s">
        <v>116</v>
      </c>
      <c r="D510" s="1" t="s">
        <v>13</v>
      </c>
      <c r="E510" s="1" t="s">
        <v>17</v>
      </c>
      <c r="F510" s="5">
        <v>124.6685</v>
      </c>
      <c r="G510" s="5">
        <v>10831.853884</v>
      </c>
      <c r="H510" s="5">
        <v>43.634</v>
      </c>
      <c r="I510" s="5">
        <v>14382.0</v>
      </c>
    </row>
    <row r="511">
      <c r="A511" s="6" t="s">
        <v>183</v>
      </c>
      <c r="B511" s="5">
        <v>10.0</v>
      </c>
      <c r="C511" s="1" t="s">
        <v>116</v>
      </c>
      <c r="D511" s="1" t="s">
        <v>13</v>
      </c>
      <c r="E511" s="1" t="s">
        <v>21</v>
      </c>
      <c r="F511" s="5">
        <v>14.8151</v>
      </c>
      <c r="G511" s="5">
        <v>1659.957871</v>
      </c>
      <c r="H511" s="5">
        <v>7.4076</v>
      </c>
      <c r="I511" s="5">
        <v>1165.0</v>
      </c>
    </row>
    <row r="512">
      <c r="A512" s="6" t="s">
        <v>183</v>
      </c>
      <c r="B512" s="5">
        <v>10.0</v>
      </c>
      <c r="C512" s="1" t="s">
        <v>116</v>
      </c>
      <c r="D512" s="1" t="s">
        <v>13</v>
      </c>
      <c r="E512" s="1" t="s">
        <v>25</v>
      </c>
      <c r="F512" s="5">
        <v>0.1368</v>
      </c>
      <c r="G512" s="5">
        <v>24.417541</v>
      </c>
      <c r="H512" s="5">
        <v>0.1026</v>
      </c>
      <c r="I512" s="5">
        <v>52.0</v>
      </c>
    </row>
    <row r="513">
      <c r="A513" s="6" t="s">
        <v>183</v>
      </c>
      <c r="B513" s="5">
        <v>10.0</v>
      </c>
      <c r="C513" s="1" t="s">
        <v>116</v>
      </c>
      <c r="D513" s="1" t="s">
        <v>29</v>
      </c>
      <c r="E513" s="1" t="s">
        <v>21</v>
      </c>
      <c r="F513" s="5">
        <v>37.4777</v>
      </c>
      <c r="G513" s="5">
        <v>6614.209094</v>
      </c>
      <c r="H513" s="5">
        <v>14.9911</v>
      </c>
      <c r="I513" s="5">
        <v>1918.0</v>
      </c>
    </row>
    <row r="514">
      <c r="A514" s="6" t="s">
        <v>183</v>
      </c>
      <c r="B514" s="5">
        <v>10.0</v>
      </c>
      <c r="C514" s="1" t="s">
        <v>116</v>
      </c>
      <c r="D514" s="1" t="s">
        <v>45</v>
      </c>
      <c r="E514" s="1" t="s">
        <v>17</v>
      </c>
      <c r="F514" s="5">
        <v>28.3202</v>
      </c>
      <c r="G514" s="5">
        <v>1773.875739</v>
      </c>
      <c r="H514" s="5">
        <v>10.1952</v>
      </c>
      <c r="I514" s="5">
        <v>2129.0</v>
      </c>
    </row>
    <row r="515">
      <c r="A515" s="6" t="s">
        <v>183</v>
      </c>
      <c r="B515" s="5">
        <v>10.0</v>
      </c>
      <c r="C515" s="1" t="s">
        <v>116</v>
      </c>
      <c r="D515" s="1" t="s">
        <v>32</v>
      </c>
      <c r="E515" s="1" t="s">
        <v>14</v>
      </c>
      <c r="F515" s="5">
        <v>7.1822</v>
      </c>
      <c r="G515" s="5">
        <v>465.369331</v>
      </c>
      <c r="H515" s="5">
        <v>1.6519</v>
      </c>
      <c r="I515" s="5">
        <v>1585.0</v>
      </c>
    </row>
    <row r="516">
      <c r="A516" s="6" t="s">
        <v>183</v>
      </c>
      <c r="B516" s="5">
        <v>10.0</v>
      </c>
      <c r="C516" s="1" t="s">
        <v>116</v>
      </c>
      <c r="D516" s="1" t="s">
        <v>32</v>
      </c>
      <c r="E516" s="1" t="s">
        <v>21</v>
      </c>
      <c r="F516" s="5">
        <v>2.5769</v>
      </c>
      <c r="G516" s="5">
        <v>433.62192</v>
      </c>
      <c r="H516" s="5">
        <v>1.1595</v>
      </c>
      <c r="I516" s="5">
        <v>1206.0</v>
      </c>
    </row>
    <row r="517">
      <c r="A517" s="6" t="s">
        <v>183</v>
      </c>
      <c r="B517" s="5">
        <v>10.0</v>
      </c>
      <c r="C517" s="1" t="s">
        <v>116</v>
      </c>
      <c r="D517" s="1" t="s">
        <v>147</v>
      </c>
      <c r="E517" s="1" t="s">
        <v>39</v>
      </c>
      <c r="F517" s="5">
        <v>1.6569</v>
      </c>
      <c r="G517" s="5">
        <v>472.904088</v>
      </c>
      <c r="H517" s="5">
        <v>0.3148</v>
      </c>
      <c r="I517" s="5">
        <v>94.0</v>
      </c>
    </row>
    <row r="518">
      <c r="A518" s="6" t="s">
        <v>183</v>
      </c>
      <c r="B518" s="5">
        <v>10.0</v>
      </c>
      <c r="C518" s="1" t="s">
        <v>116</v>
      </c>
      <c r="D518" s="1" t="s">
        <v>147</v>
      </c>
      <c r="E518" s="1" t="s">
        <v>17</v>
      </c>
      <c r="F518" s="5">
        <v>0.0193</v>
      </c>
      <c r="G518" s="5">
        <v>5.671158</v>
      </c>
      <c r="H518" s="5">
        <v>0.0067</v>
      </c>
      <c r="I518" s="5">
        <v>7.0</v>
      </c>
    </row>
    <row r="519">
      <c r="A519" s="6" t="s">
        <v>183</v>
      </c>
      <c r="B519" s="5">
        <v>10.0</v>
      </c>
      <c r="C519" s="1" t="s">
        <v>116</v>
      </c>
      <c r="D519" s="1" t="s">
        <v>147</v>
      </c>
      <c r="E519" s="1" t="s">
        <v>21</v>
      </c>
      <c r="F519" s="5">
        <v>0.0571</v>
      </c>
      <c r="G519" s="5">
        <v>27.713615</v>
      </c>
      <c r="H519" s="5">
        <v>0.0286</v>
      </c>
      <c r="I519" s="5">
        <v>47.0</v>
      </c>
    </row>
    <row r="520">
      <c r="A520" s="6" t="s">
        <v>183</v>
      </c>
      <c r="B520" s="5">
        <v>10.0</v>
      </c>
      <c r="C520" s="1" t="s">
        <v>116</v>
      </c>
      <c r="D520" s="1" t="s">
        <v>42</v>
      </c>
      <c r="E520" s="1" t="s">
        <v>17</v>
      </c>
      <c r="F520" s="5">
        <v>2.4586</v>
      </c>
      <c r="G520" s="5">
        <v>381.161355</v>
      </c>
      <c r="H520" s="5">
        <v>0.9097</v>
      </c>
      <c r="I520" s="5">
        <v>584.0</v>
      </c>
    </row>
    <row r="521">
      <c r="A521" s="6" t="s">
        <v>183</v>
      </c>
      <c r="B521" s="5">
        <v>10.0</v>
      </c>
      <c r="C521" s="1" t="s">
        <v>116</v>
      </c>
      <c r="D521" s="1" t="s">
        <v>102</v>
      </c>
      <c r="E521" s="1" t="s">
        <v>39</v>
      </c>
      <c r="F521" s="5">
        <v>0.0027</v>
      </c>
      <c r="G521" s="5">
        <v>0.563204</v>
      </c>
      <c r="H521" s="5">
        <v>5.0E-4</v>
      </c>
      <c r="I521" s="5">
        <v>4.0</v>
      </c>
    </row>
    <row r="522">
      <c r="A522" s="6" t="s">
        <v>183</v>
      </c>
      <c r="B522" s="5">
        <v>10.0</v>
      </c>
      <c r="C522" s="1" t="s">
        <v>116</v>
      </c>
      <c r="D522" s="1" t="s">
        <v>102</v>
      </c>
      <c r="E522" s="1" t="s">
        <v>17</v>
      </c>
      <c r="F522" s="5">
        <v>0.0033</v>
      </c>
      <c r="G522" s="5">
        <v>1.279707</v>
      </c>
      <c r="H522" s="5">
        <v>0.0012</v>
      </c>
      <c r="I522" s="5">
        <v>2.0</v>
      </c>
    </row>
    <row r="523">
      <c r="A523" s="6" t="s">
        <v>183</v>
      </c>
      <c r="B523" s="5">
        <v>10.0</v>
      </c>
      <c r="C523" s="1" t="s">
        <v>116</v>
      </c>
      <c r="D523" s="1" t="s">
        <v>102</v>
      </c>
      <c r="E523" s="1" t="s">
        <v>21</v>
      </c>
      <c r="F523" s="5">
        <v>1.0029</v>
      </c>
      <c r="G523" s="5">
        <v>318.321438</v>
      </c>
      <c r="H523" s="5">
        <v>0.4013</v>
      </c>
      <c r="I523" s="5">
        <v>151.0</v>
      </c>
    </row>
    <row r="524">
      <c r="A524" s="6" t="s">
        <v>183</v>
      </c>
      <c r="B524" s="5">
        <v>10.0</v>
      </c>
      <c r="C524" s="1" t="s">
        <v>116</v>
      </c>
      <c r="D524" s="1" t="s">
        <v>165</v>
      </c>
      <c r="E524" s="1" t="s">
        <v>39</v>
      </c>
      <c r="F524" s="5">
        <v>0.3611</v>
      </c>
      <c r="G524" s="5">
        <v>62.499038</v>
      </c>
      <c r="H524" s="5">
        <v>0.065</v>
      </c>
      <c r="I524" s="5">
        <v>0.0</v>
      </c>
    </row>
    <row r="525">
      <c r="A525" s="6" t="s">
        <v>183</v>
      </c>
      <c r="B525" s="5">
        <v>10.0</v>
      </c>
      <c r="C525" s="1" t="s">
        <v>116</v>
      </c>
      <c r="D525" s="1" t="s">
        <v>165</v>
      </c>
      <c r="E525" s="1" t="s">
        <v>17</v>
      </c>
      <c r="F525" s="5">
        <v>0.6881</v>
      </c>
      <c r="G525" s="5">
        <v>160.841014</v>
      </c>
      <c r="H525" s="5">
        <v>0.2408</v>
      </c>
      <c r="I525" s="5">
        <v>0.0</v>
      </c>
    </row>
    <row r="526">
      <c r="A526" s="6" t="s">
        <v>183</v>
      </c>
      <c r="B526" s="5">
        <v>10.0</v>
      </c>
      <c r="C526" s="1" t="s">
        <v>116</v>
      </c>
      <c r="D526" s="1" t="s">
        <v>158</v>
      </c>
      <c r="E526" s="1" t="s">
        <v>17</v>
      </c>
      <c r="F526" s="5">
        <v>0.0674</v>
      </c>
      <c r="G526" s="5">
        <v>31.004518</v>
      </c>
      <c r="H526" s="5">
        <v>0.0235</v>
      </c>
      <c r="I526" s="5">
        <v>0.0</v>
      </c>
    </row>
    <row r="527">
      <c r="A527" s="6" t="s">
        <v>183</v>
      </c>
      <c r="B527" s="5">
        <v>10.0</v>
      </c>
      <c r="C527" s="1" t="s">
        <v>116</v>
      </c>
      <c r="D527" s="1" t="s">
        <v>158</v>
      </c>
      <c r="E527" s="1" t="s">
        <v>21</v>
      </c>
      <c r="F527" s="5">
        <v>0.3391</v>
      </c>
      <c r="G527" s="5">
        <v>184.796269</v>
      </c>
      <c r="H527" s="5">
        <v>0.1424</v>
      </c>
      <c r="I527" s="5">
        <v>0.0</v>
      </c>
    </row>
    <row r="528">
      <c r="A528" s="6" t="s">
        <v>183</v>
      </c>
      <c r="B528" s="5">
        <v>10.0</v>
      </c>
      <c r="C528" s="1" t="s">
        <v>116</v>
      </c>
      <c r="D528" s="1" t="s">
        <v>330</v>
      </c>
      <c r="E528" s="1" t="s">
        <v>17</v>
      </c>
      <c r="F528" s="5">
        <v>0.8681</v>
      </c>
      <c r="G528" s="5">
        <v>172.280999</v>
      </c>
      <c r="H528" s="5">
        <v>0.3039</v>
      </c>
      <c r="I528" s="5">
        <v>121.0</v>
      </c>
    </row>
    <row r="529">
      <c r="A529" s="6" t="s">
        <v>183</v>
      </c>
      <c r="B529" s="5">
        <v>11.0</v>
      </c>
      <c r="C529" s="1" t="s">
        <v>12</v>
      </c>
      <c r="D529" s="1" t="s">
        <v>13</v>
      </c>
      <c r="E529" s="1" t="s">
        <v>14</v>
      </c>
      <c r="F529" s="5">
        <v>11.162</v>
      </c>
      <c r="G529" s="5">
        <v>693.523204</v>
      </c>
      <c r="H529" s="5">
        <v>2.3441</v>
      </c>
      <c r="I529" s="5">
        <v>539.0</v>
      </c>
    </row>
    <row r="530">
      <c r="A530" s="6" t="s">
        <v>183</v>
      </c>
      <c r="B530" s="5">
        <v>11.0</v>
      </c>
      <c r="C530" s="1" t="s">
        <v>12</v>
      </c>
      <c r="D530" s="1" t="s">
        <v>13</v>
      </c>
      <c r="E530" s="1" t="s">
        <v>17</v>
      </c>
      <c r="F530" s="5">
        <v>101.5784</v>
      </c>
      <c r="G530" s="5">
        <v>8077.51338</v>
      </c>
      <c r="H530" s="5">
        <v>35.5525</v>
      </c>
      <c r="I530" s="5">
        <v>794.0</v>
      </c>
    </row>
    <row r="531">
      <c r="A531" s="6" t="s">
        <v>183</v>
      </c>
      <c r="B531" s="5">
        <v>11.0</v>
      </c>
      <c r="C531" s="1" t="s">
        <v>12</v>
      </c>
      <c r="D531" s="1" t="s">
        <v>13</v>
      </c>
      <c r="E531" s="1" t="s">
        <v>21</v>
      </c>
      <c r="F531" s="5">
        <v>33.7729</v>
      </c>
      <c r="G531" s="5">
        <v>3444.500996</v>
      </c>
      <c r="H531" s="5">
        <v>16.8864</v>
      </c>
      <c r="I531" s="5">
        <v>551.0</v>
      </c>
    </row>
    <row r="532">
      <c r="A532" s="6" t="s">
        <v>183</v>
      </c>
      <c r="B532" s="5">
        <v>11.0</v>
      </c>
      <c r="C532" s="1" t="s">
        <v>12</v>
      </c>
      <c r="D532" s="1" t="s">
        <v>13</v>
      </c>
      <c r="E532" s="1" t="s">
        <v>25</v>
      </c>
      <c r="F532" s="5">
        <v>0.0013</v>
      </c>
      <c r="G532" s="5">
        <v>0.284586</v>
      </c>
      <c r="H532" s="5">
        <v>0.001</v>
      </c>
      <c r="I532" s="5">
        <v>1.0</v>
      </c>
    </row>
    <row r="533">
      <c r="A533" s="6" t="s">
        <v>183</v>
      </c>
      <c r="B533" s="5">
        <v>11.0</v>
      </c>
      <c r="C533" s="1" t="s">
        <v>12</v>
      </c>
      <c r="D533" s="1" t="s">
        <v>29</v>
      </c>
      <c r="E533" s="1" t="s">
        <v>14</v>
      </c>
      <c r="F533" s="5">
        <v>0.0276</v>
      </c>
      <c r="G533" s="5">
        <v>3.023822</v>
      </c>
      <c r="H533" s="5">
        <v>0.0055</v>
      </c>
      <c r="I533" s="5">
        <v>4.0</v>
      </c>
    </row>
    <row r="534">
      <c r="A534" s="6" t="s">
        <v>183</v>
      </c>
      <c r="B534" s="5">
        <v>11.0</v>
      </c>
      <c r="C534" s="1" t="s">
        <v>12</v>
      </c>
      <c r="D534" s="1" t="s">
        <v>29</v>
      </c>
      <c r="E534" s="1" t="s">
        <v>21</v>
      </c>
      <c r="F534" s="5">
        <v>26.7345</v>
      </c>
      <c r="G534" s="5">
        <v>4384.797147</v>
      </c>
      <c r="H534" s="5">
        <v>10.694</v>
      </c>
      <c r="I534" s="5">
        <v>645.0</v>
      </c>
    </row>
    <row r="535">
      <c r="A535" s="6" t="s">
        <v>183</v>
      </c>
      <c r="B535" s="5">
        <v>11.0</v>
      </c>
      <c r="C535" s="1" t="s">
        <v>12</v>
      </c>
      <c r="D535" s="1" t="s">
        <v>32</v>
      </c>
      <c r="E535" s="1" t="s">
        <v>14</v>
      </c>
      <c r="F535" s="5">
        <v>4.8132</v>
      </c>
      <c r="G535" s="5">
        <v>319.938974</v>
      </c>
      <c r="H535" s="5">
        <v>1.107</v>
      </c>
      <c r="I535" s="5">
        <v>476.0</v>
      </c>
    </row>
    <row r="536">
      <c r="A536" s="6" t="s">
        <v>183</v>
      </c>
      <c r="B536" s="5">
        <v>11.0</v>
      </c>
      <c r="C536" s="1" t="s">
        <v>12</v>
      </c>
      <c r="D536" s="1" t="s">
        <v>32</v>
      </c>
      <c r="E536" s="1" t="s">
        <v>21</v>
      </c>
      <c r="F536" s="5">
        <v>1.108</v>
      </c>
      <c r="G536" s="5">
        <v>174.651043</v>
      </c>
      <c r="H536" s="5">
        <v>0.4987</v>
      </c>
      <c r="I536" s="5">
        <v>314.0</v>
      </c>
    </row>
    <row r="537">
      <c r="A537" s="6" t="s">
        <v>183</v>
      </c>
      <c r="B537" s="5">
        <v>11.0</v>
      </c>
      <c r="C537" s="1" t="s">
        <v>12</v>
      </c>
      <c r="D537" s="1" t="s">
        <v>45</v>
      </c>
      <c r="E537" s="1" t="s">
        <v>17</v>
      </c>
      <c r="F537" s="5">
        <v>4.9585</v>
      </c>
      <c r="G537" s="5">
        <v>300.082495</v>
      </c>
      <c r="H537" s="5">
        <v>1.7851</v>
      </c>
      <c r="I537" s="5">
        <v>175.0</v>
      </c>
    </row>
    <row r="538">
      <c r="A538" s="6" t="s">
        <v>183</v>
      </c>
      <c r="B538" s="5">
        <v>11.0</v>
      </c>
      <c r="C538" s="1" t="s">
        <v>12</v>
      </c>
      <c r="D538" s="1" t="s">
        <v>38</v>
      </c>
      <c r="E538" s="1" t="s">
        <v>39</v>
      </c>
      <c r="F538" s="5">
        <v>2.7119</v>
      </c>
      <c r="G538" s="5">
        <v>283.880144</v>
      </c>
      <c r="H538" s="5">
        <v>0.4881</v>
      </c>
      <c r="I538" s="5">
        <v>103.0</v>
      </c>
    </row>
    <row r="539">
      <c r="A539" s="6" t="s">
        <v>183</v>
      </c>
      <c r="B539" s="5">
        <v>11.0</v>
      </c>
      <c r="C539" s="1" t="s">
        <v>12</v>
      </c>
      <c r="D539" s="1" t="s">
        <v>42</v>
      </c>
      <c r="E539" s="1" t="s">
        <v>17</v>
      </c>
      <c r="F539" s="5">
        <v>1.8088</v>
      </c>
      <c r="G539" s="5">
        <v>249.376456</v>
      </c>
      <c r="H539" s="5">
        <v>0.6694</v>
      </c>
      <c r="I539" s="5">
        <v>160.0</v>
      </c>
    </row>
    <row r="540">
      <c r="A540" s="6" t="s">
        <v>183</v>
      </c>
      <c r="B540" s="5">
        <v>11.0</v>
      </c>
      <c r="C540" s="1" t="s">
        <v>12</v>
      </c>
      <c r="D540" s="1" t="s">
        <v>48</v>
      </c>
      <c r="E540" s="1" t="s">
        <v>49</v>
      </c>
      <c r="F540" s="5">
        <v>0.0093</v>
      </c>
      <c r="G540" s="5">
        <v>2.947238</v>
      </c>
      <c r="H540" s="5">
        <v>0.0026</v>
      </c>
      <c r="I540" s="5">
        <v>3.0</v>
      </c>
    </row>
    <row r="541">
      <c r="A541" s="6" t="s">
        <v>183</v>
      </c>
      <c r="B541" s="5">
        <v>11.0</v>
      </c>
      <c r="C541" s="1" t="s">
        <v>12</v>
      </c>
      <c r="D541" s="1" t="s">
        <v>48</v>
      </c>
      <c r="E541" s="1" t="s">
        <v>21</v>
      </c>
      <c r="F541" s="5">
        <v>0.9145</v>
      </c>
      <c r="G541" s="5">
        <v>111.772602</v>
      </c>
      <c r="H541" s="5">
        <v>0.3658</v>
      </c>
      <c r="I541" s="5">
        <v>123.0</v>
      </c>
    </row>
    <row r="542">
      <c r="A542" s="6" t="s">
        <v>183</v>
      </c>
      <c r="B542" s="5">
        <v>11.0</v>
      </c>
      <c r="C542" s="1" t="s">
        <v>12</v>
      </c>
      <c r="D542" s="1" t="s">
        <v>56</v>
      </c>
      <c r="E542" s="1" t="s">
        <v>21</v>
      </c>
      <c r="F542" s="5">
        <v>0.4599</v>
      </c>
      <c r="G542" s="5">
        <v>98.216326</v>
      </c>
      <c r="H542" s="5">
        <v>0.1839</v>
      </c>
      <c r="I542" s="5">
        <v>194.0</v>
      </c>
    </row>
    <row r="543">
      <c r="A543" s="6" t="s">
        <v>183</v>
      </c>
      <c r="B543" s="5">
        <v>11.0</v>
      </c>
      <c r="C543" s="1" t="s">
        <v>12</v>
      </c>
      <c r="D543" s="1" t="s">
        <v>848</v>
      </c>
      <c r="E543" s="1" t="s">
        <v>21</v>
      </c>
      <c r="F543" s="5">
        <v>0.3055</v>
      </c>
      <c r="G543" s="5">
        <v>50.607907</v>
      </c>
      <c r="H543" s="5">
        <v>0.1222</v>
      </c>
      <c r="I543" s="5">
        <v>61.0</v>
      </c>
    </row>
    <row r="544">
      <c r="A544" s="6" t="s">
        <v>183</v>
      </c>
      <c r="B544" s="5">
        <v>11.0</v>
      </c>
      <c r="C544" s="1" t="s">
        <v>12</v>
      </c>
      <c r="D544" s="1" t="s">
        <v>60</v>
      </c>
      <c r="E544" s="1" t="s">
        <v>39</v>
      </c>
      <c r="F544" s="5">
        <v>0.2297</v>
      </c>
      <c r="G544" s="5">
        <v>39.360475</v>
      </c>
      <c r="H544" s="5">
        <v>0.0436</v>
      </c>
      <c r="I544" s="5">
        <v>0.0</v>
      </c>
    </row>
    <row r="545">
      <c r="A545" s="6" t="s">
        <v>183</v>
      </c>
      <c r="B545" s="5">
        <v>11.0</v>
      </c>
      <c r="C545" s="1" t="s">
        <v>12</v>
      </c>
      <c r="D545" s="1" t="s">
        <v>60</v>
      </c>
      <c r="E545" s="1" t="s">
        <v>17</v>
      </c>
      <c r="F545" s="5">
        <v>0.0023</v>
      </c>
      <c r="G545" s="5">
        <v>0.327685</v>
      </c>
      <c r="H545" s="5">
        <v>9.0E-4</v>
      </c>
      <c r="I545" s="5">
        <v>0.0</v>
      </c>
    </row>
    <row r="546">
      <c r="A546" s="6" t="s">
        <v>183</v>
      </c>
      <c r="B546" s="5">
        <v>11.0</v>
      </c>
      <c r="C546" s="1" t="s">
        <v>68</v>
      </c>
      <c r="D546" s="1" t="s">
        <v>13</v>
      </c>
      <c r="E546" s="1" t="s">
        <v>14</v>
      </c>
      <c r="F546" s="5">
        <v>57.4102</v>
      </c>
      <c r="G546" s="5">
        <v>3619.51712</v>
      </c>
      <c r="H546" s="5">
        <v>12.0561</v>
      </c>
      <c r="I546" s="5">
        <v>8353.0</v>
      </c>
    </row>
    <row r="547">
      <c r="A547" s="6" t="s">
        <v>183</v>
      </c>
      <c r="B547" s="5">
        <v>11.0</v>
      </c>
      <c r="C547" s="1" t="s">
        <v>68</v>
      </c>
      <c r="D547" s="1" t="s">
        <v>13</v>
      </c>
      <c r="E547" s="1" t="s">
        <v>17</v>
      </c>
      <c r="F547" s="5">
        <v>66.7912</v>
      </c>
      <c r="G547" s="5">
        <v>6207.010473</v>
      </c>
      <c r="H547" s="5">
        <v>23.3769</v>
      </c>
      <c r="I547" s="5">
        <v>9988.0</v>
      </c>
    </row>
    <row r="548">
      <c r="A548" s="6" t="s">
        <v>183</v>
      </c>
      <c r="B548" s="5">
        <v>11.0</v>
      </c>
      <c r="C548" s="1" t="s">
        <v>68</v>
      </c>
      <c r="D548" s="1" t="s">
        <v>13</v>
      </c>
      <c r="E548" s="1" t="s">
        <v>21</v>
      </c>
      <c r="F548" s="5">
        <v>4.9462</v>
      </c>
      <c r="G548" s="5">
        <v>718.497848</v>
      </c>
      <c r="H548" s="5">
        <v>2.4733</v>
      </c>
      <c r="I548" s="5">
        <v>1295.0</v>
      </c>
    </row>
    <row r="549">
      <c r="A549" s="6" t="s">
        <v>183</v>
      </c>
      <c r="B549" s="5">
        <v>11.0</v>
      </c>
      <c r="C549" s="1" t="s">
        <v>68</v>
      </c>
      <c r="D549" s="1" t="s">
        <v>13</v>
      </c>
      <c r="E549" s="1" t="s">
        <v>25</v>
      </c>
      <c r="F549" s="5">
        <v>0.3836</v>
      </c>
      <c r="G549" s="5">
        <v>63.470422</v>
      </c>
      <c r="H549" s="5">
        <v>0.2877</v>
      </c>
      <c r="I549" s="5">
        <v>292.0</v>
      </c>
    </row>
    <row r="550">
      <c r="A550" s="6" t="s">
        <v>183</v>
      </c>
      <c r="B550" s="5">
        <v>11.0</v>
      </c>
      <c r="C550" s="1" t="s">
        <v>68</v>
      </c>
      <c r="D550" s="1" t="s">
        <v>29</v>
      </c>
      <c r="E550" s="1" t="s">
        <v>14</v>
      </c>
      <c r="F550" s="5">
        <v>0.0038</v>
      </c>
      <c r="G550" s="5">
        <v>0.441797</v>
      </c>
      <c r="H550" s="5">
        <v>7.0E-4</v>
      </c>
      <c r="I550" s="5">
        <v>1.0</v>
      </c>
    </row>
    <row r="551">
      <c r="A551" s="6" t="s">
        <v>183</v>
      </c>
      <c r="B551" s="5">
        <v>11.0</v>
      </c>
      <c r="C551" s="1" t="s">
        <v>68</v>
      </c>
      <c r="D551" s="1" t="s">
        <v>29</v>
      </c>
      <c r="E551" s="1" t="s">
        <v>21</v>
      </c>
      <c r="F551" s="5">
        <v>9.3494</v>
      </c>
      <c r="G551" s="5">
        <v>1891.763815</v>
      </c>
      <c r="H551" s="5">
        <v>3.7399</v>
      </c>
      <c r="I551" s="5">
        <v>1070.0</v>
      </c>
    </row>
    <row r="552">
      <c r="A552" s="6" t="s">
        <v>183</v>
      </c>
      <c r="B552" s="5">
        <v>11.0</v>
      </c>
      <c r="C552" s="1" t="s">
        <v>68</v>
      </c>
      <c r="D552" s="1" t="s">
        <v>45</v>
      </c>
      <c r="E552" s="1" t="s">
        <v>17</v>
      </c>
      <c r="F552" s="5">
        <v>8.8801</v>
      </c>
      <c r="G552" s="5">
        <v>646.056945</v>
      </c>
      <c r="H552" s="5">
        <v>3.1968</v>
      </c>
      <c r="I552" s="5">
        <v>1860.0</v>
      </c>
    </row>
    <row r="553">
      <c r="A553" s="6" t="s">
        <v>183</v>
      </c>
      <c r="B553" s="5">
        <v>11.0</v>
      </c>
      <c r="C553" s="1" t="s">
        <v>68</v>
      </c>
      <c r="D553" s="1" t="s">
        <v>32</v>
      </c>
      <c r="E553" s="1" t="s">
        <v>14</v>
      </c>
      <c r="F553" s="5">
        <v>2.4161</v>
      </c>
      <c r="G553" s="5">
        <v>198.720344</v>
      </c>
      <c r="H553" s="5">
        <v>0.5557</v>
      </c>
      <c r="I553" s="5">
        <v>1520.0</v>
      </c>
    </row>
    <row r="554">
      <c r="A554" s="6" t="s">
        <v>183</v>
      </c>
      <c r="B554" s="5">
        <v>11.0</v>
      </c>
      <c r="C554" s="1" t="s">
        <v>68</v>
      </c>
      <c r="D554" s="1" t="s">
        <v>32</v>
      </c>
      <c r="E554" s="1" t="s">
        <v>21</v>
      </c>
      <c r="F554" s="5">
        <v>0.6422</v>
      </c>
      <c r="G554" s="5">
        <v>111.463019</v>
      </c>
      <c r="H554" s="5">
        <v>0.289</v>
      </c>
      <c r="I554" s="5">
        <v>362.0</v>
      </c>
    </row>
    <row r="555">
      <c r="A555" s="6" t="s">
        <v>183</v>
      </c>
      <c r="B555" s="5">
        <v>11.0</v>
      </c>
      <c r="C555" s="1" t="s">
        <v>68</v>
      </c>
      <c r="D555" s="1" t="s">
        <v>38</v>
      </c>
      <c r="E555" s="1" t="s">
        <v>39</v>
      </c>
      <c r="F555" s="5">
        <v>2.8004</v>
      </c>
      <c r="G555" s="5">
        <v>304.455579</v>
      </c>
      <c r="H555" s="5">
        <v>0.5041</v>
      </c>
      <c r="I555" s="5">
        <v>257.0</v>
      </c>
    </row>
    <row r="556">
      <c r="A556" s="6" t="s">
        <v>183</v>
      </c>
      <c r="B556" s="5">
        <v>11.0</v>
      </c>
      <c r="C556" s="1" t="s">
        <v>68</v>
      </c>
      <c r="D556" s="1" t="s">
        <v>102</v>
      </c>
      <c r="E556" s="1" t="s">
        <v>39</v>
      </c>
      <c r="F556" s="5">
        <v>0.0925</v>
      </c>
      <c r="G556" s="5">
        <v>30.896572</v>
      </c>
      <c r="H556" s="5">
        <v>0.0176</v>
      </c>
      <c r="I556" s="5">
        <v>0.0</v>
      </c>
    </row>
    <row r="557">
      <c r="A557" s="6" t="s">
        <v>183</v>
      </c>
      <c r="B557" s="5">
        <v>11.0</v>
      </c>
      <c r="C557" s="1" t="s">
        <v>68</v>
      </c>
      <c r="D557" s="1" t="s">
        <v>102</v>
      </c>
      <c r="E557" s="1" t="s">
        <v>21</v>
      </c>
      <c r="F557" s="5">
        <v>0.3198</v>
      </c>
      <c r="G557" s="5">
        <v>103.77125</v>
      </c>
      <c r="H557" s="5">
        <v>0.128</v>
      </c>
      <c r="I557" s="5">
        <v>0.0</v>
      </c>
    </row>
    <row r="558">
      <c r="A558" s="6" t="s">
        <v>183</v>
      </c>
      <c r="B558" s="5">
        <v>11.0</v>
      </c>
      <c r="C558" s="1" t="s">
        <v>68</v>
      </c>
      <c r="D558" s="1" t="s">
        <v>42</v>
      </c>
      <c r="E558" s="1" t="s">
        <v>17</v>
      </c>
      <c r="F558" s="5">
        <v>0.7291</v>
      </c>
      <c r="G558" s="5">
        <v>122.897301</v>
      </c>
      <c r="H558" s="5">
        <v>0.2697</v>
      </c>
      <c r="I558" s="5">
        <v>195.0</v>
      </c>
    </row>
    <row r="559">
      <c r="A559" s="6" t="s">
        <v>183</v>
      </c>
      <c r="B559" s="5">
        <v>11.0</v>
      </c>
      <c r="C559" s="1" t="s">
        <v>68</v>
      </c>
      <c r="D559" s="1" t="s">
        <v>544</v>
      </c>
      <c r="E559" s="1" t="s">
        <v>17</v>
      </c>
      <c r="F559" s="5">
        <v>1.5109</v>
      </c>
      <c r="G559" s="5">
        <v>96.602635</v>
      </c>
      <c r="H559" s="5">
        <v>0.5288</v>
      </c>
      <c r="I559" s="5">
        <v>245.0</v>
      </c>
    </row>
    <row r="560">
      <c r="A560" s="6" t="s">
        <v>183</v>
      </c>
      <c r="B560" s="5">
        <v>11.0</v>
      </c>
      <c r="C560" s="1" t="s">
        <v>68</v>
      </c>
      <c r="D560" s="1" t="s">
        <v>48</v>
      </c>
      <c r="E560" s="1" t="s">
        <v>49</v>
      </c>
      <c r="F560" s="5">
        <v>0.0042</v>
      </c>
      <c r="G560" s="5">
        <v>1.544666</v>
      </c>
      <c r="H560" s="5">
        <v>0.0012</v>
      </c>
      <c r="I560" s="5">
        <v>4.0</v>
      </c>
    </row>
    <row r="561">
      <c r="A561" s="6" t="s">
        <v>183</v>
      </c>
      <c r="B561" s="5">
        <v>11.0</v>
      </c>
      <c r="C561" s="1" t="s">
        <v>68</v>
      </c>
      <c r="D561" s="1" t="s">
        <v>48</v>
      </c>
      <c r="E561" s="1" t="s">
        <v>21</v>
      </c>
      <c r="F561" s="5">
        <v>0.4997</v>
      </c>
      <c r="G561" s="5">
        <v>65.708517</v>
      </c>
      <c r="H561" s="5">
        <v>0.1999</v>
      </c>
      <c r="I561" s="5">
        <v>272.0</v>
      </c>
    </row>
    <row r="562">
      <c r="A562" s="6" t="s">
        <v>183</v>
      </c>
      <c r="B562" s="5">
        <v>11.0</v>
      </c>
      <c r="C562" s="1" t="s">
        <v>68</v>
      </c>
      <c r="D562" s="1" t="s">
        <v>165</v>
      </c>
      <c r="E562" s="1" t="s">
        <v>39</v>
      </c>
      <c r="F562" s="5">
        <v>0.0325</v>
      </c>
      <c r="G562" s="5">
        <v>5.813849</v>
      </c>
      <c r="H562" s="5">
        <v>0.0058</v>
      </c>
      <c r="I562" s="5">
        <v>0.0</v>
      </c>
    </row>
    <row r="563">
      <c r="A563" s="6" t="s">
        <v>183</v>
      </c>
      <c r="B563" s="5">
        <v>11.0</v>
      </c>
      <c r="C563" s="1" t="s">
        <v>68</v>
      </c>
      <c r="D563" s="1" t="s">
        <v>165</v>
      </c>
      <c r="E563" s="1" t="s">
        <v>17</v>
      </c>
      <c r="F563" s="5">
        <v>0.2228</v>
      </c>
      <c r="G563" s="5">
        <v>51.098505</v>
      </c>
      <c r="H563" s="5">
        <v>0.078</v>
      </c>
      <c r="I563" s="5">
        <v>0.0</v>
      </c>
    </row>
    <row r="564">
      <c r="A564" s="6" t="s">
        <v>183</v>
      </c>
      <c r="B564" s="5">
        <v>11.0</v>
      </c>
      <c r="C564" s="1" t="s">
        <v>116</v>
      </c>
      <c r="D564" s="1" t="s">
        <v>13</v>
      </c>
      <c r="E564" s="1" t="s">
        <v>14</v>
      </c>
      <c r="F564" s="5">
        <v>79.3713</v>
      </c>
      <c r="G564" s="5">
        <v>5005.155319</v>
      </c>
      <c r="H564" s="5">
        <v>16.668</v>
      </c>
      <c r="I564" s="5">
        <v>10435.0</v>
      </c>
    </row>
    <row r="565">
      <c r="A565" s="6" t="s">
        <v>183</v>
      </c>
      <c r="B565" s="5">
        <v>11.0</v>
      </c>
      <c r="C565" s="1" t="s">
        <v>116</v>
      </c>
      <c r="D565" s="1" t="s">
        <v>13</v>
      </c>
      <c r="E565" s="1" t="s">
        <v>17</v>
      </c>
      <c r="F565" s="5">
        <v>157.7923</v>
      </c>
      <c r="G565" s="5">
        <v>13396.308067</v>
      </c>
      <c r="H565" s="5">
        <v>55.2272</v>
      </c>
      <c r="I565" s="5">
        <v>15696.0</v>
      </c>
    </row>
    <row r="566">
      <c r="A566" s="6" t="s">
        <v>183</v>
      </c>
      <c r="B566" s="5">
        <v>11.0</v>
      </c>
      <c r="C566" s="1" t="s">
        <v>116</v>
      </c>
      <c r="D566" s="1" t="s">
        <v>13</v>
      </c>
      <c r="E566" s="1" t="s">
        <v>21</v>
      </c>
      <c r="F566" s="5">
        <v>11.558</v>
      </c>
      <c r="G566" s="5">
        <v>1290.956385</v>
      </c>
      <c r="H566" s="5">
        <v>5.779</v>
      </c>
      <c r="I566" s="5">
        <v>1071.0</v>
      </c>
    </row>
    <row r="567">
      <c r="A567" s="6" t="s">
        <v>183</v>
      </c>
      <c r="B567" s="5">
        <v>11.0</v>
      </c>
      <c r="C567" s="1" t="s">
        <v>116</v>
      </c>
      <c r="D567" s="1" t="s">
        <v>13</v>
      </c>
      <c r="E567" s="1" t="s">
        <v>25</v>
      </c>
      <c r="F567" s="5">
        <v>0.0867</v>
      </c>
      <c r="G567" s="5">
        <v>15.436583</v>
      </c>
      <c r="H567" s="5">
        <v>0.065</v>
      </c>
      <c r="I567" s="5">
        <v>51.0</v>
      </c>
    </row>
    <row r="568">
      <c r="A568" s="6" t="s">
        <v>183</v>
      </c>
      <c r="B568" s="5">
        <v>11.0</v>
      </c>
      <c r="C568" s="1" t="s">
        <v>116</v>
      </c>
      <c r="D568" s="1" t="s">
        <v>29</v>
      </c>
      <c r="E568" s="1" t="s">
        <v>14</v>
      </c>
      <c r="F568" s="5">
        <v>0.0027</v>
      </c>
      <c r="G568" s="5">
        <v>0.327685</v>
      </c>
      <c r="H568" s="5">
        <v>5.0E-4</v>
      </c>
      <c r="I568" s="5">
        <v>2.0</v>
      </c>
    </row>
    <row r="569">
      <c r="A569" s="6" t="s">
        <v>183</v>
      </c>
      <c r="B569" s="5">
        <v>11.0</v>
      </c>
      <c r="C569" s="1" t="s">
        <v>116</v>
      </c>
      <c r="D569" s="1" t="s">
        <v>29</v>
      </c>
      <c r="E569" s="1" t="s">
        <v>21</v>
      </c>
      <c r="F569" s="5">
        <v>41.1747</v>
      </c>
      <c r="G569" s="5">
        <v>7167.156142</v>
      </c>
      <c r="H569" s="5">
        <v>16.47</v>
      </c>
      <c r="I569" s="5">
        <v>1973.0</v>
      </c>
    </row>
    <row r="570">
      <c r="A570" s="6" t="s">
        <v>183</v>
      </c>
      <c r="B570" s="5">
        <v>11.0</v>
      </c>
      <c r="C570" s="1" t="s">
        <v>116</v>
      </c>
      <c r="D570" s="1" t="s">
        <v>45</v>
      </c>
      <c r="E570" s="1" t="s">
        <v>17</v>
      </c>
      <c r="F570" s="5">
        <v>18.7049</v>
      </c>
      <c r="G570" s="5">
        <v>1373.506643</v>
      </c>
      <c r="H570" s="5">
        <v>6.7338</v>
      </c>
      <c r="I570" s="5">
        <v>2071.0</v>
      </c>
    </row>
    <row r="571">
      <c r="A571" s="6" t="s">
        <v>183</v>
      </c>
      <c r="B571" s="5">
        <v>11.0</v>
      </c>
      <c r="C571" s="1" t="s">
        <v>116</v>
      </c>
      <c r="D571" s="1" t="s">
        <v>32</v>
      </c>
      <c r="E571" s="1" t="s">
        <v>14</v>
      </c>
      <c r="F571" s="5">
        <v>5.5669</v>
      </c>
      <c r="G571" s="5">
        <v>347.846203</v>
      </c>
      <c r="H571" s="5">
        <v>1.2804</v>
      </c>
      <c r="I571" s="5">
        <v>1415.0</v>
      </c>
    </row>
    <row r="572">
      <c r="A572" s="6" t="s">
        <v>183</v>
      </c>
      <c r="B572" s="5">
        <v>11.0</v>
      </c>
      <c r="C572" s="1" t="s">
        <v>116</v>
      </c>
      <c r="D572" s="1" t="s">
        <v>32</v>
      </c>
      <c r="E572" s="1" t="s">
        <v>21</v>
      </c>
      <c r="F572" s="5">
        <v>3.2636</v>
      </c>
      <c r="G572" s="5">
        <v>537.942316</v>
      </c>
      <c r="H572" s="5">
        <v>1.4686</v>
      </c>
      <c r="I572" s="5">
        <v>1914.0</v>
      </c>
    </row>
    <row r="573">
      <c r="A573" s="6" t="s">
        <v>183</v>
      </c>
      <c r="B573" s="5">
        <v>11.0</v>
      </c>
      <c r="C573" s="1" t="s">
        <v>116</v>
      </c>
      <c r="D573" s="1" t="s">
        <v>147</v>
      </c>
      <c r="E573" s="1" t="s">
        <v>39</v>
      </c>
      <c r="F573" s="5">
        <v>1.7462</v>
      </c>
      <c r="G573" s="5">
        <v>471.874421</v>
      </c>
      <c r="H573" s="5">
        <v>0.3317</v>
      </c>
      <c r="I573" s="5">
        <v>99.0</v>
      </c>
    </row>
    <row r="574">
      <c r="A574" s="6" t="s">
        <v>183</v>
      </c>
      <c r="B574" s="5">
        <v>11.0</v>
      </c>
      <c r="C574" s="1" t="s">
        <v>116</v>
      </c>
      <c r="D574" s="1" t="s">
        <v>147</v>
      </c>
      <c r="E574" s="1" t="s">
        <v>17</v>
      </c>
      <c r="F574" s="5">
        <v>0.0338</v>
      </c>
      <c r="G574" s="5">
        <v>7.738316</v>
      </c>
      <c r="H574" s="5">
        <v>0.0119</v>
      </c>
      <c r="I574" s="5">
        <v>8.0</v>
      </c>
    </row>
    <row r="575">
      <c r="A575" s="6" t="s">
        <v>183</v>
      </c>
      <c r="B575" s="5">
        <v>11.0</v>
      </c>
      <c r="C575" s="1" t="s">
        <v>116</v>
      </c>
      <c r="D575" s="1" t="s">
        <v>147</v>
      </c>
      <c r="E575" s="1" t="s">
        <v>21</v>
      </c>
      <c r="F575" s="5">
        <v>0.0712</v>
      </c>
      <c r="G575" s="5">
        <v>35.070207</v>
      </c>
      <c r="H575" s="5">
        <v>0.0356</v>
      </c>
      <c r="I575" s="5">
        <v>50.0</v>
      </c>
    </row>
    <row r="576">
      <c r="A576" s="6" t="s">
        <v>183</v>
      </c>
      <c r="B576" s="5">
        <v>11.0</v>
      </c>
      <c r="C576" s="1" t="s">
        <v>116</v>
      </c>
      <c r="D576" s="1" t="s">
        <v>42</v>
      </c>
      <c r="E576" s="1" t="s">
        <v>17</v>
      </c>
      <c r="F576" s="5">
        <v>3.1013</v>
      </c>
      <c r="G576" s="5">
        <v>405.385216</v>
      </c>
      <c r="H576" s="5">
        <v>1.1475</v>
      </c>
      <c r="I576" s="5">
        <v>432.0</v>
      </c>
    </row>
    <row r="577">
      <c r="A577" s="6" t="s">
        <v>183</v>
      </c>
      <c r="B577" s="5">
        <v>11.0</v>
      </c>
      <c r="C577" s="1" t="s">
        <v>116</v>
      </c>
      <c r="D577" s="1" t="s">
        <v>102</v>
      </c>
      <c r="E577" s="1" t="s">
        <v>39</v>
      </c>
      <c r="F577" s="5">
        <v>7.0E-4</v>
      </c>
      <c r="G577" s="5">
        <v>0.242017</v>
      </c>
      <c r="H577" s="5">
        <v>1.0E-4</v>
      </c>
      <c r="I577" s="5">
        <v>2.0</v>
      </c>
    </row>
    <row r="578">
      <c r="A578" s="6" t="s">
        <v>183</v>
      </c>
      <c r="B578" s="5">
        <v>11.0</v>
      </c>
      <c r="C578" s="1" t="s">
        <v>116</v>
      </c>
      <c r="D578" s="1" t="s">
        <v>102</v>
      </c>
      <c r="E578" s="1" t="s">
        <v>17</v>
      </c>
      <c r="F578" s="5">
        <v>0.0018</v>
      </c>
      <c r="G578" s="5">
        <v>0.694689</v>
      </c>
      <c r="H578" s="5">
        <v>6.0E-4</v>
      </c>
      <c r="I578" s="5">
        <v>1.0</v>
      </c>
    </row>
    <row r="579">
      <c r="A579" s="6" t="s">
        <v>183</v>
      </c>
      <c r="B579" s="5">
        <v>11.0</v>
      </c>
      <c r="C579" s="1" t="s">
        <v>116</v>
      </c>
      <c r="D579" s="1" t="s">
        <v>102</v>
      </c>
      <c r="E579" s="1" t="s">
        <v>21</v>
      </c>
      <c r="F579" s="5">
        <v>0.9728</v>
      </c>
      <c r="G579" s="5">
        <v>287.265068</v>
      </c>
      <c r="H579" s="5">
        <v>0.3892</v>
      </c>
      <c r="I579" s="5">
        <v>150.0</v>
      </c>
    </row>
    <row r="580">
      <c r="A580" s="6" t="s">
        <v>183</v>
      </c>
      <c r="B580" s="5">
        <v>11.0</v>
      </c>
      <c r="C580" s="1" t="s">
        <v>116</v>
      </c>
      <c r="D580" s="1" t="s">
        <v>165</v>
      </c>
      <c r="E580" s="1" t="s">
        <v>39</v>
      </c>
      <c r="F580" s="5">
        <v>0.3825</v>
      </c>
      <c r="G580" s="5">
        <v>68.448018</v>
      </c>
      <c r="H580" s="5">
        <v>0.0688</v>
      </c>
      <c r="I580" s="5">
        <v>80.0</v>
      </c>
    </row>
    <row r="581">
      <c r="A581" s="6" t="s">
        <v>183</v>
      </c>
      <c r="B581" s="5">
        <v>11.0</v>
      </c>
      <c r="C581" s="1" t="s">
        <v>116</v>
      </c>
      <c r="D581" s="1" t="s">
        <v>165</v>
      </c>
      <c r="E581" s="1" t="s">
        <v>17</v>
      </c>
      <c r="F581" s="5">
        <v>1.0277</v>
      </c>
      <c r="G581" s="5">
        <v>215.005711</v>
      </c>
      <c r="H581" s="5">
        <v>0.3597</v>
      </c>
      <c r="I581" s="5">
        <v>86.0</v>
      </c>
    </row>
    <row r="582">
      <c r="A582" s="6" t="s">
        <v>183</v>
      </c>
      <c r="B582" s="5">
        <v>11.0</v>
      </c>
      <c r="C582" s="1" t="s">
        <v>116</v>
      </c>
      <c r="D582" s="1" t="s">
        <v>158</v>
      </c>
      <c r="E582" s="1" t="s">
        <v>39</v>
      </c>
      <c r="F582" s="5">
        <v>0.0025</v>
      </c>
      <c r="G582" s="5">
        <v>1.226463</v>
      </c>
      <c r="H582" s="5">
        <v>5.0E-4</v>
      </c>
      <c r="I582" s="5">
        <v>0.0</v>
      </c>
    </row>
    <row r="583">
      <c r="A583" s="6" t="s">
        <v>183</v>
      </c>
      <c r="B583" s="5">
        <v>11.0</v>
      </c>
      <c r="C583" s="1" t="s">
        <v>116</v>
      </c>
      <c r="D583" s="1" t="s">
        <v>158</v>
      </c>
      <c r="E583" s="1" t="s">
        <v>17</v>
      </c>
      <c r="F583" s="5">
        <v>0.0711</v>
      </c>
      <c r="G583" s="5">
        <v>30.765021</v>
      </c>
      <c r="H583" s="5">
        <v>0.0249</v>
      </c>
      <c r="I583" s="5">
        <v>0.0</v>
      </c>
    </row>
    <row r="584">
      <c r="A584" s="6" t="s">
        <v>183</v>
      </c>
      <c r="B584" s="5">
        <v>11.0</v>
      </c>
      <c r="C584" s="1" t="s">
        <v>116</v>
      </c>
      <c r="D584" s="1" t="s">
        <v>158</v>
      </c>
      <c r="E584" s="1" t="s">
        <v>21</v>
      </c>
      <c r="F584" s="5">
        <v>0.3586</v>
      </c>
      <c r="G584" s="5">
        <v>194.894285</v>
      </c>
      <c r="H584" s="5">
        <v>0.1506</v>
      </c>
      <c r="I584" s="5">
        <v>0.0</v>
      </c>
    </row>
    <row r="585">
      <c r="A585" s="6" t="s">
        <v>183</v>
      </c>
      <c r="B585" s="5">
        <v>11.0</v>
      </c>
      <c r="C585" s="1" t="s">
        <v>116</v>
      </c>
      <c r="D585" s="1" t="s">
        <v>1949</v>
      </c>
      <c r="E585" s="1" t="s">
        <v>14</v>
      </c>
      <c r="F585" s="5">
        <v>0.143</v>
      </c>
      <c r="G585" s="5">
        <v>65.889532</v>
      </c>
      <c r="H585" s="5">
        <v>0.0286</v>
      </c>
      <c r="I585" s="5">
        <v>0.0</v>
      </c>
    </row>
    <row r="586">
      <c r="A586" s="6" t="s">
        <v>183</v>
      </c>
      <c r="B586" s="5">
        <v>11.0</v>
      </c>
      <c r="C586" s="1" t="s">
        <v>116</v>
      </c>
      <c r="D586" s="1" t="s">
        <v>1949</v>
      </c>
      <c r="E586" s="1" t="s">
        <v>17</v>
      </c>
      <c r="F586" s="5">
        <v>0.3131</v>
      </c>
      <c r="G586" s="5">
        <v>155.941725</v>
      </c>
      <c r="H586" s="5">
        <v>0.1096</v>
      </c>
      <c r="I586" s="5">
        <v>0.0</v>
      </c>
    </row>
    <row r="587">
      <c r="A587" s="6" t="s">
        <v>183</v>
      </c>
      <c r="B587" s="5">
        <v>12.0</v>
      </c>
      <c r="C587" s="1" t="s">
        <v>12</v>
      </c>
      <c r="D587" s="1" t="s">
        <v>13</v>
      </c>
      <c r="E587" s="1" t="s">
        <v>14</v>
      </c>
      <c r="F587" s="5">
        <v>12.7002</v>
      </c>
      <c r="G587" s="5">
        <v>789.227923</v>
      </c>
      <c r="H587" s="5">
        <v>2.667</v>
      </c>
      <c r="I587" s="5">
        <v>543.0</v>
      </c>
    </row>
    <row r="588">
      <c r="A588" s="6" t="s">
        <v>183</v>
      </c>
      <c r="B588" s="5">
        <v>12.0</v>
      </c>
      <c r="C588" s="1" t="s">
        <v>12</v>
      </c>
      <c r="D588" s="1" t="s">
        <v>13</v>
      </c>
      <c r="E588" s="1" t="s">
        <v>17</v>
      </c>
      <c r="F588" s="5">
        <v>69.8036</v>
      </c>
      <c r="G588" s="5">
        <v>5995.252831</v>
      </c>
      <c r="H588" s="5">
        <v>24.4312</v>
      </c>
      <c r="I588" s="5">
        <v>795.0</v>
      </c>
    </row>
    <row r="589">
      <c r="A589" s="6" t="s">
        <v>183</v>
      </c>
      <c r="B589" s="5">
        <v>12.0</v>
      </c>
      <c r="C589" s="1" t="s">
        <v>12</v>
      </c>
      <c r="D589" s="1" t="s">
        <v>13</v>
      </c>
      <c r="E589" s="1" t="s">
        <v>21</v>
      </c>
      <c r="F589" s="5">
        <v>40.6086</v>
      </c>
      <c r="G589" s="5">
        <v>3857.811179</v>
      </c>
      <c r="H589" s="5">
        <v>20.3044</v>
      </c>
      <c r="I589" s="5">
        <v>568.0</v>
      </c>
    </row>
    <row r="590">
      <c r="A590" s="6" t="s">
        <v>183</v>
      </c>
      <c r="B590" s="5">
        <v>12.0</v>
      </c>
      <c r="C590" s="1" t="s">
        <v>12</v>
      </c>
      <c r="D590" s="1" t="s">
        <v>13</v>
      </c>
      <c r="E590" s="1" t="s">
        <v>25</v>
      </c>
      <c r="F590" s="5">
        <v>0.0029</v>
      </c>
      <c r="G590" s="5">
        <v>0.233663</v>
      </c>
      <c r="H590" s="5">
        <v>0.0022</v>
      </c>
      <c r="I590" s="5">
        <v>2.0</v>
      </c>
    </row>
    <row r="591">
      <c r="A591" s="6" t="s">
        <v>183</v>
      </c>
      <c r="B591" s="5">
        <v>12.0</v>
      </c>
      <c r="C591" s="1" t="s">
        <v>12</v>
      </c>
      <c r="D591" s="1" t="s">
        <v>29</v>
      </c>
      <c r="E591" s="1" t="s">
        <v>14</v>
      </c>
      <c r="F591" s="5">
        <v>0.0399</v>
      </c>
      <c r="G591" s="5">
        <v>4.374675</v>
      </c>
      <c r="H591" s="5">
        <v>0.008</v>
      </c>
      <c r="I591" s="5">
        <v>5.0</v>
      </c>
    </row>
    <row r="592">
      <c r="A592" s="6" t="s">
        <v>183</v>
      </c>
      <c r="B592" s="5">
        <v>12.0</v>
      </c>
      <c r="C592" s="1" t="s">
        <v>12</v>
      </c>
      <c r="D592" s="1" t="s">
        <v>29</v>
      </c>
      <c r="E592" s="1" t="s">
        <v>21</v>
      </c>
      <c r="F592" s="5">
        <v>40.6675</v>
      </c>
      <c r="G592" s="5">
        <v>5995.073407</v>
      </c>
      <c r="H592" s="5">
        <v>16.2671</v>
      </c>
      <c r="I592" s="5">
        <v>658.0</v>
      </c>
    </row>
    <row r="593">
      <c r="A593" s="6" t="s">
        <v>183</v>
      </c>
      <c r="B593" s="5">
        <v>12.0</v>
      </c>
      <c r="C593" s="1" t="s">
        <v>12</v>
      </c>
      <c r="D593" s="1" t="s">
        <v>32</v>
      </c>
      <c r="E593" s="1" t="s">
        <v>14</v>
      </c>
      <c r="F593" s="5">
        <v>9.7943</v>
      </c>
      <c r="G593" s="5">
        <v>542.253537</v>
      </c>
      <c r="H593" s="5">
        <v>2.2527</v>
      </c>
      <c r="I593" s="5">
        <v>466.0</v>
      </c>
    </row>
    <row r="594">
      <c r="A594" s="6" t="s">
        <v>183</v>
      </c>
      <c r="B594" s="5">
        <v>12.0</v>
      </c>
      <c r="C594" s="1" t="s">
        <v>12</v>
      </c>
      <c r="D594" s="1" t="s">
        <v>32</v>
      </c>
      <c r="E594" s="1" t="s">
        <v>21</v>
      </c>
      <c r="F594" s="5">
        <v>1.4949</v>
      </c>
      <c r="G594" s="5">
        <v>208.699739</v>
      </c>
      <c r="H594" s="5">
        <v>0.6727</v>
      </c>
      <c r="I594" s="5">
        <v>341.0</v>
      </c>
    </row>
    <row r="595">
      <c r="A595" s="6" t="s">
        <v>183</v>
      </c>
      <c r="B595" s="5">
        <v>12.0</v>
      </c>
      <c r="C595" s="1" t="s">
        <v>12</v>
      </c>
      <c r="D595" s="1" t="s">
        <v>32</v>
      </c>
      <c r="E595" s="1" t="s">
        <v>25</v>
      </c>
      <c r="F595" s="5">
        <v>7.0E-4</v>
      </c>
      <c r="G595" s="5">
        <v>0.125915</v>
      </c>
      <c r="H595" s="5">
        <v>4.0E-4</v>
      </c>
      <c r="I595" s="5">
        <v>1.0</v>
      </c>
    </row>
    <row r="596">
      <c r="A596" s="6" t="s">
        <v>183</v>
      </c>
      <c r="B596" s="5">
        <v>12.0</v>
      </c>
      <c r="C596" s="1" t="s">
        <v>12</v>
      </c>
      <c r="D596" s="1" t="s">
        <v>38</v>
      </c>
      <c r="E596" s="1" t="s">
        <v>39</v>
      </c>
      <c r="F596" s="5">
        <v>2.8291</v>
      </c>
      <c r="G596" s="5">
        <v>306.535534</v>
      </c>
      <c r="H596" s="5">
        <v>0.5092</v>
      </c>
      <c r="I596" s="5">
        <v>103.0</v>
      </c>
    </row>
    <row r="597">
      <c r="A597" s="6" t="s">
        <v>183</v>
      </c>
      <c r="B597" s="5">
        <v>12.0</v>
      </c>
      <c r="C597" s="1" t="s">
        <v>12</v>
      </c>
      <c r="D597" s="1" t="s">
        <v>45</v>
      </c>
      <c r="E597" s="1" t="s">
        <v>17</v>
      </c>
      <c r="F597" s="5">
        <v>4.4035</v>
      </c>
      <c r="G597" s="5">
        <v>282.294567</v>
      </c>
      <c r="H597" s="5">
        <v>1.5853</v>
      </c>
      <c r="I597" s="5">
        <v>225.0</v>
      </c>
    </row>
    <row r="598">
      <c r="A598" s="6" t="s">
        <v>183</v>
      </c>
      <c r="B598" s="5">
        <v>12.0</v>
      </c>
      <c r="C598" s="1" t="s">
        <v>12</v>
      </c>
      <c r="D598" s="1" t="s">
        <v>42</v>
      </c>
      <c r="E598" s="1" t="s">
        <v>17</v>
      </c>
      <c r="F598" s="5">
        <v>1.1942</v>
      </c>
      <c r="G598" s="5">
        <v>162.468894</v>
      </c>
      <c r="H598" s="5">
        <v>0.4419</v>
      </c>
      <c r="I598" s="5">
        <v>133.0</v>
      </c>
    </row>
    <row r="599">
      <c r="A599" s="6" t="s">
        <v>183</v>
      </c>
      <c r="B599" s="5">
        <v>12.0</v>
      </c>
      <c r="C599" s="1" t="s">
        <v>12</v>
      </c>
      <c r="D599" s="1" t="s">
        <v>48</v>
      </c>
      <c r="E599" s="1" t="s">
        <v>49</v>
      </c>
      <c r="F599" s="5">
        <v>0.0048</v>
      </c>
      <c r="G599" s="5">
        <v>1.588229</v>
      </c>
      <c r="H599" s="5">
        <v>0.0014</v>
      </c>
      <c r="I599" s="5">
        <v>3.0</v>
      </c>
    </row>
    <row r="600">
      <c r="A600" s="6" t="s">
        <v>183</v>
      </c>
      <c r="B600" s="5">
        <v>12.0</v>
      </c>
      <c r="C600" s="1" t="s">
        <v>12</v>
      </c>
      <c r="D600" s="1" t="s">
        <v>48</v>
      </c>
      <c r="E600" s="1" t="s">
        <v>21</v>
      </c>
      <c r="F600" s="5">
        <v>0.9457</v>
      </c>
      <c r="G600" s="5">
        <v>117.209566</v>
      </c>
      <c r="H600" s="5">
        <v>0.3783</v>
      </c>
      <c r="I600" s="5">
        <v>119.0</v>
      </c>
    </row>
    <row r="601">
      <c r="A601" s="6" t="s">
        <v>183</v>
      </c>
      <c r="B601" s="5">
        <v>12.0</v>
      </c>
      <c r="C601" s="1" t="s">
        <v>12</v>
      </c>
      <c r="D601" s="1" t="s">
        <v>56</v>
      </c>
      <c r="E601" s="1" t="s">
        <v>21</v>
      </c>
      <c r="F601" s="5">
        <v>0.4026</v>
      </c>
      <c r="G601" s="5">
        <v>87.407708</v>
      </c>
      <c r="H601" s="5">
        <v>0.1611</v>
      </c>
      <c r="I601" s="5">
        <v>202.0</v>
      </c>
    </row>
    <row r="602">
      <c r="A602" s="6" t="s">
        <v>183</v>
      </c>
      <c r="B602" s="5">
        <v>12.0</v>
      </c>
      <c r="C602" s="1" t="s">
        <v>12</v>
      </c>
      <c r="D602" s="1" t="s">
        <v>60</v>
      </c>
      <c r="E602" s="1" t="s">
        <v>39</v>
      </c>
      <c r="F602" s="5">
        <v>0.2968</v>
      </c>
      <c r="G602" s="5">
        <v>50.525289</v>
      </c>
      <c r="H602" s="5">
        <v>0.0564</v>
      </c>
      <c r="I602" s="5">
        <v>0.0</v>
      </c>
    </row>
    <row r="603">
      <c r="A603" s="6" t="s">
        <v>183</v>
      </c>
      <c r="B603" s="5">
        <v>12.0</v>
      </c>
      <c r="C603" s="1" t="s">
        <v>12</v>
      </c>
      <c r="D603" s="1" t="s">
        <v>60</v>
      </c>
      <c r="E603" s="1" t="s">
        <v>17</v>
      </c>
      <c r="F603" s="5">
        <v>0.005</v>
      </c>
      <c r="G603" s="5">
        <v>0.61837</v>
      </c>
      <c r="H603" s="5">
        <v>0.002</v>
      </c>
      <c r="I603" s="5">
        <v>0.0</v>
      </c>
    </row>
    <row r="604">
      <c r="A604" s="6" t="s">
        <v>183</v>
      </c>
      <c r="B604" s="5">
        <v>12.0</v>
      </c>
      <c r="C604" s="1" t="s">
        <v>12</v>
      </c>
      <c r="D604" s="1" t="s">
        <v>848</v>
      </c>
      <c r="E604" s="1" t="s">
        <v>21</v>
      </c>
      <c r="F604" s="5">
        <v>0.2248</v>
      </c>
      <c r="G604" s="5">
        <v>41.788139</v>
      </c>
      <c r="H604" s="5">
        <v>0.0899</v>
      </c>
      <c r="I604" s="5">
        <v>60.0</v>
      </c>
    </row>
    <row r="605">
      <c r="A605" s="6" t="s">
        <v>183</v>
      </c>
      <c r="B605" s="5">
        <v>12.0</v>
      </c>
      <c r="C605" s="1" t="s">
        <v>68</v>
      </c>
      <c r="D605" s="1" t="s">
        <v>13</v>
      </c>
      <c r="E605" s="1" t="s">
        <v>14</v>
      </c>
      <c r="F605" s="5">
        <v>74.8629</v>
      </c>
      <c r="G605" s="5">
        <v>4235.577133</v>
      </c>
      <c r="H605" s="5">
        <v>15.7212</v>
      </c>
      <c r="I605" s="5">
        <v>8742.0</v>
      </c>
    </row>
    <row r="606">
      <c r="A606" s="6" t="s">
        <v>183</v>
      </c>
      <c r="B606" s="5">
        <v>12.0</v>
      </c>
      <c r="C606" s="1" t="s">
        <v>68</v>
      </c>
      <c r="D606" s="1" t="s">
        <v>13</v>
      </c>
      <c r="E606" s="1" t="s">
        <v>17</v>
      </c>
      <c r="F606" s="5">
        <v>44.2276</v>
      </c>
      <c r="G606" s="5">
        <v>4566.001749</v>
      </c>
      <c r="H606" s="5">
        <v>15.4797</v>
      </c>
      <c r="I606" s="5">
        <v>8900.0</v>
      </c>
    </row>
    <row r="607">
      <c r="A607" s="6" t="s">
        <v>183</v>
      </c>
      <c r="B607" s="5">
        <v>12.0</v>
      </c>
      <c r="C607" s="1" t="s">
        <v>68</v>
      </c>
      <c r="D607" s="1" t="s">
        <v>13</v>
      </c>
      <c r="E607" s="1" t="s">
        <v>21</v>
      </c>
      <c r="F607" s="5">
        <v>5.0658</v>
      </c>
      <c r="G607" s="5">
        <v>764.229077</v>
      </c>
      <c r="H607" s="5">
        <v>2.533</v>
      </c>
      <c r="I607" s="5">
        <v>869.0</v>
      </c>
    </row>
    <row r="608">
      <c r="A608" s="6" t="s">
        <v>183</v>
      </c>
      <c r="B608" s="5">
        <v>12.0</v>
      </c>
      <c r="C608" s="1" t="s">
        <v>68</v>
      </c>
      <c r="D608" s="1" t="s">
        <v>13</v>
      </c>
      <c r="E608" s="1" t="s">
        <v>25</v>
      </c>
      <c r="F608" s="5">
        <v>0.2796</v>
      </c>
      <c r="G608" s="5">
        <v>45.269075</v>
      </c>
      <c r="H608" s="5">
        <v>0.2097</v>
      </c>
      <c r="I608" s="5">
        <v>178.0</v>
      </c>
    </row>
    <row r="609">
      <c r="A609" s="6" t="s">
        <v>183</v>
      </c>
      <c r="B609" s="5">
        <v>12.0</v>
      </c>
      <c r="C609" s="1" t="s">
        <v>68</v>
      </c>
      <c r="D609" s="1" t="s">
        <v>29</v>
      </c>
      <c r="E609" s="1" t="s">
        <v>14</v>
      </c>
      <c r="F609" s="5">
        <v>0.0121</v>
      </c>
      <c r="G609" s="5">
        <v>1.127402</v>
      </c>
      <c r="H609" s="5">
        <v>0.0025</v>
      </c>
      <c r="I609" s="5">
        <v>2.0</v>
      </c>
    </row>
    <row r="610">
      <c r="A610" s="6" t="s">
        <v>183</v>
      </c>
      <c r="B610" s="5">
        <v>12.0</v>
      </c>
      <c r="C610" s="1" t="s">
        <v>68</v>
      </c>
      <c r="D610" s="1" t="s">
        <v>29</v>
      </c>
      <c r="E610" s="1" t="s">
        <v>21</v>
      </c>
      <c r="F610" s="5">
        <v>6.5758</v>
      </c>
      <c r="G610" s="5">
        <v>1391.71104</v>
      </c>
      <c r="H610" s="5">
        <v>2.6303</v>
      </c>
      <c r="I610" s="5">
        <v>939.0</v>
      </c>
    </row>
    <row r="611">
      <c r="A611" s="6" t="s">
        <v>183</v>
      </c>
      <c r="B611" s="5">
        <v>12.0</v>
      </c>
      <c r="C611" s="1" t="s">
        <v>68</v>
      </c>
      <c r="D611" s="1" t="s">
        <v>45</v>
      </c>
      <c r="E611" s="1" t="s">
        <v>17</v>
      </c>
      <c r="F611" s="5">
        <v>7.557</v>
      </c>
      <c r="G611" s="5">
        <v>574.505007</v>
      </c>
      <c r="H611" s="5">
        <v>2.7206</v>
      </c>
      <c r="I611" s="5">
        <v>1595.0</v>
      </c>
    </row>
    <row r="612">
      <c r="A612" s="6" t="s">
        <v>183</v>
      </c>
      <c r="B612" s="5">
        <v>12.0</v>
      </c>
      <c r="C612" s="1" t="s">
        <v>68</v>
      </c>
      <c r="D612" s="1" t="s">
        <v>32</v>
      </c>
      <c r="E612" s="1" t="s">
        <v>14</v>
      </c>
      <c r="F612" s="5">
        <v>3.0648</v>
      </c>
      <c r="G612" s="5">
        <v>238.161845</v>
      </c>
      <c r="H612" s="5">
        <v>0.7049</v>
      </c>
      <c r="I612" s="5">
        <v>1181.0</v>
      </c>
    </row>
    <row r="613">
      <c r="A613" s="6" t="s">
        <v>183</v>
      </c>
      <c r="B613" s="5">
        <v>12.0</v>
      </c>
      <c r="C613" s="1" t="s">
        <v>68</v>
      </c>
      <c r="D613" s="1" t="s">
        <v>32</v>
      </c>
      <c r="E613" s="1" t="s">
        <v>21</v>
      </c>
      <c r="F613" s="5">
        <v>0.667</v>
      </c>
      <c r="G613" s="5">
        <v>117.184238</v>
      </c>
      <c r="H613" s="5">
        <v>0.3002</v>
      </c>
      <c r="I613" s="5">
        <v>439.0</v>
      </c>
    </row>
    <row r="614">
      <c r="A614" s="6" t="s">
        <v>183</v>
      </c>
      <c r="B614" s="5">
        <v>12.0</v>
      </c>
      <c r="C614" s="1" t="s">
        <v>68</v>
      </c>
      <c r="D614" s="1" t="s">
        <v>42</v>
      </c>
      <c r="E614" s="1" t="s">
        <v>17</v>
      </c>
      <c r="F614" s="5">
        <v>1.0039</v>
      </c>
      <c r="G614" s="5">
        <v>159.756048</v>
      </c>
      <c r="H614" s="5">
        <v>0.3714</v>
      </c>
      <c r="I614" s="5">
        <v>460.0</v>
      </c>
    </row>
    <row r="615">
      <c r="A615" s="6" t="s">
        <v>183</v>
      </c>
      <c r="B615" s="5">
        <v>12.0</v>
      </c>
      <c r="C615" s="1" t="s">
        <v>68</v>
      </c>
      <c r="D615" s="1" t="s">
        <v>38</v>
      </c>
      <c r="E615" s="1" t="s">
        <v>39</v>
      </c>
      <c r="F615" s="5">
        <v>1.5923</v>
      </c>
      <c r="G615" s="5">
        <v>134.403459</v>
      </c>
      <c r="H615" s="5">
        <v>0.2866</v>
      </c>
      <c r="I615" s="5">
        <v>220.0</v>
      </c>
    </row>
    <row r="616">
      <c r="A616" s="6" t="s">
        <v>183</v>
      </c>
      <c r="B616" s="5">
        <v>12.0</v>
      </c>
      <c r="C616" s="1" t="s">
        <v>68</v>
      </c>
      <c r="D616" s="1" t="s">
        <v>544</v>
      </c>
      <c r="E616" s="1" t="s">
        <v>17</v>
      </c>
      <c r="F616" s="5">
        <v>0.6812</v>
      </c>
      <c r="G616" s="5">
        <v>60.933021</v>
      </c>
      <c r="H616" s="5">
        <v>0.2384</v>
      </c>
      <c r="I616" s="5">
        <v>223.0</v>
      </c>
    </row>
    <row r="617">
      <c r="A617" s="6" t="s">
        <v>183</v>
      </c>
      <c r="B617" s="5">
        <v>12.0</v>
      </c>
      <c r="C617" s="1" t="s">
        <v>68</v>
      </c>
      <c r="D617" s="1" t="s">
        <v>165</v>
      </c>
      <c r="E617" s="1" t="s">
        <v>39</v>
      </c>
      <c r="F617" s="5">
        <v>0.0372</v>
      </c>
      <c r="G617" s="5">
        <v>6.713224</v>
      </c>
      <c r="H617" s="5">
        <v>0.0067</v>
      </c>
      <c r="I617" s="5">
        <v>0.0</v>
      </c>
    </row>
    <row r="618">
      <c r="A618" s="6" t="s">
        <v>183</v>
      </c>
      <c r="B618" s="5">
        <v>12.0</v>
      </c>
      <c r="C618" s="1" t="s">
        <v>68</v>
      </c>
      <c r="D618" s="1" t="s">
        <v>165</v>
      </c>
      <c r="E618" s="1" t="s">
        <v>17</v>
      </c>
      <c r="F618" s="5">
        <v>0.1953</v>
      </c>
      <c r="G618" s="5">
        <v>45.258333</v>
      </c>
      <c r="H618" s="5">
        <v>0.0684</v>
      </c>
      <c r="I618" s="5">
        <v>0.0</v>
      </c>
    </row>
    <row r="619">
      <c r="A619" s="6" t="s">
        <v>183</v>
      </c>
      <c r="B619" s="5">
        <v>12.0</v>
      </c>
      <c r="C619" s="1" t="s">
        <v>68</v>
      </c>
      <c r="D619" s="1" t="s">
        <v>48</v>
      </c>
      <c r="E619" s="1" t="s">
        <v>49</v>
      </c>
      <c r="F619" s="5">
        <v>0.0029</v>
      </c>
      <c r="G619" s="5">
        <v>1.11613</v>
      </c>
      <c r="H619" s="5">
        <v>8.0E-4</v>
      </c>
      <c r="I619" s="5">
        <v>2.0</v>
      </c>
    </row>
    <row r="620">
      <c r="A620" s="6" t="s">
        <v>183</v>
      </c>
      <c r="B620" s="5">
        <v>12.0</v>
      </c>
      <c r="C620" s="1" t="s">
        <v>68</v>
      </c>
      <c r="D620" s="1" t="s">
        <v>48</v>
      </c>
      <c r="E620" s="1" t="s">
        <v>21</v>
      </c>
      <c r="F620" s="5">
        <v>0.3372</v>
      </c>
      <c r="G620" s="5">
        <v>35.861902</v>
      </c>
      <c r="H620" s="5">
        <v>0.1349</v>
      </c>
      <c r="I620" s="5">
        <v>212.0</v>
      </c>
    </row>
    <row r="621">
      <c r="A621" s="6" t="s">
        <v>183</v>
      </c>
      <c r="B621" s="5">
        <v>12.0</v>
      </c>
      <c r="C621" s="1" t="s">
        <v>68</v>
      </c>
      <c r="D621" s="1" t="s">
        <v>2176</v>
      </c>
      <c r="E621" s="1" t="s">
        <v>17</v>
      </c>
      <c r="F621" s="5">
        <v>0.5115</v>
      </c>
      <c r="G621" s="5">
        <v>35.519099</v>
      </c>
      <c r="H621" s="5">
        <v>0.1867</v>
      </c>
      <c r="I621" s="5">
        <v>0.0</v>
      </c>
    </row>
    <row r="622">
      <c r="A622" s="6" t="s">
        <v>183</v>
      </c>
      <c r="B622" s="5">
        <v>12.0</v>
      </c>
      <c r="C622" s="1" t="s">
        <v>116</v>
      </c>
      <c r="D622" s="1" t="s">
        <v>13</v>
      </c>
      <c r="E622" s="1" t="s">
        <v>14</v>
      </c>
      <c r="F622" s="5">
        <v>124.8704</v>
      </c>
      <c r="G622" s="5">
        <v>7039.56404</v>
      </c>
      <c r="H622" s="5">
        <v>26.2228</v>
      </c>
      <c r="I622" s="5">
        <v>11727.0</v>
      </c>
    </row>
    <row r="623">
      <c r="A623" s="6" t="s">
        <v>183</v>
      </c>
      <c r="B623" s="5">
        <v>12.0</v>
      </c>
      <c r="C623" s="1" t="s">
        <v>116</v>
      </c>
      <c r="D623" s="1" t="s">
        <v>13</v>
      </c>
      <c r="E623" s="1" t="s">
        <v>17</v>
      </c>
      <c r="F623" s="5">
        <v>110.6414</v>
      </c>
      <c r="G623" s="5">
        <v>10476.185686</v>
      </c>
      <c r="H623" s="5">
        <v>38.7245</v>
      </c>
      <c r="I623" s="5">
        <v>15236.0</v>
      </c>
    </row>
    <row r="624">
      <c r="A624" s="6" t="s">
        <v>183</v>
      </c>
      <c r="B624" s="5">
        <v>12.0</v>
      </c>
      <c r="C624" s="1" t="s">
        <v>116</v>
      </c>
      <c r="D624" s="1" t="s">
        <v>13</v>
      </c>
      <c r="E624" s="1" t="s">
        <v>21</v>
      </c>
      <c r="F624" s="5">
        <v>9.7353</v>
      </c>
      <c r="G624" s="5">
        <v>1248.6311</v>
      </c>
      <c r="H624" s="5">
        <v>4.8675</v>
      </c>
      <c r="I624" s="5">
        <v>1006.0</v>
      </c>
    </row>
    <row r="625">
      <c r="A625" s="6" t="s">
        <v>183</v>
      </c>
      <c r="B625" s="5">
        <v>12.0</v>
      </c>
      <c r="C625" s="1" t="s">
        <v>116</v>
      </c>
      <c r="D625" s="1" t="s">
        <v>13</v>
      </c>
      <c r="E625" s="1" t="s">
        <v>25</v>
      </c>
      <c r="F625" s="5">
        <v>0.0755</v>
      </c>
      <c r="G625" s="5">
        <v>12.065848</v>
      </c>
      <c r="H625" s="5">
        <v>0.0566</v>
      </c>
      <c r="I625" s="5">
        <v>45.0</v>
      </c>
    </row>
    <row r="626">
      <c r="A626" s="6" t="s">
        <v>183</v>
      </c>
      <c r="B626" s="5">
        <v>12.0</v>
      </c>
      <c r="C626" s="1" t="s">
        <v>116</v>
      </c>
      <c r="D626" s="1" t="s">
        <v>29</v>
      </c>
      <c r="E626" s="1" t="s">
        <v>14</v>
      </c>
      <c r="F626" s="5">
        <v>0.004</v>
      </c>
      <c r="G626" s="5">
        <v>0.49345</v>
      </c>
      <c r="H626" s="5">
        <v>8.0E-4</v>
      </c>
      <c r="I626" s="5">
        <v>2.0</v>
      </c>
    </row>
    <row r="627">
      <c r="A627" s="6" t="s">
        <v>183</v>
      </c>
      <c r="B627" s="5">
        <v>12.0</v>
      </c>
      <c r="C627" s="1" t="s">
        <v>116</v>
      </c>
      <c r="D627" s="1" t="s">
        <v>29</v>
      </c>
      <c r="E627" s="1" t="s">
        <v>21</v>
      </c>
      <c r="F627" s="5">
        <v>24.9785</v>
      </c>
      <c r="G627" s="5">
        <v>4973.572214</v>
      </c>
      <c r="H627" s="5">
        <v>9.9914</v>
      </c>
      <c r="I627" s="5">
        <v>1907.0</v>
      </c>
    </row>
    <row r="628">
      <c r="A628" s="6" t="s">
        <v>183</v>
      </c>
      <c r="B628" s="5">
        <v>12.0</v>
      </c>
      <c r="C628" s="1" t="s">
        <v>116</v>
      </c>
      <c r="D628" s="1" t="s">
        <v>45</v>
      </c>
      <c r="E628" s="1" t="s">
        <v>17</v>
      </c>
      <c r="F628" s="5">
        <v>18.1118</v>
      </c>
      <c r="G628" s="5">
        <v>1362.937588</v>
      </c>
      <c r="H628" s="5">
        <v>6.5203</v>
      </c>
      <c r="I628" s="5">
        <v>2078.0</v>
      </c>
    </row>
    <row r="629">
      <c r="A629" s="6" t="s">
        <v>183</v>
      </c>
      <c r="B629" s="5">
        <v>12.0</v>
      </c>
      <c r="C629" s="1" t="s">
        <v>116</v>
      </c>
      <c r="D629" s="1" t="s">
        <v>32</v>
      </c>
      <c r="E629" s="1" t="s">
        <v>14</v>
      </c>
      <c r="F629" s="5">
        <v>5.1247</v>
      </c>
      <c r="G629" s="5">
        <v>297.628508</v>
      </c>
      <c r="H629" s="5">
        <v>1.1787</v>
      </c>
      <c r="I629" s="5">
        <v>1031.0</v>
      </c>
    </row>
    <row r="630">
      <c r="A630" s="6" t="s">
        <v>183</v>
      </c>
      <c r="B630" s="5">
        <v>12.0</v>
      </c>
      <c r="C630" s="1" t="s">
        <v>116</v>
      </c>
      <c r="D630" s="1" t="s">
        <v>32</v>
      </c>
      <c r="E630" s="1" t="s">
        <v>72</v>
      </c>
      <c r="F630" s="5">
        <v>0.0078</v>
      </c>
      <c r="G630" s="5">
        <v>0.852696</v>
      </c>
      <c r="H630" s="5">
        <v>0.0023</v>
      </c>
      <c r="I630" s="5">
        <v>9.0</v>
      </c>
    </row>
    <row r="631">
      <c r="A631" s="6" t="s">
        <v>183</v>
      </c>
      <c r="B631" s="5">
        <v>12.0</v>
      </c>
      <c r="C631" s="1" t="s">
        <v>116</v>
      </c>
      <c r="D631" s="1" t="s">
        <v>32</v>
      </c>
      <c r="E631" s="1" t="s">
        <v>21</v>
      </c>
      <c r="F631" s="5">
        <v>6.2071</v>
      </c>
      <c r="G631" s="5">
        <v>923.409919</v>
      </c>
      <c r="H631" s="5">
        <v>2.7931</v>
      </c>
      <c r="I631" s="5">
        <v>2067.0</v>
      </c>
    </row>
    <row r="632">
      <c r="A632" s="6" t="s">
        <v>183</v>
      </c>
      <c r="B632" s="5">
        <v>12.0</v>
      </c>
      <c r="C632" s="1" t="s">
        <v>116</v>
      </c>
      <c r="D632" s="1" t="s">
        <v>147</v>
      </c>
      <c r="E632" s="1" t="s">
        <v>39</v>
      </c>
      <c r="F632" s="5">
        <v>1.2878</v>
      </c>
      <c r="G632" s="5">
        <v>365.322427</v>
      </c>
      <c r="H632" s="5">
        <v>0.2448</v>
      </c>
      <c r="I632" s="5">
        <v>107.0</v>
      </c>
    </row>
    <row r="633">
      <c r="A633" s="6" t="s">
        <v>183</v>
      </c>
      <c r="B633" s="5">
        <v>12.0</v>
      </c>
      <c r="C633" s="1" t="s">
        <v>116</v>
      </c>
      <c r="D633" s="1" t="s">
        <v>147</v>
      </c>
      <c r="E633" s="1" t="s">
        <v>17</v>
      </c>
      <c r="F633" s="5">
        <v>0.0215</v>
      </c>
      <c r="G633" s="5">
        <v>5.839443</v>
      </c>
      <c r="H633" s="5">
        <v>0.0075</v>
      </c>
      <c r="I633" s="5">
        <v>8.0</v>
      </c>
    </row>
    <row r="634">
      <c r="A634" s="6" t="s">
        <v>183</v>
      </c>
      <c r="B634" s="5">
        <v>12.0</v>
      </c>
      <c r="C634" s="1" t="s">
        <v>116</v>
      </c>
      <c r="D634" s="1" t="s">
        <v>147</v>
      </c>
      <c r="E634" s="1" t="s">
        <v>21</v>
      </c>
      <c r="F634" s="5">
        <v>0.0856</v>
      </c>
      <c r="G634" s="5">
        <v>42.079687</v>
      </c>
      <c r="H634" s="5">
        <v>0.0428</v>
      </c>
      <c r="I634" s="5">
        <v>56.0</v>
      </c>
    </row>
    <row r="635">
      <c r="A635" s="6" t="s">
        <v>183</v>
      </c>
      <c r="B635" s="5">
        <v>12.0</v>
      </c>
      <c r="C635" s="1" t="s">
        <v>116</v>
      </c>
      <c r="D635" s="1" t="s">
        <v>42</v>
      </c>
      <c r="E635" s="1" t="s">
        <v>17</v>
      </c>
      <c r="F635" s="5">
        <v>2.1985</v>
      </c>
      <c r="G635" s="5">
        <v>309.219405</v>
      </c>
      <c r="H635" s="5">
        <v>0.8134</v>
      </c>
      <c r="I635" s="5">
        <v>511.0</v>
      </c>
    </row>
    <row r="636">
      <c r="A636" s="6" t="s">
        <v>183</v>
      </c>
      <c r="B636" s="5">
        <v>12.0</v>
      </c>
      <c r="C636" s="1" t="s">
        <v>116</v>
      </c>
      <c r="D636" s="1" t="s">
        <v>158</v>
      </c>
      <c r="E636" s="1" t="s">
        <v>39</v>
      </c>
      <c r="F636" s="5">
        <v>2.0E-4</v>
      </c>
      <c r="G636" s="5">
        <v>0.094354</v>
      </c>
      <c r="H636" s="5">
        <v>1.0E-4</v>
      </c>
      <c r="I636" s="5">
        <v>0.0</v>
      </c>
    </row>
    <row r="637">
      <c r="A637" s="6" t="s">
        <v>183</v>
      </c>
      <c r="B637" s="5">
        <v>12.0</v>
      </c>
      <c r="C637" s="1" t="s">
        <v>116</v>
      </c>
      <c r="D637" s="1" t="s">
        <v>158</v>
      </c>
      <c r="E637" s="1" t="s">
        <v>17</v>
      </c>
      <c r="F637" s="5">
        <v>0.084</v>
      </c>
      <c r="G637" s="5">
        <v>33.376419</v>
      </c>
      <c r="H637" s="5">
        <v>0.0294</v>
      </c>
      <c r="I637" s="5">
        <v>0.0</v>
      </c>
    </row>
    <row r="638">
      <c r="A638" s="6" t="s">
        <v>183</v>
      </c>
      <c r="B638" s="5">
        <v>12.0</v>
      </c>
      <c r="C638" s="1" t="s">
        <v>116</v>
      </c>
      <c r="D638" s="1" t="s">
        <v>158</v>
      </c>
      <c r="E638" s="1" t="s">
        <v>21</v>
      </c>
      <c r="F638" s="5">
        <v>0.4299</v>
      </c>
      <c r="G638" s="5">
        <v>232.877716</v>
      </c>
      <c r="H638" s="5">
        <v>0.1805</v>
      </c>
      <c r="I638" s="5">
        <v>0.0</v>
      </c>
    </row>
    <row r="639">
      <c r="A639" s="6" t="s">
        <v>183</v>
      </c>
      <c r="B639" s="5">
        <v>12.0</v>
      </c>
      <c r="C639" s="1" t="s">
        <v>116</v>
      </c>
      <c r="D639" s="1" t="s">
        <v>165</v>
      </c>
      <c r="E639" s="1" t="s">
        <v>39</v>
      </c>
      <c r="F639" s="5">
        <v>0.3527</v>
      </c>
      <c r="G639" s="5">
        <v>63.560267</v>
      </c>
      <c r="H639" s="5">
        <v>0.0635</v>
      </c>
      <c r="I639" s="5">
        <v>81.0</v>
      </c>
    </row>
    <row r="640">
      <c r="A640" s="6" t="s">
        <v>183</v>
      </c>
      <c r="B640" s="5">
        <v>12.0</v>
      </c>
      <c r="C640" s="1" t="s">
        <v>116</v>
      </c>
      <c r="D640" s="1" t="s">
        <v>165</v>
      </c>
      <c r="E640" s="1" t="s">
        <v>17</v>
      </c>
      <c r="F640" s="5">
        <v>0.7694</v>
      </c>
      <c r="G640" s="5">
        <v>174.461142</v>
      </c>
      <c r="H640" s="5">
        <v>0.2693</v>
      </c>
      <c r="I640" s="5">
        <v>87.0</v>
      </c>
    </row>
    <row r="641">
      <c r="A641" s="6" t="s">
        <v>183</v>
      </c>
      <c r="B641" s="5">
        <v>12.0</v>
      </c>
      <c r="C641" s="1" t="s">
        <v>116</v>
      </c>
      <c r="D641" s="1" t="s">
        <v>102</v>
      </c>
      <c r="E641" s="1" t="s">
        <v>17</v>
      </c>
      <c r="F641" s="5">
        <v>2.0E-4</v>
      </c>
      <c r="G641" s="5">
        <v>0.073136</v>
      </c>
      <c r="H641" s="5">
        <v>1.0E-4</v>
      </c>
      <c r="I641" s="5">
        <v>1.0</v>
      </c>
    </row>
    <row r="642">
      <c r="A642" s="6" t="s">
        <v>183</v>
      </c>
      <c r="B642" s="5">
        <v>12.0</v>
      </c>
      <c r="C642" s="1" t="s">
        <v>116</v>
      </c>
      <c r="D642" s="1" t="s">
        <v>102</v>
      </c>
      <c r="E642" s="1" t="s">
        <v>21</v>
      </c>
      <c r="F642" s="5">
        <v>0.6204</v>
      </c>
      <c r="G642" s="5">
        <v>191.647874</v>
      </c>
      <c r="H642" s="5">
        <v>0.2481</v>
      </c>
      <c r="I642" s="5">
        <v>124.0</v>
      </c>
    </row>
    <row r="643">
      <c r="A643" s="6" t="s">
        <v>183</v>
      </c>
      <c r="B643" s="5">
        <v>12.0</v>
      </c>
      <c r="C643" s="1" t="s">
        <v>116</v>
      </c>
      <c r="D643" s="1" t="s">
        <v>1949</v>
      </c>
      <c r="E643" s="1" t="s">
        <v>14</v>
      </c>
      <c r="F643" s="5">
        <v>0.0765</v>
      </c>
      <c r="G643" s="5">
        <v>35.958112</v>
      </c>
      <c r="H643" s="5">
        <v>0.0153</v>
      </c>
      <c r="I643" s="5">
        <v>0.0</v>
      </c>
    </row>
    <row r="644">
      <c r="A644" s="6" t="s">
        <v>183</v>
      </c>
      <c r="B644" s="5">
        <v>12.0</v>
      </c>
      <c r="C644" s="1" t="s">
        <v>116</v>
      </c>
      <c r="D644" s="1" t="s">
        <v>1949</v>
      </c>
      <c r="E644" s="1" t="s">
        <v>17</v>
      </c>
      <c r="F644" s="5">
        <v>0.2849</v>
      </c>
      <c r="G644" s="5">
        <v>140.160417</v>
      </c>
      <c r="H644" s="5">
        <v>0.0997</v>
      </c>
      <c r="I644" s="5">
        <v>0.0</v>
      </c>
    </row>
    <row r="645">
      <c r="A645" s="6" t="s">
        <v>183</v>
      </c>
      <c r="B645" s="5">
        <v>10.0</v>
      </c>
      <c r="C645" s="1" t="s">
        <v>12</v>
      </c>
      <c r="D645" s="1" t="s">
        <v>13</v>
      </c>
      <c r="E645" s="1" t="s">
        <v>2230</v>
      </c>
      <c r="F645" s="5">
        <v>0.7753</v>
      </c>
      <c r="G645" s="5">
        <v>41.856</v>
      </c>
      <c r="H645" s="5">
        <v>0.155</v>
      </c>
      <c r="I645" s="5">
        <v>13.0</v>
      </c>
    </row>
    <row r="646">
      <c r="A646" s="6" t="s">
        <v>183</v>
      </c>
      <c r="B646" s="5">
        <v>10.0</v>
      </c>
      <c r="C646" s="1" t="s">
        <v>68</v>
      </c>
      <c r="D646" s="1" t="s">
        <v>13</v>
      </c>
      <c r="E646" s="1" t="s">
        <v>2230</v>
      </c>
      <c r="F646" s="5">
        <v>1.2062</v>
      </c>
      <c r="G646" s="5">
        <v>76.9093</v>
      </c>
      <c r="H646" s="5">
        <v>0.2412</v>
      </c>
      <c r="I646" s="5">
        <v>367.0</v>
      </c>
    </row>
    <row r="647">
      <c r="A647" s="6" t="s">
        <v>183</v>
      </c>
      <c r="B647" s="5">
        <v>10.0</v>
      </c>
      <c r="C647" s="1" t="s">
        <v>116</v>
      </c>
      <c r="D647" s="1" t="s">
        <v>13</v>
      </c>
      <c r="E647" s="1" t="s">
        <v>2230</v>
      </c>
      <c r="F647" s="5">
        <v>2.4604</v>
      </c>
      <c r="G647" s="5">
        <v>151.083</v>
      </c>
      <c r="H647" s="5">
        <v>0.4921</v>
      </c>
      <c r="I647" s="5">
        <v>271.0</v>
      </c>
    </row>
    <row r="648">
      <c r="A648" s="6" t="s">
        <v>183</v>
      </c>
      <c r="B648" s="5">
        <v>11.0</v>
      </c>
      <c r="C648" s="1" t="s">
        <v>12</v>
      </c>
      <c r="D648" s="1" t="s">
        <v>13</v>
      </c>
      <c r="E648" s="1" t="s">
        <v>2230</v>
      </c>
      <c r="F648" s="5">
        <v>2.4715</v>
      </c>
      <c r="G648" s="5">
        <v>173.9148</v>
      </c>
      <c r="H648" s="5">
        <v>0.4943</v>
      </c>
      <c r="I648" s="5">
        <v>170.0</v>
      </c>
    </row>
    <row r="649">
      <c r="A649" s="6" t="s">
        <v>183</v>
      </c>
      <c r="B649" s="5">
        <v>11.0</v>
      </c>
      <c r="C649" s="1" t="s">
        <v>68</v>
      </c>
      <c r="D649" s="1" t="s">
        <v>13</v>
      </c>
      <c r="E649" s="1" t="s">
        <v>2230</v>
      </c>
      <c r="F649" s="5">
        <v>17.7682</v>
      </c>
      <c r="G649" s="5">
        <v>1109.3931</v>
      </c>
      <c r="H649" s="5">
        <v>3.5537</v>
      </c>
      <c r="I649" s="5">
        <v>1713.0</v>
      </c>
    </row>
    <row r="650">
      <c r="A650" s="6" t="s">
        <v>183</v>
      </c>
      <c r="B650" s="5">
        <v>11.0</v>
      </c>
      <c r="C650" s="1" t="s">
        <v>116</v>
      </c>
      <c r="D650" s="1" t="s">
        <v>13</v>
      </c>
      <c r="E650" s="1" t="s">
        <v>2230</v>
      </c>
      <c r="F650" s="5">
        <v>18.8734</v>
      </c>
      <c r="G650" s="5">
        <v>1317.4916</v>
      </c>
      <c r="H650" s="5">
        <v>3.7747</v>
      </c>
      <c r="I650" s="5">
        <v>1607.0</v>
      </c>
    </row>
    <row r="651">
      <c r="A651" s="6" t="s">
        <v>183</v>
      </c>
      <c r="B651" s="5">
        <v>12.0</v>
      </c>
      <c r="C651" s="1" t="s">
        <v>12</v>
      </c>
      <c r="D651" s="1" t="s">
        <v>13</v>
      </c>
      <c r="E651" s="1" t="s">
        <v>2230</v>
      </c>
      <c r="F651" s="5">
        <v>36.9079</v>
      </c>
      <c r="G651" s="5">
        <v>2267.3183</v>
      </c>
      <c r="H651" s="5">
        <v>7.3816</v>
      </c>
      <c r="I651" s="5">
        <v>468.0</v>
      </c>
    </row>
    <row r="652">
      <c r="A652" s="6" t="s">
        <v>183</v>
      </c>
      <c r="B652" s="5">
        <v>12.0</v>
      </c>
      <c r="C652" s="1" t="s">
        <v>68</v>
      </c>
      <c r="D652" s="1" t="s">
        <v>13</v>
      </c>
      <c r="E652" s="1" t="s">
        <v>2230</v>
      </c>
      <c r="F652" s="5">
        <v>20.2285</v>
      </c>
      <c r="G652" s="5">
        <v>1371.255</v>
      </c>
      <c r="H652" s="5">
        <v>4.0456</v>
      </c>
      <c r="I652" s="5">
        <v>1889.0</v>
      </c>
    </row>
    <row r="653">
      <c r="A653" s="6" t="s">
        <v>183</v>
      </c>
      <c r="B653" s="5">
        <v>12.0</v>
      </c>
      <c r="C653" s="1" t="s">
        <v>116</v>
      </c>
      <c r="D653" s="1" t="s">
        <v>13</v>
      </c>
      <c r="E653" s="1" t="s">
        <v>2230</v>
      </c>
      <c r="F653" s="5">
        <v>40.6617</v>
      </c>
      <c r="G653" s="5">
        <v>2642.1648</v>
      </c>
      <c r="H653" s="5">
        <v>8.1324</v>
      </c>
      <c r="I653" s="5">
        <v>2079.0</v>
      </c>
    </row>
    <row r="654">
      <c r="A654" s="6" t="s">
        <v>2488</v>
      </c>
      <c r="B654" s="5">
        <v>1.0</v>
      </c>
      <c r="C654" s="1" t="s">
        <v>12</v>
      </c>
      <c r="D654" s="1" t="s">
        <v>13</v>
      </c>
      <c r="E654" s="1" t="s">
        <v>14</v>
      </c>
      <c r="F654" s="5">
        <v>12.7583</v>
      </c>
      <c r="G654" s="5">
        <v>817.789128</v>
      </c>
      <c r="H654" s="5">
        <v>2.6792</v>
      </c>
      <c r="I654" s="5">
        <v>545.0</v>
      </c>
    </row>
    <row r="655">
      <c r="A655" s="6" t="s">
        <v>2488</v>
      </c>
      <c r="B655" s="5">
        <v>1.0</v>
      </c>
      <c r="C655" s="1" t="s">
        <v>12</v>
      </c>
      <c r="D655" s="1" t="s">
        <v>13</v>
      </c>
      <c r="E655" s="1" t="s">
        <v>17</v>
      </c>
      <c r="F655" s="5">
        <v>61.6034</v>
      </c>
      <c r="G655" s="5">
        <v>5598.975814</v>
      </c>
      <c r="H655" s="5">
        <v>21.5612</v>
      </c>
      <c r="I655" s="5">
        <v>798.0</v>
      </c>
    </row>
    <row r="656">
      <c r="A656" s="6" t="s">
        <v>2488</v>
      </c>
      <c r="B656" s="5">
        <v>1.0</v>
      </c>
      <c r="C656" s="1" t="s">
        <v>12</v>
      </c>
      <c r="D656" s="1" t="s">
        <v>13</v>
      </c>
      <c r="E656" s="1" t="s">
        <v>21</v>
      </c>
      <c r="F656" s="5">
        <v>47.7524</v>
      </c>
      <c r="G656" s="5">
        <v>4638.537271</v>
      </c>
      <c r="H656" s="5">
        <v>23.8763</v>
      </c>
      <c r="I656" s="5">
        <v>569.0</v>
      </c>
    </row>
    <row r="657">
      <c r="A657" s="6" t="s">
        <v>2488</v>
      </c>
      <c r="B657" s="5">
        <v>1.0</v>
      </c>
      <c r="C657" s="1" t="s">
        <v>12</v>
      </c>
      <c r="D657" s="1" t="s">
        <v>13</v>
      </c>
      <c r="E657" s="1" t="s">
        <v>25</v>
      </c>
      <c r="F657" s="5">
        <v>0.0017</v>
      </c>
      <c r="G657" s="5">
        <v>0.123992</v>
      </c>
      <c r="H657" s="5">
        <v>0.0013</v>
      </c>
      <c r="I657" s="5">
        <v>1.0</v>
      </c>
    </row>
    <row r="658">
      <c r="A658" s="6" t="s">
        <v>2488</v>
      </c>
      <c r="B658" s="5">
        <v>1.0</v>
      </c>
      <c r="C658" s="1" t="s">
        <v>12</v>
      </c>
      <c r="D658" s="1" t="s">
        <v>29</v>
      </c>
      <c r="E658" s="1" t="s">
        <v>14</v>
      </c>
      <c r="F658" s="5">
        <v>0.0509</v>
      </c>
      <c r="G658" s="5">
        <v>5.628921</v>
      </c>
      <c r="H658" s="5">
        <v>0.0101</v>
      </c>
      <c r="I658" s="5">
        <v>6.0</v>
      </c>
    </row>
    <row r="659">
      <c r="A659" s="6" t="s">
        <v>2488</v>
      </c>
      <c r="B659" s="5">
        <v>1.0</v>
      </c>
      <c r="C659" s="1" t="s">
        <v>12</v>
      </c>
      <c r="D659" s="1" t="s">
        <v>29</v>
      </c>
      <c r="E659" s="1" t="s">
        <v>21</v>
      </c>
      <c r="F659" s="5">
        <v>32.5492</v>
      </c>
      <c r="G659" s="5">
        <v>5589.670023</v>
      </c>
      <c r="H659" s="5">
        <v>13.0196</v>
      </c>
      <c r="I659" s="5">
        <v>658.0</v>
      </c>
    </row>
    <row r="660">
      <c r="A660" s="6" t="s">
        <v>2488</v>
      </c>
      <c r="B660" s="5">
        <v>1.0</v>
      </c>
      <c r="C660" s="1" t="s">
        <v>12</v>
      </c>
      <c r="D660" s="1" t="s">
        <v>32</v>
      </c>
      <c r="E660" s="1" t="s">
        <v>14</v>
      </c>
      <c r="F660" s="5">
        <v>3.3615</v>
      </c>
      <c r="G660" s="5">
        <v>224.65112200000002</v>
      </c>
      <c r="H660" s="5">
        <v>0.7731</v>
      </c>
      <c r="I660" s="5">
        <v>366.0</v>
      </c>
    </row>
    <row r="661">
      <c r="A661" s="6" t="s">
        <v>2488</v>
      </c>
      <c r="B661" s="5">
        <v>1.0</v>
      </c>
      <c r="C661" s="1" t="s">
        <v>12</v>
      </c>
      <c r="D661" s="1" t="s">
        <v>32</v>
      </c>
      <c r="E661" s="1" t="s">
        <v>21</v>
      </c>
      <c r="F661" s="5">
        <v>1.4148</v>
      </c>
      <c r="G661" s="5">
        <v>172.739041</v>
      </c>
      <c r="H661" s="5">
        <v>0.6367</v>
      </c>
      <c r="I661" s="5">
        <v>281.0</v>
      </c>
    </row>
    <row r="662">
      <c r="A662" s="6" t="s">
        <v>2488</v>
      </c>
      <c r="B662" s="5">
        <v>1.0</v>
      </c>
      <c r="C662" s="1" t="s">
        <v>12</v>
      </c>
      <c r="D662" s="1" t="s">
        <v>45</v>
      </c>
      <c r="E662" s="1" t="s">
        <v>17</v>
      </c>
      <c r="F662" s="5">
        <v>4.3779</v>
      </c>
      <c r="G662" s="5">
        <v>295.583894</v>
      </c>
      <c r="H662" s="5">
        <v>1.5761</v>
      </c>
      <c r="I662" s="5">
        <v>234.0</v>
      </c>
    </row>
    <row r="663">
      <c r="A663" s="6" t="s">
        <v>2488</v>
      </c>
      <c r="B663" s="5">
        <v>1.0</v>
      </c>
      <c r="C663" s="1" t="s">
        <v>12</v>
      </c>
      <c r="D663" s="1" t="s">
        <v>38</v>
      </c>
      <c r="E663" s="1" t="s">
        <v>39</v>
      </c>
      <c r="F663" s="5">
        <v>2.563</v>
      </c>
      <c r="G663" s="5">
        <v>286.247337</v>
      </c>
      <c r="H663" s="5">
        <v>0.4614</v>
      </c>
      <c r="I663" s="5">
        <v>102.0</v>
      </c>
    </row>
    <row r="664">
      <c r="A664" s="6" t="s">
        <v>2488</v>
      </c>
      <c r="B664" s="5">
        <v>1.0</v>
      </c>
      <c r="C664" s="1" t="s">
        <v>12</v>
      </c>
      <c r="D664" s="1" t="s">
        <v>42</v>
      </c>
      <c r="E664" s="1" t="s">
        <v>17</v>
      </c>
      <c r="F664" s="5">
        <v>0.937999999999999</v>
      </c>
      <c r="G664" s="5">
        <v>144.051522</v>
      </c>
      <c r="H664" s="5">
        <v>0.347</v>
      </c>
      <c r="I664" s="5">
        <v>93.0</v>
      </c>
    </row>
    <row r="665">
      <c r="A665" s="6" t="s">
        <v>2488</v>
      </c>
      <c r="B665" s="5">
        <v>1.0</v>
      </c>
      <c r="C665" s="1" t="s">
        <v>12</v>
      </c>
      <c r="D665" s="1" t="s">
        <v>48</v>
      </c>
      <c r="E665" s="1" t="s">
        <v>49</v>
      </c>
      <c r="F665" s="5">
        <v>0.0066</v>
      </c>
      <c r="G665" s="5">
        <v>2.099316</v>
      </c>
      <c r="H665" s="5">
        <v>0.0018</v>
      </c>
      <c r="I665" s="5">
        <v>2.0</v>
      </c>
    </row>
    <row r="666">
      <c r="A666" s="6" t="s">
        <v>2488</v>
      </c>
      <c r="B666" s="5">
        <v>1.0</v>
      </c>
      <c r="C666" s="1" t="s">
        <v>12</v>
      </c>
      <c r="D666" s="1" t="s">
        <v>48</v>
      </c>
      <c r="E666" s="1" t="s">
        <v>21</v>
      </c>
      <c r="F666" s="5">
        <v>1.0009</v>
      </c>
      <c r="G666" s="5">
        <v>128.384194</v>
      </c>
      <c r="H666" s="5">
        <v>0.4004</v>
      </c>
      <c r="I666" s="5">
        <v>122.0</v>
      </c>
    </row>
    <row r="667">
      <c r="A667" s="6" t="s">
        <v>2488</v>
      </c>
      <c r="B667" s="5">
        <v>1.0</v>
      </c>
      <c r="C667" s="1" t="s">
        <v>12</v>
      </c>
      <c r="D667" s="1" t="s">
        <v>56</v>
      </c>
      <c r="E667" s="1" t="s">
        <v>21</v>
      </c>
      <c r="F667" s="5">
        <v>0.3449</v>
      </c>
      <c r="G667" s="5">
        <v>72.269303</v>
      </c>
      <c r="H667" s="5">
        <v>0.1379</v>
      </c>
      <c r="I667" s="5">
        <v>167.0</v>
      </c>
    </row>
    <row r="668">
      <c r="A668" s="6" t="s">
        <v>2488</v>
      </c>
      <c r="B668" s="5">
        <v>1.0</v>
      </c>
      <c r="C668" s="1" t="s">
        <v>12</v>
      </c>
      <c r="D668" s="1" t="s">
        <v>64</v>
      </c>
      <c r="E668" s="1" t="s">
        <v>39</v>
      </c>
      <c r="F668" s="5">
        <v>0.3859</v>
      </c>
      <c r="G668" s="5">
        <v>35.374750999999996</v>
      </c>
      <c r="H668" s="5">
        <v>0.0695</v>
      </c>
      <c r="I668" s="5">
        <v>88.0</v>
      </c>
    </row>
    <row r="669">
      <c r="A669" s="6" t="s">
        <v>2488</v>
      </c>
      <c r="B669" s="5">
        <v>1.0</v>
      </c>
      <c r="C669" s="1" t="s">
        <v>12</v>
      </c>
      <c r="D669" s="1" t="s">
        <v>64</v>
      </c>
      <c r="E669" s="1" t="s">
        <v>21</v>
      </c>
      <c r="F669" s="5">
        <v>0.0197</v>
      </c>
      <c r="G669" s="5">
        <v>3.081309</v>
      </c>
      <c r="H669" s="5">
        <v>0.0079</v>
      </c>
      <c r="I669" s="5">
        <v>11.0</v>
      </c>
    </row>
    <row r="670">
      <c r="A670" s="6" t="s">
        <v>2488</v>
      </c>
      <c r="B670" s="5">
        <v>1.0</v>
      </c>
      <c r="C670" s="1" t="s">
        <v>12</v>
      </c>
      <c r="D670" s="1" t="s">
        <v>60</v>
      </c>
      <c r="E670" s="1" t="s">
        <v>39</v>
      </c>
      <c r="F670" s="5">
        <v>0.2111</v>
      </c>
      <c r="G670" s="5">
        <v>37.134448</v>
      </c>
      <c r="H670" s="5">
        <v>0.0401</v>
      </c>
      <c r="I670" s="5">
        <v>0.0</v>
      </c>
    </row>
    <row r="671">
      <c r="A671" s="6" t="s">
        <v>2488</v>
      </c>
      <c r="B671" s="5">
        <v>1.0</v>
      </c>
      <c r="C671" s="1" t="s">
        <v>12</v>
      </c>
      <c r="D671" s="1" t="s">
        <v>60</v>
      </c>
      <c r="E671" s="1" t="s">
        <v>17</v>
      </c>
      <c r="F671" s="5">
        <v>0.0011</v>
      </c>
      <c r="G671" s="5">
        <v>0.15628299999999998</v>
      </c>
      <c r="H671" s="5">
        <v>4.0E-4</v>
      </c>
      <c r="I671" s="5">
        <v>0.0</v>
      </c>
    </row>
    <row r="672">
      <c r="A672" s="6" t="s">
        <v>2488</v>
      </c>
      <c r="B672" s="5">
        <v>1.0</v>
      </c>
      <c r="C672" s="1" t="s">
        <v>68</v>
      </c>
      <c r="D672" s="1" t="s">
        <v>13</v>
      </c>
      <c r="E672" s="1" t="s">
        <v>14</v>
      </c>
      <c r="F672" s="5">
        <v>60.7356</v>
      </c>
      <c r="G672" s="5">
        <v>3633.450875</v>
      </c>
      <c r="H672" s="5">
        <v>12.7544</v>
      </c>
      <c r="I672" s="5">
        <v>8174.0</v>
      </c>
    </row>
    <row r="673">
      <c r="A673" s="6" t="s">
        <v>2488</v>
      </c>
      <c r="B673" s="5">
        <v>1.0</v>
      </c>
      <c r="C673" s="1" t="s">
        <v>68</v>
      </c>
      <c r="D673" s="1" t="s">
        <v>13</v>
      </c>
      <c r="E673" s="1" t="s">
        <v>17</v>
      </c>
      <c r="F673" s="5">
        <v>53.4502</v>
      </c>
      <c r="G673" s="5">
        <v>5188.03076799999</v>
      </c>
      <c r="H673" s="5">
        <v>18.7075</v>
      </c>
      <c r="I673" s="5">
        <v>8539.0</v>
      </c>
    </row>
    <row r="674">
      <c r="A674" s="6" t="s">
        <v>2488</v>
      </c>
      <c r="B674" s="5">
        <v>1.0</v>
      </c>
      <c r="C674" s="1" t="s">
        <v>68</v>
      </c>
      <c r="D674" s="1" t="s">
        <v>13</v>
      </c>
      <c r="E674" s="1" t="s">
        <v>21</v>
      </c>
      <c r="F674" s="5">
        <v>4.7236</v>
      </c>
      <c r="G674" s="5">
        <v>698.288024</v>
      </c>
      <c r="H674" s="5">
        <v>2.3618</v>
      </c>
      <c r="I674" s="5">
        <v>791.0</v>
      </c>
    </row>
    <row r="675">
      <c r="A675" s="6" t="s">
        <v>2488</v>
      </c>
      <c r="B675" s="5">
        <v>1.0</v>
      </c>
      <c r="C675" s="1" t="s">
        <v>68</v>
      </c>
      <c r="D675" s="1" t="s">
        <v>13</v>
      </c>
      <c r="E675" s="1" t="s">
        <v>25</v>
      </c>
      <c r="F675" s="5">
        <v>0.2761</v>
      </c>
      <c r="G675" s="5">
        <v>44.558407</v>
      </c>
      <c r="H675" s="5">
        <v>0.2071</v>
      </c>
      <c r="I675" s="5">
        <v>174.0</v>
      </c>
    </row>
    <row r="676">
      <c r="A676" s="6" t="s">
        <v>2488</v>
      </c>
      <c r="B676" s="5">
        <v>1.0</v>
      </c>
      <c r="C676" s="1" t="s">
        <v>68</v>
      </c>
      <c r="D676" s="1" t="s">
        <v>29</v>
      </c>
      <c r="E676" s="1" t="s">
        <v>14</v>
      </c>
      <c r="F676" s="5">
        <v>0.0109</v>
      </c>
      <c r="G676" s="5">
        <v>0.976688</v>
      </c>
      <c r="H676" s="5">
        <v>0.0022</v>
      </c>
      <c r="I676" s="5">
        <v>2.0</v>
      </c>
    </row>
    <row r="677">
      <c r="A677" s="6" t="s">
        <v>2488</v>
      </c>
      <c r="B677" s="5">
        <v>1.0</v>
      </c>
      <c r="C677" s="1" t="s">
        <v>68</v>
      </c>
      <c r="D677" s="1" t="s">
        <v>29</v>
      </c>
      <c r="E677" s="1" t="s">
        <v>21</v>
      </c>
      <c r="F677" s="5">
        <v>6.601</v>
      </c>
      <c r="G677" s="5">
        <v>1395.983538</v>
      </c>
      <c r="H677" s="5">
        <v>2.6403</v>
      </c>
      <c r="I677" s="5">
        <v>704.0</v>
      </c>
    </row>
    <row r="678">
      <c r="A678" s="6" t="s">
        <v>2488</v>
      </c>
      <c r="B678" s="5">
        <v>1.0</v>
      </c>
      <c r="C678" s="1" t="s">
        <v>68</v>
      </c>
      <c r="D678" s="1" t="s">
        <v>45</v>
      </c>
      <c r="E678" s="1" t="s">
        <v>17</v>
      </c>
      <c r="F678" s="5">
        <v>22.0065</v>
      </c>
      <c r="G678" s="5">
        <v>1012.00119</v>
      </c>
      <c r="H678" s="5">
        <v>7.9223</v>
      </c>
      <c r="I678" s="5">
        <v>1738.0</v>
      </c>
    </row>
    <row r="679">
      <c r="A679" s="6" t="s">
        <v>2488</v>
      </c>
      <c r="B679" s="5">
        <v>1.0</v>
      </c>
      <c r="C679" s="1" t="s">
        <v>68</v>
      </c>
      <c r="D679" s="1" t="s">
        <v>32</v>
      </c>
      <c r="E679" s="1" t="s">
        <v>14</v>
      </c>
      <c r="F679" s="5">
        <v>3.368</v>
      </c>
      <c r="G679" s="5">
        <v>248.807815</v>
      </c>
      <c r="H679" s="5">
        <v>0.7747</v>
      </c>
      <c r="I679" s="5">
        <v>1602.0</v>
      </c>
    </row>
    <row r="680">
      <c r="A680" s="6" t="s">
        <v>2488</v>
      </c>
      <c r="B680" s="5">
        <v>1.0</v>
      </c>
      <c r="C680" s="1" t="s">
        <v>68</v>
      </c>
      <c r="D680" s="1" t="s">
        <v>32</v>
      </c>
      <c r="E680" s="1" t="s">
        <v>21</v>
      </c>
      <c r="F680" s="5">
        <v>0.6442</v>
      </c>
      <c r="G680" s="5">
        <v>121.94972100000001</v>
      </c>
      <c r="H680" s="5">
        <v>0.2899</v>
      </c>
      <c r="I680" s="5">
        <v>498.0</v>
      </c>
    </row>
    <row r="681">
      <c r="A681" s="6" t="s">
        <v>2488</v>
      </c>
      <c r="B681" s="5">
        <v>1.0</v>
      </c>
      <c r="C681" s="1" t="s">
        <v>68</v>
      </c>
      <c r="D681" s="1" t="s">
        <v>38</v>
      </c>
      <c r="E681" s="1" t="s">
        <v>39</v>
      </c>
      <c r="F681" s="5">
        <v>1.5582</v>
      </c>
      <c r="G681" s="5">
        <v>144.102644</v>
      </c>
      <c r="H681" s="5">
        <v>0.2804</v>
      </c>
      <c r="I681" s="5">
        <v>254.0</v>
      </c>
    </row>
    <row r="682">
      <c r="A682" s="6" t="s">
        <v>2488</v>
      </c>
      <c r="B682" s="5">
        <v>1.0</v>
      </c>
      <c r="C682" s="1" t="s">
        <v>68</v>
      </c>
      <c r="D682" s="1" t="s">
        <v>42</v>
      </c>
      <c r="E682" s="1" t="s">
        <v>17</v>
      </c>
      <c r="F682" s="5">
        <v>0.9092</v>
      </c>
      <c r="G682" s="5">
        <v>139.27635800000002</v>
      </c>
      <c r="H682" s="5">
        <v>0.3364</v>
      </c>
      <c r="I682" s="5">
        <v>390.0</v>
      </c>
    </row>
    <row r="683">
      <c r="A683" s="6" t="s">
        <v>2488</v>
      </c>
      <c r="B683" s="5">
        <v>1.0</v>
      </c>
      <c r="C683" s="1" t="s">
        <v>68</v>
      </c>
      <c r="D683" s="1" t="s">
        <v>544</v>
      </c>
      <c r="E683" s="1" t="s">
        <v>17</v>
      </c>
      <c r="F683" s="5">
        <v>0.7546</v>
      </c>
      <c r="G683" s="5">
        <v>69.099011</v>
      </c>
      <c r="H683" s="5">
        <v>0.2641</v>
      </c>
      <c r="I683" s="5">
        <v>222.0</v>
      </c>
    </row>
    <row r="684">
      <c r="A684" s="6" t="s">
        <v>2488</v>
      </c>
      <c r="B684" s="5">
        <v>1.0</v>
      </c>
      <c r="C684" s="1" t="s">
        <v>68</v>
      </c>
      <c r="D684" s="1" t="s">
        <v>98</v>
      </c>
      <c r="E684" s="1" t="s">
        <v>17</v>
      </c>
      <c r="F684" s="5">
        <v>0.3194</v>
      </c>
      <c r="G684" s="5">
        <v>68.45995299999991</v>
      </c>
      <c r="H684" s="5">
        <v>0.1117</v>
      </c>
      <c r="I684" s="5">
        <v>121.0</v>
      </c>
    </row>
    <row r="685">
      <c r="A685" s="6" t="s">
        <v>2488</v>
      </c>
      <c r="B685" s="5">
        <v>1.0</v>
      </c>
      <c r="C685" s="1" t="s">
        <v>68</v>
      </c>
      <c r="D685" s="1" t="s">
        <v>165</v>
      </c>
      <c r="E685" s="1" t="s">
        <v>39</v>
      </c>
      <c r="F685" s="5">
        <v>0.0203</v>
      </c>
      <c r="G685" s="5">
        <v>3.688142</v>
      </c>
      <c r="H685" s="5">
        <v>0.0036</v>
      </c>
      <c r="I685" s="5">
        <v>0.0</v>
      </c>
    </row>
    <row r="686">
      <c r="A686" s="6" t="s">
        <v>2488</v>
      </c>
      <c r="B686" s="5">
        <v>1.0</v>
      </c>
      <c r="C686" s="1" t="s">
        <v>68</v>
      </c>
      <c r="D686" s="1" t="s">
        <v>165</v>
      </c>
      <c r="E686" s="1" t="s">
        <v>17</v>
      </c>
      <c r="F686" s="5">
        <v>0.2341</v>
      </c>
      <c r="G686" s="5">
        <v>52.410371</v>
      </c>
      <c r="H686" s="5">
        <v>0.082</v>
      </c>
      <c r="I686" s="5">
        <v>0.0</v>
      </c>
    </row>
    <row r="687">
      <c r="A687" s="6" t="s">
        <v>2488</v>
      </c>
      <c r="B687" s="5">
        <v>1.0</v>
      </c>
      <c r="C687" s="1" t="s">
        <v>68</v>
      </c>
      <c r="D687" s="1" t="s">
        <v>48</v>
      </c>
      <c r="E687" s="1" t="s">
        <v>49</v>
      </c>
      <c r="F687" s="5">
        <v>0.0033</v>
      </c>
      <c r="G687" s="5">
        <v>1.3171700000000002</v>
      </c>
      <c r="H687" s="5">
        <v>9.0E-4</v>
      </c>
      <c r="I687" s="5">
        <v>2.0</v>
      </c>
    </row>
    <row r="688">
      <c r="A688" s="6" t="s">
        <v>2488</v>
      </c>
      <c r="B688" s="5">
        <v>1.0</v>
      </c>
      <c r="C688" s="1" t="s">
        <v>68</v>
      </c>
      <c r="D688" s="1" t="s">
        <v>48</v>
      </c>
      <c r="E688" s="1" t="s">
        <v>21</v>
      </c>
      <c r="F688" s="5">
        <v>0.4005</v>
      </c>
      <c r="G688" s="5">
        <v>44.008199</v>
      </c>
      <c r="H688" s="5">
        <v>0.1602</v>
      </c>
      <c r="I688" s="5">
        <v>280.0</v>
      </c>
    </row>
    <row r="689">
      <c r="A689" s="6" t="s">
        <v>2488</v>
      </c>
      <c r="B689" s="5">
        <v>1.0</v>
      </c>
      <c r="C689" s="1" t="s">
        <v>116</v>
      </c>
      <c r="D689" s="1" t="s">
        <v>13</v>
      </c>
      <c r="E689" s="1" t="s">
        <v>14</v>
      </c>
      <c r="F689" s="5">
        <v>97.1922</v>
      </c>
      <c r="G689" s="5">
        <v>5815.674717</v>
      </c>
      <c r="H689" s="5">
        <v>20.4104</v>
      </c>
      <c r="I689" s="5">
        <v>11628.0</v>
      </c>
    </row>
    <row r="690">
      <c r="A690" s="6" t="s">
        <v>2488</v>
      </c>
      <c r="B690" s="5">
        <v>1.0</v>
      </c>
      <c r="C690" s="1" t="s">
        <v>116</v>
      </c>
      <c r="D690" s="1" t="s">
        <v>13</v>
      </c>
      <c r="E690" s="1" t="s">
        <v>17</v>
      </c>
      <c r="F690" s="5">
        <v>147.9807</v>
      </c>
      <c r="G690" s="5">
        <v>13070.828160000001</v>
      </c>
      <c r="H690" s="5">
        <v>51.7931</v>
      </c>
      <c r="I690" s="5">
        <v>15787.0</v>
      </c>
    </row>
    <row r="691">
      <c r="A691" s="6" t="s">
        <v>2488</v>
      </c>
      <c r="B691" s="5">
        <v>1.0</v>
      </c>
      <c r="C691" s="1" t="s">
        <v>116</v>
      </c>
      <c r="D691" s="1" t="s">
        <v>13</v>
      </c>
      <c r="E691" s="1" t="s">
        <v>21</v>
      </c>
      <c r="F691" s="5">
        <v>9.35249999999999</v>
      </c>
      <c r="G691" s="5">
        <v>1152.899461</v>
      </c>
      <c r="H691" s="5">
        <v>4.6763</v>
      </c>
      <c r="I691" s="5">
        <v>796.0</v>
      </c>
    </row>
    <row r="692">
      <c r="A692" s="6" t="s">
        <v>2488</v>
      </c>
      <c r="B692" s="5">
        <v>1.0</v>
      </c>
      <c r="C692" s="1" t="s">
        <v>116</v>
      </c>
      <c r="D692" s="1" t="s">
        <v>13</v>
      </c>
      <c r="E692" s="1" t="s">
        <v>25</v>
      </c>
      <c r="F692" s="5">
        <v>0.0646</v>
      </c>
      <c r="G692" s="5">
        <v>9.090562</v>
      </c>
      <c r="H692" s="5">
        <v>0.0485</v>
      </c>
      <c r="I692" s="5">
        <v>34.0</v>
      </c>
    </row>
    <row r="693">
      <c r="A693" s="6" t="s">
        <v>2488</v>
      </c>
      <c r="B693" s="5">
        <v>1.0</v>
      </c>
      <c r="C693" s="1" t="s">
        <v>116</v>
      </c>
      <c r="D693" s="1" t="s">
        <v>29</v>
      </c>
      <c r="E693" s="1" t="s">
        <v>14</v>
      </c>
      <c r="F693" s="5">
        <v>0.0052</v>
      </c>
      <c r="G693" s="5">
        <v>0.655369</v>
      </c>
      <c r="H693" s="5">
        <v>0.0011</v>
      </c>
      <c r="I693" s="5">
        <v>2.0</v>
      </c>
    </row>
    <row r="694">
      <c r="A694" s="6" t="s">
        <v>2488</v>
      </c>
      <c r="B694" s="5">
        <v>1.0</v>
      </c>
      <c r="C694" s="1" t="s">
        <v>116</v>
      </c>
      <c r="D694" s="1" t="s">
        <v>29</v>
      </c>
      <c r="E694" s="1" t="s">
        <v>21</v>
      </c>
      <c r="F694" s="5">
        <v>49.6951</v>
      </c>
      <c r="G694" s="5">
        <v>8107.083433</v>
      </c>
      <c r="H694" s="5">
        <v>19.878</v>
      </c>
      <c r="I694" s="5">
        <v>1820.0</v>
      </c>
    </row>
    <row r="695">
      <c r="A695" s="6" t="s">
        <v>2488</v>
      </c>
      <c r="B695" s="5">
        <v>1.0</v>
      </c>
      <c r="C695" s="1" t="s">
        <v>116</v>
      </c>
      <c r="D695" s="1" t="s">
        <v>45</v>
      </c>
      <c r="E695" s="1" t="s">
        <v>17</v>
      </c>
      <c r="F695" s="5">
        <v>36.8688</v>
      </c>
      <c r="G695" s="5">
        <v>2073.765747</v>
      </c>
      <c r="H695" s="5">
        <v>13.2728</v>
      </c>
      <c r="I695" s="5">
        <v>2184.0</v>
      </c>
    </row>
    <row r="696">
      <c r="A696" s="6" t="s">
        <v>2488</v>
      </c>
      <c r="B696" s="5">
        <v>1.0</v>
      </c>
      <c r="C696" s="1" t="s">
        <v>116</v>
      </c>
      <c r="D696" s="1" t="s">
        <v>32</v>
      </c>
      <c r="E696" s="1" t="s">
        <v>14</v>
      </c>
      <c r="F696" s="5">
        <v>2.7811</v>
      </c>
      <c r="G696" s="5">
        <v>190.90902499999999</v>
      </c>
      <c r="H696" s="5">
        <v>0.6397</v>
      </c>
      <c r="I696" s="5">
        <v>842.0</v>
      </c>
    </row>
    <row r="697">
      <c r="A697" s="6" t="s">
        <v>2488</v>
      </c>
      <c r="B697" s="5">
        <v>1.0</v>
      </c>
      <c r="C697" s="1" t="s">
        <v>116</v>
      </c>
      <c r="D697" s="1" t="s">
        <v>32</v>
      </c>
      <c r="E697" s="1" t="s">
        <v>21</v>
      </c>
      <c r="F697" s="5">
        <v>5.3559</v>
      </c>
      <c r="G697" s="5">
        <v>807.009751</v>
      </c>
      <c r="H697" s="5">
        <v>2.4102</v>
      </c>
      <c r="I697" s="5">
        <v>1879.0</v>
      </c>
    </row>
    <row r="698">
      <c r="A698" s="6" t="s">
        <v>2488</v>
      </c>
      <c r="B698" s="5">
        <v>1.0</v>
      </c>
      <c r="C698" s="1" t="s">
        <v>116</v>
      </c>
      <c r="D698" s="1" t="s">
        <v>147</v>
      </c>
      <c r="E698" s="1" t="s">
        <v>39</v>
      </c>
      <c r="F698" s="5">
        <v>1.8007</v>
      </c>
      <c r="G698" s="5">
        <v>496.77016100000003</v>
      </c>
      <c r="H698" s="5">
        <v>0.3421</v>
      </c>
      <c r="I698" s="5">
        <v>96.0</v>
      </c>
    </row>
    <row r="699">
      <c r="A699" s="6" t="s">
        <v>2488</v>
      </c>
      <c r="B699" s="5">
        <v>1.0</v>
      </c>
      <c r="C699" s="1" t="s">
        <v>116</v>
      </c>
      <c r="D699" s="1" t="s">
        <v>147</v>
      </c>
      <c r="E699" s="1" t="s">
        <v>17</v>
      </c>
      <c r="F699" s="5">
        <v>0.0343</v>
      </c>
      <c r="G699" s="5">
        <v>10.777786</v>
      </c>
      <c r="H699" s="5">
        <v>0.0121</v>
      </c>
      <c r="I699" s="5">
        <v>8.0</v>
      </c>
    </row>
    <row r="700">
      <c r="A700" s="6" t="s">
        <v>2488</v>
      </c>
      <c r="B700" s="5">
        <v>1.0</v>
      </c>
      <c r="C700" s="1" t="s">
        <v>116</v>
      </c>
      <c r="D700" s="1" t="s">
        <v>147</v>
      </c>
      <c r="E700" s="1" t="s">
        <v>21</v>
      </c>
      <c r="F700" s="5">
        <v>0.0712</v>
      </c>
      <c r="G700" s="5">
        <v>35.072661</v>
      </c>
      <c r="H700" s="5">
        <v>0.0356</v>
      </c>
      <c r="I700" s="5">
        <v>48.0</v>
      </c>
    </row>
    <row r="701">
      <c r="A701" s="6" t="s">
        <v>2488</v>
      </c>
      <c r="B701" s="5">
        <v>1.0</v>
      </c>
      <c r="C701" s="1" t="s">
        <v>116</v>
      </c>
      <c r="D701" s="1" t="s">
        <v>42</v>
      </c>
      <c r="E701" s="1" t="s">
        <v>17</v>
      </c>
      <c r="F701" s="5">
        <v>2.1642</v>
      </c>
      <c r="G701" s="5">
        <v>341.345026</v>
      </c>
      <c r="H701" s="5">
        <v>0.8008</v>
      </c>
      <c r="I701" s="5">
        <v>289.0</v>
      </c>
    </row>
    <row r="702">
      <c r="A702" s="6" t="s">
        <v>2488</v>
      </c>
      <c r="B702" s="5">
        <v>1.0</v>
      </c>
      <c r="C702" s="1" t="s">
        <v>116</v>
      </c>
      <c r="D702" s="1" t="s">
        <v>165</v>
      </c>
      <c r="E702" s="1" t="s">
        <v>39</v>
      </c>
      <c r="F702" s="5">
        <v>0.3247</v>
      </c>
      <c r="G702" s="5">
        <v>59.056692000000005</v>
      </c>
      <c r="H702" s="5">
        <v>0.0585</v>
      </c>
      <c r="I702" s="5">
        <v>75.0</v>
      </c>
    </row>
    <row r="703">
      <c r="A703" s="6" t="s">
        <v>2488</v>
      </c>
      <c r="B703" s="5">
        <v>1.0</v>
      </c>
      <c r="C703" s="1" t="s">
        <v>116</v>
      </c>
      <c r="D703" s="1" t="s">
        <v>165</v>
      </c>
      <c r="E703" s="1" t="s">
        <v>17</v>
      </c>
      <c r="F703" s="5">
        <v>1.147</v>
      </c>
      <c r="G703" s="5">
        <v>246.981215</v>
      </c>
      <c r="H703" s="5">
        <v>0.4015</v>
      </c>
      <c r="I703" s="5">
        <v>88.0</v>
      </c>
    </row>
    <row r="704">
      <c r="A704" s="6" t="s">
        <v>2488</v>
      </c>
      <c r="B704" s="5">
        <v>1.0</v>
      </c>
      <c r="C704" s="1" t="s">
        <v>116</v>
      </c>
      <c r="D704" s="1" t="s">
        <v>330</v>
      </c>
      <c r="E704" s="1" t="s">
        <v>17</v>
      </c>
      <c r="F704" s="5">
        <v>1.2875</v>
      </c>
      <c r="G704" s="5">
        <v>233.90612299999998</v>
      </c>
      <c r="H704" s="5">
        <v>0.4505</v>
      </c>
      <c r="I704" s="5">
        <v>114.0</v>
      </c>
    </row>
    <row r="705">
      <c r="A705" s="6" t="s">
        <v>2488</v>
      </c>
      <c r="B705" s="5">
        <v>1.0</v>
      </c>
      <c r="C705" s="1" t="s">
        <v>116</v>
      </c>
      <c r="D705" s="1" t="s">
        <v>102</v>
      </c>
      <c r="E705" s="1" t="s">
        <v>17</v>
      </c>
      <c r="F705" s="5">
        <v>0.0013</v>
      </c>
      <c r="G705" s="5">
        <v>0.511883</v>
      </c>
      <c r="H705" s="5">
        <v>5.0E-4</v>
      </c>
      <c r="I705" s="5">
        <v>1.0</v>
      </c>
    </row>
    <row r="706">
      <c r="A706" s="6" t="s">
        <v>2488</v>
      </c>
      <c r="B706" s="5">
        <v>1.0</v>
      </c>
      <c r="C706" s="1" t="s">
        <v>116</v>
      </c>
      <c r="D706" s="1" t="s">
        <v>102</v>
      </c>
      <c r="E706" s="1" t="s">
        <v>21</v>
      </c>
      <c r="F706" s="5">
        <v>0.6515</v>
      </c>
      <c r="G706" s="5">
        <v>221.027694</v>
      </c>
      <c r="H706" s="5">
        <v>0.2605</v>
      </c>
      <c r="I706" s="5">
        <v>96.0</v>
      </c>
    </row>
    <row r="707">
      <c r="A707" s="6" t="s">
        <v>2488</v>
      </c>
      <c r="B707" s="5">
        <v>1.0</v>
      </c>
      <c r="C707" s="1" t="s">
        <v>116</v>
      </c>
      <c r="D707" s="1" t="s">
        <v>158</v>
      </c>
      <c r="E707" s="1" t="s">
        <v>39</v>
      </c>
      <c r="F707" s="5">
        <v>7.0E-4</v>
      </c>
      <c r="G707" s="5">
        <v>0.330204</v>
      </c>
      <c r="H707" s="5">
        <v>1.0E-4</v>
      </c>
      <c r="I707" s="5">
        <v>0.0</v>
      </c>
    </row>
    <row r="708">
      <c r="A708" s="6" t="s">
        <v>2488</v>
      </c>
      <c r="B708" s="5">
        <v>1.0</v>
      </c>
      <c r="C708" s="1" t="s">
        <v>116</v>
      </c>
      <c r="D708" s="1" t="s">
        <v>158</v>
      </c>
      <c r="E708" s="1" t="s">
        <v>17</v>
      </c>
      <c r="F708" s="5">
        <v>0.0577</v>
      </c>
      <c r="G708" s="5">
        <v>27.053737</v>
      </c>
      <c r="H708" s="5">
        <v>0.0202</v>
      </c>
      <c r="I708" s="5">
        <v>0.0</v>
      </c>
    </row>
    <row r="709">
      <c r="A709" s="6" t="s">
        <v>2488</v>
      </c>
      <c r="B709" s="5">
        <v>1.0</v>
      </c>
      <c r="C709" s="1" t="s">
        <v>116</v>
      </c>
      <c r="D709" s="1" t="s">
        <v>158</v>
      </c>
      <c r="E709" s="1" t="s">
        <v>21</v>
      </c>
      <c r="F709" s="5">
        <v>0.2991</v>
      </c>
      <c r="G709" s="5">
        <v>167.434489</v>
      </c>
      <c r="H709" s="5">
        <v>0.1256</v>
      </c>
      <c r="I709" s="5">
        <v>0.0</v>
      </c>
    </row>
    <row r="710">
      <c r="A710" s="6" t="s">
        <v>2488</v>
      </c>
      <c r="B710" s="5">
        <v>2.0</v>
      </c>
      <c r="C710" s="1" t="s">
        <v>12</v>
      </c>
      <c r="D710" s="1" t="s">
        <v>13</v>
      </c>
      <c r="E710" s="1" t="s">
        <v>14</v>
      </c>
      <c r="F710" s="5">
        <v>11.0802</v>
      </c>
      <c r="G710" s="5">
        <v>740.731002</v>
      </c>
      <c r="H710" s="5">
        <v>2.3268</v>
      </c>
      <c r="I710" s="5">
        <v>558.0</v>
      </c>
    </row>
    <row r="711">
      <c r="A711" s="6" t="s">
        <v>2488</v>
      </c>
      <c r="B711" s="5">
        <v>2.0</v>
      </c>
      <c r="C711" s="1" t="s">
        <v>12</v>
      </c>
      <c r="D711" s="1" t="s">
        <v>13</v>
      </c>
      <c r="E711" s="1" t="s">
        <v>17</v>
      </c>
      <c r="F711" s="5">
        <v>71.5818</v>
      </c>
      <c r="G711" s="5">
        <v>6362.673844999999</v>
      </c>
      <c r="H711" s="5">
        <v>25.0535</v>
      </c>
      <c r="I711" s="5">
        <v>810.0</v>
      </c>
    </row>
    <row r="712">
      <c r="A712" s="6" t="s">
        <v>2488</v>
      </c>
      <c r="B712" s="5">
        <v>2.0</v>
      </c>
      <c r="C712" s="1" t="s">
        <v>12</v>
      </c>
      <c r="D712" s="1" t="s">
        <v>13</v>
      </c>
      <c r="E712" s="1" t="s">
        <v>21</v>
      </c>
      <c r="F712" s="5">
        <v>30.1637</v>
      </c>
      <c r="G712" s="5">
        <v>3418.376272</v>
      </c>
      <c r="H712" s="5">
        <v>15.082</v>
      </c>
      <c r="I712" s="5">
        <v>587.0</v>
      </c>
    </row>
    <row r="713">
      <c r="A713" s="6" t="s">
        <v>2488</v>
      </c>
      <c r="B713" s="5">
        <v>2.0</v>
      </c>
      <c r="C713" s="1" t="s">
        <v>12</v>
      </c>
      <c r="D713" s="1" t="s">
        <v>29</v>
      </c>
      <c r="E713" s="1" t="s">
        <v>14</v>
      </c>
      <c r="F713" s="5">
        <v>0.0753</v>
      </c>
      <c r="G713" s="5">
        <v>8.411521</v>
      </c>
      <c r="H713" s="5">
        <v>0.0151</v>
      </c>
      <c r="I713" s="5">
        <v>10.0</v>
      </c>
    </row>
    <row r="714">
      <c r="A714" s="6" t="s">
        <v>2488</v>
      </c>
      <c r="B714" s="5">
        <v>2.0</v>
      </c>
      <c r="C714" s="1" t="s">
        <v>12</v>
      </c>
      <c r="D714" s="1" t="s">
        <v>29</v>
      </c>
      <c r="E714" s="1" t="s">
        <v>21</v>
      </c>
      <c r="F714" s="5">
        <v>21.9409</v>
      </c>
      <c r="G714" s="5">
        <v>4399.86579799999</v>
      </c>
      <c r="H714" s="5">
        <v>8.7763</v>
      </c>
      <c r="I714" s="5">
        <v>668.0</v>
      </c>
    </row>
    <row r="715">
      <c r="A715" s="6" t="s">
        <v>2488</v>
      </c>
      <c r="B715" s="5">
        <v>2.0</v>
      </c>
      <c r="C715" s="1" t="s">
        <v>12</v>
      </c>
      <c r="D715" s="1" t="s">
        <v>45</v>
      </c>
      <c r="E715" s="1" t="s">
        <v>17</v>
      </c>
      <c r="F715" s="5">
        <v>4.788</v>
      </c>
      <c r="G715" s="5">
        <v>323.528652</v>
      </c>
      <c r="H715" s="5">
        <v>1.7237</v>
      </c>
      <c r="I715" s="5">
        <v>237.0</v>
      </c>
    </row>
    <row r="716">
      <c r="A716" s="6" t="s">
        <v>2488</v>
      </c>
      <c r="B716" s="5">
        <v>2.0</v>
      </c>
      <c r="C716" s="1" t="s">
        <v>12</v>
      </c>
      <c r="D716" s="1" t="s">
        <v>38</v>
      </c>
      <c r="E716" s="1" t="s">
        <v>39</v>
      </c>
      <c r="F716" s="5">
        <v>2.5794</v>
      </c>
      <c r="G716" s="5">
        <v>284.872613</v>
      </c>
      <c r="H716" s="5">
        <v>0.4643</v>
      </c>
      <c r="I716" s="5">
        <v>105.0</v>
      </c>
    </row>
    <row r="717">
      <c r="A717" s="6" t="s">
        <v>2488</v>
      </c>
      <c r="B717" s="5">
        <v>2.0</v>
      </c>
      <c r="C717" s="1" t="s">
        <v>12</v>
      </c>
      <c r="D717" s="1" t="s">
        <v>32</v>
      </c>
      <c r="E717" s="1" t="s">
        <v>14</v>
      </c>
      <c r="F717" s="5">
        <v>2.4279</v>
      </c>
      <c r="G717" s="5">
        <v>182.747544</v>
      </c>
      <c r="H717" s="5">
        <v>0.5584</v>
      </c>
      <c r="I717" s="5">
        <v>343.0</v>
      </c>
    </row>
    <row r="718">
      <c r="A718" s="6" t="s">
        <v>2488</v>
      </c>
      <c r="B718" s="5">
        <v>2.0</v>
      </c>
      <c r="C718" s="1" t="s">
        <v>12</v>
      </c>
      <c r="D718" s="1" t="s">
        <v>32</v>
      </c>
      <c r="E718" s="1" t="s">
        <v>21</v>
      </c>
      <c r="F718" s="5">
        <v>0.7081</v>
      </c>
      <c r="G718" s="5">
        <v>89.8990919999999</v>
      </c>
      <c r="H718" s="5">
        <v>0.3186</v>
      </c>
      <c r="I718" s="5">
        <v>208.0</v>
      </c>
    </row>
    <row r="719">
      <c r="A719" s="6" t="s">
        <v>2488</v>
      </c>
      <c r="B719" s="5">
        <v>2.0</v>
      </c>
      <c r="C719" s="1" t="s">
        <v>12</v>
      </c>
      <c r="D719" s="1" t="s">
        <v>42</v>
      </c>
      <c r="E719" s="1" t="s">
        <v>17</v>
      </c>
      <c r="F719" s="5">
        <v>0.9907</v>
      </c>
      <c r="G719" s="5">
        <v>147.664938</v>
      </c>
      <c r="H719" s="5">
        <v>0.3666</v>
      </c>
      <c r="I719" s="5">
        <v>77.0</v>
      </c>
    </row>
    <row r="720">
      <c r="A720" s="6" t="s">
        <v>2488</v>
      </c>
      <c r="B720" s="5">
        <v>2.0</v>
      </c>
      <c r="C720" s="1" t="s">
        <v>12</v>
      </c>
      <c r="D720" s="1" t="s">
        <v>48</v>
      </c>
      <c r="E720" s="1" t="s">
        <v>49</v>
      </c>
      <c r="F720" s="5">
        <v>0.0058</v>
      </c>
      <c r="G720" s="5">
        <v>1.9080229999999998</v>
      </c>
      <c r="H720" s="5">
        <v>0.0016</v>
      </c>
      <c r="I720" s="5">
        <v>2.0</v>
      </c>
    </row>
    <row r="721">
      <c r="A721" s="6" t="s">
        <v>2488</v>
      </c>
      <c r="B721" s="5">
        <v>2.0</v>
      </c>
      <c r="C721" s="1" t="s">
        <v>12</v>
      </c>
      <c r="D721" s="1" t="s">
        <v>48</v>
      </c>
      <c r="E721" s="1" t="s">
        <v>21</v>
      </c>
      <c r="F721" s="5">
        <v>1.0523</v>
      </c>
      <c r="G721" s="5">
        <v>136.39728200000002</v>
      </c>
      <c r="H721" s="5">
        <v>0.4209</v>
      </c>
      <c r="I721" s="5">
        <v>124.0</v>
      </c>
    </row>
    <row r="722">
      <c r="A722" s="6" t="s">
        <v>2488</v>
      </c>
      <c r="B722" s="5">
        <v>2.0</v>
      </c>
      <c r="C722" s="1" t="s">
        <v>12</v>
      </c>
      <c r="D722" s="1" t="s">
        <v>56</v>
      </c>
      <c r="E722" s="1" t="s">
        <v>21</v>
      </c>
      <c r="F722" s="5">
        <v>0.3763</v>
      </c>
      <c r="G722" s="5">
        <v>59.318734</v>
      </c>
      <c r="H722" s="5">
        <v>0.1505</v>
      </c>
      <c r="I722" s="5">
        <v>165.0</v>
      </c>
    </row>
    <row r="723">
      <c r="A723" s="6" t="s">
        <v>2488</v>
      </c>
      <c r="B723" s="5">
        <v>2.0</v>
      </c>
      <c r="C723" s="1" t="s">
        <v>12</v>
      </c>
      <c r="D723" s="1" t="s">
        <v>64</v>
      </c>
      <c r="E723" s="1" t="s">
        <v>39</v>
      </c>
      <c r="F723" s="5">
        <v>0.5313</v>
      </c>
      <c r="G723" s="5">
        <v>46.850674</v>
      </c>
      <c r="H723" s="5">
        <v>0.0956</v>
      </c>
      <c r="I723" s="5">
        <v>87.0</v>
      </c>
    </row>
    <row r="724">
      <c r="A724" s="6" t="s">
        <v>2488</v>
      </c>
      <c r="B724" s="5">
        <v>2.0</v>
      </c>
      <c r="C724" s="1" t="s">
        <v>12</v>
      </c>
      <c r="D724" s="1" t="s">
        <v>64</v>
      </c>
      <c r="E724" s="1" t="s">
        <v>21</v>
      </c>
      <c r="F724" s="5">
        <v>0.0106</v>
      </c>
      <c r="G724" s="5">
        <v>1.650026</v>
      </c>
      <c r="H724" s="5">
        <v>0.0042</v>
      </c>
      <c r="I724" s="5">
        <v>8.0</v>
      </c>
    </row>
    <row r="725">
      <c r="A725" s="6" t="s">
        <v>2488</v>
      </c>
      <c r="B725" s="5">
        <v>2.0</v>
      </c>
      <c r="C725" s="1" t="s">
        <v>12</v>
      </c>
      <c r="D725" s="1" t="s">
        <v>848</v>
      </c>
      <c r="E725" s="1" t="s">
        <v>21</v>
      </c>
      <c r="F725" s="5">
        <v>0.2056</v>
      </c>
      <c r="G725" s="5">
        <v>41.075017</v>
      </c>
      <c r="H725" s="5">
        <v>0.0823</v>
      </c>
      <c r="I725" s="5">
        <v>62.0</v>
      </c>
    </row>
    <row r="726">
      <c r="A726" s="6" t="s">
        <v>2488</v>
      </c>
      <c r="B726" s="5">
        <v>2.0</v>
      </c>
      <c r="C726" s="1" t="s">
        <v>68</v>
      </c>
      <c r="D726" s="1" t="s">
        <v>13</v>
      </c>
      <c r="E726" s="1" t="s">
        <v>14</v>
      </c>
      <c r="F726" s="5">
        <v>54.9092</v>
      </c>
      <c r="G726" s="5">
        <v>3357.6095469999996</v>
      </c>
      <c r="H726" s="5">
        <v>11.531</v>
      </c>
      <c r="I726" s="5">
        <v>8226.0</v>
      </c>
    </row>
    <row r="727">
      <c r="A727" s="6" t="s">
        <v>2488</v>
      </c>
      <c r="B727" s="5">
        <v>2.0</v>
      </c>
      <c r="C727" s="1" t="s">
        <v>68</v>
      </c>
      <c r="D727" s="1" t="s">
        <v>13</v>
      </c>
      <c r="E727" s="1" t="s">
        <v>17</v>
      </c>
      <c r="F727" s="5">
        <v>39.3809</v>
      </c>
      <c r="G727" s="5">
        <v>4194.076763</v>
      </c>
      <c r="H727" s="5">
        <v>13.7834</v>
      </c>
      <c r="I727" s="5">
        <v>8143.0</v>
      </c>
    </row>
    <row r="728">
      <c r="A728" s="6" t="s">
        <v>2488</v>
      </c>
      <c r="B728" s="5">
        <v>2.0</v>
      </c>
      <c r="C728" s="1" t="s">
        <v>68</v>
      </c>
      <c r="D728" s="1" t="s">
        <v>13</v>
      </c>
      <c r="E728" s="1" t="s">
        <v>21</v>
      </c>
      <c r="F728" s="5">
        <v>4.9295</v>
      </c>
      <c r="G728" s="5">
        <v>735.410338</v>
      </c>
      <c r="H728" s="5">
        <v>2.4647</v>
      </c>
      <c r="I728" s="5">
        <v>777.0</v>
      </c>
    </row>
    <row r="729">
      <c r="A729" s="6" t="s">
        <v>2488</v>
      </c>
      <c r="B729" s="5">
        <v>2.0</v>
      </c>
      <c r="C729" s="1" t="s">
        <v>68</v>
      </c>
      <c r="D729" s="1" t="s">
        <v>13</v>
      </c>
      <c r="E729" s="1" t="s">
        <v>25</v>
      </c>
      <c r="F729" s="5">
        <v>0.3959</v>
      </c>
      <c r="G729" s="5">
        <v>66.6468799999999</v>
      </c>
      <c r="H729" s="5">
        <v>0.2969</v>
      </c>
      <c r="I729" s="5">
        <v>273.0</v>
      </c>
    </row>
    <row r="730">
      <c r="A730" s="6" t="s">
        <v>2488</v>
      </c>
      <c r="B730" s="5">
        <v>2.0</v>
      </c>
      <c r="C730" s="1" t="s">
        <v>68</v>
      </c>
      <c r="D730" s="1" t="s">
        <v>29</v>
      </c>
      <c r="E730" s="1" t="s">
        <v>14</v>
      </c>
      <c r="F730" s="5">
        <v>0.0044</v>
      </c>
      <c r="G730" s="5">
        <v>0.385702</v>
      </c>
      <c r="H730" s="5">
        <v>9.0E-4</v>
      </c>
      <c r="I730" s="5">
        <v>2.0</v>
      </c>
    </row>
    <row r="731">
      <c r="A731" s="6" t="s">
        <v>2488</v>
      </c>
      <c r="B731" s="5">
        <v>2.0</v>
      </c>
      <c r="C731" s="1" t="s">
        <v>68</v>
      </c>
      <c r="D731" s="1" t="s">
        <v>29</v>
      </c>
      <c r="E731" s="1" t="s">
        <v>21</v>
      </c>
      <c r="F731" s="5">
        <v>7.3705</v>
      </c>
      <c r="G731" s="5">
        <v>1552.9461769999998</v>
      </c>
      <c r="H731" s="5">
        <v>2.9482</v>
      </c>
      <c r="I731" s="5">
        <v>941.0</v>
      </c>
    </row>
    <row r="732">
      <c r="A732" s="6" t="s">
        <v>2488</v>
      </c>
      <c r="B732" s="5">
        <v>2.0</v>
      </c>
      <c r="C732" s="1" t="s">
        <v>68</v>
      </c>
      <c r="D732" s="1" t="s">
        <v>45</v>
      </c>
      <c r="E732" s="1" t="s">
        <v>17</v>
      </c>
      <c r="F732" s="5">
        <v>7.646</v>
      </c>
      <c r="G732" s="5">
        <v>547.562863</v>
      </c>
      <c r="H732" s="5">
        <v>2.7526</v>
      </c>
      <c r="I732" s="5">
        <v>1592.0</v>
      </c>
    </row>
    <row r="733">
      <c r="A733" s="6" t="s">
        <v>2488</v>
      </c>
      <c r="B733" s="5">
        <v>2.0</v>
      </c>
      <c r="C733" s="1" t="s">
        <v>68</v>
      </c>
      <c r="D733" s="1" t="s">
        <v>32</v>
      </c>
      <c r="E733" s="1" t="s">
        <v>14</v>
      </c>
      <c r="F733" s="5">
        <v>4.0811</v>
      </c>
      <c r="G733" s="5">
        <v>299.708529</v>
      </c>
      <c r="H733" s="5">
        <v>0.9387</v>
      </c>
      <c r="I733" s="5">
        <v>1955.0</v>
      </c>
    </row>
    <row r="734">
      <c r="A734" s="6" t="s">
        <v>2488</v>
      </c>
      <c r="B734" s="5">
        <v>2.0</v>
      </c>
      <c r="C734" s="1" t="s">
        <v>68</v>
      </c>
      <c r="D734" s="1" t="s">
        <v>32</v>
      </c>
      <c r="E734" s="1" t="s">
        <v>21</v>
      </c>
      <c r="F734" s="5">
        <v>0.5181</v>
      </c>
      <c r="G734" s="5">
        <v>82.924092</v>
      </c>
      <c r="H734" s="5">
        <v>0.2331</v>
      </c>
      <c r="I734" s="5">
        <v>507.0</v>
      </c>
    </row>
    <row r="735">
      <c r="A735" s="6" t="s">
        <v>2488</v>
      </c>
      <c r="B735" s="5">
        <v>2.0</v>
      </c>
      <c r="C735" s="1" t="s">
        <v>68</v>
      </c>
      <c r="D735" s="1" t="s">
        <v>38</v>
      </c>
      <c r="E735" s="1" t="s">
        <v>39</v>
      </c>
      <c r="F735" s="5">
        <v>1.4093</v>
      </c>
      <c r="G735" s="5">
        <v>132.623274</v>
      </c>
      <c r="H735" s="5">
        <v>0.2537</v>
      </c>
      <c r="I735" s="5">
        <v>222.0</v>
      </c>
    </row>
    <row r="736">
      <c r="A736" s="6" t="s">
        <v>2488</v>
      </c>
      <c r="B736" s="5">
        <v>2.0</v>
      </c>
      <c r="C736" s="1" t="s">
        <v>68</v>
      </c>
      <c r="D736" s="1" t="s">
        <v>42</v>
      </c>
      <c r="E736" s="1" t="s">
        <v>17</v>
      </c>
      <c r="F736" s="5">
        <v>0.5252</v>
      </c>
      <c r="G736" s="5">
        <v>82.262954</v>
      </c>
      <c r="H736" s="5">
        <v>0.1943</v>
      </c>
      <c r="I736" s="5">
        <v>279.0</v>
      </c>
    </row>
    <row r="737">
      <c r="A737" s="6" t="s">
        <v>2488</v>
      </c>
      <c r="B737" s="5">
        <v>2.0</v>
      </c>
      <c r="C737" s="1" t="s">
        <v>68</v>
      </c>
      <c r="D737" s="1" t="s">
        <v>544</v>
      </c>
      <c r="E737" s="1" t="s">
        <v>17</v>
      </c>
      <c r="F737" s="5">
        <v>0.8628</v>
      </c>
      <c r="G737" s="5">
        <v>77.771447</v>
      </c>
      <c r="H737" s="5">
        <v>0.302</v>
      </c>
      <c r="I737" s="5">
        <v>213.0</v>
      </c>
    </row>
    <row r="738">
      <c r="A738" s="6" t="s">
        <v>2488</v>
      </c>
      <c r="B738" s="5">
        <v>2.0</v>
      </c>
      <c r="C738" s="1" t="s">
        <v>68</v>
      </c>
      <c r="D738" s="1" t="s">
        <v>165</v>
      </c>
      <c r="E738" s="1" t="s">
        <v>39</v>
      </c>
      <c r="F738" s="5">
        <v>0.0235</v>
      </c>
      <c r="G738" s="5">
        <v>4.290931</v>
      </c>
      <c r="H738" s="5">
        <v>0.0042</v>
      </c>
      <c r="I738" s="5">
        <v>0.0</v>
      </c>
    </row>
    <row r="739">
      <c r="A739" s="6" t="s">
        <v>2488</v>
      </c>
      <c r="B739" s="5">
        <v>2.0</v>
      </c>
      <c r="C739" s="1" t="s">
        <v>68</v>
      </c>
      <c r="D739" s="1" t="s">
        <v>165</v>
      </c>
      <c r="E739" s="1" t="s">
        <v>17</v>
      </c>
      <c r="F739" s="5">
        <v>0.2102</v>
      </c>
      <c r="G739" s="5">
        <v>48.938784</v>
      </c>
      <c r="H739" s="5">
        <v>0.0735</v>
      </c>
      <c r="I739" s="5">
        <v>0.0</v>
      </c>
    </row>
    <row r="740">
      <c r="A740" s="6" t="s">
        <v>2488</v>
      </c>
      <c r="B740" s="5">
        <v>2.0</v>
      </c>
      <c r="C740" s="1" t="s">
        <v>68</v>
      </c>
      <c r="D740" s="1" t="s">
        <v>48</v>
      </c>
      <c r="E740" s="1" t="s">
        <v>49</v>
      </c>
      <c r="F740" s="5">
        <v>0.0033</v>
      </c>
      <c r="G740" s="5">
        <v>1.308484</v>
      </c>
      <c r="H740" s="5">
        <v>9.0E-4</v>
      </c>
      <c r="I740" s="5">
        <v>2.0</v>
      </c>
    </row>
    <row r="741">
      <c r="A741" s="6" t="s">
        <v>2488</v>
      </c>
      <c r="B741" s="5">
        <v>2.0</v>
      </c>
      <c r="C741" s="1" t="s">
        <v>68</v>
      </c>
      <c r="D741" s="1" t="s">
        <v>48</v>
      </c>
      <c r="E741" s="1" t="s">
        <v>72</v>
      </c>
      <c r="F741" s="5">
        <v>0.0159</v>
      </c>
      <c r="G741" s="5">
        <v>3.317889</v>
      </c>
      <c r="H741" s="5">
        <v>0.0048</v>
      </c>
      <c r="I741" s="5">
        <v>2.0</v>
      </c>
    </row>
    <row r="742">
      <c r="A742" s="6" t="s">
        <v>2488</v>
      </c>
      <c r="B742" s="5">
        <v>2.0</v>
      </c>
      <c r="C742" s="1" t="s">
        <v>68</v>
      </c>
      <c r="D742" s="1" t="s">
        <v>48</v>
      </c>
      <c r="E742" s="1" t="s">
        <v>21</v>
      </c>
      <c r="F742" s="5">
        <v>0.3496</v>
      </c>
      <c r="G742" s="5">
        <v>38.380471</v>
      </c>
      <c r="H742" s="5">
        <v>0.1398</v>
      </c>
      <c r="I742" s="5">
        <v>206.0</v>
      </c>
    </row>
    <row r="743">
      <c r="A743" s="6" t="s">
        <v>2488</v>
      </c>
      <c r="B743" s="5">
        <v>2.0</v>
      </c>
      <c r="C743" s="1" t="s">
        <v>68</v>
      </c>
      <c r="D743" s="1" t="s">
        <v>102</v>
      </c>
      <c r="E743" s="1" t="s">
        <v>39</v>
      </c>
      <c r="F743" s="5">
        <v>3.0E-4</v>
      </c>
      <c r="G743" s="5">
        <v>0.060471</v>
      </c>
      <c r="H743" s="5">
        <v>1.0E-4</v>
      </c>
      <c r="I743" s="5">
        <v>0.0</v>
      </c>
    </row>
    <row r="744">
      <c r="A744" s="6" t="s">
        <v>2488</v>
      </c>
      <c r="B744" s="5">
        <v>2.0</v>
      </c>
      <c r="C744" s="1" t="s">
        <v>68</v>
      </c>
      <c r="D744" s="1" t="s">
        <v>102</v>
      </c>
      <c r="E744" s="1" t="s">
        <v>21</v>
      </c>
      <c r="F744" s="5">
        <v>0.0954</v>
      </c>
      <c r="G744" s="5">
        <v>37.05183</v>
      </c>
      <c r="H744" s="5">
        <v>0.0381</v>
      </c>
      <c r="I744" s="5">
        <v>0.0</v>
      </c>
    </row>
    <row r="745">
      <c r="A745" s="6" t="s">
        <v>2488</v>
      </c>
      <c r="B745" s="5">
        <v>2.0</v>
      </c>
      <c r="C745" s="1" t="s">
        <v>116</v>
      </c>
      <c r="D745" s="1" t="s">
        <v>13</v>
      </c>
      <c r="E745" s="1" t="s">
        <v>14</v>
      </c>
      <c r="F745" s="5">
        <v>158.1197</v>
      </c>
      <c r="G745" s="5">
        <v>8438.527039999999</v>
      </c>
      <c r="H745" s="5">
        <v>33.2051</v>
      </c>
      <c r="I745" s="5">
        <v>11647.0</v>
      </c>
    </row>
    <row r="746">
      <c r="A746" s="6" t="s">
        <v>2488</v>
      </c>
      <c r="B746" s="5">
        <v>2.0</v>
      </c>
      <c r="C746" s="1" t="s">
        <v>116</v>
      </c>
      <c r="D746" s="1" t="s">
        <v>13</v>
      </c>
      <c r="E746" s="1" t="s">
        <v>17</v>
      </c>
      <c r="F746" s="5">
        <v>110.5001</v>
      </c>
      <c r="G746" s="5">
        <v>10562.128693</v>
      </c>
      <c r="H746" s="5">
        <v>38.6751</v>
      </c>
      <c r="I746" s="5">
        <v>15152.0</v>
      </c>
    </row>
    <row r="747">
      <c r="A747" s="6" t="s">
        <v>2488</v>
      </c>
      <c r="B747" s="5">
        <v>2.0</v>
      </c>
      <c r="C747" s="1" t="s">
        <v>116</v>
      </c>
      <c r="D747" s="1" t="s">
        <v>13</v>
      </c>
      <c r="E747" s="1" t="s">
        <v>21</v>
      </c>
      <c r="F747" s="5">
        <v>6.4026</v>
      </c>
      <c r="G747" s="5">
        <v>912.741207</v>
      </c>
      <c r="H747" s="5">
        <v>3.2013</v>
      </c>
      <c r="I747" s="5">
        <v>780.0</v>
      </c>
    </row>
    <row r="748">
      <c r="A748" s="6" t="s">
        <v>2488</v>
      </c>
      <c r="B748" s="5">
        <v>2.0</v>
      </c>
      <c r="C748" s="1" t="s">
        <v>116</v>
      </c>
      <c r="D748" s="1" t="s">
        <v>13</v>
      </c>
      <c r="E748" s="1" t="s">
        <v>25</v>
      </c>
      <c r="F748" s="5">
        <v>0.0408</v>
      </c>
      <c r="G748" s="5">
        <v>5.509437</v>
      </c>
      <c r="H748" s="5">
        <v>0.0306</v>
      </c>
      <c r="I748" s="5">
        <v>30.0</v>
      </c>
    </row>
    <row r="749">
      <c r="A749" s="6" t="s">
        <v>2488</v>
      </c>
      <c r="B749" s="5">
        <v>2.0</v>
      </c>
      <c r="C749" s="1" t="s">
        <v>116</v>
      </c>
      <c r="D749" s="1" t="s">
        <v>29</v>
      </c>
      <c r="E749" s="1" t="s">
        <v>14</v>
      </c>
      <c r="F749" s="5">
        <v>0.0165</v>
      </c>
      <c r="G749" s="5">
        <v>2.359302</v>
      </c>
      <c r="H749" s="5">
        <v>0.0033</v>
      </c>
      <c r="I749" s="5">
        <v>12.0</v>
      </c>
    </row>
    <row r="750">
      <c r="A750" s="6" t="s">
        <v>2488</v>
      </c>
      <c r="B750" s="5">
        <v>2.0</v>
      </c>
      <c r="C750" s="1" t="s">
        <v>116</v>
      </c>
      <c r="D750" s="1" t="s">
        <v>29</v>
      </c>
      <c r="E750" s="1" t="s">
        <v>21</v>
      </c>
      <c r="F750" s="5">
        <v>20.2505</v>
      </c>
      <c r="G750" s="5">
        <v>4419.943142</v>
      </c>
      <c r="H750" s="5">
        <v>8.10019999999999</v>
      </c>
      <c r="I750" s="5">
        <v>1675.0</v>
      </c>
    </row>
    <row r="751">
      <c r="A751" s="6" t="s">
        <v>2488</v>
      </c>
      <c r="B751" s="5">
        <v>2.0</v>
      </c>
      <c r="C751" s="1" t="s">
        <v>116</v>
      </c>
      <c r="D751" s="1" t="s">
        <v>45</v>
      </c>
      <c r="E751" s="1" t="s">
        <v>17</v>
      </c>
      <c r="F751" s="5">
        <v>19.6373</v>
      </c>
      <c r="G751" s="5">
        <v>1418.480059</v>
      </c>
      <c r="H751" s="5">
        <v>7.0695</v>
      </c>
      <c r="I751" s="5">
        <v>2062.0</v>
      </c>
    </row>
    <row r="752">
      <c r="A752" s="6" t="s">
        <v>2488</v>
      </c>
      <c r="B752" s="5">
        <v>2.0</v>
      </c>
      <c r="C752" s="1" t="s">
        <v>116</v>
      </c>
      <c r="D752" s="1" t="s">
        <v>32</v>
      </c>
      <c r="E752" s="1" t="s">
        <v>14</v>
      </c>
      <c r="F752" s="5">
        <v>2.978</v>
      </c>
      <c r="G752" s="5">
        <v>170.088854</v>
      </c>
      <c r="H752" s="5">
        <v>0.6849</v>
      </c>
      <c r="I752" s="5">
        <v>800.0</v>
      </c>
    </row>
    <row r="753">
      <c r="A753" s="6" t="s">
        <v>2488</v>
      </c>
      <c r="B753" s="5">
        <v>2.0</v>
      </c>
      <c r="C753" s="1" t="s">
        <v>116</v>
      </c>
      <c r="D753" s="1" t="s">
        <v>32</v>
      </c>
      <c r="E753" s="1" t="s">
        <v>21</v>
      </c>
      <c r="F753" s="5">
        <v>3.2412</v>
      </c>
      <c r="G753" s="5">
        <v>503.776524</v>
      </c>
      <c r="H753" s="5">
        <v>1.4585</v>
      </c>
      <c r="I753" s="5">
        <v>2043.0</v>
      </c>
    </row>
    <row r="754">
      <c r="A754" s="6" t="s">
        <v>2488</v>
      </c>
      <c r="B754" s="5">
        <v>2.0</v>
      </c>
      <c r="C754" s="1" t="s">
        <v>116</v>
      </c>
      <c r="D754" s="1" t="s">
        <v>147</v>
      </c>
      <c r="E754" s="1" t="s">
        <v>39</v>
      </c>
      <c r="F754" s="5">
        <v>1.541</v>
      </c>
      <c r="G754" s="5">
        <v>407.293637</v>
      </c>
      <c r="H754" s="5">
        <v>0.2928</v>
      </c>
      <c r="I754" s="5">
        <v>101.0</v>
      </c>
    </row>
    <row r="755">
      <c r="A755" s="6" t="s">
        <v>2488</v>
      </c>
      <c r="B755" s="5">
        <v>2.0</v>
      </c>
      <c r="C755" s="1" t="s">
        <v>116</v>
      </c>
      <c r="D755" s="1" t="s">
        <v>147</v>
      </c>
      <c r="E755" s="1" t="s">
        <v>17</v>
      </c>
      <c r="F755" s="5">
        <v>0.0206</v>
      </c>
      <c r="G755" s="5">
        <v>6.79272499999999</v>
      </c>
      <c r="H755" s="5">
        <v>0.0073</v>
      </c>
      <c r="I755" s="5">
        <v>7.0</v>
      </c>
    </row>
    <row r="756">
      <c r="A756" s="6" t="s">
        <v>2488</v>
      </c>
      <c r="B756" s="5">
        <v>2.0</v>
      </c>
      <c r="C756" s="1" t="s">
        <v>116</v>
      </c>
      <c r="D756" s="1" t="s">
        <v>147</v>
      </c>
      <c r="E756" s="1" t="s">
        <v>21</v>
      </c>
      <c r="F756" s="5">
        <v>0.0738</v>
      </c>
      <c r="G756" s="5">
        <v>36.475165999999994</v>
      </c>
      <c r="H756" s="5">
        <v>0.0369</v>
      </c>
      <c r="I756" s="5">
        <v>54.0</v>
      </c>
    </row>
    <row r="757">
      <c r="A757" s="6" t="s">
        <v>2488</v>
      </c>
      <c r="B757" s="5">
        <v>2.0</v>
      </c>
      <c r="C757" s="1" t="s">
        <v>116</v>
      </c>
      <c r="D757" s="1" t="s">
        <v>158</v>
      </c>
      <c r="E757" s="1" t="s">
        <v>39</v>
      </c>
      <c r="F757" s="5">
        <v>0.0013</v>
      </c>
      <c r="G757" s="5">
        <v>0.660408</v>
      </c>
      <c r="H757" s="5">
        <v>3.0E-4</v>
      </c>
      <c r="I757" s="5">
        <v>0.0</v>
      </c>
    </row>
    <row r="758">
      <c r="A758" s="6" t="s">
        <v>2488</v>
      </c>
      <c r="B758" s="5">
        <v>2.0</v>
      </c>
      <c r="C758" s="1" t="s">
        <v>116</v>
      </c>
      <c r="D758" s="1" t="s">
        <v>158</v>
      </c>
      <c r="E758" s="1" t="s">
        <v>17</v>
      </c>
      <c r="F758" s="5">
        <v>0.0551</v>
      </c>
      <c r="G758" s="5">
        <v>25.322153999999998</v>
      </c>
      <c r="H758" s="5">
        <v>0.0193</v>
      </c>
      <c r="I758" s="5">
        <v>0.0</v>
      </c>
    </row>
    <row r="759">
      <c r="A759" s="6" t="s">
        <v>2488</v>
      </c>
      <c r="B759" s="5">
        <v>2.0</v>
      </c>
      <c r="C759" s="1" t="s">
        <v>116</v>
      </c>
      <c r="D759" s="1" t="s">
        <v>158</v>
      </c>
      <c r="E759" s="1" t="s">
        <v>21</v>
      </c>
      <c r="F759" s="5">
        <v>0.4099</v>
      </c>
      <c r="G759" s="5">
        <v>222.275641</v>
      </c>
      <c r="H759" s="5">
        <v>0.1721</v>
      </c>
      <c r="I759" s="5">
        <v>0.0</v>
      </c>
    </row>
    <row r="760">
      <c r="A760" s="6" t="s">
        <v>2488</v>
      </c>
      <c r="B760" s="5">
        <v>2.0</v>
      </c>
      <c r="C760" s="1" t="s">
        <v>116</v>
      </c>
      <c r="D760" s="1" t="s">
        <v>165</v>
      </c>
      <c r="E760" s="1" t="s">
        <v>39</v>
      </c>
      <c r="F760" s="5">
        <v>0.2964</v>
      </c>
      <c r="G760" s="5">
        <v>53.936471</v>
      </c>
      <c r="H760" s="5">
        <v>0.0533</v>
      </c>
      <c r="I760" s="5">
        <v>78.0</v>
      </c>
    </row>
    <row r="761">
      <c r="A761" s="6" t="s">
        <v>2488</v>
      </c>
      <c r="B761" s="5">
        <v>2.0</v>
      </c>
      <c r="C761" s="1" t="s">
        <v>116</v>
      </c>
      <c r="D761" s="1" t="s">
        <v>165</v>
      </c>
      <c r="E761" s="1" t="s">
        <v>17</v>
      </c>
      <c r="F761" s="5">
        <v>0.8342</v>
      </c>
      <c r="G761" s="5">
        <v>187.833551</v>
      </c>
      <c r="H761" s="5">
        <v>0.292</v>
      </c>
      <c r="I761" s="5">
        <v>88.0</v>
      </c>
    </row>
    <row r="762">
      <c r="A762" s="6" t="s">
        <v>2488</v>
      </c>
      <c r="B762" s="5">
        <v>2.0</v>
      </c>
      <c r="C762" s="1" t="s">
        <v>116</v>
      </c>
      <c r="D762" s="1" t="s">
        <v>42</v>
      </c>
      <c r="E762" s="1" t="s">
        <v>17</v>
      </c>
      <c r="F762" s="5">
        <v>1.403</v>
      </c>
      <c r="G762" s="5">
        <v>229.58150899999998</v>
      </c>
      <c r="H762" s="5">
        <v>0.519</v>
      </c>
      <c r="I762" s="5">
        <v>266.0</v>
      </c>
    </row>
    <row r="763">
      <c r="A763" s="6" t="s">
        <v>2488</v>
      </c>
      <c r="B763" s="5">
        <v>2.0</v>
      </c>
      <c r="C763" s="1" t="s">
        <v>116</v>
      </c>
      <c r="D763" s="1" t="s">
        <v>330</v>
      </c>
      <c r="E763" s="1" t="s">
        <v>17</v>
      </c>
      <c r="F763" s="5">
        <v>1.0795</v>
      </c>
      <c r="G763" s="5">
        <v>201.002334</v>
      </c>
      <c r="H763" s="5">
        <v>0.3777</v>
      </c>
      <c r="I763" s="5">
        <v>117.0</v>
      </c>
    </row>
    <row r="764">
      <c r="A764" s="6" t="s">
        <v>2488</v>
      </c>
      <c r="B764" s="5">
        <v>2.0</v>
      </c>
      <c r="C764" s="1" t="s">
        <v>116</v>
      </c>
      <c r="D764" s="1" t="s">
        <v>102</v>
      </c>
      <c r="E764" s="1" t="s">
        <v>39</v>
      </c>
      <c r="F764" s="5">
        <v>0.0013</v>
      </c>
      <c r="G764" s="5">
        <v>0.51301</v>
      </c>
      <c r="H764" s="5">
        <v>3.0E-4</v>
      </c>
      <c r="I764" s="5">
        <v>2.0</v>
      </c>
    </row>
    <row r="765">
      <c r="A765" s="6" t="s">
        <v>2488</v>
      </c>
      <c r="B765" s="5">
        <v>2.0</v>
      </c>
      <c r="C765" s="1" t="s">
        <v>116</v>
      </c>
      <c r="D765" s="1" t="s">
        <v>102</v>
      </c>
      <c r="E765" s="1" t="s">
        <v>21</v>
      </c>
      <c r="F765" s="5">
        <v>0.5091</v>
      </c>
      <c r="G765" s="5">
        <v>184.811387</v>
      </c>
      <c r="H765" s="5">
        <v>0.2036</v>
      </c>
      <c r="I765" s="5">
        <v>87.0</v>
      </c>
    </row>
    <row r="766">
      <c r="A766" s="6" t="s">
        <v>2488</v>
      </c>
      <c r="B766" s="5">
        <v>3.0</v>
      </c>
      <c r="C766" s="1" t="s">
        <v>12</v>
      </c>
      <c r="D766" s="1" t="s">
        <v>13</v>
      </c>
      <c r="E766" s="1" t="s">
        <v>14</v>
      </c>
      <c r="F766" s="5">
        <v>12.7284</v>
      </c>
      <c r="G766" s="5">
        <v>883.86949</v>
      </c>
      <c r="H766" s="5">
        <v>2.673</v>
      </c>
      <c r="I766" s="5">
        <v>565.0</v>
      </c>
    </row>
    <row r="767">
      <c r="A767" s="6" t="s">
        <v>2488</v>
      </c>
      <c r="B767" s="5">
        <v>3.0</v>
      </c>
      <c r="C767" s="1" t="s">
        <v>12</v>
      </c>
      <c r="D767" s="1" t="s">
        <v>13</v>
      </c>
      <c r="E767" s="1" t="s">
        <v>17</v>
      </c>
      <c r="F767" s="5">
        <v>71.5553</v>
      </c>
      <c r="G767" s="5">
        <v>6611.2779009999995</v>
      </c>
      <c r="H767" s="5">
        <v>25.0443</v>
      </c>
      <c r="I767" s="5">
        <v>794.0</v>
      </c>
    </row>
    <row r="768">
      <c r="A768" s="6" t="s">
        <v>2488</v>
      </c>
      <c r="B768" s="5">
        <v>3.0</v>
      </c>
      <c r="C768" s="1" t="s">
        <v>12</v>
      </c>
      <c r="D768" s="1" t="s">
        <v>13</v>
      </c>
      <c r="E768" s="1" t="s">
        <v>21</v>
      </c>
      <c r="F768" s="5">
        <v>36.161</v>
      </c>
      <c r="G768" s="5">
        <v>4368.40284</v>
      </c>
      <c r="H768" s="5">
        <v>18.0803</v>
      </c>
      <c r="I768" s="5">
        <v>580.0</v>
      </c>
    </row>
    <row r="769">
      <c r="A769" s="6" t="s">
        <v>2488</v>
      </c>
      <c r="B769" s="5">
        <v>3.0</v>
      </c>
      <c r="C769" s="1" t="s">
        <v>12</v>
      </c>
      <c r="D769" s="1" t="s">
        <v>29</v>
      </c>
      <c r="E769" s="1" t="s">
        <v>14</v>
      </c>
      <c r="F769" s="5">
        <v>0.0728</v>
      </c>
      <c r="G769" s="5">
        <v>8.98719099999999</v>
      </c>
      <c r="H769" s="5">
        <v>0.0146</v>
      </c>
      <c r="I769" s="5">
        <v>11.0</v>
      </c>
    </row>
    <row r="770">
      <c r="A770" s="6" t="s">
        <v>2488</v>
      </c>
      <c r="B770" s="5">
        <v>3.0</v>
      </c>
      <c r="C770" s="1" t="s">
        <v>12</v>
      </c>
      <c r="D770" s="1" t="s">
        <v>29</v>
      </c>
      <c r="E770" s="1" t="s">
        <v>21</v>
      </c>
      <c r="F770" s="5">
        <v>25.6654</v>
      </c>
      <c r="G770" s="5">
        <v>5080.932744</v>
      </c>
      <c r="H770" s="5">
        <v>10.2662</v>
      </c>
      <c r="I770" s="5">
        <v>664.0</v>
      </c>
    </row>
    <row r="771">
      <c r="A771" s="6" t="s">
        <v>2488</v>
      </c>
      <c r="B771" s="5">
        <v>3.0</v>
      </c>
      <c r="C771" s="1" t="s">
        <v>12</v>
      </c>
      <c r="D771" s="1" t="s">
        <v>38</v>
      </c>
      <c r="E771" s="1" t="s">
        <v>39</v>
      </c>
      <c r="F771" s="5">
        <v>3.6165</v>
      </c>
      <c r="G771" s="5">
        <v>381.379502</v>
      </c>
      <c r="H771" s="5">
        <v>0.651</v>
      </c>
      <c r="I771" s="5">
        <v>102.0</v>
      </c>
    </row>
    <row r="772">
      <c r="A772" s="6" t="s">
        <v>2488</v>
      </c>
      <c r="B772" s="5">
        <v>3.0</v>
      </c>
      <c r="C772" s="1" t="s">
        <v>12</v>
      </c>
      <c r="D772" s="1" t="s">
        <v>45</v>
      </c>
      <c r="E772" s="1" t="s">
        <v>17</v>
      </c>
      <c r="F772" s="5">
        <v>4.7589</v>
      </c>
      <c r="G772" s="5">
        <v>326.445788</v>
      </c>
      <c r="H772" s="5">
        <v>1.7132</v>
      </c>
      <c r="I772" s="5">
        <v>236.0</v>
      </c>
    </row>
    <row r="773">
      <c r="A773" s="6" t="s">
        <v>2488</v>
      </c>
      <c r="B773" s="5">
        <v>3.0</v>
      </c>
      <c r="C773" s="1" t="s">
        <v>12</v>
      </c>
      <c r="D773" s="1" t="s">
        <v>32</v>
      </c>
      <c r="E773" s="1" t="s">
        <v>14</v>
      </c>
      <c r="F773" s="5">
        <v>2.5793</v>
      </c>
      <c r="G773" s="5">
        <v>194.22379800000002</v>
      </c>
      <c r="H773" s="5">
        <v>0.593199999999999</v>
      </c>
      <c r="I773" s="5">
        <v>310.0</v>
      </c>
    </row>
    <row r="774">
      <c r="A774" s="6" t="s">
        <v>2488</v>
      </c>
      <c r="B774" s="5">
        <v>3.0</v>
      </c>
      <c r="C774" s="1" t="s">
        <v>12</v>
      </c>
      <c r="D774" s="1" t="s">
        <v>32</v>
      </c>
      <c r="E774" s="1" t="s">
        <v>21</v>
      </c>
      <c r="F774" s="5">
        <v>0.4134</v>
      </c>
      <c r="G774" s="5">
        <v>59.907000999999994</v>
      </c>
      <c r="H774" s="5">
        <v>0.186</v>
      </c>
      <c r="I774" s="5">
        <v>148.0</v>
      </c>
    </row>
    <row r="775">
      <c r="A775" s="6" t="s">
        <v>2488</v>
      </c>
      <c r="B775" s="5">
        <v>3.0</v>
      </c>
      <c r="C775" s="1" t="s">
        <v>12</v>
      </c>
      <c r="D775" s="1" t="s">
        <v>48</v>
      </c>
      <c r="E775" s="1" t="s">
        <v>49</v>
      </c>
      <c r="F775" s="5">
        <v>0.0082</v>
      </c>
      <c r="G775" s="5">
        <v>2.719411</v>
      </c>
      <c r="H775" s="5">
        <v>0.0023</v>
      </c>
      <c r="I775" s="5">
        <v>3.0</v>
      </c>
    </row>
    <row r="776">
      <c r="A776" s="6" t="s">
        <v>2488</v>
      </c>
      <c r="B776" s="5">
        <v>3.0</v>
      </c>
      <c r="C776" s="1" t="s">
        <v>12</v>
      </c>
      <c r="D776" s="1" t="s">
        <v>48</v>
      </c>
      <c r="E776" s="1" t="s">
        <v>21</v>
      </c>
      <c r="F776" s="5">
        <v>1.0868</v>
      </c>
      <c r="G776" s="5">
        <v>140.99036999999998</v>
      </c>
      <c r="H776" s="5">
        <v>0.4347</v>
      </c>
      <c r="I776" s="5">
        <v>123.0</v>
      </c>
    </row>
    <row r="777">
      <c r="A777" s="6" t="s">
        <v>2488</v>
      </c>
      <c r="B777" s="5">
        <v>3.0</v>
      </c>
      <c r="C777" s="1" t="s">
        <v>12</v>
      </c>
      <c r="D777" s="1" t="s">
        <v>42</v>
      </c>
      <c r="E777" s="1" t="s">
        <v>17</v>
      </c>
      <c r="F777" s="5">
        <v>0.7852</v>
      </c>
      <c r="G777" s="5">
        <v>112.19417600000001</v>
      </c>
      <c r="H777" s="5">
        <v>0.2905</v>
      </c>
      <c r="I777" s="5">
        <v>73.0</v>
      </c>
    </row>
    <row r="778">
      <c r="A778" s="6" t="s">
        <v>2488</v>
      </c>
      <c r="B778" s="5">
        <v>3.0</v>
      </c>
      <c r="C778" s="1" t="s">
        <v>12</v>
      </c>
      <c r="D778" s="1" t="s">
        <v>60</v>
      </c>
      <c r="E778" s="1" t="s">
        <v>39</v>
      </c>
      <c r="F778" s="5">
        <v>0.2595</v>
      </c>
      <c r="G778" s="5">
        <v>45.09343</v>
      </c>
      <c r="H778" s="5">
        <v>0.0493</v>
      </c>
      <c r="I778" s="5">
        <v>87.0</v>
      </c>
    </row>
    <row r="779">
      <c r="A779" s="6" t="s">
        <v>2488</v>
      </c>
      <c r="B779" s="5">
        <v>3.0</v>
      </c>
      <c r="C779" s="1" t="s">
        <v>12</v>
      </c>
      <c r="D779" s="1" t="s">
        <v>60</v>
      </c>
      <c r="E779" s="1" t="s">
        <v>17</v>
      </c>
      <c r="F779" s="5">
        <v>7.0E-4</v>
      </c>
      <c r="G779" s="5">
        <v>0.069555</v>
      </c>
      <c r="H779" s="5">
        <v>3.0E-4</v>
      </c>
      <c r="I779" s="5">
        <v>2.0</v>
      </c>
    </row>
    <row r="780">
      <c r="A780" s="6" t="s">
        <v>2488</v>
      </c>
      <c r="B780" s="5">
        <v>3.0</v>
      </c>
      <c r="C780" s="1" t="s">
        <v>12</v>
      </c>
      <c r="D780" s="1" t="s">
        <v>848</v>
      </c>
      <c r="E780" s="1" t="s">
        <v>21</v>
      </c>
      <c r="F780" s="5">
        <v>0.2084</v>
      </c>
      <c r="G780" s="5">
        <v>42.177223</v>
      </c>
      <c r="H780" s="5">
        <v>0.0833</v>
      </c>
      <c r="I780" s="5">
        <v>56.0</v>
      </c>
    </row>
    <row r="781">
      <c r="A781" s="6" t="s">
        <v>2488</v>
      </c>
      <c r="B781" s="5">
        <v>3.0</v>
      </c>
      <c r="C781" s="1" t="s">
        <v>12</v>
      </c>
      <c r="D781" s="1" t="s">
        <v>64</v>
      </c>
      <c r="E781" s="1" t="s">
        <v>39</v>
      </c>
      <c r="F781" s="5">
        <v>0.3992</v>
      </c>
      <c r="G781" s="5">
        <v>38.224321</v>
      </c>
      <c r="H781" s="5">
        <v>0.0719</v>
      </c>
      <c r="I781" s="5">
        <v>91.0</v>
      </c>
    </row>
    <row r="782">
      <c r="A782" s="6" t="s">
        <v>2488</v>
      </c>
      <c r="B782" s="5">
        <v>3.0</v>
      </c>
      <c r="C782" s="1" t="s">
        <v>12</v>
      </c>
      <c r="D782" s="1" t="s">
        <v>64</v>
      </c>
      <c r="E782" s="1" t="s">
        <v>21</v>
      </c>
      <c r="F782" s="5">
        <v>0.011</v>
      </c>
      <c r="G782" s="5">
        <v>1.612696</v>
      </c>
      <c r="H782" s="5">
        <v>0.0044</v>
      </c>
      <c r="I782" s="5">
        <v>6.0</v>
      </c>
    </row>
    <row r="783">
      <c r="A783" s="6" t="s">
        <v>2488</v>
      </c>
      <c r="B783" s="5">
        <v>3.0</v>
      </c>
      <c r="C783" s="1" t="s">
        <v>68</v>
      </c>
      <c r="D783" s="1" t="s">
        <v>13</v>
      </c>
      <c r="E783" s="1" t="s">
        <v>14</v>
      </c>
      <c r="F783" s="5">
        <v>58.9925</v>
      </c>
      <c r="G783" s="5">
        <v>3420.009855</v>
      </c>
      <c r="H783" s="5">
        <v>12.3884</v>
      </c>
      <c r="I783" s="5">
        <v>7304.0</v>
      </c>
    </row>
    <row r="784">
      <c r="A784" s="6" t="s">
        <v>2488</v>
      </c>
      <c r="B784" s="5">
        <v>3.0</v>
      </c>
      <c r="C784" s="1" t="s">
        <v>68</v>
      </c>
      <c r="D784" s="1" t="s">
        <v>13</v>
      </c>
      <c r="E784" s="1" t="s">
        <v>17</v>
      </c>
      <c r="F784" s="5">
        <v>55.1167</v>
      </c>
      <c r="G784" s="5">
        <v>5533.045968</v>
      </c>
      <c r="H784" s="5">
        <v>19.2909</v>
      </c>
      <c r="I784" s="5">
        <v>8857.0</v>
      </c>
    </row>
    <row r="785">
      <c r="A785" s="6" t="s">
        <v>2488</v>
      </c>
      <c r="B785" s="5">
        <v>3.0</v>
      </c>
      <c r="C785" s="1" t="s">
        <v>68</v>
      </c>
      <c r="D785" s="1" t="s">
        <v>13</v>
      </c>
      <c r="E785" s="1" t="s">
        <v>21</v>
      </c>
      <c r="F785" s="5">
        <v>5.0973</v>
      </c>
      <c r="G785" s="5">
        <v>751.429353</v>
      </c>
      <c r="H785" s="5">
        <v>2.5487</v>
      </c>
      <c r="I785" s="5">
        <v>568.0</v>
      </c>
    </row>
    <row r="786">
      <c r="A786" s="6" t="s">
        <v>2488</v>
      </c>
      <c r="B786" s="5">
        <v>3.0</v>
      </c>
      <c r="C786" s="1" t="s">
        <v>68</v>
      </c>
      <c r="D786" s="1" t="s">
        <v>13</v>
      </c>
      <c r="E786" s="1" t="s">
        <v>25</v>
      </c>
      <c r="F786" s="5">
        <v>0.3926</v>
      </c>
      <c r="G786" s="5">
        <v>67.253647</v>
      </c>
      <c r="H786" s="5">
        <v>0.2945</v>
      </c>
      <c r="I786" s="5">
        <v>203.0</v>
      </c>
    </row>
    <row r="787">
      <c r="A787" s="6" t="s">
        <v>2488</v>
      </c>
      <c r="B787" s="5">
        <v>3.0</v>
      </c>
      <c r="C787" s="1" t="s">
        <v>68</v>
      </c>
      <c r="D787" s="1" t="s">
        <v>29</v>
      </c>
      <c r="E787" s="1" t="s">
        <v>14</v>
      </c>
      <c r="F787" s="5">
        <v>0.004</v>
      </c>
      <c r="G787" s="5">
        <v>0.587074</v>
      </c>
      <c r="H787" s="5">
        <v>8.0E-4</v>
      </c>
      <c r="I787" s="5">
        <v>1.0</v>
      </c>
    </row>
    <row r="788">
      <c r="A788" s="6" t="s">
        <v>2488</v>
      </c>
      <c r="B788" s="5">
        <v>3.0</v>
      </c>
      <c r="C788" s="1" t="s">
        <v>68</v>
      </c>
      <c r="D788" s="1" t="s">
        <v>29</v>
      </c>
      <c r="E788" s="1" t="s">
        <v>21</v>
      </c>
      <c r="F788" s="5">
        <v>5.984</v>
      </c>
      <c r="G788" s="5">
        <v>1257.1860419999998</v>
      </c>
      <c r="H788" s="5">
        <v>2.3936</v>
      </c>
      <c r="I788" s="5">
        <v>874.0</v>
      </c>
    </row>
    <row r="789">
      <c r="A789" s="6" t="s">
        <v>2488</v>
      </c>
      <c r="B789" s="5">
        <v>3.0</v>
      </c>
      <c r="C789" s="1" t="s">
        <v>68</v>
      </c>
      <c r="D789" s="1" t="s">
        <v>45</v>
      </c>
      <c r="E789" s="1" t="s">
        <v>17</v>
      </c>
      <c r="F789" s="5">
        <v>16.7714</v>
      </c>
      <c r="G789" s="5">
        <v>957.6501069999999</v>
      </c>
      <c r="H789" s="5">
        <v>6.0377</v>
      </c>
      <c r="I789" s="5">
        <v>1817.0</v>
      </c>
    </row>
    <row r="790">
      <c r="A790" s="6" t="s">
        <v>2488</v>
      </c>
      <c r="B790" s="5">
        <v>3.0</v>
      </c>
      <c r="C790" s="1" t="s">
        <v>68</v>
      </c>
      <c r="D790" s="1" t="s">
        <v>32</v>
      </c>
      <c r="E790" s="1" t="s">
        <v>14</v>
      </c>
      <c r="F790" s="5">
        <v>6.6417</v>
      </c>
      <c r="G790" s="5">
        <v>461.544797</v>
      </c>
      <c r="H790" s="5">
        <v>1.5276</v>
      </c>
      <c r="I790" s="5">
        <v>2390.0</v>
      </c>
    </row>
    <row r="791">
      <c r="A791" s="6" t="s">
        <v>2488</v>
      </c>
      <c r="B791" s="5">
        <v>3.0</v>
      </c>
      <c r="C791" s="1" t="s">
        <v>68</v>
      </c>
      <c r="D791" s="1" t="s">
        <v>32</v>
      </c>
      <c r="E791" s="1" t="s">
        <v>21</v>
      </c>
      <c r="F791" s="5">
        <v>0.5295</v>
      </c>
      <c r="G791" s="5">
        <v>85.414349</v>
      </c>
      <c r="H791" s="5">
        <v>0.2383</v>
      </c>
      <c r="I791" s="5">
        <v>446.0</v>
      </c>
    </row>
    <row r="792">
      <c r="A792" s="6" t="s">
        <v>2488</v>
      </c>
      <c r="B792" s="5">
        <v>3.0</v>
      </c>
      <c r="C792" s="1" t="s">
        <v>68</v>
      </c>
      <c r="D792" s="1" t="s">
        <v>42</v>
      </c>
      <c r="E792" s="1" t="s">
        <v>17</v>
      </c>
      <c r="F792" s="5">
        <v>1.2914</v>
      </c>
      <c r="G792" s="5">
        <v>193.421163</v>
      </c>
      <c r="H792" s="5">
        <v>0.4778</v>
      </c>
      <c r="I792" s="5">
        <v>475.0</v>
      </c>
    </row>
    <row r="793">
      <c r="A793" s="6" t="s">
        <v>2488</v>
      </c>
      <c r="B793" s="5">
        <v>3.0</v>
      </c>
      <c r="C793" s="1" t="s">
        <v>68</v>
      </c>
      <c r="D793" s="1" t="s">
        <v>38</v>
      </c>
      <c r="E793" s="1" t="s">
        <v>39</v>
      </c>
      <c r="F793" s="5">
        <v>1.7221</v>
      </c>
      <c r="G793" s="5">
        <v>162.79008100000001</v>
      </c>
      <c r="H793" s="5">
        <v>0.31</v>
      </c>
      <c r="I793" s="5">
        <v>232.0</v>
      </c>
    </row>
    <row r="794">
      <c r="A794" s="6" t="s">
        <v>2488</v>
      </c>
      <c r="B794" s="5">
        <v>3.0</v>
      </c>
      <c r="C794" s="1" t="s">
        <v>68</v>
      </c>
      <c r="D794" s="1" t="s">
        <v>544</v>
      </c>
      <c r="E794" s="1" t="s">
        <v>17</v>
      </c>
      <c r="F794" s="5">
        <v>1.0598</v>
      </c>
      <c r="G794" s="5">
        <v>97.7657099999999</v>
      </c>
      <c r="H794" s="5">
        <v>0.371</v>
      </c>
      <c r="I794" s="5">
        <v>221.0</v>
      </c>
    </row>
    <row r="795">
      <c r="A795" s="6" t="s">
        <v>2488</v>
      </c>
      <c r="B795" s="5">
        <v>3.0</v>
      </c>
      <c r="C795" s="1" t="s">
        <v>68</v>
      </c>
      <c r="D795" s="1" t="s">
        <v>281</v>
      </c>
      <c r="E795" s="1" t="s">
        <v>72</v>
      </c>
      <c r="F795" s="5">
        <v>0.2531</v>
      </c>
      <c r="G795" s="5">
        <v>50.093305</v>
      </c>
      <c r="H795" s="5">
        <v>0.081</v>
      </c>
      <c r="I795" s="5">
        <v>0.0</v>
      </c>
    </row>
    <row r="796">
      <c r="A796" s="6" t="s">
        <v>2488</v>
      </c>
      <c r="B796" s="5">
        <v>3.0</v>
      </c>
      <c r="C796" s="1" t="s">
        <v>68</v>
      </c>
      <c r="D796" s="1" t="s">
        <v>48</v>
      </c>
      <c r="E796" s="1" t="s">
        <v>49</v>
      </c>
      <c r="F796" s="5">
        <v>7.0E-4</v>
      </c>
      <c r="G796" s="5">
        <v>0.274441</v>
      </c>
      <c r="H796" s="5">
        <v>2.0E-4</v>
      </c>
      <c r="I796" s="5">
        <v>2.0</v>
      </c>
    </row>
    <row r="797">
      <c r="A797" s="6" t="s">
        <v>2488</v>
      </c>
      <c r="B797" s="5">
        <v>3.0</v>
      </c>
      <c r="C797" s="1" t="s">
        <v>68</v>
      </c>
      <c r="D797" s="1" t="s">
        <v>48</v>
      </c>
      <c r="E797" s="1" t="s">
        <v>72</v>
      </c>
      <c r="F797" s="5">
        <v>7.0E-4</v>
      </c>
      <c r="G797" s="5">
        <v>0.138314</v>
      </c>
      <c r="H797" s="5">
        <v>2.0E-4</v>
      </c>
      <c r="I797" s="5">
        <v>1.0</v>
      </c>
    </row>
    <row r="798">
      <c r="A798" s="6" t="s">
        <v>2488</v>
      </c>
      <c r="B798" s="5">
        <v>3.0</v>
      </c>
      <c r="C798" s="1" t="s">
        <v>68</v>
      </c>
      <c r="D798" s="1" t="s">
        <v>48</v>
      </c>
      <c r="E798" s="1" t="s">
        <v>21</v>
      </c>
      <c r="F798" s="5">
        <v>0.4348</v>
      </c>
      <c r="G798" s="5">
        <v>47.505247000000004</v>
      </c>
      <c r="H798" s="5">
        <v>0.1739</v>
      </c>
      <c r="I798" s="5">
        <v>256.0</v>
      </c>
    </row>
    <row r="799">
      <c r="A799" s="6" t="s">
        <v>2488</v>
      </c>
      <c r="B799" s="5">
        <v>3.0</v>
      </c>
      <c r="C799" s="1" t="s">
        <v>68</v>
      </c>
      <c r="D799" s="1" t="s">
        <v>165</v>
      </c>
      <c r="E799" s="1" t="s">
        <v>39</v>
      </c>
      <c r="F799" s="5">
        <v>0.038</v>
      </c>
      <c r="G799" s="5">
        <v>6.911678</v>
      </c>
      <c r="H799" s="5">
        <v>0.0068</v>
      </c>
      <c r="I799" s="5">
        <v>0.0</v>
      </c>
    </row>
    <row r="800">
      <c r="A800" s="6" t="s">
        <v>2488</v>
      </c>
      <c r="B800" s="5">
        <v>3.0</v>
      </c>
      <c r="C800" s="1" t="s">
        <v>68</v>
      </c>
      <c r="D800" s="1" t="s">
        <v>165</v>
      </c>
      <c r="E800" s="1" t="s">
        <v>17</v>
      </c>
      <c r="F800" s="5">
        <v>0.1571</v>
      </c>
      <c r="G800" s="5">
        <v>35.343786</v>
      </c>
      <c r="H800" s="5">
        <v>0.055</v>
      </c>
      <c r="I800" s="5">
        <v>0.0</v>
      </c>
    </row>
    <row r="801">
      <c r="A801" s="6" t="s">
        <v>2488</v>
      </c>
      <c r="B801" s="5">
        <v>3.0</v>
      </c>
      <c r="C801" s="1" t="s">
        <v>116</v>
      </c>
      <c r="D801" s="1" t="s">
        <v>13</v>
      </c>
      <c r="E801" s="1" t="s">
        <v>14</v>
      </c>
      <c r="F801" s="5">
        <v>160.7599</v>
      </c>
      <c r="G801" s="5">
        <v>8375.874438</v>
      </c>
      <c r="H801" s="5">
        <v>33.7595</v>
      </c>
      <c r="I801" s="5">
        <v>11876.0</v>
      </c>
    </row>
    <row r="802">
      <c r="A802" s="6" t="s">
        <v>2488</v>
      </c>
      <c r="B802" s="5">
        <v>3.0</v>
      </c>
      <c r="C802" s="1" t="s">
        <v>116</v>
      </c>
      <c r="D802" s="1" t="s">
        <v>13</v>
      </c>
      <c r="E802" s="1" t="s">
        <v>17</v>
      </c>
      <c r="F802" s="5">
        <v>128.3013</v>
      </c>
      <c r="G802" s="5">
        <v>12122.702853</v>
      </c>
      <c r="H802" s="5">
        <v>44.9054</v>
      </c>
      <c r="I802" s="5">
        <v>15756.0</v>
      </c>
    </row>
    <row r="803">
      <c r="A803" s="6" t="s">
        <v>2488</v>
      </c>
      <c r="B803" s="5">
        <v>3.0</v>
      </c>
      <c r="C803" s="1" t="s">
        <v>116</v>
      </c>
      <c r="D803" s="1" t="s">
        <v>13</v>
      </c>
      <c r="E803" s="1" t="s">
        <v>21</v>
      </c>
      <c r="F803" s="5">
        <v>10.4898</v>
      </c>
      <c r="G803" s="5">
        <v>1390.042249</v>
      </c>
      <c r="H803" s="5">
        <v>5.2449</v>
      </c>
      <c r="I803" s="5">
        <v>762.0</v>
      </c>
    </row>
    <row r="804">
      <c r="A804" s="6" t="s">
        <v>2488</v>
      </c>
      <c r="B804" s="5">
        <v>3.0</v>
      </c>
      <c r="C804" s="1" t="s">
        <v>116</v>
      </c>
      <c r="D804" s="1" t="s">
        <v>13</v>
      </c>
      <c r="E804" s="1" t="s">
        <v>25</v>
      </c>
      <c r="F804" s="5">
        <v>0.008</v>
      </c>
      <c r="G804" s="5">
        <v>1.2848789999999999</v>
      </c>
      <c r="H804" s="5">
        <v>0.006</v>
      </c>
      <c r="I804" s="5">
        <v>3.0</v>
      </c>
    </row>
    <row r="805">
      <c r="A805" s="6" t="s">
        <v>2488</v>
      </c>
      <c r="B805" s="5">
        <v>3.0</v>
      </c>
      <c r="C805" s="1" t="s">
        <v>116</v>
      </c>
      <c r="D805" s="1" t="s">
        <v>29</v>
      </c>
      <c r="E805" s="1" t="s">
        <v>14</v>
      </c>
      <c r="F805" s="5">
        <v>0.084</v>
      </c>
      <c r="G805" s="5">
        <v>12.614995</v>
      </c>
      <c r="H805" s="5">
        <v>0.0168</v>
      </c>
      <c r="I805" s="5">
        <v>48.0</v>
      </c>
    </row>
    <row r="806">
      <c r="A806" s="6" t="s">
        <v>2488</v>
      </c>
      <c r="B806" s="5">
        <v>3.0</v>
      </c>
      <c r="C806" s="1" t="s">
        <v>116</v>
      </c>
      <c r="D806" s="1" t="s">
        <v>29</v>
      </c>
      <c r="E806" s="1" t="s">
        <v>21</v>
      </c>
      <c r="F806" s="5">
        <v>36.1689</v>
      </c>
      <c r="G806" s="5">
        <v>6994.548253999999</v>
      </c>
      <c r="H806" s="5">
        <v>14.4676</v>
      </c>
      <c r="I806" s="5">
        <v>1692.0</v>
      </c>
    </row>
    <row r="807">
      <c r="A807" s="6" t="s">
        <v>2488</v>
      </c>
      <c r="B807" s="5">
        <v>3.0</v>
      </c>
      <c r="C807" s="1" t="s">
        <v>116</v>
      </c>
      <c r="D807" s="1" t="s">
        <v>45</v>
      </c>
      <c r="E807" s="1" t="s">
        <v>17</v>
      </c>
      <c r="F807" s="5">
        <v>26.1577</v>
      </c>
      <c r="G807" s="5">
        <v>1774.121005</v>
      </c>
      <c r="H807" s="5">
        <v>9.4168</v>
      </c>
      <c r="I807" s="5">
        <v>1981.0</v>
      </c>
    </row>
    <row r="808">
      <c r="A808" s="6" t="s">
        <v>2488</v>
      </c>
      <c r="B808" s="5">
        <v>3.0</v>
      </c>
      <c r="C808" s="1" t="s">
        <v>116</v>
      </c>
      <c r="D808" s="1" t="s">
        <v>147</v>
      </c>
      <c r="E808" s="1" t="s">
        <v>39</v>
      </c>
      <c r="F808" s="5">
        <v>1.7753</v>
      </c>
      <c r="G808" s="5">
        <v>504.261818</v>
      </c>
      <c r="H808" s="5">
        <v>0.3373</v>
      </c>
      <c r="I808" s="5">
        <v>95.0</v>
      </c>
    </row>
    <row r="809">
      <c r="A809" s="6" t="s">
        <v>2488</v>
      </c>
      <c r="B809" s="5">
        <v>3.0</v>
      </c>
      <c r="C809" s="1" t="s">
        <v>116</v>
      </c>
      <c r="D809" s="1" t="s">
        <v>147</v>
      </c>
      <c r="E809" s="1" t="s">
        <v>17</v>
      </c>
      <c r="F809" s="5">
        <v>0.019</v>
      </c>
      <c r="G809" s="5">
        <v>6.121244</v>
      </c>
      <c r="H809" s="5">
        <v>0.0067</v>
      </c>
      <c r="I809" s="5">
        <v>8.0</v>
      </c>
    </row>
    <row r="810">
      <c r="A810" s="6" t="s">
        <v>2488</v>
      </c>
      <c r="B810" s="5">
        <v>3.0</v>
      </c>
      <c r="C810" s="1" t="s">
        <v>116</v>
      </c>
      <c r="D810" s="1" t="s">
        <v>147</v>
      </c>
      <c r="E810" s="1" t="s">
        <v>21</v>
      </c>
      <c r="F810" s="5">
        <v>0.0965</v>
      </c>
      <c r="G810" s="5">
        <v>47.773322</v>
      </c>
      <c r="H810" s="5">
        <v>0.0483</v>
      </c>
      <c r="I810" s="5">
        <v>62.0</v>
      </c>
    </row>
    <row r="811">
      <c r="A811" s="6" t="s">
        <v>2488</v>
      </c>
      <c r="B811" s="5">
        <v>3.0</v>
      </c>
      <c r="C811" s="1" t="s">
        <v>116</v>
      </c>
      <c r="D811" s="1" t="s">
        <v>32</v>
      </c>
      <c r="E811" s="1" t="s">
        <v>14</v>
      </c>
      <c r="F811" s="5">
        <v>3.219</v>
      </c>
      <c r="G811" s="5">
        <v>151.43410599999999</v>
      </c>
      <c r="H811" s="5">
        <v>0.740399999999999</v>
      </c>
      <c r="I811" s="5">
        <v>707.0</v>
      </c>
    </row>
    <row r="812">
      <c r="A812" s="6" t="s">
        <v>2488</v>
      </c>
      <c r="B812" s="5">
        <v>3.0</v>
      </c>
      <c r="C812" s="1" t="s">
        <v>116</v>
      </c>
      <c r="D812" s="1" t="s">
        <v>32</v>
      </c>
      <c r="E812" s="1" t="s">
        <v>21</v>
      </c>
      <c r="F812" s="5">
        <v>2.5952</v>
      </c>
      <c r="G812" s="5">
        <v>395.922213</v>
      </c>
      <c r="H812" s="5">
        <v>1.1678</v>
      </c>
      <c r="I812" s="5">
        <v>1904.0</v>
      </c>
    </row>
    <row r="813">
      <c r="A813" s="6" t="s">
        <v>2488</v>
      </c>
      <c r="B813" s="5">
        <v>3.0</v>
      </c>
      <c r="C813" s="1" t="s">
        <v>116</v>
      </c>
      <c r="D813" s="1" t="s">
        <v>42</v>
      </c>
      <c r="E813" s="1" t="s">
        <v>17</v>
      </c>
      <c r="F813" s="5">
        <v>2.7406</v>
      </c>
      <c r="G813" s="5">
        <v>481.704229</v>
      </c>
      <c r="H813" s="5">
        <v>1.014</v>
      </c>
      <c r="I813" s="5">
        <v>353.0</v>
      </c>
    </row>
    <row r="814">
      <c r="A814" s="6" t="s">
        <v>2488</v>
      </c>
      <c r="B814" s="5">
        <v>3.0</v>
      </c>
      <c r="C814" s="1" t="s">
        <v>116</v>
      </c>
      <c r="D814" s="1" t="s">
        <v>158</v>
      </c>
      <c r="E814" s="1" t="s">
        <v>39</v>
      </c>
      <c r="F814" s="5">
        <v>0.002</v>
      </c>
      <c r="G814" s="5">
        <v>0.9906129999999991</v>
      </c>
      <c r="H814" s="5">
        <v>4.0E-4</v>
      </c>
      <c r="I814" s="5">
        <v>0.0</v>
      </c>
    </row>
    <row r="815">
      <c r="A815" s="6" t="s">
        <v>2488</v>
      </c>
      <c r="B815" s="5">
        <v>3.0</v>
      </c>
      <c r="C815" s="1" t="s">
        <v>116</v>
      </c>
      <c r="D815" s="1" t="s">
        <v>158</v>
      </c>
      <c r="E815" s="1" t="s">
        <v>17</v>
      </c>
      <c r="F815" s="5">
        <v>0.0619</v>
      </c>
      <c r="G815" s="5">
        <v>28.385295999999997</v>
      </c>
      <c r="H815" s="5">
        <v>0.0216</v>
      </c>
      <c r="I815" s="5">
        <v>0.0</v>
      </c>
    </row>
    <row r="816">
      <c r="A816" s="6" t="s">
        <v>2488</v>
      </c>
      <c r="B816" s="5">
        <v>3.0</v>
      </c>
      <c r="C816" s="1" t="s">
        <v>116</v>
      </c>
      <c r="D816" s="1" t="s">
        <v>158</v>
      </c>
      <c r="E816" s="1" t="s">
        <v>21</v>
      </c>
      <c r="F816" s="5">
        <v>0.4613</v>
      </c>
      <c r="G816" s="5">
        <v>255.430531</v>
      </c>
      <c r="H816" s="5">
        <v>0.1937</v>
      </c>
      <c r="I816" s="5">
        <v>0.0</v>
      </c>
    </row>
    <row r="817">
      <c r="A817" s="6" t="s">
        <v>2488</v>
      </c>
      <c r="B817" s="5">
        <v>3.0</v>
      </c>
      <c r="C817" s="1" t="s">
        <v>116</v>
      </c>
      <c r="D817" s="1" t="s">
        <v>165</v>
      </c>
      <c r="E817" s="1" t="s">
        <v>39</v>
      </c>
      <c r="F817" s="5">
        <v>0.3527</v>
      </c>
      <c r="G817" s="5">
        <v>64.167697</v>
      </c>
      <c r="H817" s="5">
        <v>0.0635</v>
      </c>
      <c r="I817" s="5">
        <v>77.0</v>
      </c>
    </row>
    <row r="818">
      <c r="A818" s="6" t="s">
        <v>2488</v>
      </c>
      <c r="B818" s="5">
        <v>3.0</v>
      </c>
      <c r="C818" s="1" t="s">
        <v>116</v>
      </c>
      <c r="D818" s="1" t="s">
        <v>165</v>
      </c>
      <c r="E818" s="1" t="s">
        <v>17</v>
      </c>
      <c r="F818" s="5">
        <v>1.0126</v>
      </c>
      <c r="G818" s="5">
        <v>211.265253</v>
      </c>
      <c r="H818" s="5">
        <v>0.3544</v>
      </c>
      <c r="I818" s="5">
        <v>87.0</v>
      </c>
    </row>
    <row r="819">
      <c r="A819" s="6" t="s">
        <v>2488</v>
      </c>
      <c r="B819" s="5">
        <v>3.0</v>
      </c>
      <c r="C819" s="1" t="s">
        <v>116</v>
      </c>
      <c r="D819" s="1" t="s">
        <v>102</v>
      </c>
      <c r="E819" s="1" t="s">
        <v>21</v>
      </c>
      <c r="F819" s="5">
        <v>0.5241</v>
      </c>
      <c r="G819" s="5">
        <v>198.851962</v>
      </c>
      <c r="H819" s="5">
        <v>0.2097</v>
      </c>
      <c r="I819" s="5">
        <v>0.0</v>
      </c>
    </row>
    <row r="820">
      <c r="A820" s="6" t="s">
        <v>2488</v>
      </c>
      <c r="B820" s="5">
        <v>3.0</v>
      </c>
      <c r="C820" s="1" t="s">
        <v>116</v>
      </c>
      <c r="D820" s="1" t="s">
        <v>330</v>
      </c>
      <c r="E820" s="1" t="s">
        <v>17</v>
      </c>
      <c r="F820" s="5">
        <v>1.0016</v>
      </c>
      <c r="G820" s="5">
        <v>197.967969</v>
      </c>
      <c r="H820" s="5">
        <v>0.3504</v>
      </c>
      <c r="I820" s="5">
        <v>118.0</v>
      </c>
    </row>
    <row r="821">
      <c r="A821" s="6" t="s">
        <v>2488</v>
      </c>
      <c r="B821" s="5">
        <v>4.0</v>
      </c>
      <c r="C821" s="1" t="s">
        <v>12</v>
      </c>
      <c r="D821" s="1" t="s">
        <v>13</v>
      </c>
      <c r="E821" s="1" t="s">
        <v>14</v>
      </c>
      <c r="F821" s="5">
        <v>14.3286</v>
      </c>
      <c r="G821" s="5">
        <v>961.059632</v>
      </c>
      <c r="H821" s="5">
        <v>3.009</v>
      </c>
      <c r="I821" s="5">
        <v>565.0</v>
      </c>
    </row>
    <row r="822">
      <c r="A822" s="6" t="s">
        <v>2488</v>
      </c>
      <c r="B822" s="5">
        <v>4.0</v>
      </c>
      <c r="C822" s="1" t="s">
        <v>12</v>
      </c>
      <c r="D822" s="1" t="s">
        <v>13</v>
      </c>
      <c r="E822" s="1" t="s">
        <v>17</v>
      </c>
      <c r="F822" s="5">
        <v>58.0894</v>
      </c>
      <c r="G822" s="5">
        <v>5859.277454</v>
      </c>
      <c r="H822" s="5">
        <v>20.3312</v>
      </c>
      <c r="I822" s="5">
        <v>796.0</v>
      </c>
    </row>
    <row r="823">
      <c r="A823" s="6" t="s">
        <v>2488</v>
      </c>
      <c r="B823" s="5">
        <v>4.0</v>
      </c>
      <c r="C823" s="1" t="s">
        <v>12</v>
      </c>
      <c r="D823" s="1" t="s">
        <v>13</v>
      </c>
      <c r="E823" s="1" t="s">
        <v>21</v>
      </c>
      <c r="F823" s="5">
        <v>21.5185</v>
      </c>
      <c r="G823" s="5">
        <v>2930.864958</v>
      </c>
      <c r="H823" s="5">
        <v>10.7593</v>
      </c>
      <c r="I823" s="5">
        <v>570.0</v>
      </c>
    </row>
    <row r="824">
      <c r="A824" s="6" t="s">
        <v>2488</v>
      </c>
      <c r="B824" s="5">
        <v>4.0</v>
      </c>
      <c r="C824" s="1" t="s">
        <v>12</v>
      </c>
      <c r="D824" s="1" t="s">
        <v>29</v>
      </c>
      <c r="E824" s="1" t="s">
        <v>14</v>
      </c>
      <c r="F824" s="5">
        <v>0.0835</v>
      </c>
      <c r="G824" s="5">
        <v>10.429015999999999</v>
      </c>
      <c r="H824" s="5">
        <v>0.0167</v>
      </c>
      <c r="I824" s="5">
        <v>11.0</v>
      </c>
    </row>
    <row r="825">
      <c r="A825" s="6" t="s">
        <v>2488</v>
      </c>
      <c r="B825" s="5">
        <v>4.0</v>
      </c>
      <c r="C825" s="1" t="s">
        <v>12</v>
      </c>
      <c r="D825" s="1" t="s">
        <v>29</v>
      </c>
      <c r="E825" s="1" t="s">
        <v>21</v>
      </c>
      <c r="F825" s="5">
        <v>15.4084</v>
      </c>
      <c r="G825" s="5">
        <v>3419.5150129999997</v>
      </c>
      <c r="H825" s="5">
        <v>6.1634</v>
      </c>
      <c r="I825" s="5">
        <v>628.0</v>
      </c>
    </row>
    <row r="826">
      <c r="A826" s="6" t="s">
        <v>2488</v>
      </c>
      <c r="B826" s="5">
        <v>4.0</v>
      </c>
      <c r="C826" s="1" t="s">
        <v>12</v>
      </c>
      <c r="D826" s="1" t="s">
        <v>45</v>
      </c>
      <c r="E826" s="1" t="s">
        <v>17</v>
      </c>
      <c r="F826" s="5">
        <v>4.0397</v>
      </c>
      <c r="G826" s="5">
        <v>308.450321</v>
      </c>
      <c r="H826" s="5">
        <v>1.4542</v>
      </c>
      <c r="I826" s="5">
        <v>232.0</v>
      </c>
    </row>
    <row r="827">
      <c r="A827" s="6" t="s">
        <v>2488</v>
      </c>
      <c r="B827" s="5">
        <v>4.0</v>
      </c>
      <c r="C827" s="1" t="s">
        <v>12</v>
      </c>
      <c r="D827" s="1" t="s">
        <v>38</v>
      </c>
      <c r="E827" s="1" t="s">
        <v>39</v>
      </c>
      <c r="F827" s="5">
        <v>2.769</v>
      </c>
      <c r="G827" s="5">
        <v>305.049151</v>
      </c>
      <c r="H827" s="5">
        <v>0.4984</v>
      </c>
      <c r="I827" s="5">
        <v>101.0</v>
      </c>
    </row>
    <row r="828">
      <c r="A828" s="6" t="s">
        <v>2488</v>
      </c>
      <c r="B828" s="5">
        <v>4.0</v>
      </c>
      <c r="C828" s="1" t="s">
        <v>12</v>
      </c>
      <c r="D828" s="1" t="s">
        <v>32</v>
      </c>
      <c r="E828" s="1" t="s">
        <v>14</v>
      </c>
      <c r="F828" s="5">
        <v>2.1124</v>
      </c>
      <c r="G828" s="5">
        <v>138.82256</v>
      </c>
      <c r="H828" s="5">
        <v>0.4859</v>
      </c>
      <c r="I828" s="5">
        <v>260.0</v>
      </c>
    </row>
    <row r="829">
      <c r="A829" s="6" t="s">
        <v>2488</v>
      </c>
      <c r="B829" s="5">
        <v>4.0</v>
      </c>
      <c r="C829" s="1" t="s">
        <v>12</v>
      </c>
      <c r="D829" s="1" t="s">
        <v>32</v>
      </c>
      <c r="E829" s="1" t="s">
        <v>21</v>
      </c>
      <c r="F829" s="5">
        <v>0.5541</v>
      </c>
      <c r="G829" s="5">
        <v>59.11902</v>
      </c>
      <c r="H829" s="5">
        <v>0.2493</v>
      </c>
      <c r="I829" s="5">
        <v>100.0</v>
      </c>
    </row>
    <row r="830">
      <c r="A830" s="6" t="s">
        <v>2488</v>
      </c>
      <c r="B830" s="5">
        <v>4.0</v>
      </c>
      <c r="C830" s="1" t="s">
        <v>12</v>
      </c>
      <c r="D830" s="1" t="s">
        <v>48</v>
      </c>
      <c r="E830" s="1" t="s">
        <v>49</v>
      </c>
      <c r="F830" s="5">
        <v>0.0478</v>
      </c>
      <c r="G830" s="5">
        <v>17.027862000000002</v>
      </c>
      <c r="H830" s="5">
        <v>0.0134</v>
      </c>
      <c r="I830" s="5">
        <v>21.0</v>
      </c>
    </row>
    <row r="831">
      <c r="A831" s="6" t="s">
        <v>2488</v>
      </c>
      <c r="B831" s="5">
        <v>4.0</v>
      </c>
      <c r="C831" s="1" t="s">
        <v>12</v>
      </c>
      <c r="D831" s="1" t="s">
        <v>48</v>
      </c>
      <c r="E831" s="1" t="s">
        <v>21</v>
      </c>
      <c r="F831" s="5">
        <v>0.9464</v>
      </c>
      <c r="G831" s="5">
        <v>122.809512</v>
      </c>
      <c r="H831" s="5">
        <v>0.3785</v>
      </c>
      <c r="I831" s="5">
        <v>131.0</v>
      </c>
    </row>
    <row r="832">
      <c r="A832" s="6" t="s">
        <v>2488</v>
      </c>
      <c r="B832" s="5">
        <v>4.0</v>
      </c>
      <c r="C832" s="1" t="s">
        <v>12</v>
      </c>
      <c r="D832" s="1" t="s">
        <v>42</v>
      </c>
      <c r="E832" s="1" t="s">
        <v>17</v>
      </c>
      <c r="F832" s="5">
        <v>0.6534</v>
      </c>
      <c r="G832" s="5">
        <v>91.436464</v>
      </c>
      <c r="H832" s="5">
        <v>0.2418</v>
      </c>
      <c r="I832" s="5">
        <v>60.0</v>
      </c>
    </row>
    <row r="833">
      <c r="A833" s="6" t="s">
        <v>2488</v>
      </c>
      <c r="B833" s="5">
        <v>4.0</v>
      </c>
      <c r="C833" s="1" t="s">
        <v>12</v>
      </c>
      <c r="D833" s="1" t="s">
        <v>64</v>
      </c>
      <c r="E833" s="1" t="s">
        <v>39</v>
      </c>
      <c r="F833" s="5">
        <v>0.5382</v>
      </c>
      <c r="G833" s="5">
        <v>46.874411</v>
      </c>
      <c r="H833" s="5">
        <v>0.0969</v>
      </c>
      <c r="I833" s="5">
        <v>91.0</v>
      </c>
    </row>
    <row r="834">
      <c r="A834" s="6" t="s">
        <v>2488</v>
      </c>
      <c r="B834" s="5">
        <v>4.0</v>
      </c>
      <c r="C834" s="1" t="s">
        <v>12</v>
      </c>
      <c r="D834" s="1" t="s">
        <v>64</v>
      </c>
      <c r="E834" s="1" t="s">
        <v>21</v>
      </c>
      <c r="F834" s="5">
        <v>0.0174</v>
      </c>
      <c r="G834" s="5">
        <v>2.096333</v>
      </c>
      <c r="H834" s="5">
        <v>0.007</v>
      </c>
      <c r="I834" s="5">
        <v>6.0</v>
      </c>
    </row>
    <row r="835">
      <c r="A835" s="6" t="s">
        <v>2488</v>
      </c>
      <c r="B835" s="5">
        <v>4.0</v>
      </c>
      <c r="C835" s="1" t="s">
        <v>12</v>
      </c>
      <c r="D835" s="1" t="s">
        <v>56</v>
      </c>
      <c r="E835" s="1" t="s">
        <v>21</v>
      </c>
      <c r="F835" s="5">
        <v>0.2546</v>
      </c>
      <c r="G835" s="5">
        <v>45.806486</v>
      </c>
      <c r="H835" s="5">
        <v>0.1018</v>
      </c>
      <c r="I835" s="5">
        <v>154.0</v>
      </c>
    </row>
    <row r="836">
      <c r="A836" s="6" t="s">
        <v>2488</v>
      </c>
      <c r="B836" s="5">
        <v>4.0</v>
      </c>
      <c r="C836" s="1" t="s">
        <v>12</v>
      </c>
      <c r="D836" s="1" t="s">
        <v>848</v>
      </c>
      <c r="E836" s="1" t="s">
        <v>21</v>
      </c>
      <c r="F836" s="5">
        <v>0.2126</v>
      </c>
      <c r="G836" s="5">
        <v>42.238225</v>
      </c>
      <c r="H836" s="5">
        <v>0.085</v>
      </c>
      <c r="I836" s="5">
        <v>0.0</v>
      </c>
    </row>
    <row r="837">
      <c r="A837" s="6" t="s">
        <v>2488</v>
      </c>
      <c r="B837" s="5">
        <v>4.0</v>
      </c>
      <c r="C837" s="1" t="s">
        <v>68</v>
      </c>
      <c r="D837" s="1" t="s">
        <v>13</v>
      </c>
      <c r="E837" s="1" t="s">
        <v>14</v>
      </c>
      <c r="F837" s="5">
        <v>37.3693</v>
      </c>
      <c r="G837" s="5">
        <v>2655.2929649999996</v>
      </c>
      <c r="H837" s="5">
        <v>7.8476</v>
      </c>
      <c r="I837" s="5">
        <v>6542.0</v>
      </c>
    </row>
    <row r="838">
      <c r="A838" s="6" t="s">
        <v>2488</v>
      </c>
      <c r="B838" s="5">
        <v>4.0</v>
      </c>
      <c r="C838" s="1" t="s">
        <v>68</v>
      </c>
      <c r="D838" s="1" t="s">
        <v>13</v>
      </c>
      <c r="E838" s="1" t="s">
        <v>17</v>
      </c>
      <c r="F838" s="5">
        <v>56.9814</v>
      </c>
      <c r="G838" s="5">
        <v>5564.252255</v>
      </c>
      <c r="H838" s="5">
        <v>19.9434</v>
      </c>
      <c r="I838" s="5">
        <v>9222.0</v>
      </c>
    </row>
    <row r="839">
      <c r="A839" s="6" t="s">
        <v>2488</v>
      </c>
      <c r="B839" s="5">
        <v>4.0</v>
      </c>
      <c r="C839" s="1" t="s">
        <v>68</v>
      </c>
      <c r="D839" s="1" t="s">
        <v>13</v>
      </c>
      <c r="E839" s="1" t="s">
        <v>21</v>
      </c>
      <c r="F839" s="5">
        <v>4.012</v>
      </c>
      <c r="G839" s="5">
        <v>594.287953</v>
      </c>
      <c r="H839" s="5">
        <v>2.0058</v>
      </c>
      <c r="I839" s="5">
        <v>625.0</v>
      </c>
    </row>
    <row r="840">
      <c r="A840" s="6" t="s">
        <v>2488</v>
      </c>
      <c r="B840" s="5">
        <v>4.0</v>
      </c>
      <c r="C840" s="1" t="s">
        <v>68</v>
      </c>
      <c r="D840" s="1" t="s">
        <v>13</v>
      </c>
      <c r="E840" s="1" t="s">
        <v>25</v>
      </c>
      <c r="F840" s="5">
        <v>0.3882</v>
      </c>
      <c r="G840" s="5">
        <v>65.3437009999999</v>
      </c>
      <c r="H840" s="5">
        <v>0.2912</v>
      </c>
      <c r="I840" s="5">
        <v>203.0</v>
      </c>
    </row>
    <row r="841">
      <c r="A841" s="6" t="s">
        <v>2488</v>
      </c>
      <c r="B841" s="5">
        <v>4.0</v>
      </c>
      <c r="C841" s="1" t="s">
        <v>68</v>
      </c>
      <c r="D841" s="1" t="s">
        <v>29</v>
      </c>
      <c r="E841" s="1" t="s">
        <v>14</v>
      </c>
      <c r="F841" s="5">
        <v>0.0059</v>
      </c>
      <c r="G841" s="5">
        <v>0.770477</v>
      </c>
      <c r="H841" s="5">
        <v>0.0012</v>
      </c>
      <c r="I841" s="5">
        <v>3.0</v>
      </c>
    </row>
    <row r="842">
      <c r="A842" s="6" t="s">
        <v>2488</v>
      </c>
      <c r="B842" s="5">
        <v>4.0</v>
      </c>
      <c r="C842" s="1" t="s">
        <v>68</v>
      </c>
      <c r="D842" s="1" t="s">
        <v>29</v>
      </c>
      <c r="E842" s="1" t="s">
        <v>21</v>
      </c>
      <c r="F842" s="5">
        <v>5.9628</v>
      </c>
      <c r="G842" s="5">
        <v>1136.3852720000002</v>
      </c>
      <c r="H842" s="5">
        <v>2.3852</v>
      </c>
      <c r="I842" s="5">
        <v>846.0</v>
      </c>
    </row>
    <row r="843">
      <c r="A843" s="6" t="s">
        <v>2488</v>
      </c>
      <c r="B843" s="5">
        <v>4.0</v>
      </c>
      <c r="C843" s="1" t="s">
        <v>68</v>
      </c>
      <c r="D843" s="1" t="s">
        <v>45</v>
      </c>
      <c r="E843" s="1" t="s">
        <v>17</v>
      </c>
      <c r="F843" s="5">
        <v>16.906</v>
      </c>
      <c r="G843" s="5">
        <v>993.906198</v>
      </c>
      <c r="H843" s="5">
        <v>6.0862</v>
      </c>
      <c r="I843" s="5">
        <v>1853.0</v>
      </c>
    </row>
    <row r="844">
      <c r="A844" s="6" t="s">
        <v>2488</v>
      </c>
      <c r="B844" s="5">
        <v>4.0</v>
      </c>
      <c r="C844" s="1" t="s">
        <v>68</v>
      </c>
      <c r="D844" s="1" t="s">
        <v>32</v>
      </c>
      <c r="E844" s="1" t="s">
        <v>14</v>
      </c>
      <c r="F844" s="5">
        <v>5.1908</v>
      </c>
      <c r="G844" s="5">
        <v>360.733782</v>
      </c>
      <c r="H844" s="5">
        <v>1.1939</v>
      </c>
      <c r="I844" s="5">
        <v>1868.0</v>
      </c>
    </row>
    <row r="845">
      <c r="A845" s="6" t="s">
        <v>2488</v>
      </c>
      <c r="B845" s="5">
        <v>4.0</v>
      </c>
      <c r="C845" s="1" t="s">
        <v>68</v>
      </c>
      <c r="D845" s="1" t="s">
        <v>32</v>
      </c>
      <c r="E845" s="1" t="s">
        <v>21</v>
      </c>
      <c r="F845" s="5">
        <v>0.703</v>
      </c>
      <c r="G845" s="5">
        <v>79.828062</v>
      </c>
      <c r="H845" s="5">
        <v>0.3163</v>
      </c>
      <c r="I845" s="5">
        <v>461.0</v>
      </c>
    </row>
    <row r="846">
      <c r="A846" s="6" t="s">
        <v>2488</v>
      </c>
      <c r="B846" s="5">
        <v>4.0</v>
      </c>
      <c r="C846" s="1" t="s">
        <v>68</v>
      </c>
      <c r="D846" s="1" t="s">
        <v>1830</v>
      </c>
      <c r="E846" s="1" t="s">
        <v>72</v>
      </c>
      <c r="F846" s="5">
        <v>3.3595</v>
      </c>
      <c r="G846" s="5">
        <v>300.15178499999996</v>
      </c>
      <c r="H846" s="5">
        <v>1.075</v>
      </c>
      <c r="I846" s="5">
        <v>3105.0</v>
      </c>
    </row>
    <row r="847">
      <c r="A847" s="6" t="s">
        <v>2488</v>
      </c>
      <c r="B847" s="5">
        <v>4.0</v>
      </c>
      <c r="C847" s="1" t="s">
        <v>68</v>
      </c>
      <c r="D847" s="1" t="s">
        <v>38</v>
      </c>
      <c r="E847" s="1" t="s">
        <v>39</v>
      </c>
      <c r="F847" s="5">
        <v>1.4491</v>
      </c>
      <c r="G847" s="5">
        <v>133.11645800000002</v>
      </c>
      <c r="H847" s="5">
        <v>0.2608</v>
      </c>
      <c r="I847" s="5">
        <v>245.0</v>
      </c>
    </row>
    <row r="848">
      <c r="A848" s="6" t="s">
        <v>2488</v>
      </c>
      <c r="B848" s="5">
        <v>4.0</v>
      </c>
      <c r="C848" s="1" t="s">
        <v>68</v>
      </c>
      <c r="D848" s="1" t="s">
        <v>42</v>
      </c>
      <c r="E848" s="1" t="s">
        <v>17</v>
      </c>
      <c r="F848" s="5">
        <v>0.6772</v>
      </c>
      <c r="G848" s="5">
        <v>112.223814</v>
      </c>
      <c r="H848" s="5">
        <v>0.2506</v>
      </c>
      <c r="I848" s="5">
        <v>223.0</v>
      </c>
    </row>
    <row r="849">
      <c r="A849" s="6" t="s">
        <v>2488</v>
      </c>
      <c r="B849" s="5">
        <v>4.0</v>
      </c>
      <c r="C849" s="1" t="s">
        <v>68</v>
      </c>
      <c r="D849" s="1" t="s">
        <v>544</v>
      </c>
      <c r="E849" s="1" t="s">
        <v>17</v>
      </c>
      <c r="F849" s="5">
        <v>1.0269</v>
      </c>
      <c r="G849" s="5">
        <v>93.8092929999999</v>
      </c>
      <c r="H849" s="5">
        <v>0.3594</v>
      </c>
      <c r="I849" s="5">
        <v>525.0</v>
      </c>
    </row>
    <row r="850">
      <c r="A850" s="6" t="s">
        <v>2488</v>
      </c>
      <c r="B850" s="5">
        <v>4.0</v>
      </c>
      <c r="C850" s="1" t="s">
        <v>68</v>
      </c>
      <c r="D850" s="1" t="s">
        <v>1851</v>
      </c>
      <c r="E850" s="1" t="s">
        <v>17</v>
      </c>
      <c r="F850" s="5">
        <v>0.9615</v>
      </c>
      <c r="G850" s="5">
        <v>73.01591</v>
      </c>
      <c r="H850" s="5">
        <v>0.3702</v>
      </c>
      <c r="I850" s="5">
        <v>1065.0</v>
      </c>
    </row>
    <row r="851">
      <c r="A851" s="6" t="s">
        <v>2488</v>
      </c>
      <c r="B851" s="5">
        <v>4.0</v>
      </c>
      <c r="C851" s="1" t="s">
        <v>68</v>
      </c>
      <c r="D851" s="1" t="s">
        <v>330</v>
      </c>
      <c r="E851" s="1" t="s">
        <v>17</v>
      </c>
      <c r="F851" s="5">
        <v>0.3359</v>
      </c>
      <c r="G851" s="5">
        <v>66.83419499999991</v>
      </c>
      <c r="H851" s="5">
        <v>0.1176</v>
      </c>
      <c r="I851" s="5">
        <v>0.0</v>
      </c>
    </row>
    <row r="852">
      <c r="A852" s="6" t="s">
        <v>2488</v>
      </c>
      <c r="B852" s="5">
        <v>4.0</v>
      </c>
      <c r="C852" s="1" t="s">
        <v>116</v>
      </c>
      <c r="D852" s="1" t="s">
        <v>13</v>
      </c>
      <c r="E852" s="1" t="s">
        <v>14</v>
      </c>
      <c r="F852" s="5">
        <v>85.8107</v>
      </c>
      <c r="G852" s="5">
        <v>5634.594107</v>
      </c>
      <c r="H852" s="5">
        <v>18.0203</v>
      </c>
      <c r="I852" s="5">
        <v>10675.0</v>
      </c>
    </row>
    <row r="853">
      <c r="A853" s="6" t="s">
        <v>2488</v>
      </c>
      <c r="B853" s="5">
        <v>4.0</v>
      </c>
      <c r="C853" s="1" t="s">
        <v>116</v>
      </c>
      <c r="D853" s="1" t="s">
        <v>13</v>
      </c>
      <c r="E853" s="1" t="s">
        <v>17</v>
      </c>
      <c r="F853" s="5">
        <v>143.6183</v>
      </c>
      <c r="G853" s="5">
        <v>13515.363595</v>
      </c>
      <c r="H853" s="5">
        <v>50.2664</v>
      </c>
      <c r="I853" s="5">
        <v>15822.0</v>
      </c>
    </row>
    <row r="854">
      <c r="A854" s="6" t="s">
        <v>2488</v>
      </c>
      <c r="B854" s="5">
        <v>4.0</v>
      </c>
      <c r="C854" s="1" t="s">
        <v>116</v>
      </c>
      <c r="D854" s="1" t="s">
        <v>13</v>
      </c>
      <c r="E854" s="1" t="s">
        <v>21</v>
      </c>
      <c r="F854" s="5">
        <v>6.1445</v>
      </c>
      <c r="G854" s="5">
        <v>921.747493999999</v>
      </c>
      <c r="H854" s="5">
        <v>3.0722</v>
      </c>
      <c r="I854" s="5">
        <v>644.0</v>
      </c>
    </row>
    <row r="855">
      <c r="A855" s="6" t="s">
        <v>2488</v>
      </c>
      <c r="B855" s="5">
        <v>4.0</v>
      </c>
      <c r="C855" s="1" t="s">
        <v>116</v>
      </c>
      <c r="D855" s="1" t="s">
        <v>13</v>
      </c>
      <c r="E855" s="1" t="s">
        <v>25</v>
      </c>
      <c r="F855" s="5">
        <v>0.0037</v>
      </c>
      <c r="G855" s="5">
        <v>0.7696809999999991</v>
      </c>
      <c r="H855" s="5">
        <v>0.0028</v>
      </c>
      <c r="I855" s="5">
        <v>2.0</v>
      </c>
    </row>
    <row r="856">
      <c r="A856" s="6" t="s">
        <v>2488</v>
      </c>
      <c r="B856" s="5">
        <v>4.0</v>
      </c>
      <c r="C856" s="1" t="s">
        <v>116</v>
      </c>
      <c r="D856" s="1" t="s">
        <v>29</v>
      </c>
      <c r="E856" s="1" t="s">
        <v>14</v>
      </c>
      <c r="F856" s="5">
        <v>1.2159</v>
      </c>
      <c r="G856" s="5">
        <v>130.732092</v>
      </c>
      <c r="H856" s="5">
        <v>0.2432</v>
      </c>
      <c r="I856" s="5">
        <v>190.0</v>
      </c>
    </row>
    <row r="857">
      <c r="A857" s="6" t="s">
        <v>2488</v>
      </c>
      <c r="B857" s="5">
        <v>4.0</v>
      </c>
      <c r="C857" s="1" t="s">
        <v>116</v>
      </c>
      <c r="D857" s="1" t="s">
        <v>29</v>
      </c>
      <c r="E857" s="1" t="s">
        <v>21</v>
      </c>
      <c r="F857" s="5">
        <v>20.3542</v>
      </c>
      <c r="G857" s="5">
        <v>4574.937022</v>
      </c>
      <c r="H857" s="5">
        <v>8.1417</v>
      </c>
      <c r="I857" s="5">
        <v>1774.0</v>
      </c>
    </row>
    <row r="858">
      <c r="A858" s="6" t="s">
        <v>2488</v>
      </c>
      <c r="B858" s="5">
        <v>4.0</v>
      </c>
      <c r="C858" s="1" t="s">
        <v>116</v>
      </c>
      <c r="D858" s="1" t="s">
        <v>45</v>
      </c>
      <c r="E858" s="1" t="s">
        <v>17</v>
      </c>
      <c r="F858" s="5">
        <v>35.1475</v>
      </c>
      <c r="G858" s="5">
        <v>2209.3594</v>
      </c>
      <c r="H858" s="5">
        <v>12.6531</v>
      </c>
      <c r="I858" s="5">
        <v>1975.0</v>
      </c>
    </row>
    <row r="859">
      <c r="A859" s="6" t="s">
        <v>2488</v>
      </c>
      <c r="B859" s="5">
        <v>4.0</v>
      </c>
      <c r="C859" s="1" t="s">
        <v>116</v>
      </c>
      <c r="D859" s="1" t="s">
        <v>147</v>
      </c>
      <c r="E859" s="1" t="s">
        <v>39</v>
      </c>
      <c r="F859" s="5">
        <v>1.9363</v>
      </c>
      <c r="G859" s="5">
        <v>590.075329</v>
      </c>
      <c r="H859" s="5">
        <v>0.368</v>
      </c>
      <c r="I859" s="5">
        <v>107.0</v>
      </c>
    </row>
    <row r="860">
      <c r="A860" s="6" t="s">
        <v>2488</v>
      </c>
      <c r="B860" s="5">
        <v>4.0</v>
      </c>
      <c r="C860" s="1" t="s">
        <v>116</v>
      </c>
      <c r="D860" s="1" t="s">
        <v>147</v>
      </c>
      <c r="E860" s="1" t="s">
        <v>17</v>
      </c>
      <c r="F860" s="5">
        <v>0.0307</v>
      </c>
      <c r="G860" s="5">
        <v>11.345499</v>
      </c>
      <c r="H860" s="5">
        <v>0.0109</v>
      </c>
      <c r="I860" s="5">
        <v>7.0</v>
      </c>
    </row>
    <row r="861">
      <c r="A861" s="6" t="s">
        <v>2488</v>
      </c>
      <c r="B861" s="5">
        <v>4.0</v>
      </c>
      <c r="C861" s="1" t="s">
        <v>116</v>
      </c>
      <c r="D861" s="1" t="s">
        <v>147</v>
      </c>
      <c r="E861" s="1" t="s">
        <v>21</v>
      </c>
      <c r="F861" s="5">
        <v>0.0729</v>
      </c>
      <c r="G861" s="5">
        <v>36.270745000000005</v>
      </c>
      <c r="H861" s="5">
        <v>0.0365</v>
      </c>
      <c r="I861" s="5">
        <v>49.0</v>
      </c>
    </row>
    <row r="862">
      <c r="A862" s="6" t="s">
        <v>2488</v>
      </c>
      <c r="B862" s="5">
        <v>4.0</v>
      </c>
      <c r="C862" s="1" t="s">
        <v>116</v>
      </c>
      <c r="D862" s="1" t="s">
        <v>32</v>
      </c>
      <c r="E862" s="1" t="s">
        <v>14</v>
      </c>
      <c r="F862" s="5">
        <v>2.075</v>
      </c>
      <c r="G862" s="5">
        <v>96.486401</v>
      </c>
      <c r="H862" s="5">
        <v>0.4773</v>
      </c>
      <c r="I862" s="5">
        <v>421.0</v>
      </c>
    </row>
    <row r="863">
      <c r="A863" s="6" t="s">
        <v>2488</v>
      </c>
      <c r="B863" s="5">
        <v>4.0</v>
      </c>
      <c r="C863" s="1" t="s">
        <v>116</v>
      </c>
      <c r="D863" s="1" t="s">
        <v>32</v>
      </c>
      <c r="E863" s="1" t="s">
        <v>21</v>
      </c>
      <c r="F863" s="5">
        <v>3.1939</v>
      </c>
      <c r="G863" s="5">
        <v>374.999533</v>
      </c>
      <c r="H863" s="5">
        <v>1.4373</v>
      </c>
      <c r="I863" s="5">
        <v>1777.0</v>
      </c>
    </row>
    <row r="864">
      <c r="A864" s="6" t="s">
        <v>2488</v>
      </c>
      <c r="B864" s="5">
        <v>4.0</v>
      </c>
      <c r="C864" s="1" t="s">
        <v>116</v>
      </c>
      <c r="D864" s="1" t="s">
        <v>1830</v>
      </c>
      <c r="E864" s="1" t="s">
        <v>72</v>
      </c>
      <c r="F864" s="5">
        <v>5.1391</v>
      </c>
      <c r="G864" s="5">
        <v>458.184074</v>
      </c>
      <c r="H864" s="5">
        <v>1.6445</v>
      </c>
      <c r="I864" s="5">
        <v>3919.0</v>
      </c>
    </row>
    <row r="865">
      <c r="A865" s="6" t="s">
        <v>2488</v>
      </c>
      <c r="B865" s="5">
        <v>4.0</v>
      </c>
      <c r="C865" s="1" t="s">
        <v>116</v>
      </c>
      <c r="D865" s="1" t="s">
        <v>42</v>
      </c>
      <c r="E865" s="1" t="s">
        <v>17</v>
      </c>
      <c r="F865" s="5">
        <v>1.5242</v>
      </c>
      <c r="G865" s="5">
        <v>283.17352</v>
      </c>
      <c r="H865" s="5">
        <v>0.5639</v>
      </c>
      <c r="I865" s="5">
        <v>201.0</v>
      </c>
    </row>
    <row r="866">
      <c r="A866" s="6" t="s">
        <v>2488</v>
      </c>
      <c r="B866" s="5">
        <v>4.0</v>
      </c>
      <c r="C866" s="1" t="s">
        <v>116</v>
      </c>
      <c r="D866" s="1" t="s">
        <v>158</v>
      </c>
      <c r="E866" s="1" t="s">
        <v>39</v>
      </c>
      <c r="F866" s="5">
        <v>7.0E-4</v>
      </c>
      <c r="G866" s="5">
        <v>0.330204</v>
      </c>
      <c r="H866" s="5">
        <v>1.0E-4</v>
      </c>
      <c r="I866" s="5">
        <v>0.0</v>
      </c>
    </row>
    <row r="867">
      <c r="A867" s="6" t="s">
        <v>2488</v>
      </c>
      <c r="B867" s="5">
        <v>4.0</v>
      </c>
      <c r="C867" s="1" t="s">
        <v>116</v>
      </c>
      <c r="D867" s="1" t="s">
        <v>158</v>
      </c>
      <c r="E867" s="1" t="s">
        <v>17</v>
      </c>
      <c r="F867" s="5">
        <v>0.0837</v>
      </c>
      <c r="G867" s="5">
        <v>38.515669</v>
      </c>
      <c r="H867" s="5">
        <v>0.0293</v>
      </c>
      <c r="I867" s="5">
        <v>0.0</v>
      </c>
    </row>
    <row r="868">
      <c r="A868" s="6" t="s">
        <v>2488</v>
      </c>
      <c r="B868" s="5">
        <v>4.0</v>
      </c>
      <c r="C868" s="1" t="s">
        <v>116</v>
      </c>
      <c r="D868" s="1" t="s">
        <v>158</v>
      </c>
      <c r="E868" s="1" t="s">
        <v>21</v>
      </c>
      <c r="F868" s="5">
        <v>0.3279</v>
      </c>
      <c r="G868" s="5">
        <v>191.166691</v>
      </c>
      <c r="H868" s="5">
        <v>0.1377</v>
      </c>
      <c r="I868" s="5">
        <v>0.0</v>
      </c>
    </row>
    <row r="869">
      <c r="A869" s="6" t="s">
        <v>2488</v>
      </c>
      <c r="B869" s="5">
        <v>4.0</v>
      </c>
      <c r="C869" s="1" t="s">
        <v>116</v>
      </c>
      <c r="D869" s="1" t="s">
        <v>330</v>
      </c>
      <c r="E869" s="1" t="s">
        <v>17</v>
      </c>
      <c r="F869" s="5">
        <v>1.1543</v>
      </c>
      <c r="G869" s="5">
        <v>213.325979</v>
      </c>
      <c r="H869" s="5">
        <v>0.404</v>
      </c>
      <c r="I869" s="5">
        <v>116.0</v>
      </c>
    </row>
    <row r="870">
      <c r="A870" s="6" t="s">
        <v>2488</v>
      </c>
      <c r="B870" s="5">
        <v>4.0</v>
      </c>
      <c r="C870" s="1" t="s">
        <v>116</v>
      </c>
      <c r="D870" s="1" t="s">
        <v>1949</v>
      </c>
      <c r="E870" s="1" t="s">
        <v>14</v>
      </c>
      <c r="F870" s="5">
        <v>0.1671</v>
      </c>
      <c r="G870" s="5">
        <v>83.7297099999999</v>
      </c>
      <c r="H870" s="5">
        <v>0.0334</v>
      </c>
      <c r="I870" s="5">
        <v>0.0</v>
      </c>
    </row>
    <row r="871">
      <c r="A871" s="6" t="s">
        <v>2488</v>
      </c>
      <c r="B871" s="5">
        <v>4.0</v>
      </c>
      <c r="C871" s="1" t="s">
        <v>116</v>
      </c>
      <c r="D871" s="1" t="s">
        <v>1949</v>
      </c>
      <c r="E871" s="1" t="s">
        <v>17</v>
      </c>
      <c r="F871" s="5">
        <v>0.2441</v>
      </c>
      <c r="G871" s="5">
        <v>124.685178</v>
      </c>
      <c r="H871" s="5">
        <v>0.0855</v>
      </c>
      <c r="I871" s="5">
        <v>0.0</v>
      </c>
    </row>
    <row r="872">
      <c r="A872" s="6" t="s">
        <v>2488</v>
      </c>
      <c r="B872" s="5">
        <v>5.0</v>
      </c>
      <c r="C872" s="1" t="s">
        <v>12</v>
      </c>
      <c r="D872" s="1" t="s">
        <v>13</v>
      </c>
      <c r="E872" s="1" t="s">
        <v>14</v>
      </c>
      <c r="F872" s="5">
        <v>13.5576</v>
      </c>
      <c r="G872" s="5">
        <v>911.4098469999999</v>
      </c>
      <c r="H872" s="5">
        <v>2.8471</v>
      </c>
      <c r="I872" s="5">
        <v>558.0</v>
      </c>
    </row>
    <row r="873">
      <c r="A873" s="6" t="s">
        <v>2488</v>
      </c>
      <c r="B873" s="5">
        <v>5.0</v>
      </c>
      <c r="C873" s="1" t="s">
        <v>12</v>
      </c>
      <c r="D873" s="1" t="s">
        <v>13</v>
      </c>
      <c r="E873" s="1" t="s">
        <v>17</v>
      </c>
      <c r="F873" s="5">
        <v>47.7186</v>
      </c>
      <c r="G873" s="5">
        <v>4885.222894</v>
      </c>
      <c r="H873" s="5">
        <v>16.7014</v>
      </c>
      <c r="I873" s="5">
        <v>788.0</v>
      </c>
    </row>
    <row r="874">
      <c r="A874" s="6" t="s">
        <v>2488</v>
      </c>
      <c r="B874" s="5">
        <v>5.0</v>
      </c>
      <c r="C874" s="1" t="s">
        <v>12</v>
      </c>
      <c r="D874" s="1" t="s">
        <v>13</v>
      </c>
      <c r="E874" s="1" t="s">
        <v>21</v>
      </c>
      <c r="F874" s="5">
        <v>44.885</v>
      </c>
      <c r="G874" s="5">
        <v>4601.925382</v>
      </c>
      <c r="H874" s="5">
        <v>22.4425</v>
      </c>
      <c r="I874" s="5">
        <v>573.0</v>
      </c>
    </row>
    <row r="875">
      <c r="A875" s="6" t="s">
        <v>2488</v>
      </c>
      <c r="B875" s="5">
        <v>5.0</v>
      </c>
      <c r="C875" s="1" t="s">
        <v>12</v>
      </c>
      <c r="D875" s="1" t="s">
        <v>29</v>
      </c>
      <c r="E875" s="1" t="s">
        <v>14</v>
      </c>
      <c r="F875" s="5">
        <v>0.0874</v>
      </c>
      <c r="G875" s="5">
        <v>10.906751</v>
      </c>
      <c r="H875" s="5">
        <v>0.0174</v>
      </c>
      <c r="I875" s="5">
        <v>9.0</v>
      </c>
    </row>
    <row r="876">
      <c r="A876" s="6" t="s">
        <v>2488</v>
      </c>
      <c r="B876" s="5">
        <v>5.0</v>
      </c>
      <c r="C876" s="1" t="s">
        <v>12</v>
      </c>
      <c r="D876" s="1" t="s">
        <v>29</v>
      </c>
      <c r="E876" s="1" t="s">
        <v>21</v>
      </c>
      <c r="F876" s="5">
        <v>30.9377</v>
      </c>
      <c r="G876" s="5">
        <v>5422.175792</v>
      </c>
      <c r="H876" s="5">
        <v>12.3752</v>
      </c>
      <c r="I876" s="5">
        <v>645.0</v>
      </c>
    </row>
    <row r="877">
      <c r="A877" s="6" t="s">
        <v>2488</v>
      </c>
      <c r="B877" s="5">
        <v>5.0</v>
      </c>
      <c r="C877" s="1" t="s">
        <v>12</v>
      </c>
      <c r="D877" s="1" t="s">
        <v>38</v>
      </c>
      <c r="E877" s="1" t="s">
        <v>39</v>
      </c>
      <c r="F877" s="5">
        <v>2.4347</v>
      </c>
      <c r="G877" s="5">
        <v>266.134121</v>
      </c>
      <c r="H877" s="5">
        <v>0.4383</v>
      </c>
      <c r="I877" s="5">
        <v>98.0</v>
      </c>
    </row>
    <row r="878">
      <c r="A878" s="6" t="s">
        <v>2488</v>
      </c>
      <c r="B878" s="5">
        <v>5.0</v>
      </c>
      <c r="C878" s="1" t="s">
        <v>12</v>
      </c>
      <c r="D878" s="1" t="s">
        <v>45</v>
      </c>
      <c r="E878" s="1" t="s">
        <v>17</v>
      </c>
      <c r="F878" s="5">
        <v>3.0084</v>
      </c>
      <c r="G878" s="5">
        <v>254.339266</v>
      </c>
      <c r="H878" s="5">
        <v>1.083</v>
      </c>
      <c r="I878" s="5">
        <v>229.0</v>
      </c>
    </row>
    <row r="879">
      <c r="A879" s="6" t="s">
        <v>2488</v>
      </c>
      <c r="B879" s="5">
        <v>5.0</v>
      </c>
      <c r="C879" s="1" t="s">
        <v>12</v>
      </c>
      <c r="D879" s="1" t="s">
        <v>32</v>
      </c>
      <c r="E879" s="1" t="s">
        <v>14</v>
      </c>
      <c r="F879" s="5">
        <v>1.2446</v>
      </c>
      <c r="G879" s="5">
        <v>82.654955</v>
      </c>
      <c r="H879" s="5">
        <v>0.2862</v>
      </c>
      <c r="I879" s="5">
        <v>205.0</v>
      </c>
    </row>
    <row r="880">
      <c r="A880" s="6" t="s">
        <v>2488</v>
      </c>
      <c r="B880" s="5">
        <v>5.0</v>
      </c>
      <c r="C880" s="1" t="s">
        <v>12</v>
      </c>
      <c r="D880" s="1" t="s">
        <v>32</v>
      </c>
      <c r="E880" s="1" t="s">
        <v>21</v>
      </c>
      <c r="F880" s="5">
        <v>1.368</v>
      </c>
      <c r="G880" s="5">
        <v>98.160894</v>
      </c>
      <c r="H880" s="5">
        <v>0.6156</v>
      </c>
      <c r="I880" s="5">
        <v>85.0</v>
      </c>
    </row>
    <row r="881">
      <c r="A881" s="6" t="s">
        <v>2488</v>
      </c>
      <c r="B881" s="5">
        <v>5.0</v>
      </c>
      <c r="C881" s="1" t="s">
        <v>12</v>
      </c>
      <c r="D881" s="1" t="s">
        <v>56</v>
      </c>
      <c r="E881" s="1" t="s">
        <v>21</v>
      </c>
      <c r="F881" s="5">
        <v>1.068</v>
      </c>
      <c r="G881" s="5">
        <v>168.19323</v>
      </c>
      <c r="H881" s="5">
        <v>0.4272</v>
      </c>
      <c r="I881" s="5">
        <v>207.0</v>
      </c>
    </row>
    <row r="882">
      <c r="A882" s="6" t="s">
        <v>2488</v>
      </c>
      <c r="B882" s="5">
        <v>5.0</v>
      </c>
      <c r="C882" s="1" t="s">
        <v>12</v>
      </c>
      <c r="D882" s="1" t="s">
        <v>48</v>
      </c>
      <c r="E882" s="1" t="s">
        <v>49</v>
      </c>
      <c r="F882" s="5">
        <v>0.0445</v>
      </c>
      <c r="G882" s="5">
        <v>14.372701999999999</v>
      </c>
      <c r="H882" s="5">
        <v>0.0125</v>
      </c>
      <c r="I882" s="5">
        <v>16.0</v>
      </c>
    </row>
    <row r="883">
      <c r="A883" s="6" t="s">
        <v>2488</v>
      </c>
      <c r="B883" s="5">
        <v>5.0</v>
      </c>
      <c r="C883" s="1" t="s">
        <v>12</v>
      </c>
      <c r="D883" s="1" t="s">
        <v>48</v>
      </c>
      <c r="E883" s="1" t="s">
        <v>21</v>
      </c>
      <c r="F883" s="5">
        <v>1.1576</v>
      </c>
      <c r="G883" s="5">
        <v>149.289834</v>
      </c>
      <c r="H883" s="5">
        <v>0.4631</v>
      </c>
      <c r="I883" s="5">
        <v>164.0</v>
      </c>
    </row>
    <row r="884">
      <c r="A884" s="6" t="s">
        <v>2488</v>
      </c>
      <c r="B884" s="5">
        <v>5.0</v>
      </c>
      <c r="C884" s="1" t="s">
        <v>12</v>
      </c>
      <c r="D884" s="1" t="s">
        <v>42</v>
      </c>
      <c r="E884" s="1" t="s">
        <v>17</v>
      </c>
      <c r="F884" s="5">
        <v>0.4292</v>
      </c>
      <c r="G884" s="5">
        <v>74.99866</v>
      </c>
      <c r="H884" s="5">
        <v>0.1587</v>
      </c>
      <c r="I884" s="5">
        <v>46.0</v>
      </c>
    </row>
    <row r="885">
      <c r="A885" s="6" t="s">
        <v>2488</v>
      </c>
      <c r="B885" s="5">
        <v>5.0</v>
      </c>
      <c r="C885" s="1" t="s">
        <v>12</v>
      </c>
      <c r="D885" s="1" t="s">
        <v>544</v>
      </c>
      <c r="E885" s="1" t="s">
        <v>17</v>
      </c>
      <c r="F885" s="5">
        <v>1.1917</v>
      </c>
      <c r="G885" s="5">
        <v>73.44669999999999</v>
      </c>
      <c r="H885" s="5">
        <v>0.4171</v>
      </c>
      <c r="I885" s="5">
        <v>107.0</v>
      </c>
    </row>
    <row r="886">
      <c r="A886" s="6" t="s">
        <v>2488</v>
      </c>
      <c r="B886" s="5">
        <v>5.0</v>
      </c>
      <c r="C886" s="1" t="s">
        <v>12</v>
      </c>
      <c r="D886" s="1" t="s">
        <v>848</v>
      </c>
      <c r="E886" s="1" t="s">
        <v>21</v>
      </c>
      <c r="F886" s="5">
        <v>0.2538</v>
      </c>
      <c r="G886" s="5">
        <v>44.394432</v>
      </c>
      <c r="H886" s="5">
        <v>0.1015</v>
      </c>
      <c r="I886" s="5">
        <v>0.0</v>
      </c>
    </row>
    <row r="887">
      <c r="A887" s="6" t="s">
        <v>2488</v>
      </c>
      <c r="B887" s="5">
        <v>5.0</v>
      </c>
      <c r="C887" s="1" t="s">
        <v>68</v>
      </c>
      <c r="D887" s="1" t="s">
        <v>13</v>
      </c>
      <c r="E887" s="1" t="s">
        <v>14</v>
      </c>
      <c r="F887" s="5">
        <v>50.3357</v>
      </c>
      <c r="G887" s="5">
        <v>3091.481526</v>
      </c>
      <c r="H887" s="5">
        <v>10.5705</v>
      </c>
      <c r="I887" s="5">
        <v>7285.0</v>
      </c>
    </row>
    <row r="888">
      <c r="A888" s="6" t="s">
        <v>2488</v>
      </c>
      <c r="B888" s="5">
        <v>5.0</v>
      </c>
      <c r="C888" s="1" t="s">
        <v>68</v>
      </c>
      <c r="D888" s="1" t="s">
        <v>13</v>
      </c>
      <c r="E888" s="1" t="s">
        <v>17</v>
      </c>
      <c r="F888" s="5">
        <v>47.7021</v>
      </c>
      <c r="G888" s="5">
        <v>4930.19955899999</v>
      </c>
      <c r="H888" s="5">
        <v>16.6957</v>
      </c>
      <c r="I888" s="5">
        <v>8658.0</v>
      </c>
    </row>
    <row r="889">
      <c r="A889" s="6" t="s">
        <v>2488</v>
      </c>
      <c r="B889" s="5">
        <v>5.0</v>
      </c>
      <c r="C889" s="1" t="s">
        <v>68</v>
      </c>
      <c r="D889" s="1" t="s">
        <v>13</v>
      </c>
      <c r="E889" s="1" t="s">
        <v>21</v>
      </c>
      <c r="F889" s="5">
        <v>4.3447</v>
      </c>
      <c r="G889" s="5">
        <v>627.3147389999999</v>
      </c>
      <c r="H889" s="5">
        <v>2.1724</v>
      </c>
      <c r="I889" s="5">
        <v>566.0</v>
      </c>
    </row>
    <row r="890">
      <c r="A890" s="6" t="s">
        <v>2488</v>
      </c>
      <c r="B890" s="5">
        <v>5.0</v>
      </c>
      <c r="C890" s="1" t="s">
        <v>68</v>
      </c>
      <c r="D890" s="1" t="s">
        <v>13</v>
      </c>
      <c r="E890" s="1" t="s">
        <v>25</v>
      </c>
      <c r="F890" s="5">
        <v>0.3834</v>
      </c>
      <c r="G890" s="5">
        <v>61.92317</v>
      </c>
      <c r="H890" s="5">
        <v>0.2876</v>
      </c>
      <c r="I890" s="5">
        <v>173.0</v>
      </c>
    </row>
    <row r="891">
      <c r="A891" s="6" t="s">
        <v>2488</v>
      </c>
      <c r="B891" s="5">
        <v>5.0</v>
      </c>
      <c r="C891" s="1" t="s">
        <v>68</v>
      </c>
      <c r="D891" s="1" t="s">
        <v>29</v>
      </c>
      <c r="E891" s="1" t="s">
        <v>14</v>
      </c>
      <c r="F891" s="5">
        <v>0.0121</v>
      </c>
      <c r="G891" s="5">
        <v>1.590881</v>
      </c>
      <c r="H891" s="5">
        <v>0.0024</v>
      </c>
      <c r="I891" s="5">
        <v>8.0</v>
      </c>
    </row>
    <row r="892">
      <c r="A892" s="6" t="s">
        <v>2488</v>
      </c>
      <c r="B892" s="5">
        <v>5.0</v>
      </c>
      <c r="C892" s="1" t="s">
        <v>68</v>
      </c>
      <c r="D892" s="1" t="s">
        <v>29</v>
      </c>
      <c r="E892" s="1" t="s">
        <v>21</v>
      </c>
      <c r="F892" s="5">
        <v>5.9219</v>
      </c>
      <c r="G892" s="5">
        <v>1154.483978</v>
      </c>
      <c r="H892" s="5">
        <v>2.3687</v>
      </c>
      <c r="I892" s="5">
        <v>904.0</v>
      </c>
    </row>
    <row r="893">
      <c r="A893" s="6" t="s">
        <v>2488</v>
      </c>
      <c r="B893" s="5">
        <v>5.0</v>
      </c>
      <c r="C893" s="1" t="s">
        <v>68</v>
      </c>
      <c r="D893" s="1" t="s">
        <v>45</v>
      </c>
      <c r="E893" s="1" t="s">
        <v>17</v>
      </c>
      <c r="F893" s="5">
        <v>11.3992</v>
      </c>
      <c r="G893" s="5">
        <v>729.85568</v>
      </c>
      <c r="H893" s="5">
        <v>4.1037</v>
      </c>
      <c r="I893" s="5">
        <v>1552.0</v>
      </c>
    </row>
    <row r="894">
      <c r="A894" s="6" t="s">
        <v>2488</v>
      </c>
      <c r="B894" s="5">
        <v>5.0</v>
      </c>
      <c r="C894" s="1" t="s">
        <v>68</v>
      </c>
      <c r="D894" s="1" t="s">
        <v>1851</v>
      </c>
      <c r="E894" s="1" t="s">
        <v>17</v>
      </c>
      <c r="F894" s="5">
        <v>9.2888</v>
      </c>
      <c r="G894" s="5">
        <v>616.157152</v>
      </c>
      <c r="H894" s="5">
        <v>3.5762</v>
      </c>
      <c r="I894" s="5">
        <v>2250.0</v>
      </c>
    </row>
    <row r="895">
      <c r="A895" s="6" t="s">
        <v>2488</v>
      </c>
      <c r="B895" s="5">
        <v>5.0</v>
      </c>
      <c r="C895" s="1" t="s">
        <v>68</v>
      </c>
      <c r="D895" s="1" t="s">
        <v>1851</v>
      </c>
      <c r="E895" s="1" t="s">
        <v>21</v>
      </c>
      <c r="F895" s="5">
        <v>0.0893</v>
      </c>
      <c r="G895" s="5">
        <v>8.514561</v>
      </c>
      <c r="H895" s="5">
        <v>0.0438</v>
      </c>
      <c r="I895" s="5">
        <v>138.0</v>
      </c>
    </row>
    <row r="896">
      <c r="A896" s="6" t="s">
        <v>2488</v>
      </c>
      <c r="B896" s="5">
        <v>5.0</v>
      </c>
      <c r="C896" s="1" t="s">
        <v>68</v>
      </c>
      <c r="D896" s="1" t="s">
        <v>544</v>
      </c>
      <c r="E896" s="1" t="s">
        <v>17</v>
      </c>
      <c r="F896" s="5">
        <v>8.739</v>
      </c>
      <c r="G896" s="5">
        <v>530.799296</v>
      </c>
      <c r="H896" s="5">
        <v>3.0586</v>
      </c>
      <c r="I896" s="5">
        <v>2725.0</v>
      </c>
    </row>
    <row r="897">
      <c r="A897" s="6" t="s">
        <v>2488</v>
      </c>
      <c r="B897" s="5">
        <v>5.0</v>
      </c>
      <c r="C897" s="1" t="s">
        <v>68</v>
      </c>
      <c r="D897" s="1" t="s">
        <v>32</v>
      </c>
      <c r="E897" s="1" t="s">
        <v>14</v>
      </c>
      <c r="F897" s="5">
        <v>4.1646</v>
      </c>
      <c r="G897" s="5">
        <v>281.72459999999995</v>
      </c>
      <c r="H897" s="5">
        <v>0.9579</v>
      </c>
      <c r="I897" s="5">
        <v>1325.0</v>
      </c>
    </row>
    <row r="898">
      <c r="A898" s="6" t="s">
        <v>2488</v>
      </c>
      <c r="B898" s="5">
        <v>5.0</v>
      </c>
      <c r="C898" s="1" t="s">
        <v>68</v>
      </c>
      <c r="D898" s="1" t="s">
        <v>32</v>
      </c>
      <c r="E898" s="1" t="s">
        <v>21</v>
      </c>
      <c r="F898" s="5">
        <v>1.0117</v>
      </c>
      <c r="G898" s="5">
        <v>87.10071099999999</v>
      </c>
      <c r="H898" s="5">
        <v>0.4553</v>
      </c>
      <c r="I898" s="5">
        <v>386.0</v>
      </c>
    </row>
    <row r="899">
      <c r="A899" s="6" t="s">
        <v>2488</v>
      </c>
      <c r="B899" s="5">
        <v>5.0</v>
      </c>
      <c r="C899" s="1" t="s">
        <v>68</v>
      </c>
      <c r="D899" s="1" t="s">
        <v>1830</v>
      </c>
      <c r="E899" s="1" t="s">
        <v>72</v>
      </c>
      <c r="F899" s="5">
        <v>3.8908</v>
      </c>
      <c r="G899" s="5">
        <v>334.68803</v>
      </c>
      <c r="H899" s="5">
        <v>1.2451</v>
      </c>
      <c r="I899" s="5">
        <v>3510.0</v>
      </c>
    </row>
    <row r="900">
      <c r="A900" s="6" t="s">
        <v>2488</v>
      </c>
      <c r="B900" s="5">
        <v>5.0</v>
      </c>
      <c r="C900" s="1" t="s">
        <v>68</v>
      </c>
      <c r="D900" s="1" t="s">
        <v>38</v>
      </c>
      <c r="E900" s="1" t="s">
        <v>39</v>
      </c>
      <c r="F900" s="5">
        <v>1.5262</v>
      </c>
      <c r="G900" s="5">
        <v>136.563048</v>
      </c>
      <c r="H900" s="5">
        <v>0.2747</v>
      </c>
      <c r="I900" s="5">
        <v>212.0</v>
      </c>
    </row>
    <row r="901">
      <c r="A901" s="6" t="s">
        <v>2488</v>
      </c>
      <c r="B901" s="5">
        <v>5.0</v>
      </c>
      <c r="C901" s="1" t="s">
        <v>68</v>
      </c>
      <c r="D901" s="1" t="s">
        <v>42</v>
      </c>
      <c r="E901" s="1" t="s">
        <v>17</v>
      </c>
      <c r="F901" s="5">
        <v>0.6706</v>
      </c>
      <c r="G901" s="5">
        <v>111.21218300000001</v>
      </c>
      <c r="H901" s="5">
        <v>0.2481</v>
      </c>
      <c r="I901" s="5">
        <v>270.0</v>
      </c>
    </row>
    <row r="902">
      <c r="A902" s="6" t="s">
        <v>2488</v>
      </c>
      <c r="B902" s="5">
        <v>5.0</v>
      </c>
      <c r="C902" s="1" t="s">
        <v>68</v>
      </c>
      <c r="D902" s="1" t="s">
        <v>2088</v>
      </c>
      <c r="E902" s="1" t="s">
        <v>21</v>
      </c>
      <c r="F902" s="5">
        <v>1.0727</v>
      </c>
      <c r="G902" s="5">
        <v>91.027754</v>
      </c>
      <c r="H902" s="5">
        <v>0.4291</v>
      </c>
      <c r="I902" s="5">
        <v>0.0</v>
      </c>
    </row>
    <row r="903">
      <c r="A903" s="6" t="s">
        <v>2488</v>
      </c>
      <c r="B903" s="5">
        <v>5.0</v>
      </c>
      <c r="C903" s="1" t="s">
        <v>116</v>
      </c>
      <c r="D903" s="1" t="s">
        <v>13</v>
      </c>
      <c r="E903" s="1" t="s">
        <v>14</v>
      </c>
      <c r="F903" s="5">
        <v>135.3355</v>
      </c>
      <c r="G903" s="5">
        <v>7220.07481499999</v>
      </c>
      <c r="H903" s="5">
        <v>28.4204</v>
      </c>
      <c r="I903" s="5">
        <v>11852.0</v>
      </c>
    </row>
    <row r="904">
      <c r="A904" s="6" t="s">
        <v>2488</v>
      </c>
      <c r="B904" s="5">
        <v>5.0</v>
      </c>
      <c r="C904" s="1" t="s">
        <v>116</v>
      </c>
      <c r="D904" s="1" t="s">
        <v>13</v>
      </c>
      <c r="E904" s="1" t="s">
        <v>17</v>
      </c>
      <c r="F904" s="5">
        <v>94.3422999999999</v>
      </c>
      <c r="G904" s="5">
        <v>9661.265620999999</v>
      </c>
      <c r="H904" s="5">
        <v>33.0196</v>
      </c>
      <c r="I904" s="5">
        <v>15176.0</v>
      </c>
    </row>
    <row r="905">
      <c r="A905" s="6" t="s">
        <v>2488</v>
      </c>
      <c r="B905" s="5">
        <v>5.0</v>
      </c>
      <c r="C905" s="1" t="s">
        <v>116</v>
      </c>
      <c r="D905" s="1" t="s">
        <v>13</v>
      </c>
      <c r="E905" s="1" t="s">
        <v>21</v>
      </c>
      <c r="F905" s="5">
        <v>7.8155</v>
      </c>
      <c r="G905" s="5">
        <v>1041.9969939999999</v>
      </c>
      <c r="H905" s="5">
        <v>3.9077</v>
      </c>
      <c r="I905" s="5">
        <v>585.0</v>
      </c>
    </row>
    <row r="906">
      <c r="A906" s="6" t="s">
        <v>2488</v>
      </c>
      <c r="B906" s="5">
        <v>5.0</v>
      </c>
      <c r="C906" s="1" t="s">
        <v>116</v>
      </c>
      <c r="D906" s="1" t="s">
        <v>13</v>
      </c>
      <c r="E906" s="1" t="s">
        <v>25</v>
      </c>
      <c r="F906" s="5">
        <v>0.0042</v>
      </c>
      <c r="G906" s="5">
        <v>0.866289</v>
      </c>
      <c r="H906" s="5">
        <v>0.0031</v>
      </c>
      <c r="I906" s="5">
        <v>2.0</v>
      </c>
    </row>
    <row r="907">
      <c r="A907" s="6" t="s">
        <v>2488</v>
      </c>
      <c r="B907" s="5">
        <v>5.0</v>
      </c>
      <c r="C907" s="1" t="s">
        <v>116</v>
      </c>
      <c r="D907" s="1" t="s">
        <v>29</v>
      </c>
      <c r="E907" s="1" t="s">
        <v>14</v>
      </c>
      <c r="F907" s="5">
        <v>1.0079</v>
      </c>
      <c r="G907" s="5">
        <v>111.543779</v>
      </c>
      <c r="H907" s="5">
        <v>0.2016</v>
      </c>
      <c r="I907" s="5">
        <v>249.0</v>
      </c>
    </row>
    <row r="908">
      <c r="A908" s="6" t="s">
        <v>2488</v>
      </c>
      <c r="B908" s="5">
        <v>5.0</v>
      </c>
      <c r="C908" s="1" t="s">
        <v>116</v>
      </c>
      <c r="D908" s="1" t="s">
        <v>29</v>
      </c>
      <c r="E908" s="1" t="s">
        <v>21</v>
      </c>
      <c r="F908" s="5">
        <v>39.3356</v>
      </c>
      <c r="G908" s="5">
        <v>7424.94882599999</v>
      </c>
      <c r="H908" s="5">
        <v>15.7343</v>
      </c>
      <c r="I908" s="5">
        <v>1844.0</v>
      </c>
    </row>
    <row r="909">
      <c r="A909" s="6" t="s">
        <v>2488</v>
      </c>
      <c r="B909" s="5">
        <v>5.0</v>
      </c>
      <c r="C909" s="1" t="s">
        <v>116</v>
      </c>
      <c r="D909" s="1" t="s">
        <v>1851</v>
      </c>
      <c r="E909" s="1" t="s">
        <v>17</v>
      </c>
      <c r="F909" s="5">
        <v>34.9286</v>
      </c>
      <c r="G909" s="5">
        <v>2329.209672</v>
      </c>
      <c r="H909" s="5">
        <v>13.4475</v>
      </c>
      <c r="I909" s="5">
        <v>7585.0</v>
      </c>
    </row>
    <row r="910">
      <c r="A910" s="6" t="s">
        <v>2488</v>
      </c>
      <c r="B910" s="5">
        <v>5.0</v>
      </c>
      <c r="C910" s="1" t="s">
        <v>116</v>
      </c>
      <c r="D910" s="1" t="s">
        <v>1851</v>
      </c>
      <c r="E910" s="1" t="s">
        <v>21</v>
      </c>
      <c r="F910" s="5">
        <v>0.044</v>
      </c>
      <c r="G910" s="5">
        <v>4.999411</v>
      </c>
      <c r="H910" s="5">
        <v>0.0215</v>
      </c>
      <c r="I910" s="5">
        <v>72.0</v>
      </c>
    </row>
    <row r="911">
      <c r="A911" s="6" t="s">
        <v>2488</v>
      </c>
      <c r="B911" s="5">
        <v>5.0</v>
      </c>
      <c r="C911" s="1" t="s">
        <v>116</v>
      </c>
      <c r="D911" s="1" t="s">
        <v>45</v>
      </c>
      <c r="E911" s="1" t="s">
        <v>17</v>
      </c>
      <c r="F911" s="5">
        <v>21.7396</v>
      </c>
      <c r="G911" s="5">
        <v>1515.2832039999998</v>
      </c>
      <c r="H911" s="5">
        <v>7.8262</v>
      </c>
      <c r="I911" s="5">
        <v>1670.0</v>
      </c>
    </row>
    <row r="912">
      <c r="A912" s="6" t="s">
        <v>2488</v>
      </c>
      <c r="B912" s="5">
        <v>5.0</v>
      </c>
      <c r="C912" s="1" t="s">
        <v>116</v>
      </c>
      <c r="D912" s="1" t="s">
        <v>544</v>
      </c>
      <c r="E912" s="1" t="s">
        <v>17</v>
      </c>
      <c r="F912" s="5">
        <v>13.6827</v>
      </c>
      <c r="G912" s="5">
        <v>829.925924</v>
      </c>
      <c r="H912" s="5">
        <v>4.789</v>
      </c>
      <c r="I912" s="5">
        <v>4261.0</v>
      </c>
    </row>
    <row r="913">
      <c r="A913" s="6" t="s">
        <v>2488</v>
      </c>
      <c r="B913" s="5">
        <v>5.0</v>
      </c>
      <c r="C913" s="1" t="s">
        <v>116</v>
      </c>
      <c r="D913" s="1" t="s">
        <v>32</v>
      </c>
      <c r="E913" s="1" t="s">
        <v>14</v>
      </c>
      <c r="F913" s="5">
        <v>1.9199</v>
      </c>
      <c r="G913" s="5">
        <v>60.751409</v>
      </c>
      <c r="H913" s="5">
        <v>0.4416</v>
      </c>
      <c r="I913" s="5">
        <v>247.0</v>
      </c>
    </row>
    <row r="914">
      <c r="A914" s="6" t="s">
        <v>2488</v>
      </c>
      <c r="B914" s="5">
        <v>5.0</v>
      </c>
      <c r="C914" s="1" t="s">
        <v>116</v>
      </c>
      <c r="D914" s="1" t="s">
        <v>32</v>
      </c>
      <c r="E914" s="1" t="s">
        <v>21</v>
      </c>
      <c r="F914" s="5">
        <v>4.582</v>
      </c>
      <c r="G914" s="5">
        <v>432.96244</v>
      </c>
      <c r="H914" s="5">
        <v>2.0619</v>
      </c>
      <c r="I914" s="5">
        <v>1403.0</v>
      </c>
    </row>
    <row r="915">
      <c r="A915" s="6" t="s">
        <v>2488</v>
      </c>
      <c r="B915" s="5">
        <v>5.0</v>
      </c>
      <c r="C915" s="1" t="s">
        <v>116</v>
      </c>
      <c r="D915" s="1" t="s">
        <v>1830</v>
      </c>
      <c r="E915" s="1" t="s">
        <v>72</v>
      </c>
      <c r="F915" s="5">
        <v>4.7963</v>
      </c>
      <c r="G915" s="5">
        <v>411.48490999999996</v>
      </c>
      <c r="H915" s="5">
        <v>1.5348</v>
      </c>
      <c r="I915" s="5">
        <v>3969.0</v>
      </c>
    </row>
    <row r="916">
      <c r="A916" s="6" t="s">
        <v>2488</v>
      </c>
      <c r="B916" s="5">
        <v>5.0</v>
      </c>
      <c r="C916" s="1" t="s">
        <v>116</v>
      </c>
      <c r="D916" s="1" t="s">
        <v>147</v>
      </c>
      <c r="E916" s="1" t="s">
        <v>39</v>
      </c>
      <c r="F916" s="5">
        <v>1.2937</v>
      </c>
      <c r="G916" s="5">
        <v>382.59959999999995</v>
      </c>
      <c r="H916" s="5">
        <v>0.2457</v>
      </c>
      <c r="I916" s="5">
        <v>113.0</v>
      </c>
    </row>
    <row r="917">
      <c r="A917" s="6" t="s">
        <v>2488</v>
      </c>
      <c r="B917" s="5">
        <v>5.0</v>
      </c>
      <c r="C917" s="1" t="s">
        <v>116</v>
      </c>
      <c r="D917" s="1" t="s">
        <v>147</v>
      </c>
      <c r="E917" s="1" t="s">
        <v>17</v>
      </c>
      <c r="F917" s="5">
        <v>0.0113</v>
      </c>
      <c r="G917" s="5">
        <v>4.805201</v>
      </c>
      <c r="H917" s="5">
        <v>0.004</v>
      </c>
      <c r="I917" s="5">
        <v>4.0</v>
      </c>
    </row>
    <row r="918">
      <c r="A918" s="6" t="s">
        <v>2488</v>
      </c>
      <c r="B918" s="5">
        <v>5.0</v>
      </c>
      <c r="C918" s="1" t="s">
        <v>116</v>
      </c>
      <c r="D918" s="1" t="s">
        <v>147</v>
      </c>
      <c r="E918" s="1" t="s">
        <v>21</v>
      </c>
      <c r="F918" s="5">
        <v>0.0493</v>
      </c>
      <c r="G918" s="5">
        <v>24.562617999999997</v>
      </c>
      <c r="H918" s="5">
        <v>0.0246</v>
      </c>
      <c r="I918" s="5">
        <v>44.0</v>
      </c>
    </row>
    <row r="919">
      <c r="A919" s="6" t="s">
        <v>2488</v>
      </c>
      <c r="B919" s="5">
        <v>5.0</v>
      </c>
      <c r="C919" s="1" t="s">
        <v>116</v>
      </c>
      <c r="D919" s="1" t="s">
        <v>42</v>
      </c>
      <c r="E919" s="1" t="s">
        <v>17</v>
      </c>
      <c r="F919" s="5">
        <v>1.6667</v>
      </c>
      <c r="G919" s="5">
        <v>316.395114</v>
      </c>
      <c r="H919" s="5">
        <v>0.6166</v>
      </c>
      <c r="I919" s="5">
        <v>287.0</v>
      </c>
    </row>
    <row r="920">
      <c r="A920" s="6" t="s">
        <v>2488</v>
      </c>
      <c r="B920" s="5">
        <v>5.0</v>
      </c>
      <c r="C920" s="1" t="s">
        <v>116</v>
      </c>
      <c r="D920" s="1" t="s">
        <v>158</v>
      </c>
      <c r="E920" s="1" t="s">
        <v>17</v>
      </c>
      <c r="F920" s="5">
        <v>0.0853</v>
      </c>
      <c r="G920" s="5">
        <v>39.231244</v>
      </c>
      <c r="H920" s="5">
        <v>0.0298</v>
      </c>
      <c r="I920" s="5">
        <v>0.0</v>
      </c>
    </row>
    <row r="921">
      <c r="A921" s="6" t="s">
        <v>2488</v>
      </c>
      <c r="B921" s="5">
        <v>5.0</v>
      </c>
      <c r="C921" s="1" t="s">
        <v>116</v>
      </c>
      <c r="D921" s="1" t="s">
        <v>158</v>
      </c>
      <c r="E921" s="1" t="s">
        <v>21</v>
      </c>
      <c r="F921" s="5">
        <v>0.398</v>
      </c>
      <c r="G921" s="5">
        <v>222.563144</v>
      </c>
      <c r="H921" s="5">
        <v>0.1672</v>
      </c>
      <c r="I921" s="5">
        <v>0.0</v>
      </c>
    </row>
    <row r="922">
      <c r="A922" s="6" t="s">
        <v>2488</v>
      </c>
      <c r="B922" s="5">
        <v>6.0</v>
      </c>
      <c r="C922" s="1" t="s">
        <v>12</v>
      </c>
      <c r="D922" s="1" t="s">
        <v>13</v>
      </c>
      <c r="E922" s="1" t="s">
        <v>14</v>
      </c>
      <c r="F922" s="5">
        <v>14.4889</v>
      </c>
      <c r="G922" s="5">
        <v>916.589147</v>
      </c>
      <c r="H922" s="5">
        <v>3.0427</v>
      </c>
      <c r="I922" s="5">
        <v>553.0</v>
      </c>
    </row>
    <row r="923">
      <c r="A923" s="6" t="s">
        <v>2488</v>
      </c>
      <c r="B923" s="5">
        <v>6.0</v>
      </c>
      <c r="C923" s="1" t="s">
        <v>12</v>
      </c>
      <c r="D923" s="1" t="s">
        <v>13</v>
      </c>
      <c r="E923" s="1" t="s">
        <v>17</v>
      </c>
      <c r="F923" s="5">
        <v>48.4585</v>
      </c>
      <c r="G923" s="5">
        <v>4782.541053</v>
      </c>
      <c r="H923" s="5">
        <v>16.9604</v>
      </c>
      <c r="I923" s="5">
        <v>787.0</v>
      </c>
    </row>
    <row r="924">
      <c r="A924" s="6" t="s">
        <v>2488</v>
      </c>
      <c r="B924" s="5">
        <v>6.0</v>
      </c>
      <c r="C924" s="1" t="s">
        <v>12</v>
      </c>
      <c r="D924" s="1" t="s">
        <v>13</v>
      </c>
      <c r="E924" s="1" t="s">
        <v>21</v>
      </c>
      <c r="F924" s="5">
        <v>22.4112</v>
      </c>
      <c r="G924" s="5">
        <v>2572.258208</v>
      </c>
      <c r="H924" s="5">
        <v>11.2055</v>
      </c>
      <c r="I924" s="5">
        <v>591.0</v>
      </c>
    </row>
    <row r="925">
      <c r="A925" s="6" t="s">
        <v>2488</v>
      </c>
      <c r="B925" s="5">
        <v>6.0</v>
      </c>
      <c r="C925" s="1" t="s">
        <v>12</v>
      </c>
      <c r="D925" s="1" t="s">
        <v>29</v>
      </c>
      <c r="E925" s="1" t="s">
        <v>14</v>
      </c>
      <c r="F925" s="5">
        <v>0.085</v>
      </c>
      <c r="G925" s="5">
        <v>10.520850000000001</v>
      </c>
      <c r="H925" s="5">
        <v>0.017</v>
      </c>
      <c r="I925" s="5">
        <v>11.0</v>
      </c>
    </row>
    <row r="926">
      <c r="A926" s="6" t="s">
        <v>2488</v>
      </c>
      <c r="B926" s="5">
        <v>6.0</v>
      </c>
      <c r="C926" s="1" t="s">
        <v>12</v>
      </c>
      <c r="D926" s="1" t="s">
        <v>29</v>
      </c>
      <c r="E926" s="1" t="s">
        <v>21</v>
      </c>
      <c r="F926" s="5">
        <v>27.6087</v>
      </c>
      <c r="G926" s="5">
        <v>4729.63073499999</v>
      </c>
      <c r="H926" s="5">
        <v>11.0434</v>
      </c>
      <c r="I926" s="5">
        <v>654.0</v>
      </c>
    </row>
    <row r="927">
      <c r="A927" s="6" t="s">
        <v>2488</v>
      </c>
      <c r="B927" s="5">
        <v>6.0</v>
      </c>
      <c r="C927" s="1" t="s">
        <v>12</v>
      </c>
      <c r="D927" s="1" t="s">
        <v>38</v>
      </c>
      <c r="E927" s="1" t="s">
        <v>39</v>
      </c>
      <c r="F927" s="5">
        <v>2.4222</v>
      </c>
      <c r="G927" s="5">
        <v>271.40479</v>
      </c>
      <c r="H927" s="5">
        <v>0.436</v>
      </c>
      <c r="I927" s="5">
        <v>99.0</v>
      </c>
    </row>
    <row r="928">
      <c r="A928" s="6" t="s">
        <v>2488</v>
      </c>
      <c r="B928" s="5">
        <v>6.0</v>
      </c>
      <c r="C928" s="1" t="s">
        <v>12</v>
      </c>
      <c r="D928" s="1" t="s">
        <v>45</v>
      </c>
      <c r="E928" s="1" t="s">
        <v>17</v>
      </c>
      <c r="F928" s="5">
        <v>2.8009</v>
      </c>
      <c r="G928" s="5">
        <v>230.718658</v>
      </c>
      <c r="H928" s="5">
        <v>1.0083</v>
      </c>
      <c r="I928" s="5">
        <v>236.0</v>
      </c>
    </row>
    <row r="929">
      <c r="A929" s="6" t="s">
        <v>2488</v>
      </c>
      <c r="B929" s="5">
        <v>6.0</v>
      </c>
      <c r="C929" s="1" t="s">
        <v>12</v>
      </c>
      <c r="D929" s="1" t="s">
        <v>48</v>
      </c>
      <c r="E929" s="1" t="s">
        <v>49</v>
      </c>
      <c r="F929" s="5">
        <v>0.0324</v>
      </c>
      <c r="G929" s="5">
        <v>10.521911</v>
      </c>
      <c r="H929" s="5">
        <v>0.0091</v>
      </c>
      <c r="I929" s="5">
        <v>15.0</v>
      </c>
    </row>
    <row r="930">
      <c r="A930" s="6" t="s">
        <v>2488</v>
      </c>
      <c r="B930" s="5">
        <v>6.0</v>
      </c>
      <c r="C930" s="1" t="s">
        <v>12</v>
      </c>
      <c r="D930" s="1" t="s">
        <v>48</v>
      </c>
      <c r="E930" s="1" t="s">
        <v>21</v>
      </c>
      <c r="F930" s="5">
        <v>1.024</v>
      </c>
      <c r="G930" s="5">
        <v>132.086592</v>
      </c>
      <c r="H930" s="5">
        <v>0.4096</v>
      </c>
      <c r="I930" s="5">
        <v>170.0</v>
      </c>
    </row>
    <row r="931">
      <c r="A931" s="6" t="s">
        <v>2488</v>
      </c>
      <c r="B931" s="5">
        <v>6.0</v>
      </c>
      <c r="C931" s="1" t="s">
        <v>12</v>
      </c>
      <c r="D931" s="1" t="s">
        <v>32</v>
      </c>
      <c r="E931" s="1" t="s">
        <v>14</v>
      </c>
      <c r="F931" s="5">
        <v>0.9643</v>
      </c>
      <c r="G931" s="5">
        <v>67.866183</v>
      </c>
      <c r="H931" s="5">
        <v>0.2218</v>
      </c>
      <c r="I931" s="5">
        <v>149.0</v>
      </c>
    </row>
    <row r="932">
      <c r="A932" s="6" t="s">
        <v>2488</v>
      </c>
      <c r="B932" s="5">
        <v>6.0</v>
      </c>
      <c r="C932" s="1" t="s">
        <v>12</v>
      </c>
      <c r="D932" s="1" t="s">
        <v>32</v>
      </c>
      <c r="E932" s="1" t="s">
        <v>21</v>
      </c>
      <c r="F932" s="5">
        <v>0.7189</v>
      </c>
      <c r="G932" s="5">
        <v>59.064648999999996</v>
      </c>
      <c r="H932" s="5">
        <v>0.3235</v>
      </c>
      <c r="I932" s="5">
        <v>68.0</v>
      </c>
    </row>
    <row r="933">
      <c r="A933" s="6" t="s">
        <v>2488</v>
      </c>
      <c r="B933" s="5">
        <v>6.0</v>
      </c>
      <c r="C933" s="1" t="s">
        <v>12</v>
      </c>
      <c r="D933" s="1" t="s">
        <v>42</v>
      </c>
      <c r="E933" s="1" t="s">
        <v>17</v>
      </c>
      <c r="F933" s="5">
        <v>0.5625</v>
      </c>
      <c r="G933" s="5">
        <v>97.748139</v>
      </c>
      <c r="H933" s="5">
        <v>0.2081</v>
      </c>
      <c r="I933" s="5">
        <v>0.0</v>
      </c>
    </row>
    <row r="934">
      <c r="A934" s="6" t="s">
        <v>2488</v>
      </c>
      <c r="B934" s="5">
        <v>6.0</v>
      </c>
      <c r="C934" s="1" t="s">
        <v>12</v>
      </c>
      <c r="D934" s="1" t="s">
        <v>56</v>
      </c>
      <c r="E934" s="1" t="s">
        <v>21</v>
      </c>
      <c r="F934" s="5">
        <v>0.6822</v>
      </c>
      <c r="G934" s="5">
        <v>88.235473</v>
      </c>
      <c r="H934" s="5">
        <v>0.2729</v>
      </c>
      <c r="I934" s="5">
        <v>175.0</v>
      </c>
    </row>
    <row r="935">
      <c r="A935" s="6" t="s">
        <v>2488</v>
      </c>
      <c r="B935" s="5">
        <v>6.0</v>
      </c>
      <c r="C935" s="1" t="s">
        <v>12</v>
      </c>
      <c r="D935" s="1" t="s">
        <v>544</v>
      </c>
      <c r="E935" s="1" t="s">
        <v>17</v>
      </c>
      <c r="F935" s="5">
        <v>1.3839</v>
      </c>
      <c r="G935" s="5">
        <v>79.551433</v>
      </c>
      <c r="H935" s="5">
        <v>0.4844</v>
      </c>
      <c r="I935" s="5">
        <v>118.0</v>
      </c>
    </row>
    <row r="936">
      <c r="A936" s="6" t="s">
        <v>2488</v>
      </c>
      <c r="B936" s="5">
        <v>6.0</v>
      </c>
      <c r="C936" s="1" t="s">
        <v>12</v>
      </c>
      <c r="D936" s="1" t="s">
        <v>1851</v>
      </c>
      <c r="E936" s="1" t="s">
        <v>17</v>
      </c>
      <c r="F936" s="5">
        <v>0.1271</v>
      </c>
      <c r="G936" s="5">
        <v>9.602312</v>
      </c>
      <c r="H936" s="5">
        <v>0.0489</v>
      </c>
      <c r="I936" s="5">
        <v>18.0</v>
      </c>
    </row>
    <row r="937">
      <c r="A937" s="6" t="s">
        <v>2488</v>
      </c>
      <c r="B937" s="5">
        <v>6.0</v>
      </c>
      <c r="C937" s="1" t="s">
        <v>12</v>
      </c>
      <c r="D937" s="1" t="s">
        <v>1851</v>
      </c>
      <c r="E937" s="1" t="s">
        <v>21</v>
      </c>
      <c r="F937" s="5">
        <v>0.667799999999999</v>
      </c>
      <c r="G937" s="5">
        <v>49.925816</v>
      </c>
      <c r="H937" s="5">
        <v>0.3272</v>
      </c>
      <c r="I937" s="5">
        <v>108.0</v>
      </c>
    </row>
    <row r="938">
      <c r="A938" s="6" t="s">
        <v>2488</v>
      </c>
      <c r="B938" s="5">
        <v>6.0</v>
      </c>
      <c r="C938" s="1" t="s">
        <v>68</v>
      </c>
      <c r="D938" s="1" t="s">
        <v>13</v>
      </c>
      <c r="E938" s="1" t="s">
        <v>14</v>
      </c>
      <c r="F938" s="5">
        <v>48.83</v>
      </c>
      <c r="G938" s="5">
        <v>3039.185931</v>
      </c>
      <c r="H938" s="5">
        <v>10.2543</v>
      </c>
      <c r="I938" s="5">
        <v>6761.0</v>
      </c>
    </row>
    <row r="939">
      <c r="A939" s="6" t="s">
        <v>2488</v>
      </c>
      <c r="B939" s="5">
        <v>6.0</v>
      </c>
      <c r="C939" s="1" t="s">
        <v>68</v>
      </c>
      <c r="D939" s="1" t="s">
        <v>13</v>
      </c>
      <c r="E939" s="1" t="s">
        <v>17</v>
      </c>
      <c r="F939" s="5">
        <v>41.0978</v>
      </c>
      <c r="G939" s="5">
        <v>4352.489251</v>
      </c>
      <c r="H939" s="5">
        <v>14.3842</v>
      </c>
      <c r="I939" s="5">
        <v>7647.0</v>
      </c>
    </row>
    <row r="940">
      <c r="A940" s="6" t="s">
        <v>2488</v>
      </c>
      <c r="B940" s="5">
        <v>6.0</v>
      </c>
      <c r="C940" s="1" t="s">
        <v>68</v>
      </c>
      <c r="D940" s="1" t="s">
        <v>13</v>
      </c>
      <c r="E940" s="1" t="s">
        <v>21</v>
      </c>
      <c r="F940" s="5">
        <v>2.357</v>
      </c>
      <c r="G940" s="5">
        <v>331.18594199999995</v>
      </c>
      <c r="H940" s="5">
        <v>1.1785</v>
      </c>
      <c r="I940" s="5">
        <v>504.0</v>
      </c>
    </row>
    <row r="941">
      <c r="A941" s="6" t="s">
        <v>2488</v>
      </c>
      <c r="B941" s="5">
        <v>6.0</v>
      </c>
      <c r="C941" s="1" t="s">
        <v>68</v>
      </c>
      <c r="D941" s="1" t="s">
        <v>13</v>
      </c>
      <c r="E941" s="1" t="s">
        <v>25</v>
      </c>
      <c r="F941" s="5">
        <v>0.3502</v>
      </c>
      <c r="G941" s="5">
        <v>56.559075</v>
      </c>
      <c r="H941" s="5">
        <v>0.2626</v>
      </c>
      <c r="I941" s="5">
        <v>163.0</v>
      </c>
    </row>
    <row r="942">
      <c r="A942" s="6" t="s">
        <v>2488</v>
      </c>
      <c r="B942" s="5">
        <v>6.0</v>
      </c>
      <c r="C942" s="1" t="s">
        <v>68</v>
      </c>
      <c r="D942" s="1" t="s">
        <v>29</v>
      </c>
      <c r="E942" s="1" t="s">
        <v>14</v>
      </c>
      <c r="F942" s="5">
        <v>0.0172</v>
      </c>
      <c r="G942" s="5">
        <v>1.9253959999999999</v>
      </c>
      <c r="H942" s="5">
        <v>0.0034</v>
      </c>
      <c r="I942" s="5">
        <v>9.0</v>
      </c>
    </row>
    <row r="943">
      <c r="A943" s="6" t="s">
        <v>2488</v>
      </c>
      <c r="B943" s="5">
        <v>6.0</v>
      </c>
      <c r="C943" s="1" t="s">
        <v>68</v>
      </c>
      <c r="D943" s="1" t="s">
        <v>29</v>
      </c>
      <c r="E943" s="1" t="s">
        <v>21</v>
      </c>
      <c r="F943" s="5">
        <v>5.1814</v>
      </c>
      <c r="G943" s="5">
        <v>1062.609031</v>
      </c>
      <c r="H943" s="5">
        <v>2.0726</v>
      </c>
      <c r="I943" s="5">
        <v>803.0</v>
      </c>
    </row>
    <row r="944">
      <c r="A944" s="6" t="s">
        <v>2488</v>
      </c>
      <c r="B944" s="5">
        <v>6.0</v>
      </c>
      <c r="C944" s="1" t="s">
        <v>68</v>
      </c>
      <c r="D944" s="1" t="s">
        <v>1851</v>
      </c>
      <c r="E944" s="1" t="s">
        <v>17</v>
      </c>
      <c r="F944" s="5">
        <v>5.6432</v>
      </c>
      <c r="G944" s="5">
        <v>371.37458000000004</v>
      </c>
      <c r="H944" s="5">
        <v>2.1727</v>
      </c>
      <c r="I944" s="5">
        <v>2335.0</v>
      </c>
    </row>
    <row r="945">
      <c r="A945" s="6" t="s">
        <v>2488</v>
      </c>
      <c r="B945" s="5">
        <v>6.0</v>
      </c>
      <c r="C945" s="1" t="s">
        <v>68</v>
      </c>
      <c r="D945" s="1" t="s">
        <v>1851</v>
      </c>
      <c r="E945" s="1" t="s">
        <v>21</v>
      </c>
      <c r="F945" s="5">
        <v>5.2978</v>
      </c>
      <c r="G945" s="5">
        <v>395.901459</v>
      </c>
      <c r="H945" s="5">
        <v>2.5959</v>
      </c>
      <c r="I945" s="5">
        <v>2479.0</v>
      </c>
    </row>
    <row r="946">
      <c r="A946" s="6" t="s">
        <v>2488</v>
      </c>
      <c r="B946" s="5">
        <v>6.0</v>
      </c>
      <c r="C946" s="1" t="s">
        <v>68</v>
      </c>
      <c r="D946" s="1" t="s">
        <v>45</v>
      </c>
      <c r="E946" s="1" t="s">
        <v>17</v>
      </c>
      <c r="F946" s="5">
        <v>12.1151</v>
      </c>
      <c r="G946" s="5">
        <v>684.569630999999</v>
      </c>
      <c r="H946" s="5">
        <v>4.3615</v>
      </c>
      <c r="I946" s="5">
        <v>1387.0</v>
      </c>
    </row>
    <row r="947">
      <c r="A947" s="6" t="s">
        <v>2488</v>
      </c>
      <c r="B947" s="5">
        <v>6.0</v>
      </c>
      <c r="C947" s="1" t="s">
        <v>68</v>
      </c>
      <c r="D947" s="1" t="s">
        <v>544</v>
      </c>
      <c r="E947" s="1" t="s">
        <v>17</v>
      </c>
      <c r="F947" s="5">
        <v>9.09869999999999</v>
      </c>
      <c r="G947" s="5">
        <v>522.367552</v>
      </c>
      <c r="H947" s="5">
        <v>3.1845</v>
      </c>
      <c r="I947" s="5">
        <v>3345.0</v>
      </c>
    </row>
    <row r="948">
      <c r="A948" s="6" t="s">
        <v>2488</v>
      </c>
      <c r="B948" s="5">
        <v>6.0</v>
      </c>
      <c r="C948" s="1" t="s">
        <v>68</v>
      </c>
      <c r="D948" s="1" t="s">
        <v>32</v>
      </c>
      <c r="E948" s="1" t="s">
        <v>14</v>
      </c>
      <c r="F948" s="5">
        <v>4.6757</v>
      </c>
      <c r="G948" s="5">
        <v>315.49719699999997</v>
      </c>
      <c r="H948" s="5">
        <v>1.0754</v>
      </c>
      <c r="I948" s="5">
        <v>1483.0</v>
      </c>
    </row>
    <row r="949">
      <c r="A949" s="6" t="s">
        <v>2488</v>
      </c>
      <c r="B949" s="5">
        <v>6.0</v>
      </c>
      <c r="C949" s="1" t="s">
        <v>68</v>
      </c>
      <c r="D949" s="1" t="s">
        <v>32</v>
      </c>
      <c r="E949" s="1" t="s">
        <v>21</v>
      </c>
      <c r="F949" s="5">
        <v>0.6269</v>
      </c>
      <c r="G949" s="5">
        <v>75.85248299999999</v>
      </c>
      <c r="H949" s="5">
        <v>0.282</v>
      </c>
      <c r="I949" s="5">
        <v>279.0</v>
      </c>
    </row>
    <row r="950">
      <c r="A950" s="6" t="s">
        <v>2488</v>
      </c>
      <c r="B950" s="5">
        <v>6.0</v>
      </c>
      <c r="C950" s="1" t="s">
        <v>68</v>
      </c>
      <c r="D950" s="1" t="s">
        <v>1830</v>
      </c>
      <c r="E950" s="1" t="s">
        <v>72</v>
      </c>
      <c r="F950" s="5">
        <v>3.7283</v>
      </c>
      <c r="G950" s="5">
        <v>271.43171</v>
      </c>
      <c r="H950" s="5">
        <v>1.193</v>
      </c>
      <c r="I950" s="5">
        <v>3378.0</v>
      </c>
    </row>
    <row r="951">
      <c r="A951" s="6" t="s">
        <v>2488</v>
      </c>
      <c r="B951" s="5">
        <v>6.0</v>
      </c>
      <c r="C951" s="1" t="s">
        <v>68</v>
      </c>
      <c r="D951" s="1" t="s">
        <v>2088</v>
      </c>
      <c r="E951" s="1" t="s">
        <v>21</v>
      </c>
      <c r="F951" s="5">
        <v>1.6225</v>
      </c>
      <c r="G951" s="5">
        <v>152.93679999999998</v>
      </c>
      <c r="H951" s="5">
        <v>0.649</v>
      </c>
      <c r="I951" s="5">
        <v>0.0</v>
      </c>
    </row>
    <row r="952">
      <c r="A952" s="6" t="s">
        <v>2488</v>
      </c>
      <c r="B952" s="5">
        <v>6.0</v>
      </c>
      <c r="C952" s="1" t="s">
        <v>68</v>
      </c>
      <c r="D952" s="1" t="s">
        <v>38</v>
      </c>
      <c r="E952" s="1" t="s">
        <v>39</v>
      </c>
      <c r="F952" s="5">
        <v>1.4657</v>
      </c>
      <c r="G952" s="5">
        <v>133.872281</v>
      </c>
      <c r="H952" s="5">
        <v>0.2638</v>
      </c>
      <c r="I952" s="5">
        <v>243.0</v>
      </c>
    </row>
    <row r="953">
      <c r="A953" s="6" t="s">
        <v>2488</v>
      </c>
      <c r="B953" s="5">
        <v>6.0</v>
      </c>
      <c r="C953" s="1" t="s">
        <v>68</v>
      </c>
      <c r="D953" s="1" t="s">
        <v>42</v>
      </c>
      <c r="E953" s="1" t="s">
        <v>17</v>
      </c>
      <c r="F953" s="5">
        <v>0.5764</v>
      </c>
      <c r="G953" s="5">
        <v>94.428791</v>
      </c>
      <c r="H953" s="5">
        <v>0.2133</v>
      </c>
      <c r="I953" s="5">
        <v>265.0</v>
      </c>
    </row>
    <row r="954">
      <c r="A954" s="6" t="s">
        <v>2488</v>
      </c>
      <c r="B954" s="5">
        <v>6.0</v>
      </c>
      <c r="C954" s="1" t="s">
        <v>116</v>
      </c>
      <c r="D954" s="1" t="s">
        <v>13</v>
      </c>
      <c r="E954" s="1" t="s">
        <v>14</v>
      </c>
      <c r="F954" s="5">
        <v>122.9401</v>
      </c>
      <c r="G954" s="5">
        <v>7248.969408</v>
      </c>
      <c r="H954" s="5">
        <v>25.8174</v>
      </c>
      <c r="I954" s="5">
        <v>12120.0</v>
      </c>
    </row>
    <row r="955">
      <c r="A955" s="6" t="s">
        <v>2488</v>
      </c>
      <c r="B955" s="5">
        <v>6.0</v>
      </c>
      <c r="C955" s="1" t="s">
        <v>116</v>
      </c>
      <c r="D955" s="1" t="s">
        <v>13</v>
      </c>
      <c r="E955" s="1" t="s">
        <v>17</v>
      </c>
      <c r="F955" s="5">
        <v>99.0564</v>
      </c>
      <c r="G955" s="5">
        <v>9724.902538</v>
      </c>
      <c r="H955" s="5">
        <v>34.6697</v>
      </c>
      <c r="I955" s="5">
        <v>13797.0</v>
      </c>
    </row>
    <row r="956">
      <c r="A956" s="6" t="s">
        <v>2488</v>
      </c>
      <c r="B956" s="5">
        <v>6.0</v>
      </c>
      <c r="C956" s="1" t="s">
        <v>116</v>
      </c>
      <c r="D956" s="1" t="s">
        <v>13</v>
      </c>
      <c r="E956" s="1" t="s">
        <v>21</v>
      </c>
      <c r="F956" s="5">
        <v>5.2129</v>
      </c>
      <c r="G956" s="5">
        <v>784.023162</v>
      </c>
      <c r="H956" s="5">
        <v>2.6066</v>
      </c>
      <c r="I956" s="5">
        <v>641.0</v>
      </c>
    </row>
    <row r="957">
      <c r="A957" s="6" t="s">
        <v>2488</v>
      </c>
      <c r="B957" s="5">
        <v>6.0</v>
      </c>
      <c r="C957" s="1" t="s">
        <v>116</v>
      </c>
      <c r="D957" s="1" t="s">
        <v>13</v>
      </c>
      <c r="E957" s="1" t="s">
        <v>25</v>
      </c>
      <c r="F957" s="5">
        <v>0.0115</v>
      </c>
      <c r="G957" s="5">
        <v>2.374221</v>
      </c>
      <c r="H957" s="5">
        <v>0.0086</v>
      </c>
      <c r="I957" s="5">
        <v>4.0</v>
      </c>
    </row>
    <row r="958">
      <c r="A958" s="6" t="s">
        <v>2488</v>
      </c>
      <c r="B958" s="5">
        <v>6.0</v>
      </c>
      <c r="C958" s="1" t="s">
        <v>116</v>
      </c>
      <c r="D958" s="1" t="s">
        <v>29</v>
      </c>
      <c r="E958" s="1" t="s">
        <v>14</v>
      </c>
      <c r="F958" s="5">
        <v>1.0267</v>
      </c>
      <c r="G958" s="5">
        <v>114.790323</v>
      </c>
      <c r="H958" s="5">
        <v>0.2053</v>
      </c>
      <c r="I958" s="5">
        <v>280.0</v>
      </c>
    </row>
    <row r="959">
      <c r="A959" s="6" t="s">
        <v>2488</v>
      </c>
      <c r="B959" s="5">
        <v>6.0</v>
      </c>
      <c r="C959" s="1" t="s">
        <v>116</v>
      </c>
      <c r="D959" s="1" t="s">
        <v>29</v>
      </c>
      <c r="E959" s="1" t="s">
        <v>21</v>
      </c>
      <c r="F959" s="5">
        <v>20.5077</v>
      </c>
      <c r="G959" s="5">
        <v>4603.976229</v>
      </c>
      <c r="H959" s="5">
        <v>8.20299999999999</v>
      </c>
      <c r="I959" s="5">
        <v>1767.0</v>
      </c>
    </row>
    <row r="960">
      <c r="A960" s="6" t="s">
        <v>2488</v>
      </c>
      <c r="B960" s="5">
        <v>6.0</v>
      </c>
      <c r="C960" s="1" t="s">
        <v>116</v>
      </c>
      <c r="D960" s="1" t="s">
        <v>1851</v>
      </c>
      <c r="E960" s="1" t="s">
        <v>17</v>
      </c>
      <c r="F960" s="5">
        <v>20.6032</v>
      </c>
      <c r="G960" s="5">
        <v>1369.1364099999998</v>
      </c>
      <c r="H960" s="5">
        <v>7.9322</v>
      </c>
      <c r="I960" s="5">
        <v>7311.0</v>
      </c>
    </row>
    <row r="961">
      <c r="A961" s="6" t="s">
        <v>2488</v>
      </c>
      <c r="B961" s="5">
        <v>6.0</v>
      </c>
      <c r="C961" s="1" t="s">
        <v>116</v>
      </c>
      <c r="D961" s="1" t="s">
        <v>1851</v>
      </c>
      <c r="E961" s="1" t="s">
        <v>21</v>
      </c>
      <c r="F961" s="5">
        <v>11.262</v>
      </c>
      <c r="G961" s="5">
        <v>844.1097199999999</v>
      </c>
      <c r="H961" s="5">
        <v>5.5184</v>
      </c>
      <c r="I961" s="5">
        <v>4054.0</v>
      </c>
    </row>
    <row r="962">
      <c r="A962" s="6" t="s">
        <v>2488</v>
      </c>
      <c r="B962" s="5">
        <v>6.0</v>
      </c>
      <c r="C962" s="1" t="s">
        <v>116</v>
      </c>
      <c r="D962" s="1" t="s">
        <v>45</v>
      </c>
      <c r="E962" s="1" t="s">
        <v>17</v>
      </c>
      <c r="F962" s="5">
        <v>17.8589</v>
      </c>
      <c r="G962" s="5">
        <v>1193.713564</v>
      </c>
      <c r="H962" s="5">
        <v>6.4292</v>
      </c>
      <c r="I962" s="5">
        <v>1676.0</v>
      </c>
    </row>
    <row r="963">
      <c r="A963" s="6" t="s">
        <v>2488</v>
      </c>
      <c r="B963" s="5">
        <v>6.0</v>
      </c>
      <c r="C963" s="1" t="s">
        <v>116</v>
      </c>
      <c r="D963" s="1" t="s">
        <v>544</v>
      </c>
      <c r="E963" s="1" t="s">
        <v>17</v>
      </c>
      <c r="F963" s="5">
        <v>17.6534</v>
      </c>
      <c r="G963" s="5">
        <v>960.914753</v>
      </c>
      <c r="H963" s="5">
        <v>6.1787</v>
      </c>
      <c r="I963" s="5">
        <v>5559.0</v>
      </c>
    </row>
    <row r="964">
      <c r="A964" s="6" t="s">
        <v>2488</v>
      </c>
      <c r="B964" s="5">
        <v>6.0</v>
      </c>
      <c r="C964" s="1" t="s">
        <v>116</v>
      </c>
      <c r="D964" s="1" t="s">
        <v>147</v>
      </c>
      <c r="E964" s="1" t="s">
        <v>39</v>
      </c>
      <c r="F964" s="5">
        <v>1.4055</v>
      </c>
      <c r="G964" s="5">
        <v>441.059538</v>
      </c>
      <c r="H964" s="5">
        <v>0.2671</v>
      </c>
      <c r="I964" s="5">
        <v>107.0</v>
      </c>
    </row>
    <row r="965">
      <c r="A965" s="6" t="s">
        <v>2488</v>
      </c>
      <c r="B965" s="5">
        <v>6.0</v>
      </c>
      <c r="C965" s="1" t="s">
        <v>116</v>
      </c>
      <c r="D965" s="1" t="s">
        <v>147</v>
      </c>
      <c r="E965" s="1" t="s">
        <v>17</v>
      </c>
      <c r="F965" s="5">
        <v>0.0176</v>
      </c>
      <c r="G965" s="5">
        <v>7.454791</v>
      </c>
      <c r="H965" s="5">
        <v>0.0062</v>
      </c>
      <c r="I965" s="5">
        <v>5.0</v>
      </c>
    </row>
    <row r="966">
      <c r="A966" s="6" t="s">
        <v>2488</v>
      </c>
      <c r="B966" s="5">
        <v>6.0</v>
      </c>
      <c r="C966" s="1" t="s">
        <v>116</v>
      </c>
      <c r="D966" s="1" t="s">
        <v>147</v>
      </c>
      <c r="E966" s="1" t="s">
        <v>21</v>
      </c>
      <c r="F966" s="5">
        <v>0.0502</v>
      </c>
      <c r="G966" s="5">
        <v>25.818787</v>
      </c>
      <c r="H966" s="5">
        <v>0.0251</v>
      </c>
      <c r="I966" s="5">
        <v>44.0</v>
      </c>
    </row>
    <row r="967">
      <c r="A967" s="6" t="s">
        <v>2488</v>
      </c>
      <c r="B967" s="5">
        <v>6.0</v>
      </c>
      <c r="C967" s="1" t="s">
        <v>116</v>
      </c>
      <c r="D967" s="1" t="s">
        <v>32</v>
      </c>
      <c r="E967" s="1" t="s">
        <v>14</v>
      </c>
      <c r="F967" s="5">
        <v>1.2586</v>
      </c>
      <c r="G967" s="5">
        <v>54.751506</v>
      </c>
      <c r="H967" s="5">
        <v>0.2895</v>
      </c>
      <c r="I967" s="5">
        <v>356.0</v>
      </c>
    </row>
    <row r="968">
      <c r="A968" s="6" t="s">
        <v>2488</v>
      </c>
      <c r="B968" s="5">
        <v>6.0</v>
      </c>
      <c r="C968" s="1" t="s">
        <v>116</v>
      </c>
      <c r="D968" s="1" t="s">
        <v>32</v>
      </c>
      <c r="E968" s="1" t="s">
        <v>21</v>
      </c>
      <c r="F968" s="5">
        <v>2.8264</v>
      </c>
      <c r="G968" s="5">
        <v>304.731678</v>
      </c>
      <c r="H968" s="5">
        <v>1.2719</v>
      </c>
      <c r="I968" s="5">
        <v>1133.0</v>
      </c>
    </row>
    <row r="969">
      <c r="A969" s="6" t="s">
        <v>2488</v>
      </c>
      <c r="B969" s="5">
        <v>6.0</v>
      </c>
      <c r="C969" s="1" t="s">
        <v>116</v>
      </c>
      <c r="D969" s="1" t="s">
        <v>1830</v>
      </c>
      <c r="E969" s="1" t="s">
        <v>72</v>
      </c>
      <c r="F969" s="5">
        <v>4.563</v>
      </c>
      <c r="G969" s="5">
        <v>345.88195299999995</v>
      </c>
      <c r="H969" s="5">
        <v>1.4601</v>
      </c>
      <c r="I969" s="5">
        <v>4110.0</v>
      </c>
    </row>
    <row r="970">
      <c r="A970" s="6" t="s">
        <v>2488</v>
      </c>
      <c r="B970" s="5">
        <v>6.0</v>
      </c>
      <c r="C970" s="1" t="s">
        <v>116</v>
      </c>
      <c r="D970" s="1" t="s">
        <v>42</v>
      </c>
      <c r="E970" s="1" t="s">
        <v>17</v>
      </c>
      <c r="F970" s="5">
        <v>1.6138</v>
      </c>
      <c r="G970" s="5">
        <v>318.983902</v>
      </c>
      <c r="H970" s="5">
        <v>0.5971</v>
      </c>
      <c r="I970" s="5">
        <v>176.0</v>
      </c>
    </row>
    <row r="971">
      <c r="A971" s="6" t="s">
        <v>2488</v>
      </c>
      <c r="B971" s="5">
        <v>6.0</v>
      </c>
      <c r="C971" s="1" t="s">
        <v>116</v>
      </c>
      <c r="D971" s="1" t="s">
        <v>2083</v>
      </c>
      <c r="E971" s="1" t="s">
        <v>49</v>
      </c>
      <c r="F971" s="5">
        <v>0.4992</v>
      </c>
      <c r="G971" s="5">
        <v>183.33369</v>
      </c>
      <c r="H971" s="5">
        <v>0.1249</v>
      </c>
      <c r="I971" s="5">
        <v>0.0</v>
      </c>
    </row>
    <row r="972">
      <c r="A972" s="6" t="s">
        <v>2488</v>
      </c>
      <c r="B972" s="5">
        <v>6.0</v>
      </c>
      <c r="C972" s="1" t="s">
        <v>116</v>
      </c>
      <c r="D972" s="1" t="s">
        <v>2083</v>
      </c>
      <c r="E972" s="1" t="s">
        <v>21</v>
      </c>
      <c r="F972" s="5">
        <v>0.1664</v>
      </c>
      <c r="G972" s="5">
        <v>87.983642</v>
      </c>
      <c r="H972" s="5">
        <v>0.0832</v>
      </c>
      <c r="I972" s="5">
        <v>0.0</v>
      </c>
    </row>
    <row r="973">
      <c r="A973" s="6" t="s">
        <v>2488</v>
      </c>
      <c r="B973" s="5">
        <v>7.0</v>
      </c>
      <c r="C973" s="1" t="s">
        <v>12</v>
      </c>
      <c r="D973" s="1" t="s">
        <v>13</v>
      </c>
      <c r="E973" s="1" t="s">
        <v>14</v>
      </c>
      <c r="F973" s="5">
        <v>14.4344</v>
      </c>
      <c r="G973" s="5">
        <v>898.672385999999</v>
      </c>
      <c r="H973" s="5">
        <v>3.0312</v>
      </c>
      <c r="I973" s="5">
        <v>553.0</v>
      </c>
    </row>
    <row r="974">
      <c r="A974" s="6" t="s">
        <v>2488</v>
      </c>
      <c r="B974" s="5">
        <v>7.0</v>
      </c>
      <c r="C974" s="1" t="s">
        <v>12</v>
      </c>
      <c r="D974" s="1" t="s">
        <v>13</v>
      </c>
      <c r="E974" s="1" t="s">
        <v>17</v>
      </c>
      <c r="F974" s="5">
        <v>50.3687</v>
      </c>
      <c r="G974" s="5">
        <v>4814.733113</v>
      </c>
      <c r="H974" s="5">
        <v>17.6291</v>
      </c>
      <c r="I974" s="5">
        <v>782.0</v>
      </c>
    </row>
    <row r="975">
      <c r="A975" s="6" t="s">
        <v>2488</v>
      </c>
      <c r="B975" s="5">
        <v>7.0</v>
      </c>
      <c r="C975" s="1" t="s">
        <v>12</v>
      </c>
      <c r="D975" s="1" t="s">
        <v>13</v>
      </c>
      <c r="E975" s="1" t="s">
        <v>21</v>
      </c>
      <c r="F975" s="5">
        <v>28.8776</v>
      </c>
      <c r="G975" s="5">
        <v>3543.020208</v>
      </c>
      <c r="H975" s="5">
        <v>14.4389</v>
      </c>
      <c r="I975" s="5">
        <v>676.0</v>
      </c>
    </row>
    <row r="976">
      <c r="A976" s="6" t="s">
        <v>2488</v>
      </c>
      <c r="B976" s="5">
        <v>7.0</v>
      </c>
      <c r="C976" s="1" t="s">
        <v>12</v>
      </c>
      <c r="D976" s="1" t="s">
        <v>29</v>
      </c>
      <c r="E976" s="1" t="s">
        <v>14</v>
      </c>
      <c r="F976" s="5">
        <v>0.0822</v>
      </c>
      <c r="G976" s="5">
        <v>10.547372</v>
      </c>
      <c r="H976" s="5">
        <v>0.0164</v>
      </c>
      <c r="I976" s="5">
        <v>11.0</v>
      </c>
    </row>
    <row r="977">
      <c r="A977" s="6" t="s">
        <v>2488</v>
      </c>
      <c r="B977" s="5">
        <v>7.0</v>
      </c>
      <c r="C977" s="1" t="s">
        <v>12</v>
      </c>
      <c r="D977" s="1" t="s">
        <v>29</v>
      </c>
      <c r="E977" s="1" t="s">
        <v>21</v>
      </c>
      <c r="F977" s="5">
        <v>31.1485</v>
      </c>
      <c r="G977" s="5">
        <v>5644.685427</v>
      </c>
      <c r="H977" s="5">
        <v>12.4594</v>
      </c>
      <c r="I977" s="5">
        <v>754.0</v>
      </c>
    </row>
    <row r="978">
      <c r="A978" s="6" t="s">
        <v>2488</v>
      </c>
      <c r="B978" s="5">
        <v>7.0</v>
      </c>
      <c r="C978" s="1" t="s">
        <v>12</v>
      </c>
      <c r="D978" s="1" t="s">
        <v>38</v>
      </c>
      <c r="E978" s="1" t="s">
        <v>39</v>
      </c>
      <c r="F978" s="5">
        <v>2.4838</v>
      </c>
      <c r="G978" s="5">
        <v>276.893473</v>
      </c>
      <c r="H978" s="5">
        <v>0.4471</v>
      </c>
      <c r="I978" s="5">
        <v>101.0</v>
      </c>
    </row>
    <row r="979">
      <c r="A979" s="6" t="s">
        <v>2488</v>
      </c>
      <c r="B979" s="5">
        <v>7.0</v>
      </c>
      <c r="C979" s="1" t="s">
        <v>12</v>
      </c>
      <c r="D979" s="1" t="s">
        <v>45</v>
      </c>
      <c r="E979" s="1" t="s">
        <v>17</v>
      </c>
      <c r="F979" s="5">
        <v>2.8607</v>
      </c>
      <c r="G979" s="5">
        <v>238.596017</v>
      </c>
      <c r="H979" s="5">
        <v>1.0298</v>
      </c>
      <c r="I979" s="5">
        <v>234.0</v>
      </c>
    </row>
    <row r="980">
      <c r="A980" s="6" t="s">
        <v>2488</v>
      </c>
      <c r="B980" s="5">
        <v>7.0</v>
      </c>
      <c r="C980" s="1" t="s">
        <v>12</v>
      </c>
      <c r="D980" s="1" t="s">
        <v>48</v>
      </c>
      <c r="E980" s="1" t="s">
        <v>49</v>
      </c>
      <c r="F980" s="5">
        <v>0.0680999999999999</v>
      </c>
      <c r="G980" s="5">
        <v>17.309398</v>
      </c>
      <c r="H980" s="5">
        <v>0.0191</v>
      </c>
      <c r="I980" s="5">
        <v>19.0</v>
      </c>
    </row>
    <row r="981">
      <c r="A981" s="6" t="s">
        <v>2488</v>
      </c>
      <c r="B981" s="5">
        <v>7.0</v>
      </c>
      <c r="C981" s="1" t="s">
        <v>12</v>
      </c>
      <c r="D981" s="1" t="s">
        <v>48</v>
      </c>
      <c r="E981" s="1" t="s">
        <v>21</v>
      </c>
      <c r="F981" s="5">
        <v>1.0635</v>
      </c>
      <c r="G981" s="5">
        <v>137.117698</v>
      </c>
      <c r="H981" s="5">
        <v>0.4254</v>
      </c>
      <c r="I981" s="5">
        <v>171.0</v>
      </c>
    </row>
    <row r="982">
      <c r="A982" s="6" t="s">
        <v>2488</v>
      </c>
      <c r="B982" s="5">
        <v>7.0</v>
      </c>
      <c r="C982" s="1" t="s">
        <v>12</v>
      </c>
      <c r="D982" s="1" t="s">
        <v>1830</v>
      </c>
      <c r="E982" s="1" t="s">
        <v>72</v>
      </c>
      <c r="F982" s="5">
        <v>1.7728</v>
      </c>
      <c r="G982" s="5">
        <v>141.873434</v>
      </c>
      <c r="H982" s="5">
        <v>0.5673</v>
      </c>
      <c r="I982" s="5">
        <v>369.0</v>
      </c>
    </row>
    <row r="983">
      <c r="A983" s="6" t="s">
        <v>2488</v>
      </c>
      <c r="B983" s="5">
        <v>7.0</v>
      </c>
      <c r="C983" s="1" t="s">
        <v>12</v>
      </c>
      <c r="D983" s="1" t="s">
        <v>42</v>
      </c>
      <c r="E983" s="1" t="s">
        <v>17</v>
      </c>
      <c r="F983" s="5">
        <v>0.724</v>
      </c>
      <c r="G983" s="5">
        <v>94.276287</v>
      </c>
      <c r="H983" s="5">
        <v>0.2679</v>
      </c>
      <c r="I983" s="5">
        <v>0.0</v>
      </c>
    </row>
    <row r="984">
      <c r="A984" s="6" t="s">
        <v>2488</v>
      </c>
      <c r="B984" s="5">
        <v>7.0</v>
      </c>
      <c r="C984" s="1" t="s">
        <v>12</v>
      </c>
      <c r="D984" s="1" t="s">
        <v>32</v>
      </c>
      <c r="E984" s="1" t="s">
        <v>14</v>
      </c>
      <c r="F984" s="5">
        <v>0.5674</v>
      </c>
      <c r="G984" s="5">
        <v>36.606651</v>
      </c>
      <c r="H984" s="5">
        <v>0.1305</v>
      </c>
      <c r="I984" s="5">
        <v>83.0</v>
      </c>
    </row>
    <row r="985">
      <c r="A985" s="6" t="s">
        <v>2488</v>
      </c>
      <c r="B985" s="5">
        <v>7.0</v>
      </c>
      <c r="C985" s="1" t="s">
        <v>12</v>
      </c>
      <c r="D985" s="1" t="s">
        <v>32</v>
      </c>
      <c r="E985" s="1" t="s">
        <v>21</v>
      </c>
      <c r="F985" s="5">
        <v>0.5201</v>
      </c>
      <c r="G985" s="5">
        <v>51.047383</v>
      </c>
      <c r="H985" s="5">
        <v>0.2341</v>
      </c>
      <c r="I985" s="5">
        <v>66.0</v>
      </c>
    </row>
    <row r="986">
      <c r="A986" s="6" t="s">
        <v>2488</v>
      </c>
      <c r="B986" s="5">
        <v>7.0</v>
      </c>
      <c r="C986" s="1" t="s">
        <v>12</v>
      </c>
      <c r="D986" s="1" t="s">
        <v>1851</v>
      </c>
      <c r="E986" s="1" t="s">
        <v>17</v>
      </c>
      <c r="F986" s="5">
        <v>0.2493</v>
      </c>
      <c r="G986" s="5">
        <v>18.507283</v>
      </c>
      <c r="H986" s="5">
        <v>0.096</v>
      </c>
      <c r="I986" s="5">
        <v>37.0</v>
      </c>
    </row>
    <row r="987">
      <c r="A987" s="6" t="s">
        <v>2488</v>
      </c>
      <c r="B987" s="5">
        <v>7.0</v>
      </c>
      <c r="C987" s="1" t="s">
        <v>12</v>
      </c>
      <c r="D987" s="1" t="s">
        <v>1851</v>
      </c>
      <c r="E987" s="1" t="s">
        <v>21</v>
      </c>
      <c r="F987" s="5">
        <v>1.0944</v>
      </c>
      <c r="G987" s="5">
        <v>66.562141</v>
      </c>
      <c r="H987" s="5">
        <v>0.5362</v>
      </c>
      <c r="I987" s="5">
        <v>109.0</v>
      </c>
    </row>
    <row r="988">
      <c r="A988" s="6" t="s">
        <v>2488</v>
      </c>
      <c r="B988" s="5">
        <v>7.0</v>
      </c>
      <c r="C988" s="1" t="s">
        <v>12</v>
      </c>
      <c r="D988" s="1" t="s">
        <v>544</v>
      </c>
      <c r="E988" s="1" t="s">
        <v>17</v>
      </c>
      <c r="F988" s="5">
        <v>1.1017</v>
      </c>
      <c r="G988" s="5">
        <v>60.192714</v>
      </c>
      <c r="H988" s="5">
        <v>0.3856</v>
      </c>
      <c r="I988" s="5">
        <v>103.0</v>
      </c>
    </row>
    <row r="989">
      <c r="A989" s="6" t="s">
        <v>2488</v>
      </c>
      <c r="B989" s="5">
        <v>7.0</v>
      </c>
      <c r="C989" s="1" t="s">
        <v>68</v>
      </c>
      <c r="D989" s="1" t="s">
        <v>13</v>
      </c>
      <c r="E989" s="1" t="s">
        <v>14</v>
      </c>
      <c r="F989" s="5">
        <v>54.0753</v>
      </c>
      <c r="G989" s="5">
        <v>3221.262657</v>
      </c>
      <c r="H989" s="5">
        <v>11.3558</v>
      </c>
      <c r="I989" s="5">
        <v>7112.0</v>
      </c>
    </row>
    <row r="990">
      <c r="A990" s="6" t="s">
        <v>2488</v>
      </c>
      <c r="B990" s="5">
        <v>7.0</v>
      </c>
      <c r="C990" s="1" t="s">
        <v>68</v>
      </c>
      <c r="D990" s="1" t="s">
        <v>13</v>
      </c>
      <c r="E990" s="1" t="s">
        <v>17</v>
      </c>
      <c r="F990" s="5">
        <v>48.9732</v>
      </c>
      <c r="G990" s="5">
        <v>4884.351699</v>
      </c>
      <c r="H990" s="5">
        <v>17.1406</v>
      </c>
      <c r="I990" s="5">
        <v>9029.0</v>
      </c>
    </row>
    <row r="991">
      <c r="A991" s="6" t="s">
        <v>2488</v>
      </c>
      <c r="B991" s="5">
        <v>7.0</v>
      </c>
      <c r="C991" s="1" t="s">
        <v>68</v>
      </c>
      <c r="D991" s="1" t="s">
        <v>13</v>
      </c>
      <c r="E991" s="1" t="s">
        <v>21</v>
      </c>
      <c r="F991" s="5">
        <v>2.3963</v>
      </c>
      <c r="G991" s="5">
        <v>361.062196</v>
      </c>
      <c r="H991" s="5">
        <v>1.1982</v>
      </c>
      <c r="I991" s="5">
        <v>506.0</v>
      </c>
    </row>
    <row r="992">
      <c r="A992" s="6" t="s">
        <v>2488</v>
      </c>
      <c r="B992" s="5">
        <v>7.0</v>
      </c>
      <c r="C992" s="1" t="s">
        <v>68</v>
      </c>
      <c r="D992" s="1" t="s">
        <v>13</v>
      </c>
      <c r="E992" s="1" t="s">
        <v>25</v>
      </c>
      <c r="F992" s="5">
        <v>0.4027</v>
      </c>
      <c r="G992" s="5">
        <v>65.041677</v>
      </c>
      <c r="H992" s="5">
        <v>0.302</v>
      </c>
      <c r="I992" s="5">
        <v>245.0</v>
      </c>
    </row>
    <row r="993">
      <c r="A993" s="6" t="s">
        <v>2488</v>
      </c>
      <c r="B993" s="5">
        <v>7.0</v>
      </c>
      <c r="C993" s="1" t="s">
        <v>68</v>
      </c>
      <c r="D993" s="1" t="s">
        <v>29</v>
      </c>
      <c r="E993" s="1" t="s">
        <v>14</v>
      </c>
      <c r="F993" s="5">
        <v>0.0126</v>
      </c>
      <c r="G993" s="5">
        <v>1.6490319999999998</v>
      </c>
      <c r="H993" s="5">
        <v>0.0025</v>
      </c>
      <c r="I993" s="5">
        <v>7.0</v>
      </c>
    </row>
    <row r="994">
      <c r="A994" s="6" t="s">
        <v>2488</v>
      </c>
      <c r="B994" s="5">
        <v>7.0</v>
      </c>
      <c r="C994" s="1" t="s">
        <v>68</v>
      </c>
      <c r="D994" s="1" t="s">
        <v>29</v>
      </c>
      <c r="E994" s="1" t="s">
        <v>21</v>
      </c>
      <c r="F994" s="5">
        <v>6.2703</v>
      </c>
      <c r="G994" s="5">
        <v>1229.6147190000002</v>
      </c>
      <c r="H994" s="5">
        <v>2.508</v>
      </c>
      <c r="I994" s="5">
        <v>914.0</v>
      </c>
    </row>
    <row r="995">
      <c r="A995" s="6" t="s">
        <v>2488</v>
      </c>
      <c r="B995" s="5">
        <v>7.0</v>
      </c>
      <c r="C995" s="1" t="s">
        <v>68</v>
      </c>
      <c r="D995" s="1" t="s">
        <v>1851</v>
      </c>
      <c r="E995" s="1" t="s">
        <v>17</v>
      </c>
      <c r="F995" s="5">
        <v>3.1949</v>
      </c>
      <c r="G995" s="5">
        <v>253.92876500000003</v>
      </c>
      <c r="H995" s="5">
        <v>1.23</v>
      </c>
      <c r="I995" s="5">
        <v>1785.0</v>
      </c>
    </row>
    <row r="996">
      <c r="A996" s="6" t="s">
        <v>2488</v>
      </c>
      <c r="B996" s="5">
        <v>7.0</v>
      </c>
      <c r="C996" s="1" t="s">
        <v>68</v>
      </c>
      <c r="D996" s="1" t="s">
        <v>1851</v>
      </c>
      <c r="E996" s="1" t="s">
        <v>21</v>
      </c>
      <c r="F996" s="5">
        <v>11.3647</v>
      </c>
      <c r="G996" s="5">
        <v>777.1369449999991</v>
      </c>
      <c r="H996" s="5">
        <v>5.5686</v>
      </c>
      <c r="I996" s="5">
        <v>3381.0</v>
      </c>
    </row>
    <row r="997">
      <c r="A997" s="6" t="s">
        <v>2488</v>
      </c>
      <c r="B997" s="5">
        <v>7.0</v>
      </c>
      <c r="C997" s="1" t="s">
        <v>68</v>
      </c>
      <c r="D997" s="1" t="s">
        <v>45</v>
      </c>
      <c r="E997" s="1" t="s">
        <v>17</v>
      </c>
      <c r="F997" s="5">
        <v>11.1022</v>
      </c>
      <c r="G997" s="5">
        <v>627.35439</v>
      </c>
      <c r="H997" s="5">
        <v>3.9968</v>
      </c>
      <c r="I997" s="5">
        <v>1374.0</v>
      </c>
    </row>
    <row r="998">
      <c r="A998" s="6" t="s">
        <v>2488</v>
      </c>
      <c r="B998" s="5">
        <v>7.0</v>
      </c>
      <c r="C998" s="1" t="s">
        <v>68</v>
      </c>
      <c r="D998" s="1" t="s">
        <v>544</v>
      </c>
      <c r="E998" s="1" t="s">
        <v>17</v>
      </c>
      <c r="F998" s="5">
        <v>10.392</v>
      </c>
      <c r="G998" s="5">
        <v>539.018</v>
      </c>
      <c r="H998" s="5">
        <v>3.6372</v>
      </c>
      <c r="I998" s="5">
        <v>3268.0</v>
      </c>
    </row>
    <row r="999">
      <c r="A999" s="6" t="s">
        <v>2488</v>
      </c>
      <c r="B999" s="5">
        <v>7.0</v>
      </c>
      <c r="C999" s="1" t="s">
        <v>68</v>
      </c>
      <c r="D999" s="1" t="s">
        <v>1830</v>
      </c>
      <c r="E999" s="1" t="s">
        <v>72</v>
      </c>
      <c r="F999" s="5">
        <v>8.4135</v>
      </c>
      <c r="G999" s="5">
        <v>442.433333</v>
      </c>
      <c r="H999" s="5">
        <v>2.6923</v>
      </c>
      <c r="I999" s="5">
        <v>4822.0</v>
      </c>
    </row>
    <row r="1000">
      <c r="A1000" s="6" t="s">
        <v>2488</v>
      </c>
      <c r="B1000" s="5">
        <v>7.0</v>
      </c>
      <c r="C1000" s="1" t="s">
        <v>68</v>
      </c>
      <c r="D1000" s="1" t="s">
        <v>32</v>
      </c>
      <c r="E1000" s="1" t="s">
        <v>14</v>
      </c>
      <c r="F1000" s="5">
        <v>4.3244</v>
      </c>
      <c r="G1000" s="5">
        <v>287.874421</v>
      </c>
      <c r="H1000" s="5">
        <v>0.9946</v>
      </c>
      <c r="I1000" s="5">
        <v>1115.0</v>
      </c>
    </row>
    <row r="1001">
      <c r="A1001" s="6" t="s">
        <v>2488</v>
      </c>
      <c r="B1001" s="5">
        <v>7.0</v>
      </c>
      <c r="C1001" s="1" t="s">
        <v>68</v>
      </c>
      <c r="D1001" s="1" t="s">
        <v>32</v>
      </c>
      <c r="E1001" s="1" t="s">
        <v>21</v>
      </c>
      <c r="F1001" s="5">
        <v>0.5631</v>
      </c>
      <c r="G1001" s="5">
        <v>42.496089</v>
      </c>
      <c r="H1001" s="5">
        <v>0.2534</v>
      </c>
      <c r="I1001" s="5">
        <v>352.0</v>
      </c>
    </row>
    <row r="1002">
      <c r="A1002" s="6" t="s">
        <v>2488</v>
      </c>
      <c r="B1002" s="5">
        <v>7.0</v>
      </c>
      <c r="C1002" s="1" t="s">
        <v>68</v>
      </c>
      <c r="D1002" s="1" t="s">
        <v>2088</v>
      </c>
      <c r="E1002" s="1" t="s">
        <v>21</v>
      </c>
      <c r="F1002" s="5">
        <v>1.7793</v>
      </c>
      <c r="G1002" s="5">
        <v>180.530733</v>
      </c>
      <c r="H1002" s="5">
        <v>0.7117</v>
      </c>
      <c r="I1002" s="5">
        <v>549.0</v>
      </c>
    </row>
    <row r="1003">
      <c r="A1003" s="6" t="s">
        <v>2488</v>
      </c>
      <c r="B1003" s="5">
        <v>7.0</v>
      </c>
      <c r="C1003" s="1" t="s">
        <v>68</v>
      </c>
      <c r="D1003" s="1" t="s">
        <v>38</v>
      </c>
      <c r="E1003" s="1" t="s">
        <v>39</v>
      </c>
      <c r="F1003" s="5">
        <v>1.5719</v>
      </c>
      <c r="G1003" s="5">
        <v>139.357318</v>
      </c>
      <c r="H1003" s="5">
        <v>0.2829</v>
      </c>
      <c r="I1003" s="5">
        <v>253.0</v>
      </c>
    </row>
    <row r="1004">
      <c r="A1004" s="6" t="s">
        <v>2488</v>
      </c>
      <c r="B1004" s="5">
        <v>7.0</v>
      </c>
      <c r="C1004" s="1" t="s">
        <v>68</v>
      </c>
      <c r="D1004" s="1" t="s">
        <v>42</v>
      </c>
      <c r="E1004" s="1" t="s">
        <v>17</v>
      </c>
      <c r="F1004" s="5">
        <v>0.7097</v>
      </c>
      <c r="G1004" s="5">
        <v>124.258366</v>
      </c>
      <c r="H1004" s="5">
        <v>0.2626</v>
      </c>
      <c r="I1004" s="5">
        <v>210.0</v>
      </c>
    </row>
    <row r="1005">
      <c r="A1005" s="6" t="s">
        <v>2488</v>
      </c>
      <c r="B1005" s="5">
        <v>7.0</v>
      </c>
      <c r="C1005" s="1" t="s">
        <v>116</v>
      </c>
      <c r="D1005" s="1" t="s">
        <v>13</v>
      </c>
      <c r="E1005" s="1" t="s">
        <v>14</v>
      </c>
      <c r="F1005" s="5">
        <v>126.3103</v>
      </c>
      <c r="G1005" s="5">
        <v>7576.229367999999</v>
      </c>
      <c r="H1005" s="5">
        <v>26.5251</v>
      </c>
      <c r="I1005" s="5">
        <v>12289.0</v>
      </c>
    </row>
    <row r="1006">
      <c r="A1006" s="6" t="s">
        <v>2488</v>
      </c>
      <c r="B1006" s="5">
        <v>7.0</v>
      </c>
      <c r="C1006" s="1" t="s">
        <v>116</v>
      </c>
      <c r="D1006" s="1" t="s">
        <v>13</v>
      </c>
      <c r="E1006" s="1" t="s">
        <v>17</v>
      </c>
      <c r="F1006" s="5">
        <v>108.4761</v>
      </c>
      <c r="G1006" s="5">
        <v>10606.008457</v>
      </c>
      <c r="H1006" s="5">
        <v>37.9666</v>
      </c>
      <c r="I1006" s="5">
        <v>15057.0</v>
      </c>
    </row>
    <row r="1007">
      <c r="A1007" s="6" t="s">
        <v>2488</v>
      </c>
      <c r="B1007" s="5">
        <v>7.0</v>
      </c>
      <c r="C1007" s="1" t="s">
        <v>116</v>
      </c>
      <c r="D1007" s="1" t="s">
        <v>13</v>
      </c>
      <c r="E1007" s="1" t="s">
        <v>21</v>
      </c>
      <c r="F1007" s="5">
        <v>6.9093</v>
      </c>
      <c r="G1007" s="5">
        <v>968.999916</v>
      </c>
      <c r="H1007" s="5">
        <v>3.4546</v>
      </c>
      <c r="I1007" s="5">
        <v>693.0</v>
      </c>
    </row>
    <row r="1008">
      <c r="A1008" s="6" t="s">
        <v>2488</v>
      </c>
      <c r="B1008" s="5">
        <v>7.0</v>
      </c>
      <c r="C1008" s="1" t="s">
        <v>116</v>
      </c>
      <c r="D1008" s="1" t="s">
        <v>13</v>
      </c>
      <c r="E1008" s="1" t="s">
        <v>25</v>
      </c>
      <c r="F1008" s="5">
        <v>0.0119</v>
      </c>
      <c r="G1008" s="5">
        <v>2.466652</v>
      </c>
      <c r="H1008" s="5">
        <v>0.00899999999999999</v>
      </c>
      <c r="I1008" s="5">
        <v>4.0</v>
      </c>
    </row>
    <row r="1009">
      <c r="A1009" s="6" t="s">
        <v>2488</v>
      </c>
      <c r="B1009" s="5">
        <v>7.0</v>
      </c>
      <c r="C1009" s="1" t="s">
        <v>116</v>
      </c>
      <c r="D1009" s="1" t="s">
        <v>29</v>
      </c>
      <c r="E1009" s="1" t="s">
        <v>14</v>
      </c>
      <c r="F1009" s="5">
        <v>1.023</v>
      </c>
      <c r="G1009" s="5">
        <v>116.463955</v>
      </c>
      <c r="H1009" s="5">
        <v>0.2046</v>
      </c>
      <c r="I1009" s="5">
        <v>252.0</v>
      </c>
    </row>
    <row r="1010">
      <c r="A1010" s="6" t="s">
        <v>2488</v>
      </c>
      <c r="B1010" s="5">
        <v>7.0</v>
      </c>
      <c r="C1010" s="1" t="s">
        <v>116</v>
      </c>
      <c r="D1010" s="1" t="s">
        <v>29</v>
      </c>
      <c r="E1010" s="1" t="s">
        <v>21</v>
      </c>
      <c r="F1010" s="5">
        <v>38.8084</v>
      </c>
      <c r="G1010" s="5">
        <v>6837.95726</v>
      </c>
      <c r="H1010" s="5">
        <v>15.5233</v>
      </c>
      <c r="I1010" s="5">
        <v>2278.0</v>
      </c>
    </row>
    <row r="1011">
      <c r="A1011" s="6" t="s">
        <v>2488</v>
      </c>
      <c r="B1011" s="5">
        <v>7.0</v>
      </c>
      <c r="C1011" s="1" t="s">
        <v>116</v>
      </c>
      <c r="D1011" s="1" t="s">
        <v>1851</v>
      </c>
      <c r="E1011" s="1" t="s">
        <v>17</v>
      </c>
      <c r="F1011" s="5">
        <v>10.1316</v>
      </c>
      <c r="G1011" s="5">
        <v>816.48217</v>
      </c>
      <c r="H1011" s="5">
        <v>3.9007</v>
      </c>
      <c r="I1011" s="5">
        <v>5403.0</v>
      </c>
    </row>
    <row r="1012">
      <c r="A1012" s="6" t="s">
        <v>2488</v>
      </c>
      <c r="B1012" s="5">
        <v>7.0</v>
      </c>
      <c r="C1012" s="1" t="s">
        <v>116</v>
      </c>
      <c r="D1012" s="1" t="s">
        <v>1851</v>
      </c>
      <c r="E1012" s="1" t="s">
        <v>21</v>
      </c>
      <c r="F1012" s="5">
        <v>19.1341</v>
      </c>
      <c r="G1012" s="5">
        <v>1313.90949</v>
      </c>
      <c r="H1012" s="5">
        <v>9.3757</v>
      </c>
      <c r="I1012" s="5">
        <v>5075.0</v>
      </c>
    </row>
    <row r="1013">
      <c r="A1013" s="6" t="s">
        <v>2488</v>
      </c>
      <c r="B1013" s="5">
        <v>7.0</v>
      </c>
      <c r="C1013" s="1" t="s">
        <v>116</v>
      </c>
      <c r="D1013" s="1" t="s">
        <v>45</v>
      </c>
      <c r="E1013" s="1" t="s">
        <v>17</v>
      </c>
      <c r="F1013" s="5">
        <v>27.9902</v>
      </c>
      <c r="G1013" s="5">
        <v>1759.8600279999998</v>
      </c>
      <c r="H1013" s="5">
        <v>10.0765</v>
      </c>
      <c r="I1013" s="5">
        <v>1629.0</v>
      </c>
    </row>
    <row r="1014">
      <c r="A1014" s="6" t="s">
        <v>2488</v>
      </c>
      <c r="B1014" s="5">
        <v>7.0</v>
      </c>
      <c r="C1014" s="1" t="s">
        <v>116</v>
      </c>
      <c r="D1014" s="1" t="s">
        <v>544</v>
      </c>
      <c r="E1014" s="1" t="s">
        <v>17</v>
      </c>
      <c r="F1014" s="5">
        <v>19.0495</v>
      </c>
      <c r="G1014" s="5">
        <v>959.116532</v>
      </c>
      <c r="H1014" s="5">
        <v>6.6673</v>
      </c>
      <c r="I1014" s="5">
        <v>5302.0</v>
      </c>
    </row>
    <row r="1015">
      <c r="A1015" s="6" t="s">
        <v>2488</v>
      </c>
      <c r="B1015" s="5">
        <v>7.0</v>
      </c>
      <c r="C1015" s="1" t="s">
        <v>116</v>
      </c>
      <c r="D1015" s="1" t="s">
        <v>1830</v>
      </c>
      <c r="E1015" s="1" t="s">
        <v>72</v>
      </c>
      <c r="F1015" s="5">
        <v>7.5702</v>
      </c>
      <c r="G1015" s="5">
        <v>412.478904</v>
      </c>
      <c r="H1015" s="5">
        <v>2.4225</v>
      </c>
      <c r="I1015" s="5">
        <v>4586.0</v>
      </c>
    </row>
    <row r="1016">
      <c r="A1016" s="6" t="s">
        <v>2488</v>
      </c>
      <c r="B1016" s="5">
        <v>7.0</v>
      </c>
      <c r="C1016" s="1" t="s">
        <v>116</v>
      </c>
      <c r="D1016" s="1" t="s">
        <v>32</v>
      </c>
      <c r="E1016" s="1" t="s">
        <v>14</v>
      </c>
      <c r="F1016" s="5">
        <v>0.928899999999999</v>
      </c>
      <c r="G1016" s="5">
        <v>27.907627</v>
      </c>
      <c r="H1016" s="5">
        <v>0.2136</v>
      </c>
      <c r="I1016" s="5">
        <v>131.0</v>
      </c>
    </row>
    <row r="1017">
      <c r="A1017" s="6" t="s">
        <v>2488</v>
      </c>
      <c r="B1017" s="5">
        <v>7.0</v>
      </c>
      <c r="C1017" s="1" t="s">
        <v>116</v>
      </c>
      <c r="D1017" s="1" t="s">
        <v>32</v>
      </c>
      <c r="E1017" s="1" t="s">
        <v>21</v>
      </c>
      <c r="F1017" s="5">
        <v>4.2949</v>
      </c>
      <c r="G1017" s="5">
        <v>346.083656</v>
      </c>
      <c r="H1017" s="5">
        <v>1.9328</v>
      </c>
      <c r="I1017" s="5">
        <v>1404.0</v>
      </c>
    </row>
    <row r="1018">
      <c r="A1018" s="6" t="s">
        <v>2488</v>
      </c>
      <c r="B1018" s="5">
        <v>7.0</v>
      </c>
      <c r="C1018" s="1" t="s">
        <v>116</v>
      </c>
      <c r="D1018" s="1" t="s">
        <v>147</v>
      </c>
      <c r="E1018" s="1" t="s">
        <v>39</v>
      </c>
      <c r="F1018" s="5">
        <v>0.929899999999999</v>
      </c>
      <c r="G1018" s="5">
        <v>287.866199</v>
      </c>
      <c r="H1018" s="5">
        <v>0.1766</v>
      </c>
      <c r="I1018" s="5">
        <v>105.0</v>
      </c>
    </row>
    <row r="1019">
      <c r="A1019" s="6" t="s">
        <v>2488</v>
      </c>
      <c r="B1019" s="5">
        <v>7.0</v>
      </c>
      <c r="C1019" s="1" t="s">
        <v>116</v>
      </c>
      <c r="D1019" s="1" t="s">
        <v>147</v>
      </c>
      <c r="E1019" s="1" t="s">
        <v>17</v>
      </c>
      <c r="F1019" s="5">
        <v>0.0166</v>
      </c>
      <c r="G1019" s="5">
        <v>6.943837</v>
      </c>
      <c r="H1019" s="5">
        <v>0.0059</v>
      </c>
      <c r="I1019" s="5">
        <v>5.0</v>
      </c>
    </row>
    <row r="1020">
      <c r="A1020" s="6" t="s">
        <v>2488</v>
      </c>
      <c r="B1020" s="5">
        <v>7.0</v>
      </c>
      <c r="C1020" s="1" t="s">
        <v>116</v>
      </c>
      <c r="D1020" s="1" t="s">
        <v>147</v>
      </c>
      <c r="E1020" s="1" t="s">
        <v>21</v>
      </c>
      <c r="F1020" s="5">
        <v>0.0493</v>
      </c>
      <c r="G1020" s="5">
        <v>25.549584</v>
      </c>
      <c r="H1020" s="5">
        <v>0.0246</v>
      </c>
      <c r="I1020" s="5">
        <v>34.0</v>
      </c>
    </row>
    <row r="1021">
      <c r="A1021" s="6" t="s">
        <v>2488</v>
      </c>
      <c r="B1021" s="5">
        <v>7.0</v>
      </c>
      <c r="C1021" s="1" t="s">
        <v>116</v>
      </c>
      <c r="D1021" s="1" t="s">
        <v>42</v>
      </c>
      <c r="E1021" s="1" t="s">
        <v>17</v>
      </c>
      <c r="F1021" s="5">
        <v>1.1897</v>
      </c>
      <c r="G1021" s="5">
        <v>225.06434099999998</v>
      </c>
      <c r="H1021" s="5">
        <v>0.4402</v>
      </c>
      <c r="I1021" s="5">
        <v>0.0</v>
      </c>
    </row>
    <row r="1022">
      <c r="A1022" s="6" t="s">
        <v>2488</v>
      </c>
      <c r="B1022" s="5">
        <v>7.0</v>
      </c>
      <c r="C1022" s="1" t="s">
        <v>116</v>
      </c>
      <c r="D1022" s="1" t="s">
        <v>158</v>
      </c>
      <c r="E1022" s="1" t="s">
        <v>17</v>
      </c>
      <c r="F1022" s="5">
        <v>0.0741</v>
      </c>
      <c r="G1022" s="5">
        <v>34.415037</v>
      </c>
      <c r="H1022" s="5">
        <v>0.0259</v>
      </c>
      <c r="I1022" s="5">
        <v>0.0</v>
      </c>
    </row>
    <row r="1023">
      <c r="A1023" s="6" t="s">
        <v>2488</v>
      </c>
      <c r="B1023" s="5">
        <v>7.0</v>
      </c>
      <c r="C1023" s="1" t="s">
        <v>116</v>
      </c>
      <c r="D1023" s="1" t="s">
        <v>158</v>
      </c>
      <c r="E1023" s="1" t="s">
        <v>21</v>
      </c>
      <c r="F1023" s="5">
        <v>0.2776</v>
      </c>
      <c r="G1023" s="5">
        <v>161.844556</v>
      </c>
      <c r="H1023" s="5">
        <v>0.1166</v>
      </c>
      <c r="I1023" s="5">
        <v>0.0</v>
      </c>
    </row>
    <row r="1024">
      <c r="A1024" s="6" t="s">
        <v>2488</v>
      </c>
      <c r="B1024" s="5">
        <v>8.0</v>
      </c>
      <c r="C1024" s="1" t="s">
        <v>12</v>
      </c>
      <c r="D1024" s="1" t="s">
        <v>13</v>
      </c>
      <c r="E1024" s="1" t="s">
        <v>14</v>
      </c>
      <c r="F1024" s="5">
        <v>10.2483</v>
      </c>
      <c r="G1024" s="5">
        <v>694.009956999999</v>
      </c>
      <c r="H1024" s="5">
        <v>2.1522</v>
      </c>
      <c r="I1024" s="5">
        <v>524.0</v>
      </c>
    </row>
    <row r="1025">
      <c r="A1025" s="6" t="s">
        <v>2488</v>
      </c>
      <c r="B1025" s="5">
        <v>8.0</v>
      </c>
      <c r="C1025" s="1" t="s">
        <v>12</v>
      </c>
      <c r="D1025" s="1" t="s">
        <v>13</v>
      </c>
      <c r="E1025" s="1" t="s">
        <v>17</v>
      </c>
      <c r="F1025" s="5">
        <v>57.8795</v>
      </c>
      <c r="G1025" s="5">
        <v>5266.284194</v>
      </c>
      <c r="H1025" s="5">
        <v>20.2578</v>
      </c>
      <c r="I1025" s="5">
        <v>787.0</v>
      </c>
    </row>
    <row r="1026">
      <c r="A1026" s="6" t="s">
        <v>2488</v>
      </c>
      <c r="B1026" s="5">
        <v>8.0</v>
      </c>
      <c r="C1026" s="1" t="s">
        <v>12</v>
      </c>
      <c r="D1026" s="1" t="s">
        <v>13</v>
      </c>
      <c r="E1026" s="1" t="s">
        <v>21</v>
      </c>
      <c r="F1026" s="5">
        <v>36.1477</v>
      </c>
      <c r="G1026" s="5">
        <v>4297.3749179999995</v>
      </c>
      <c r="H1026" s="5">
        <v>18.0739</v>
      </c>
      <c r="I1026" s="5">
        <v>679.0</v>
      </c>
    </row>
    <row r="1027">
      <c r="A1027" s="6" t="s">
        <v>2488</v>
      </c>
      <c r="B1027" s="5">
        <v>8.0</v>
      </c>
      <c r="C1027" s="1" t="s">
        <v>12</v>
      </c>
      <c r="D1027" s="1" t="s">
        <v>29</v>
      </c>
      <c r="E1027" s="1" t="s">
        <v>14</v>
      </c>
      <c r="F1027" s="5">
        <v>0.0756</v>
      </c>
      <c r="G1027" s="5">
        <v>10.129644</v>
      </c>
      <c r="H1027" s="5">
        <v>0.0151</v>
      </c>
      <c r="I1027" s="5">
        <v>11.0</v>
      </c>
    </row>
    <row r="1028">
      <c r="A1028" s="6" t="s">
        <v>2488</v>
      </c>
      <c r="B1028" s="5">
        <v>8.0</v>
      </c>
      <c r="C1028" s="1" t="s">
        <v>12</v>
      </c>
      <c r="D1028" s="1" t="s">
        <v>29</v>
      </c>
      <c r="E1028" s="1" t="s">
        <v>21</v>
      </c>
      <c r="F1028" s="5">
        <v>19.8438</v>
      </c>
      <c r="G1028" s="5">
        <v>4048.5126</v>
      </c>
      <c r="H1028" s="5">
        <v>7.9376</v>
      </c>
      <c r="I1028" s="5">
        <v>737.0</v>
      </c>
    </row>
    <row r="1029">
      <c r="A1029" s="6" t="s">
        <v>2488</v>
      </c>
      <c r="B1029" s="5">
        <v>8.0</v>
      </c>
      <c r="C1029" s="1" t="s">
        <v>12</v>
      </c>
      <c r="D1029" s="1" t="s">
        <v>38</v>
      </c>
      <c r="E1029" s="1" t="s">
        <v>39</v>
      </c>
      <c r="F1029" s="5">
        <v>3.1254</v>
      </c>
      <c r="G1029" s="5">
        <v>349.836778</v>
      </c>
      <c r="H1029" s="5">
        <v>0.5626</v>
      </c>
      <c r="I1029" s="5">
        <v>127.0</v>
      </c>
    </row>
    <row r="1030">
      <c r="A1030" s="6" t="s">
        <v>2488</v>
      </c>
      <c r="B1030" s="5">
        <v>8.0</v>
      </c>
      <c r="C1030" s="1" t="s">
        <v>12</v>
      </c>
      <c r="D1030" s="1" t="s">
        <v>45</v>
      </c>
      <c r="E1030" s="1" t="s">
        <v>17</v>
      </c>
      <c r="F1030" s="5">
        <v>2.6054</v>
      </c>
      <c r="G1030" s="5">
        <v>220.183552</v>
      </c>
      <c r="H1030" s="5">
        <v>0.937999999999999</v>
      </c>
      <c r="I1030" s="5">
        <v>249.0</v>
      </c>
    </row>
    <row r="1031">
      <c r="A1031" s="6" t="s">
        <v>2488</v>
      </c>
      <c r="B1031" s="5">
        <v>8.0</v>
      </c>
      <c r="C1031" s="1" t="s">
        <v>12</v>
      </c>
      <c r="D1031" s="1" t="s">
        <v>48</v>
      </c>
      <c r="E1031" s="1" t="s">
        <v>49</v>
      </c>
      <c r="F1031" s="5">
        <v>0.0507</v>
      </c>
      <c r="G1031" s="5">
        <v>14.072999</v>
      </c>
      <c r="H1031" s="5">
        <v>0.0142</v>
      </c>
      <c r="I1031" s="5">
        <v>19.0</v>
      </c>
    </row>
    <row r="1032">
      <c r="A1032" s="6" t="s">
        <v>2488</v>
      </c>
      <c r="B1032" s="5">
        <v>8.0</v>
      </c>
      <c r="C1032" s="1" t="s">
        <v>12</v>
      </c>
      <c r="D1032" s="1" t="s">
        <v>48</v>
      </c>
      <c r="E1032" s="1" t="s">
        <v>21</v>
      </c>
      <c r="F1032" s="5">
        <v>0.9781</v>
      </c>
      <c r="G1032" s="5">
        <v>127.683803</v>
      </c>
      <c r="H1032" s="5">
        <v>0.3913</v>
      </c>
      <c r="I1032" s="5">
        <v>170.0</v>
      </c>
    </row>
    <row r="1033">
      <c r="A1033" s="6" t="s">
        <v>2488</v>
      </c>
      <c r="B1033" s="5">
        <v>8.0</v>
      </c>
      <c r="C1033" s="1" t="s">
        <v>12</v>
      </c>
      <c r="D1033" s="1" t="s">
        <v>1830</v>
      </c>
      <c r="E1033" s="1" t="s">
        <v>72</v>
      </c>
      <c r="F1033" s="5">
        <v>1.9602</v>
      </c>
      <c r="G1033" s="5">
        <v>137.103641</v>
      </c>
      <c r="H1033" s="5">
        <v>0.6273</v>
      </c>
      <c r="I1033" s="5">
        <v>338.0</v>
      </c>
    </row>
    <row r="1034">
      <c r="A1034" s="6" t="s">
        <v>2488</v>
      </c>
      <c r="B1034" s="5">
        <v>8.0</v>
      </c>
      <c r="C1034" s="1" t="s">
        <v>12</v>
      </c>
      <c r="D1034" s="1" t="s">
        <v>42</v>
      </c>
      <c r="E1034" s="1" t="s">
        <v>17</v>
      </c>
      <c r="F1034" s="5">
        <v>0.3193</v>
      </c>
      <c r="G1034" s="5">
        <v>48.341632</v>
      </c>
      <c r="H1034" s="5">
        <v>0.1182</v>
      </c>
      <c r="I1034" s="5">
        <v>33.0</v>
      </c>
    </row>
    <row r="1035">
      <c r="A1035" s="6" t="s">
        <v>2488</v>
      </c>
      <c r="B1035" s="5">
        <v>8.0</v>
      </c>
      <c r="C1035" s="1" t="s">
        <v>12</v>
      </c>
      <c r="D1035" s="1" t="s">
        <v>32</v>
      </c>
      <c r="E1035" s="1" t="s">
        <v>14</v>
      </c>
      <c r="F1035" s="5">
        <v>0.1727</v>
      </c>
      <c r="G1035" s="5">
        <v>10.632907</v>
      </c>
      <c r="H1035" s="5">
        <v>0.0397</v>
      </c>
      <c r="I1035" s="5">
        <v>47.0</v>
      </c>
    </row>
    <row r="1036">
      <c r="A1036" s="6" t="s">
        <v>2488</v>
      </c>
      <c r="B1036" s="5">
        <v>8.0</v>
      </c>
      <c r="C1036" s="1" t="s">
        <v>12</v>
      </c>
      <c r="D1036" s="1" t="s">
        <v>32</v>
      </c>
      <c r="E1036" s="1" t="s">
        <v>21</v>
      </c>
      <c r="F1036" s="5">
        <v>0.2233</v>
      </c>
      <c r="G1036" s="5">
        <v>29.563620999999998</v>
      </c>
      <c r="H1036" s="5">
        <v>0.1005</v>
      </c>
      <c r="I1036" s="5">
        <v>54.0</v>
      </c>
    </row>
    <row r="1037">
      <c r="A1037" s="6" t="s">
        <v>2488</v>
      </c>
      <c r="B1037" s="5">
        <v>8.0</v>
      </c>
      <c r="C1037" s="1" t="s">
        <v>12</v>
      </c>
      <c r="D1037" s="1" t="s">
        <v>64</v>
      </c>
      <c r="E1037" s="1" t="s">
        <v>39</v>
      </c>
      <c r="F1037" s="5">
        <v>0.5568</v>
      </c>
      <c r="G1037" s="5">
        <v>37.274619</v>
      </c>
      <c r="H1037" s="5">
        <v>0.1002</v>
      </c>
      <c r="I1037" s="5">
        <v>88.0</v>
      </c>
    </row>
    <row r="1038">
      <c r="A1038" s="6" t="s">
        <v>2488</v>
      </c>
      <c r="B1038" s="5">
        <v>8.0</v>
      </c>
      <c r="C1038" s="1" t="s">
        <v>12</v>
      </c>
      <c r="D1038" s="1" t="s">
        <v>64</v>
      </c>
      <c r="E1038" s="1" t="s">
        <v>21</v>
      </c>
      <c r="F1038" s="5">
        <v>0.0013</v>
      </c>
      <c r="G1038" s="5">
        <v>0.144415</v>
      </c>
      <c r="H1038" s="5">
        <v>5.0E-4</v>
      </c>
      <c r="I1038" s="5">
        <v>1.0</v>
      </c>
    </row>
    <row r="1039">
      <c r="A1039" s="6" t="s">
        <v>2488</v>
      </c>
      <c r="B1039" s="5">
        <v>8.0</v>
      </c>
      <c r="C1039" s="1" t="s">
        <v>12</v>
      </c>
      <c r="D1039" s="1" t="s">
        <v>1851</v>
      </c>
      <c r="E1039" s="1" t="s">
        <v>17</v>
      </c>
      <c r="F1039" s="5">
        <v>0.2014</v>
      </c>
      <c r="G1039" s="5">
        <v>14.455452</v>
      </c>
      <c r="H1039" s="5">
        <v>0.0775</v>
      </c>
      <c r="I1039" s="5">
        <v>32.0</v>
      </c>
    </row>
    <row r="1040">
      <c r="A1040" s="6" t="s">
        <v>2488</v>
      </c>
      <c r="B1040" s="5">
        <v>8.0</v>
      </c>
      <c r="C1040" s="1" t="s">
        <v>12</v>
      </c>
      <c r="D1040" s="1" t="s">
        <v>1851</v>
      </c>
      <c r="E1040" s="1" t="s">
        <v>21</v>
      </c>
      <c r="F1040" s="5">
        <v>0.4029</v>
      </c>
      <c r="G1040" s="5">
        <v>20.78609</v>
      </c>
      <c r="H1040" s="5">
        <v>0.1975</v>
      </c>
      <c r="I1040" s="5">
        <v>48.0</v>
      </c>
    </row>
    <row r="1041">
      <c r="A1041" s="6" t="s">
        <v>2488</v>
      </c>
      <c r="B1041" s="5">
        <v>8.0</v>
      </c>
      <c r="C1041" s="1" t="s">
        <v>68</v>
      </c>
      <c r="D1041" s="1" t="s">
        <v>13</v>
      </c>
      <c r="E1041" s="1" t="s">
        <v>14</v>
      </c>
      <c r="F1041" s="5">
        <v>29.2669</v>
      </c>
      <c r="G1041" s="5">
        <v>2051.053798</v>
      </c>
      <c r="H1041" s="5">
        <v>6.146</v>
      </c>
      <c r="I1041" s="5">
        <v>6264.0</v>
      </c>
    </row>
    <row r="1042">
      <c r="A1042" s="6" t="s">
        <v>2488</v>
      </c>
      <c r="B1042" s="5">
        <v>8.0</v>
      </c>
      <c r="C1042" s="1" t="s">
        <v>68</v>
      </c>
      <c r="D1042" s="1" t="s">
        <v>13</v>
      </c>
      <c r="E1042" s="1" t="s">
        <v>17</v>
      </c>
      <c r="F1042" s="5">
        <v>61.1062</v>
      </c>
      <c r="G1042" s="5">
        <v>5927.694242</v>
      </c>
      <c r="H1042" s="5">
        <v>21.3872</v>
      </c>
      <c r="I1042" s="5">
        <v>9804.0</v>
      </c>
    </row>
    <row r="1043">
      <c r="A1043" s="6" t="s">
        <v>2488</v>
      </c>
      <c r="B1043" s="5">
        <v>8.0</v>
      </c>
      <c r="C1043" s="1" t="s">
        <v>68</v>
      </c>
      <c r="D1043" s="1" t="s">
        <v>13</v>
      </c>
      <c r="E1043" s="1" t="s">
        <v>21</v>
      </c>
      <c r="F1043" s="5">
        <v>2.3611</v>
      </c>
      <c r="G1043" s="5">
        <v>354.733746</v>
      </c>
      <c r="H1043" s="5">
        <v>1.1806</v>
      </c>
      <c r="I1043" s="5">
        <v>494.0</v>
      </c>
    </row>
    <row r="1044">
      <c r="A1044" s="6" t="s">
        <v>2488</v>
      </c>
      <c r="B1044" s="5">
        <v>8.0</v>
      </c>
      <c r="C1044" s="1" t="s">
        <v>68</v>
      </c>
      <c r="D1044" s="1" t="s">
        <v>13</v>
      </c>
      <c r="E1044" s="1" t="s">
        <v>25</v>
      </c>
      <c r="F1044" s="5">
        <v>0.4027</v>
      </c>
      <c r="G1044" s="5">
        <v>65.041677</v>
      </c>
      <c r="H1044" s="5">
        <v>0.302</v>
      </c>
      <c r="I1044" s="5">
        <v>245.0</v>
      </c>
    </row>
    <row r="1045">
      <c r="A1045" s="6" t="s">
        <v>2488</v>
      </c>
      <c r="B1045" s="5">
        <v>8.0</v>
      </c>
      <c r="C1045" s="1" t="s">
        <v>68</v>
      </c>
      <c r="D1045" s="1" t="s">
        <v>1851</v>
      </c>
      <c r="E1045" s="1" t="s">
        <v>17</v>
      </c>
      <c r="F1045" s="5">
        <v>4.3242</v>
      </c>
      <c r="G1045" s="5">
        <v>270.11420899999996</v>
      </c>
      <c r="H1045" s="5">
        <v>1.6648</v>
      </c>
      <c r="I1045" s="5">
        <v>1760.0</v>
      </c>
    </row>
    <row r="1046">
      <c r="A1046" s="6" t="s">
        <v>2488</v>
      </c>
      <c r="B1046" s="5">
        <v>8.0</v>
      </c>
      <c r="C1046" s="1" t="s">
        <v>68</v>
      </c>
      <c r="D1046" s="1" t="s">
        <v>1851</v>
      </c>
      <c r="E1046" s="1" t="s">
        <v>21</v>
      </c>
      <c r="F1046" s="5">
        <v>9.6874</v>
      </c>
      <c r="G1046" s="5">
        <v>621.2800919999991</v>
      </c>
      <c r="H1046" s="5">
        <v>4.7468</v>
      </c>
      <c r="I1046" s="5">
        <v>3253.0</v>
      </c>
    </row>
    <row r="1047">
      <c r="A1047" s="6" t="s">
        <v>2488</v>
      </c>
      <c r="B1047" s="5">
        <v>8.0</v>
      </c>
      <c r="C1047" s="1" t="s">
        <v>68</v>
      </c>
      <c r="D1047" s="1" t="s">
        <v>29</v>
      </c>
      <c r="E1047" s="1" t="s">
        <v>14</v>
      </c>
      <c r="F1047" s="5">
        <v>0.0109</v>
      </c>
      <c r="G1047" s="5">
        <v>1.380758</v>
      </c>
      <c r="H1047" s="5">
        <v>0.0022</v>
      </c>
      <c r="I1047" s="5">
        <v>6.0</v>
      </c>
    </row>
    <row r="1048">
      <c r="A1048" s="6" t="s">
        <v>2488</v>
      </c>
      <c r="B1048" s="5">
        <v>8.0</v>
      </c>
      <c r="C1048" s="1" t="s">
        <v>68</v>
      </c>
      <c r="D1048" s="1" t="s">
        <v>29</v>
      </c>
      <c r="E1048" s="1" t="s">
        <v>21</v>
      </c>
      <c r="F1048" s="5">
        <v>4.3941</v>
      </c>
      <c r="G1048" s="5">
        <v>891.778743</v>
      </c>
      <c r="H1048" s="5">
        <v>1.7577</v>
      </c>
      <c r="I1048" s="5">
        <v>710.0</v>
      </c>
    </row>
    <row r="1049">
      <c r="A1049" s="6" t="s">
        <v>2488</v>
      </c>
      <c r="B1049" s="5">
        <v>8.0</v>
      </c>
      <c r="C1049" s="1" t="s">
        <v>68</v>
      </c>
      <c r="D1049" s="1" t="s">
        <v>45</v>
      </c>
      <c r="E1049" s="1" t="s">
        <v>17</v>
      </c>
      <c r="F1049" s="5">
        <v>8.2989</v>
      </c>
      <c r="G1049" s="5">
        <v>520.899138</v>
      </c>
      <c r="H1049" s="5">
        <v>2.9877</v>
      </c>
      <c r="I1049" s="5">
        <v>1386.0</v>
      </c>
    </row>
    <row r="1050">
      <c r="A1050" s="6" t="s">
        <v>2488</v>
      </c>
      <c r="B1050" s="5">
        <v>8.0</v>
      </c>
      <c r="C1050" s="1" t="s">
        <v>68</v>
      </c>
      <c r="D1050" s="1" t="s">
        <v>544</v>
      </c>
      <c r="E1050" s="1" t="s">
        <v>17</v>
      </c>
      <c r="F1050" s="5">
        <v>7.9817</v>
      </c>
      <c r="G1050" s="5">
        <v>399.155297</v>
      </c>
      <c r="H1050" s="5">
        <v>2.7936</v>
      </c>
      <c r="I1050" s="5">
        <v>2704.0</v>
      </c>
    </row>
    <row r="1051">
      <c r="A1051" s="6" t="s">
        <v>2488</v>
      </c>
      <c r="B1051" s="5">
        <v>8.0</v>
      </c>
      <c r="C1051" s="1" t="s">
        <v>68</v>
      </c>
      <c r="D1051" s="1" t="s">
        <v>1830</v>
      </c>
      <c r="E1051" s="1" t="s">
        <v>72</v>
      </c>
      <c r="F1051" s="5">
        <v>5.6129</v>
      </c>
      <c r="G1051" s="5">
        <v>317.75876500000004</v>
      </c>
      <c r="H1051" s="5">
        <v>1.7962</v>
      </c>
      <c r="I1051" s="5">
        <v>3735.0</v>
      </c>
    </row>
    <row r="1052">
      <c r="A1052" s="6" t="s">
        <v>2488</v>
      </c>
      <c r="B1052" s="5">
        <v>8.0</v>
      </c>
      <c r="C1052" s="1" t="s">
        <v>68</v>
      </c>
      <c r="D1052" s="1" t="s">
        <v>32</v>
      </c>
      <c r="E1052" s="1" t="s">
        <v>14</v>
      </c>
      <c r="F1052" s="5">
        <v>2.9913</v>
      </c>
      <c r="G1052" s="5">
        <v>208.893286</v>
      </c>
      <c r="H1052" s="5">
        <v>0.687999999999999</v>
      </c>
      <c r="I1052" s="5">
        <v>1140.0</v>
      </c>
    </row>
    <row r="1053">
      <c r="A1053" s="6" t="s">
        <v>2488</v>
      </c>
      <c r="B1053" s="5">
        <v>8.0</v>
      </c>
      <c r="C1053" s="1" t="s">
        <v>68</v>
      </c>
      <c r="D1053" s="1" t="s">
        <v>32</v>
      </c>
      <c r="E1053" s="1" t="s">
        <v>21</v>
      </c>
      <c r="F1053" s="5">
        <v>0.788</v>
      </c>
      <c r="G1053" s="5">
        <v>59.614591</v>
      </c>
      <c r="H1053" s="5">
        <v>0.3546</v>
      </c>
      <c r="I1053" s="5">
        <v>397.0</v>
      </c>
    </row>
    <row r="1054">
      <c r="A1054" s="6" t="s">
        <v>2488</v>
      </c>
      <c r="B1054" s="5">
        <v>8.0</v>
      </c>
      <c r="C1054" s="1" t="s">
        <v>68</v>
      </c>
      <c r="D1054" s="1" t="s">
        <v>2088</v>
      </c>
      <c r="E1054" s="1" t="s">
        <v>21</v>
      </c>
      <c r="F1054" s="5">
        <v>1.4001</v>
      </c>
      <c r="G1054" s="5">
        <v>153.400214</v>
      </c>
      <c r="H1054" s="5">
        <v>0.56</v>
      </c>
      <c r="I1054" s="5">
        <v>410.0</v>
      </c>
    </row>
    <row r="1055">
      <c r="A1055" s="6" t="s">
        <v>2488</v>
      </c>
      <c r="B1055" s="5">
        <v>8.0</v>
      </c>
      <c r="C1055" s="1" t="s">
        <v>68</v>
      </c>
      <c r="D1055" s="1" t="s">
        <v>38</v>
      </c>
      <c r="E1055" s="1" t="s">
        <v>39</v>
      </c>
      <c r="F1055" s="5">
        <v>1.5806</v>
      </c>
      <c r="G1055" s="5">
        <v>140.02031200000002</v>
      </c>
      <c r="H1055" s="5">
        <v>0.2845</v>
      </c>
      <c r="I1055" s="5">
        <v>255.0</v>
      </c>
    </row>
    <row r="1056">
      <c r="A1056" s="6" t="s">
        <v>2488</v>
      </c>
      <c r="B1056" s="5">
        <v>8.0</v>
      </c>
      <c r="C1056" s="1" t="s">
        <v>68</v>
      </c>
      <c r="D1056" s="1" t="s">
        <v>48</v>
      </c>
      <c r="E1056" s="1" t="s">
        <v>49</v>
      </c>
      <c r="F1056" s="5">
        <v>0.0017</v>
      </c>
      <c r="G1056" s="5">
        <v>0.692633</v>
      </c>
      <c r="H1056" s="5">
        <v>5.0E-4</v>
      </c>
      <c r="I1056" s="5">
        <v>0.0</v>
      </c>
    </row>
    <row r="1057">
      <c r="A1057" s="6" t="s">
        <v>2488</v>
      </c>
      <c r="B1057" s="5">
        <v>8.0</v>
      </c>
      <c r="C1057" s="1" t="s">
        <v>68</v>
      </c>
      <c r="D1057" s="1" t="s">
        <v>48</v>
      </c>
      <c r="E1057" s="1" t="s">
        <v>21</v>
      </c>
      <c r="F1057" s="5">
        <v>0.513599999999999</v>
      </c>
      <c r="G1057" s="5">
        <v>55.714800000000004</v>
      </c>
      <c r="H1057" s="5">
        <v>0.2055</v>
      </c>
      <c r="I1057" s="5">
        <v>0.0</v>
      </c>
    </row>
    <row r="1058">
      <c r="A1058" s="6" t="s">
        <v>2488</v>
      </c>
      <c r="B1058" s="5">
        <v>8.0</v>
      </c>
      <c r="C1058" s="1" t="s">
        <v>116</v>
      </c>
      <c r="D1058" s="1" t="s">
        <v>13</v>
      </c>
      <c r="E1058" s="1" t="s">
        <v>14</v>
      </c>
      <c r="F1058" s="5">
        <v>61.6987</v>
      </c>
      <c r="G1058" s="5">
        <v>4338.377596</v>
      </c>
      <c r="H1058" s="5">
        <v>12.9567</v>
      </c>
      <c r="I1058" s="5">
        <v>10517.0</v>
      </c>
    </row>
    <row r="1059">
      <c r="A1059" s="6" t="s">
        <v>2488</v>
      </c>
      <c r="B1059" s="5">
        <v>8.0</v>
      </c>
      <c r="C1059" s="1" t="s">
        <v>116</v>
      </c>
      <c r="D1059" s="1" t="s">
        <v>13</v>
      </c>
      <c r="E1059" s="1" t="s">
        <v>17</v>
      </c>
      <c r="F1059" s="5">
        <v>142.7044</v>
      </c>
      <c r="G1059" s="5">
        <v>13377.295863</v>
      </c>
      <c r="H1059" s="5">
        <v>49.9466</v>
      </c>
      <c r="I1059" s="5">
        <v>17047.0</v>
      </c>
    </row>
    <row r="1060">
      <c r="A1060" s="6" t="s">
        <v>2488</v>
      </c>
      <c r="B1060" s="5">
        <v>8.0</v>
      </c>
      <c r="C1060" s="1" t="s">
        <v>116</v>
      </c>
      <c r="D1060" s="1" t="s">
        <v>13</v>
      </c>
      <c r="E1060" s="1" t="s">
        <v>21</v>
      </c>
      <c r="F1060" s="5">
        <v>7.1943</v>
      </c>
      <c r="G1060" s="5">
        <v>1017.6492079999999</v>
      </c>
      <c r="H1060" s="5">
        <v>3.5971</v>
      </c>
      <c r="I1060" s="5">
        <v>688.0</v>
      </c>
    </row>
    <row r="1061">
      <c r="A1061" s="6" t="s">
        <v>2488</v>
      </c>
      <c r="B1061" s="5">
        <v>8.0</v>
      </c>
      <c r="C1061" s="1" t="s">
        <v>116</v>
      </c>
      <c r="D1061" s="1" t="s">
        <v>13</v>
      </c>
      <c r="E1061" s="1" t="s">
        <v>25</v>
      </c>
      <c r="F1061" s="5">
        <v>0.013</v>
      </c>
      <c r="G1061" s="5">
        <v>2.686656</v>
      </c>
      <c r="H1061" s="5">
        <v>0.0097</v>
      </c>
      <c r="I1061" s="5">
        <v>4.0</v>
      </c>
    </row>
    <row r="1062">
      <c r="A1062" s="6" t="s">
        <v>2488</v>
      </c>
      <c r="B1062" s="5">
        <v>8.0</v>
      </c>
      <c r="C1062" s="1" t="s">
        <v>116</v>
      </c>
      <c r="D1062" s="1" t="s">
        <v>29</v>
      </c>
      <c r="E1062" s="1" t="s">
        <v>14</v>
      </c>
      <c r="F1062" s="5">
        <v>1.1187</v>
      </c>
      <c r="G1062" s="5">
        <v>129.450263</v>
      </c>
      <c r="H1062" s="5">
        <v>0.2238</v>
      </c>
      <c r="I1062" s="5">
        <v>226.0</v>
      </c>
    </row>
    <row r="1063">
      <c r="A1063" s="6" t="s">
        <v>2488</v>
      </c>
      <c r="B1063" s="5">
        <v>8.0</v>
      </c>
      <c r="C1063" s="1" t="s">
        <v>116</v>
      </c>
      <c r="D1063" s="1" t="s">
        <v>29</v>
      </c>
      <c r="E1063" s="1" t="s">
        <v>21</v>
      </c>
      <c r="F1063" s="5">
        <v>30.8815</v>
      </c>
      <c r="G1063" s="5">
        <v>6111.299986</v>
      </c>
      <c r="H1063" s="5">
        <v>12.3527</v>
      </c>
      <c r="I1063" s="5">
        <v>3561.0</v>
      </c>
    </row>
    <row r="1064">
      <c r="A1064" s="6" t="s">
        <v>2488</v>
      </c>
      <c r="B1064" s="5">
        <v>8.0</v>
      </c>
      <c r="C1064" s="1" t="s">
        <v>116</v>
      </c>
      <c r="D1064" s="1" t="s">
        <v>1851</v>
      </c>
      <c r="E1064" s="1" t="s">
        <v>17</v>
      </c>
      <c r="F1064" s="5">
        <v>12.6958</v>
      </c>
      <c r="G1064" s="5">
        <v>809.177296</v>
      </c>
      <c r="H1064" s="5">
        <v>4.8879</v>
      </c>
      <c r="I1064" s="5">
        <v>5067.0</v>
      </c>
    </row>
    <row r="1065">
      <c r="A1065" s="6" t="s">
        <v>2488</v>
      </c>
      <c r="B1065" s="5">
        <v>8.0</v>
      </c>
      <c r="C1065" s="1" t="s">
        <v>116</v>
      </c>
      <c r="D1065" s="1" t="s">
        <v>1851</v>
      </c>
      <c r="E1065" s="1" t="s">
        <v>21</v>
      </c>
      <c r="F1065" s="5">
        <v>14.9868</v>
      </c>
      <c r="G1065" s="5">
        <v>949.280491</v>
      </c>
      <c r="H1065" s="5">
        <v>7.3435</v>
      </c>
      <c r="I1065" s="5">
        <v>4648.0</v>
      </c>
    </row>
    <row r="1066">
      <c r="A1066" s="6" t="s">
        <v>2488</v>
      </c>
      <c r="B1066" s="5">
        <v>8.0</v>
      </c>
      <c r="C1066" s="1" t="s">
        <v>116</v>
      </c>
      <c r="D1066" s="1" t="s">
        <v>45</v>
      </c>
      <c r="E1066" s="1" t="s">
        <v>49</v>
      </c>
      <c r="F1066" s="5">
        <v>5.99999999999999E-4</v>
      </c>
      <c r="G1066" s="5">
        <v>0.035739</v>
      </c>
      <c r="H1066" s="5">
        <v>1.0E-4</v>
      </c>
      <c r="I1066" s="5">
        <v>1.0</v>
      </c>
    </row>
    <row r="1067">
      <c r="A1067" s="6" t="s">
        <v>2488</v>
      </c>
      <c r="B1067" s="5">
        <v>8.0</v>
      </c>
      <c r="C1067" s="1" t="s">
        <v>116</v>
      </c>
      <c r="D1067" s="1" t="s">
        <v>45</v>
      </c>
      <c r="E1067" s="1" t="s">
        <v>17</v>
      </c>
      <c r="F1067" s="5">
        <v>16.8968</v>
      </c>
      <c r="G1067" s="5">
        <v>1229.762913</v>
      </c>
      <c r="H1067" s="5">
        <v>6.0829</v>
      </c>
      <c r="I1067" s="5">
        <v>1873.0</v>
      </c>
    </row>
    <row r="1068">
      <c r="A1068" s="6" t="s">
        <v>2488</v>
      </c>
      <c r="B1068" s="5">
        <v>8.0</v>
      </c>
      <c r="C1068" s="1" t="s">
        <v>116</v>
      </c>
      <c r="D1068" s="1" t="s">
        <v>544</v>
      </c>
      <c r="E1068" s="1" t="s">
        <v>17</v>
      </c>
      <c r="F1068" s="5">
        <v>11.2305</v>
      </c>
      <c r="G1068" s="5">
        <v>549.425267</v>
      </c>
      <c r="H1068" s="5">
        <v>3.9306</v>
      </c>
      <c r="I1068" s="5">
        <v>4277.0</v>
      </c>
    </row>
    <row r="1069">
      <c r="A1069" s="6" t="s">
        <v>2488</v>
      </c>
      <c r="B1069" s="5">
        <v>8.0</v>
      </c>
      <c r="C1069" s="1" t="s">
        <v>116</v>
      </c>
      <c r="D1069" s="1" t="s">
        <v>1830</v>
      </c>
      <c r="E1069" s="1" t="s">
        <v>72</v>
      </c>
      <c r="F1069" s="5">
        <v>5.7121</v>
      </c>
      <c r="G1069" s="5">
        <v>350.572709</v>
      </c>
      <c r="H1069" s="5">
        <v>1.8279</v>
      </c>
      <c r="I1069" s="5">
        <v>3911.0</v>
      </c>
    </row>
    <row r="1070">
      <c r="A1070" s="6" t="s">
        <v>2488</v>
      </c>
      <c r="B1070" s="5">
        <v>8.0</v>
      </c>
      <c r="C1070" s="1" t="s">
        <v>116</v>
      </c>
      <c r="D1070" s="1" t="s">
        <v>42</v>
      </c>
      <c r="E1070" s="1" t="s">
        <v>17</v>
      </c>
      <c r="F1070" s="5">
        <v>1.3412</v>
      </c>
      <c r="G1070" s="5">
        <v>264.766226</v>
      </c>
      <c r="H1070" s="5">
        <v>0.4962</v>
      </c>
      <c r="I1070" s="5">
        <v>0.0</v>
      </c>
    </row>
    <row r="1071">
      <c r="A1071" s="6" t="s">
        <v>2488</v>
      </c>
      <c r="B1071" s="5">
        <v>8.0</v>
      </c>
      <c r="C1071" s="1" t="s">
        <v>116</v>
      </c>
      <c r="D1071" s="1" t="s">
        <v>147</v>
      </c>
      <c r="E1071" s="1" t="s">
        <v>39</v>
      </c>
      <c r="F1071" s="5">
        <v>0.6592</v>
      </c>
      <c r="G1071" s="5">
        <v>215.468992</v>
      </c>
      <c r="H1071" s="5">
        <v>0.1253</v>
      </c>
      <c r="I1071" s="5">
        <v>105.0</v>
      </c>
    </row>
    <row r="1072">
      <c r="A1072" s="6" t="s">
        <v>2488</v>
      </c>
      <c r="B1072" s="5">
        <v>8.0</v>
      </c>
      <c r="C1072" s="1" t="s">
        <v>116</v>
      </c>
      <c r="D1072" s="1" t="s">
        <v>147</v>
      </c>
      <c r="E1072" s="1" t="s">
        <v>17</v>
      </c>
      <c r="F1072" s="5">
        <v>0.0126</v>
      </c>
      <c r="G1072" s="5">
        <v>5.401491</v>
      </c>
      <c r="H1072" s="5">
        <v>0.0044</v>
      </c>
      <c r="I1072" s="5">
        <v>4.0</v>
      </c>
    </row>
    <row r="1073">
      <c r="A1073" s="6" t="s">
        <v>2488</v>
      </c>
      <c r="B1073" s="5">
        <v>8.0</v>
      </c>
      <c r="C1073" s="1" t="s">
        <v>116</v>
      </c>
      <c r="D1073" s="1" t="s">
        <v>147</v>
      </c>
      <c r="E1073" s="1" t="s">
        <v>21</v>
      </c>
      <c r="F1073" s="5">
        <v>0.0651999999999999</v>
      </c>
      <c r="G1073" s="5">
        <v>33.784533</v>
      </c>
      <c r="H1073" s="5">
        <v>0.0326</v>
      </c>
      <c r="I1073" s="5">
        <v>47.0</v>
      </c>
    </row>
    <row r="1074">
      <c r="A1074" s="6" t="s">
        <v>2488</v>
      </c>
      <c r="B1074" s="5">
        <v>8.0</v>
      </c>
      <c r="C1074" s="1" t="s">
        <v>116</v>
      </c>
      <c r="D1074" s="1" t="s">
        <v>158</v>
      </c>
      <c r="E1074" s="1" t="s">
        <v>39</v>
      </c>
      <c r="F1074" s="5">
        <v>0.0013</v>
      </c>
      <c r="G1074" s="5">
        <v>0.660408</v>
      </c>
      <c r="H1074" s="5">
        <v>3.0E-4</v>
      </c>
      <c r="I1074" s="5">
        <v>0.0</v>
      </c>
    </row>
    <row r="1075">
      <c r="A1075" s="6" t="s">
        <v>2488</v>
      </c>
      <c r="B1075" s="5">
        <v>8.0</v>
      </c>
      <c r="C1075" s="1" t="s">
        <v>116</v>
      </c>
      <c r="D1075" s="1" t="s">
        <v>158</v>
      </c>
      <c r="E1075" s="1" t="s">
        <v>17</v>
      </c>
      <c r="F1075" s="5">
        <v>0.0615</v>
      </c>
      <c r="G1075" s="5">
        <v>28.180940999999997</v>
      </c>
      <c r="H1075" s="5">
        <v>0.0215</v>
      </c>
      <c r="I1075" s="5">
        <v>0.0</v>
      </c>
    </row>
    <row r="1076">
      <c r="A1076" s="6" t="s">
        <v>2488</v>
      </c>
      <c r="B1076" s="5">
        <v>8.0</v>
      </c>
      <c r="C1076" s="1" t="s">
        <v>116</v>
      </c>
      <c r="D1076" s="1" t="s">
        <v>158</v>
      </c>
      <c r="E1076" s="1" t="s">
        <v>21</v>
      </c>
      <c r="F1076" s="5">
        <v>0.3045</v>
      </c>
      <c r="G1076" s="5">
        <v>177.71524499999998</v>
      </c>
      <c r="H1076" s="5">
        <v>0.1279</v>
      </c>
      <c r="I1076" s="5">
        <v>0.0</v>
      </c>
    </row>
    <row r="1077">
      <c r="A1077" s="6" t="s">
        <v>2488</v>
      </c>
      <c r="B1077" s="5">
        <v>8.0</v>
      </c>
      <c r="C1077" s="1" t="s">
        <v>116</v>
      </c>
      <c r="D1077" s="1" t="s">
        <v>32</v>
      </c>
      <c r="E1077" s="1" t="s">
        <v>14</v>
      </c>
      <c r="F1077" s="5">
        <v>0.8461</v>
      </c>
      <c r="G1077" s="5">
        <v>20.953447</v>
      </c>
      <c r="H1077" s="5">
        <v>0.1946</v>
      </c>
      <c r="I1077" s="5">
        <v>105.0</v>
      </c>
    </row>
    <row r="1078">
      <c r="A1078" s="6" t="s">
        <v>2488</v>
      </c>
      <c r="B1078" s="5">
        <v>8.0</v>
      </c>
      <c r="C1078" s="1" t="s">
        <v>116</v>
      </c>
      <c r="D1078" s="1" t="s">
        <v>32</v>
      </c>
      <c r="E1078" s="1" t="s">
        <v>21</v>
      </c>
      <c r="F1078" s="5">
        <v>2.2253</v>
      </c>
      <c r="G1078" s="5">
        <v>170.72738099999998</v>
      </c>
      <c r="H1078" s="5">
        <v>1.0014</v>
      </c>
      <c r="I1078" s="5">
        <v>1025.0</v>
      </c>
    </row>
    <row r="1079">
      <c r="A1079" s="6" t="s">
        <v>2488</v>
      </c>
      <c r="B1079" s="5">
        <v>9.0</v>
      </c>
      <c r="C1079" s="1" t="s">
        <v>12</v>
      </c>
      <c r="D1079" s="1" t="s">
        <v>13</v>
      </c>
      <c r="E1079" s="1" t="s">
        <v>14</v>
      </c>
      <c r="F1079" s="5">
        <v>12.6184</v>
      </c>
      <c r="G1079" s="5">
        <v>808.533398</v>
      </c>
      <c r="H1079" s="5">
        <v>2.6499</v>
      </c>
      <c r="I1079" s="5">
        <v>503.0</v>
      </c>
    </row>
    <row r="1080">
      <c r="A1080" s="6" t="s">
        <v>2488</v>
      </c>
      <c r="B1080" s="5">
        <v>9.0</v>
      </c>
      <c r="C1080" s="1" t="s">
        <v>12</v>
      </c>
      <c r="D1080" s="1" t="s">
        <v>13</v>
      </c>
      <c r="E1080" s="1" t="s">
        <v>17</v>
      </c>
      <c r="F1080" s="5">
        <v>42.4045</v>
      </c>
      <c r="G1080" s="5">
        <v>4132.658514</v>
      </c>
      <c r="H1080" s="5">
        <v>14.8417</v>
      </c>
      <c r="I1080" s="5">
        <v>793.0</v>
      </c>
    </row>
    <row r="1081">
      <c r="A1081" s="6" t="s">
        <v>2488</v>
      </c>
      <c r="B1081" s="5">
        <v>9.0</v>
      </c>
      <c r="C1081" s="1" t="s">
        <v>12</v>
      </c>
      <c r="D1081" s="1" t="s">
        <v>13</v>
      </c>
      <c r="E1081" s="1" t="s">
        <v>21</v>
      </c>
      <c r="F1081" s="5">
        <v>36.7903</v>
      </c>
      <c r="G1081" s="5">
        <v>4342.29708</v>
      </c>
      <c r="H1081" s="5">
        <v>18.3952</v>
      </c>
      <c r="I1081" s="5">
        <v>672.0</v>
      </c>
    </row>
    <row r="1082">
      <c r="A1082" s="6" t="s">
        <v>2488</v>
      </c>
      <c r="B1082" s="5">
        <v>9.0</v>
      </c>
      <c r="C1082" s="1" t="s">
        <v>12</v>
      </c>
      <c r="D1082" s="1" t="s">
        <v>29</v>
      </c>
      <c r="E1082" s="1" t="s">
        <v>14</v>
      </c>
      <c r="F1082" s="5">
        <v>0.0863</v>
      </c>
      <c r="G1082" s="5">
        <v>11.195581</v>
      </c>
      <c r="H1082" s="5">
        <v>0.0172</v>
      </c>
      <c r="I1082" s="5">
        <v>11.0</v>
      </c>
    </row>
    <row r="1083">
      <c r="A1083" s="6" t="s">
        <v>2488</v>
      </c>
      <c r="B1083" s="5">
        <v>9.0</v>
      </c>
      <c r="C1083" s="1" t="s">
        <v>12</v>
      </c>
      <c r="D1083" s="1" t="s">
        <v>29</v>
      </c>
      <c r="E1083" s="1" t="s">
        <v>21</v>
      </c>
      <c r="F1083" s="5">
        <v>24.176</v>
      </c>
      <c r="G1083" s="5">
        <v>4509.229168</v>
      </c>
      <c r="H1083" s="5">
        <v>9.6705</v>
      </c>
      <c r="I1083" s="5">
        <v>702.0</v>
      </c>
    </row>
    <row r="1084">
      <c r="A1084" s="6" t="s">
        <v>2488</v>
      </c>
      <c r="B1084" s="5">
        <v>9.0</v>
      </c>
      <c r="C1084" s="1" t="s">
        <v>12</v>
      </c>
      <c r="D1084" s="1" t="s">
        <v>38</v>
      </c>
      <c r="E1084" s="1" t="s">
        <v>39</v>
      </c>
      <c r="F1084" s="5">
        <v>3.2674</v>
      </c>
      <c r="G1084" s="5">
        <v>356.615048</v>
      </c>
      <c r="H1084" s="5">
        <v>0.588199999999999</v>
      </c>
      <c r="I1084" s="5">
        <v>201.0</v>
      </c>
    </row>
    <row r="1085">
      <c r="A1085" s="6" t="s">
        <v>2488</v>
      </c>
      <c r="B1085" s="5">
        <v>9.0</v>
      </c>
      <c r="C1085" s="1" t="s">
        <v>12</v>
      </c>
      <c r="D1085" s="1" t="s">
        <v>45</v>
      </c>
      <c r="E1085" s="1" t="s">
        <v>17</v>
      </c>
      <c r="F1085" s="5">
        <v>2.5159</v>
      </c>
      <c r="G1085" s="5">
        <v>210.144614</v>
      </c>
      <c r="H1085" s="5">
        <v>0.905699999999999</v>
      </c>
      <c r="I1085" s="5">
        <v>245.0</v>
      </c>
    </row>
    <row r="1086">
      <c r="A1086" s="6" t="s">
        <v>2488</v>
      </c>
      <c r="B1086" s="5">
        <v>9.0</v>
      </c>
      <c r="C1086" s="1" t="s">
        <v>12</v>
      </c>
      <c r="D1086" s="1" t="s">
        <v>48</v>
      </c>
      <c r="E1086" s="1" t="s">
        <v>49</v>
      </c>
      <c r="F1086" s="5">
        <v>0.0495</v>
      </c>
      <c r="G1086" s="5">
        <v>12.375298</v>
      </c>
      <c r="H1086" s="5">
        <v>0.0139</v>
      </c>
      <c r="I1086" s="5">
        <v>20.0</v>
      </c>
    </row>
    <row r="1087">
      <c r="A1087" s="6" t="s">
        <v>2488</v>
      </c>
      <c r="B1087" s="5">
        <v>9.0</v>
      </c>
      <c r="C1087" s="1" t="s">
        <v>12</v>
      </c>
      <c r="D1087" s="1" t="s">
        <v>48</v>
      </c>
      <c r="E1087" s="1" t="s">
        <v>21</v>
      </c>
      <c r="F1087" s="5">
        <v>1.0822</v>
      </c>
      <c r="G1087" s="5">
        <v>139.409435</v>
      </c>
      <c r="H1087" s="5">
        <v>0.4329</v>
      </c>
      <c r="I1087" s="5">
        <v>172.0</v>
      </c>
    </row>
    <row r="1088">
      <c r="A1088" s="6" t="s">
        <v>2488</v>
      </c>
      <c r="B1088" s="5">
        <v>9.0</v>
      </c>
      <c r="C1088" s="1" t="s">
        <v>12</v>
      </c>
      <c r="D1088" s="1" t="s">
        <v>1830</v>
      </c>
      <c r="E1088" s="1" t="s">
        <v>72</v>
      </c>
      <c r="F1088" s="5">
        <v>1.0285</v>
      </c>
      <c r="G1088" s="5">
        <v>75.752228</v>
      </c>
      <c r="H1088" s="5">
        <v>0.3291</v>
      </c>
      <c r="I1088" s="5">
        <v>283.0</v>
      </c>
    </row>
    <row r="1089">
      <c r="A1089" s="6" t="s">
        <v>2488</v>
      </c>
      <c r="B1089" s="5">
        <v>9.0</v>
      </c>
      <c r="C1089" s="1" t="s">
        <v>12</v>
      </c>
      <c r="D1089" s="1" t="s">
        <v>42</v>
      </c>
      <c r="E1089" s="1" t="s">
        <v>17</v>
      </c>
      <c r="F1089" s="5">
        <v>0.2884</v>
      </c>
      <c r="G1089" s="5">
        <v>45.792495</v>
      </c>
      <c r="H1089" s="5">
        <v>0.1067</v>
      </c>
      <c r="I1089" s="5">
        <v>36.0</v>
      </c>
    </row>
    <row r="1090">
      <c r="A1090" s="6" t="s">
        <v>2488</v>
      </c>
      <c r="B1090" s="5">
        <v>9.0</v>
      </c>
      <c r="C1090" s="1" t="s">
        <v>12</v>
      </c>
      <c r="D1090" s="1" t="s">
        <v>2082</v>
      </c>
      <c r="E1090" s="1" t="s">
        <v>21</v>
      </c>
      <c r="F1090" s="5">
        <v>0.1827</v>
      </c>
      <c r="G1090" s="5">
        <v>41.747626</v>
      </c>
      <c r="H1090" s="5">
        <v>0.0830999999999999</v>
      </c>
      <c r="I1090" s="5">
        <v>0.0</v>
      </c>
    </row>
    <row r="1091">
      <c r="A1091" s="6" t="s">
        <v>2488</v>
      </c>
      <c r="B1091" s="5">
        <v>9.0</v>
      </c>
      <c r="C1091" s="1" t="s">
        <v>12</v>
      </c>
      <c r="D1091" s="1" t="s">
        <v>729</v>
      </c>
      <c r="E1091" s="1" t="s">
        <v>21</v>
      </c>
      <c r="F1091" s="5">
        <v>0.1928</v>
      </c>
      <c r="G1091" s="5">
        <v>34.859685</v>
      </c>
      <c r="H1091" s="5">
        <v>0.0964</v>
      </c>
      <c r="I1091" s="5">
        <v>0.0</v>
      </c>
    </row>
    <row r="1092">
      <c r="A1092" s="6" t="s">
        <v>2488</v>
      </c>
      <c r="B1092" s="5">
        <v>9.0</v>
      </c>
      <c r="C1092" s="1" t="s">
        <v>12</v>
      </c>
      <c r="D1092" s="1" t="s">
        <v>64</v>
      </c>
      <c r="E1092" s="1" t="s">
        <v>39</v>
      </c>
      <c r="F1092" s="5">
        <v>0.4988</v>
      </c>
      <c r="G1092" s="5">
        <v>33.539598</v>
      </c>
      <c r="H1092" s="5">
        <v>0.0898</v>
      </c>
      <c r="I1092" s="5">
        <v>81.0</v>
      </c>
    </row>
    <row r="1093">
      <c r="A1093" s="6" t="s">
        <v>2488</v>
      </c>
      <c r="B1093" s="5">
        <v>9.0</v>
      </c>
      <c r="C1093" s="1" t="s">
        <v>12</v>
      </c>
      <c r="D1093" s="1" t="s">
        <v>64</v>
      </c>
      <c r="E1093" s="1" t="s">
        <v>21</v>
      </c>
      <c r="F1093" s="5">
        <v>0.0027</v>
      </c>
      <c r="G1093" s="5">
        <v>0.44929</v>
      </c>
      <c r="H1093" s="5">
        <v>0.0011</v>
      </c>
      <c r="I1093" s="5">
        <v>2.0</v>
      </c>
    </row>
    <row r="1094">
      <c r="A1094" s="6" t="s">
        <v>2488</v>
      </c>
      <c r="B1094" s="5">
        <v>9.0</v>
      </c>
      <c r="C1094" s="1" t="s">
        <v>68</v>
      </c>
      <c r="D1094" s="1" t="s">
        <v>13</v>
      </c>
      <c r="E1094" s="1" t="s">
        <v>14</v>
      </c>
      <c r="F1094" s="5">
        <v>25.5023</v>
      </c>
      <c r="G1094" s="5">
        <v>1767.3089180000002</v>
      </c>
      <c r="H1094" s="5">
        <v>5.3554</v>
      </c>
      <c r="I1094" s="5">
        <v>5795.0</v>
      </c>
    </row>
    <row r="1095">
      <c r="A1095" s="6" t="s">
        <v>2488</v>
      </c>
      <c r="B1095" s="5">
        <v>9.0</v>
      </c>
      <c r="C1095" s="1" t="s">
        <v>68</v>
      </c>
      <c r="D1095" s="1" t="s">
        <v>13</v>
      </c>
      <c r="E1095" s="1" t="s">
        <v>17</v>
      </c>
      <c r="F1095" s="5">
        <v>68.0994</v>
      </c>
      <c r="G1095" s="5">
        <v>6535.292474999999</v>
      </c>
      <c r="H1095" s="5">
        <v>23.8348</v>
      </c>
      <c r="I1095" s="5">
        <v>9782.0</v>
      </c>
    </row>
    <row r="1096">
      <c r="A1096" s="6" t="s">
        <v>2488</v>
      </c>
      <c r="B1096" s="5">
        <v>9.0</v>
      </c>
      <c r="C1096" s="1" t="s">
        <v>68</v>
      </c>
      <c r="D1096" s="1" t="s">
        <v>13</v>
      </c>
      <c r="E1096" s="1" t="s">
        <v>21</v>
      </c>
      <c r="F1096" s="5">
        <v>2.7738</v>
      </c>
      <c r="G1096" s="5">
        <v>417.719272</v>
      </c>
      <c r="H1096" s="5">
        <v>1.387</v>
      </c>
      <c r="I1096" s="5">
        <v>654.0</v>
      </c>
    </row>
    <row r="1097">
      <c r="A1097" s="6" t="s">
        <v>2488</v>
      </c>
      <c r="B1097" s="5">
        <v>9.0</v>
      </c>
      <c r="C1097" s="1" t="s">
        <v>68</v>
      </c>
      <c r="D1097" s="1" t="s">
        <v>13</v>
      </c>
      <c r="E1097" s="1" t="s">
        <v>25</v>
      </c>
      <c r="F1097" s="5">
        <v>0.3897</v>
      </c>
      <c r="G1097" s="5">
        <v>62.94362</v>
      </c>
      <c r="H1097" s="5">
        <v>0.2923</v>
      </c>
      <c r="I1097" s="5">
        <v>245.0</v>
      </c>
    </row>
    <row r="1098">
      <c r="A1098" s="6" t="s">
        <v>2488</v>
      </c>
      <c r="B1098" s="5">
        <v>9.0</v>
      </c>
      <c r="C1098" s="1" t="s">
        <v>68</v>
      </c>
      <c r="D1098" s="1" t="s">
        <v>29</v>
      </c>
      <c r="E1098" s="1" t="s">
        <v>14</v>
      </c>
      <c r="F1098" s="5">
        <v>0.3083</v>
      </c>
      <c r="G1098" s="5">
        <v>41.966569</v>
      </c>
      <c r="H1098" s="5">
        <v>0.0617</v>
      </c>
      <c r="I1098" s="5">
        <v>33.0</v>
      </c>
    </row>
    <row r="1099">
      <c r="A1099" s="6" t="s">
        <v>2488</v>
      </c>
      <c r="B1099" s="5">
        <v>9.0</v>
      </c>
      <c r="C1099" s="1" t="s">
        <v>68</v>
      </c>
      <c r="D1099" s="1" t="s">
        <v>29</v>
      </c>
      <c r="E1099" s="1" t="s">
        <v>21</v>
      </c>
      <c r="F1099" s="5">
        <v>5.4636</v>
      </c>
      <c r="G1099" s="5">
        <v>1037.09187</v>
      </c>
      <c r="H1099" s="5">
        <v>2.1854</v>
      </c>
      <c r="I1099" s="5">
        <v>810.0</v>
      </c>
    </row>
    <row r="1100">
      <c r="A1100" s="6" t="s">
        <v>2488</v>
      </c>
      <c r="B1100" s="5">
        <v>9.0</v>
      </c>
      <c r="C1100" s="1" t="s">
        <v>68</v>
      </c>
      <c r="D1100" s="1" t="s">
        <v>45</v>
      </c>
      <c r="E1100" s="1" t="s">
        <v>49</v>
      </c>
      <c r="F1100" s="5">
        <v>0.2701</v>
      </c>
      <c r="G1100" s="5">
        <v>17.012743999999998</v>
      </c>
      <c r="H1100" s="5">
        <v>0.0702</v>
      </c>
      <c r="I1100" s="5">
        <v>124.0</v>
      </c>
    </row>
    <row r="1101">
      <c r="A1101" s="6" t="s">
        <v>2488</v>
      </c>
      <c r="B1101" s="5">
        <v>9.0</v>
      </c>
      <c r="C1101" s="1" t="s">
        <v>68</v>
      </c>
      <c r="D1101" s="1" t="s">
        <v>45</v>
      </c>
      <c r="E1101" s="1" t="s">
        <v>17</v>
      </c>
      <c r="F1101" s="5">
        <v>14.3274</v>
      </c>
      <c r="G1101" s="5">
        <v>736.024929</v>
      </c>
      <c r="H1101" s="5">
        <v>5.1579</v>
      </c>
      <c r="I1101" s="5">
        <v>1442.0</v>
      </c>
    </row>
    <row r="1102">
      <c r="A1102" s="6" t="s">
        <v>2488</v>
      </c>
      <c r="B1102" s="5">
        <v>9.0</v>
      </c>
      <c r="C1102" s="1" t="s">
        <v>68</v>
      </c>
      <c r="D1102" s="1" t="s">
        <v>1851</v>
      </c>
      <c r="E1102" s="1" t="s">
        <v>17</v>
      </c>
      <c r="F1102" s="5">
        <v>2.4123</v>
      </c>
      <c r="G1102" s="5">
        <v>171.655003</v>
      </c>
      <c r="H1102" s="5">
        <v>0.9287</v>
      </c>
      <c r="I1102" s="5">
        <v>1468.0</v>
      </c>
    </row>
    <row r="1103">
      <c r="A1103" s="6" t="s">
        <v>2488</v>
      </c>
      <c r="B1103" s="5">
        <v>9.0</v>
      </c>
      <c r="C1103" s="1" t="s">
        <v>68</v>
      </c>
      <c r="D1103" s="1" t="s">
        <v>1851</v>
      </c>
      <c r="E1103" s="1" t="s">
        <v>21</v>
      </c>
      <c r="F1103" s="5">
        <v>5.213</v>
      </c>
      <c r="G1103" s="5">
        <v>342.313426</v>
      </c>
      <c r="H1103" s="5">
        <v>2.5544</v>
      </c>
      <c r="I1103" s="5">
        <v>2666.0</v>
      </c>
    </row>
    <row r="1104">
      <c r="A1104" s="6" t="s">
        <v>2488</v>
      </c>
      <c r="B1104" s="5">
        <v>9.0</v>
      </c>
      <c r="C1104" s="1" t="s">
        <v>68</v>
      </c>
      <c r="D1104" s="1" t="s">
        <v>38</v>
      </c>
      <c r="E1104" s="1" t="s">
        <v>39</v>
      </c>
      <c r="F1104" s="5">
        <v>4.5446</v>
      </c>
      <c r="G1104" s="5">
        <v>414.705064</v>
      </c>
      <c r="H1104" s="5">
        <v>0.817999999999999</v>
      </c>
      <c r="I1104" s="5">
        <v>2241.0</v>
      </c>
    </row>
    <row r="1105">
      <c r="A1105" s="6" t="s">
        <v>2488</v>
      </c>
      <c r="B1105" s="5">
        <v>9.0</v>
      </c>
      <c r="C1105" s="1" t="s">
        <v>68</v>
      </c>
      <c r="D1105" s="1" t="s">
        <v>1830</v>
      </c>
      <c r="E1105" s="1" t="s">
        <v>72</v>
      </c>
      <c r="F1105" s="5">
        <v>2.592</v>
      </c>
      <c r="G1105" s="5">
        <v>240.023454</v>
      </c>
      <c r="H1105" s="5">
        <v>0.8294</v>
      </c>
      <c r="I1105" s="5">
        <v>2551.0</v>
      </c>
    </row>
    <row r="1106">
      <c r="A1106" s="6" t="s">
        <v>2488</v>
      </c>
      <c r="B1106" s="5">
        <v>9.0</v>
      </c>
      <c r="C1106" s="1" t="s">
        <v>68</v>
      </c>
      <c r="D1106" s="1" t="s">
        <v>544</v>
      </c>
      <c r="E1106" s="1" t="s">
        <v>17</v>
      </c>
      <c r="F1106" s="5">
        <v>3.1998</v>
      </c>
      <c r="G1106" s="5">
        <v>224.597878</v>
      </c>
      <c r="H1106" s="5">
        <v>1.1199</v>
      </c>
      <c r="I1106" s="5">
        <v>1723.0</v>
      </c>
    </row>
    <row r="1107">
      <c r="A1107" s="6" t="s">
        <v>2488</v>
      </c>
      <c r="B1107" s="5">
        <v>9.0</v>
      </c>
      <c r="C1107" s="1" t="s">
        <v>68</v>
      </c>
      <c r="D1107" s="1" t="s">
        <v>32</v>
      </c>
      <c r="E1107" s="1" t="s">
        <v>14</v>
      </c>
      <c r="F1107" s="5">
        <v>2.1857</v>
      </c>
      <c r="G1107" s="5">
        <v>149.312643</v>
      </c>
      <c r="H1107" s="5">
        <v>0.5027</v>
      </c>
      <c r="I1107" s="5">
        <v>899.0</v>
      </c>
    </row>
    <row r="1108">
      <c r="A1108" s="6" t="s">
        <v>2488</v>
      </c>
      <c r="B1108" s="5">
        <v>9.0</v>
      </c>
      <c r="C1108" s="1" t="s">
        <v>68</v>
      </c>
      <c r="D1108" s="1" t="s">
        <v>32</v>
      </c>
      <c r="E1108" s="1" t="s">
        <v>21</v>
      </c>
      <c r="F1108" s="5">
        <v>0.4275</v>
      </c>
      <c r="G1108" s="5">
        <v>35.983109</v>
      </c>
      <c r="H1108" s="5">
        <v>0.1924</v>
      </c>
      <c r="I1108" s="5">
        <v>320.0</v>
      </c>
    </row>
    <row r="1109">
      <c r="A1109" s="6" t="s">
        <v>2488</v>
      </c>
      <c r="B1109" s="5">
        <v>9.0</v>
      </c>
      <c r="C1109" s="1" t="s">
        <v>68</v>
      </c>
      <c r="D1109" s="1" t="s">
        <v>2088</v>
      </c>
      <c r="E1109" s="1" t="s">
        <v>21</v>
      </c>
      <c r="F1109" s="5">
        <v>2.0364</v>
      </c>
      <c r="G1109" s="5">
        <v>183.715546</v>
      </c>
      <c r="H1109" s="5">
        <v>0.8146</v>
      </c>
      <c r="I1109" s="5">
        <v>575.0</v>
      </c>
    </row>
    <row r="1110">
      <c r="A1110" s="6" t="s">
        <v>2488</v>
      </c>
      <c r="B1110" s="5">
        <v>9.0</v>
      </c>
      <c r="C1110" s="1" t="s">
        <v>68</v>
      </c>
      <c r="D1110" s="1" t="s">
        <v>2104</v>
      </c>
      <c r="E1110" s="1" t="s">
        <v>17</v>
      </c>
      <c r="F1110" s="5">
        <v>1.7236</v>
      </c>
      <c r="G1110" s="5">
        <v>68.770531</v>
      </c>
      <c r="H1110" s="5">
        <v>0.603299999999999</v>
      </c>
      <c r="I1110" s="5">
        <v>188.0</v>
      </c>
    </row>
    <row r="1111">
      <c r="A1111" s="6" t="s">
        <v>2488</v>
      </c>
      <c r="B1111" s="5">
        <v>9.0</v>
      </c>
      <c r="C1111" s="1" t="s">
        <v>116</v>
      </c>
      <c r="D1111" s="1" t="s">
        <v>13</v>
      </c>
      <c r="E1111" s="1" t="s">
        <v>14</v>
      </c>
      <c r="F1111" s="5">
        <v>79.0532</v>
      </c>
      <c r="G1111" s="5">
        <v>5065.711125</v>
      </c>
      <c r="H1111" s="5">
        <v>16.6012</v>
      </c>
      <c r="I1111" s="5">
        <v>10947.0</v>
      </c>
    </row>
    <row r="1112">
      <c r="A1112" s="6" t="s">
        <v>2488</v>
      </c>
      <c r="B1112" s="5">
        <v>9.0</v>
      </c>
      <c r="C1112" s="1" t="s">
        <v>116</v>
      </c>
      <c r="D1112" s="1" t="s">
        <v>13</v>
      </c>
      <c r="E1112" s="1" t="s">
        <v>17</v>
      </c>
      <c r="F1112" s="5">
        <v>167.6062</v>
      </c>
      <c r="G1112" s="5">
        <v>14523.496621999999</v>
      </c>
      <c r="H1112" s="5">
        <v>58.6622</v>
      </c>
      <c r="I1112" s="5">
        <v>17799.0</v>
      </c>
    </row>
    <row r="1113">
      <c r="A1113" s="6" t="s">
        <v>2488</v>
      </c>
      <c r="B1113" s="5">
        <v>9.0</v>
      </c>
      <c r="C1113" s="1" t="s">
        <v>116</v>
      </c>
      <c r="D1113" s="1" t="s">
        <v>13</v>
      </c>
      <c r="E1113" s="1" t="s">
        <v>21</v>
      </c>
      <c r="F1113" s="5">
        <v>10.1737</v>
      </c>
      <c r="G1113" s="5">
        <v>1340.4343700000002</v>
      </c>
      <c r="H1113" s="5">
        <v>5.0869</v>
      </c>
      <c r="I1113" s="5">
        <v>701.0</v>
      </c>
    </row>
    <row r="1114">
      <c r="A1114" s="6" t="s">
        <v>2488</v>
      </c>
      <c r="B1114" s="5">
        <v>9.0</v>
      </c>
      <c r="C1114" s="1" t="s">
        <v>116</v>
      </c>
      <c r="D1114" s="1" t="s">
        <v>13</v>
      </c>
      <c r="E1114" s="1" t="s">
        <v>25</v>
      </c>
      <c r="F1114" s="5">
        <v>0.0126</v>
      </c>
      <c r="G1114" s="5">
        <v>2.599994</v>
      </c>
      <c r="H1114" s="5">
        <v>0.0094</v>
      </c>
      <c r="I1114" s="5">
        <v>3.0</v>
      </c>
    </row>
    <row r="1115">
      <c r="A1115" s="6" t="s">
        <v>2488</v>
      </c>
      <c r="B1115" s="5">
        <v>9.0</v>
      </c>
      <c r="C1115" s="1" t="s">
        <v>116</v>
      </c>
      <c r="D1115" s="1" t="s">
        <v>29</v>
      </c>
      <c r="E1115" s="1" t="s">
        <v>14</v>
      </c>
      <c r="F1115" s="5">
        <v>0.9683</v>
      </c>
      <c r="G1115" s="5">
        <v>114.957614</v>
      </c>
      <c r="H1115" s="5">
        <v>0.1937</v>
      </c>
      <c r="I1115" s="5">
        <v>253.0</v>
      </c>
    </row>
    <row r="1116">
      <c r="A1116" s="6" t="s">
        <v>2488</v>
      </c>
      <c r="B1116" s="5">
        <v>9.0</v>
      </c>
      <c r="C1116" s="1" t="s">
        <v>116</v>
      </c>
      <c r="D1116" s="1" t="s">
        <v>29</v>
      </c>
      <c r="E1116" s="1" t="s">
        <v>21</v>
      </c>
      <c r="F1116" s="5">
        <v>37.5212</v>
      </c>
      <c r="G1116" s="5">
        <v>7067.477966</v>
      </c>
      <c r="H1116" s="5">
        <v>15.0084</v>
      </c>
      <c r="I1116" s="5">
        <v>3877.0</v>
      </c>
    </row>
    <row r="1117">
      <c r="A1117" s="6" t="s">
        <v>2488</v>
      </c>
      <c r="B1117" s="5">
        <v>9.0</v>
      </c>
      <c r="C1117" s="1" t="s">
        <v>116</v>
      </c>
      <c r="D1117" s="1" t="s">
        <v>45</v>
      </c>
      <c r="E1117" s="1" t="s">
        <v>49</v>
      </c>
      <c r="F1117" s="5">
        <v>0.6296</v>
      </c>
      <c r="G1117" s="5">
        <v>39.270829</v>
      </c>
      <c r="H1117" s="5">
        <v>0.1637</v>
      </c>
      <c r="I1117" s="5">
        <v>266.0</v>
      </c>
    </row>
    <row r="1118">
      <c r="A1118" s="6" t="s">
        <v>2488</v>
      </c>
      <c r="B1118" s="5">
        <v>9.0</v>
      </c>
      <c r="C1118" s="1" t="s">
        <v>116</v>
      </c>
      <c r="D1118" s="1" t="s">
        <v>45</v>
      </c>
      <c r="E1118" s="1" t="s">
        <v>17</v>
      </c>
      <c r="F1118" s="5">
        <v>43.5059</v>
      </c>
      <c r="G1118" s="5">
        <v>2370.8854890000002</v>
      </c>
      <c r="H1118" s="5">
        <v>15.6621</v>
      </c>
      <c r="I1118" s="5">
        <v>2108.0</v>
      </c>
    </row>
    <row r="1119">
      <c r="A1119" s="6" t="s">
        <v>2488</v>
      </c>
      <c r="B1119" s="5">
        <v>9.0</v>
      </c>
      <c r="C1119" s="1" t="s">
        <v>116</v>
      </c>
      <c r="D1119" s="1" t="s">
        <v>1851</v>
      </c>
      <c r="E1119" s="1" t="s">
        <v>17</v>
      </c>
      <c r="F1119" s="5">
        <v>6.0694</v>
      </c>
      <c r="G1119" s="5">
        <v>471.930847</v>
      </c>
      <c r="H1119" s="5">
        <v>2.3367</v>
      </c>
      <c r="I1119" s="5">
        <v>4266.0</v>
      </c>
    </row>
    <row r="1120">
      <c r="A1120" s="6" t="s">
        <v>2488</v>
      </c>
      <c r="B1120" s="5">
        <v>9.0</v>
      </c>
      <c r="C1120" s="1" t="s">
        <v>116</v>
      </c>
      <c r="D1120" s="1" t="s">
        <v>1851</v>
      </c>
      <c r="E1120" s="1" t="s">
        <v>21</v>
      </c>
      <c r="F1120" s="5">
        <v>7.0549</v>
      </c>
      <c r="G1120" s="5">
        <v>458.486496</v>
      </c>
      <c r="H1120" s="5">
        <v>3.4569</v>
      </c>
      <c r="I1120" s="5">
        <v>3606.0</v>
      </c>
    </row>
    <row r="1121">
      <c r="A1121" s="6" t="s">
        <v>2488</v>
      </c>
      <c r="B1121" s="5">
        <v>9.0</v>
      </c>
      <c r="C1121" s="1" t="s">
        <v>116</v>
      </c>
      <c r="D1121" s="1" t="s">
        <v>38</v>
      </c>
      <c r="E1121" s="1" t="s">
        <v>39</v>
      </c>
      <c r="F1121" s="5">
        <v>7.3345</v>
      </c>
      <c r="G1121" s="5">
        <v>676.658057</v>
      </c>
      <c r="H1121" s="5">
        <v>1.3202</v>
      </c>
      <c r="I1121" s="5">
        <v>3594.0</v>
      </c>
    </row>
    <row r="1122">
      <c r="A1122" s="6" t="s">
        <v>2488</v>
      </c>
      <c r="B1122" s="5">
        <v>9.0</v>
      </c>
      <c r="C1122" s="1" t="s">
        <v>116</v>
      </c>
      <c r="D1122" s="1" t="s">
        <v>147</v>
      </c>
      <c r="E1122" s="1" t="s">
        <v>39</v>
      </c>
      <c r="F1122" s="5">
        <v>1.3112</v>
      </c>
      <c r="G1122" s="5">
        <v>388.65414000000004</v>
      </c>
      <c r="H1122" s="5">
        <v>0.249</v>
      </c>
      <c r="I1122" s="5">
        <v>115.0</v>
      </c>
    </row>
    <row r="1123">
      <c r="A1123" s="6" t="s">
        <v>2488</v>
      </c>
      <c r="B1123" s="5">
        <v>9.0</v>
      </c>
      <c r="C1123" s="1" t="s">
        <v>116</v>
      </c>
      <c r="D1123" s="1" t="s">
        <v>147</v>
      </c>
      <c r="E1123" s="1" t="s">
        <v>17</v>
      </c>
      <c r="F1123" s="5">
        <v>0.0115</v>
      </c>
      <c r="G1123" s="5">
        <v>4.972093</v>
      </c>
      <c r="H1123" s="5">
        <v>0.0042</v>
      </c>
      <c r="I1123" s="5">
        <v>5.0</v>
      </c>
    </row>
    <row r="1124">
      <c r="A1124" s="6" t="s">
        <v>2488</v>
      </c>
      <c r="B1124" s="5">
        <v>9.0</v>
      </c>
      <c r="C1124" s="1" t="s">
        <v>116</v>
      </c>
      <c r="D1124" s="1" t="s">
        <v>147</v>
      </c>
      <c r="E1124" s="1" t="s">
        <v>21</v>
      </c>
      <c r="F1124" s="5">
        <v>0.0566</v>
      </c>
      <c r="G1124" s="5">
        <v>29.526422999999998</v>
      </c>
      <c r="H1124" s="5">
        <v>0.0283</v>
      </c>
      <c r="I1124" s="5">
        <v>47.0</v>
      </c>
    </row>
    <row r="1125">
      <c r="A1125" s="6" t="s">
        <v>2488</v>
      </c>
      <c r="B1125" s="5">
        <v>9.0</v>
      </c>
      <c r="C1125" s="1" t="s">
        <v>116</v>
      </c>
      <c r="D1125" s="1" t="s">
        <v>42</v>
      </c>
      <c r="E1125" s="1" t="s">
        <v>17</v>
      </c>
      <c r="F1125" s="5">
        <v>1.9244</v>
      </c>
      <c r="G1125" s="5">
        <v>381.29071899999997</v>
      </c>
      <c r="H1125" s="5">
        <v>0.712</v>
      </c>
      <c r="I1125" s="5">
        <v>0.0</v>
      </c>
    </row>
    <row r="1126">
      <c r="A1126" s="6" t="s">
        <v>2488</v>
      </c>
      <c r="B1126" s="5">
        <v>9.0</v>
      </c>
      <c r="C1126" s="1" t="s">
        <v>116</v>
      </c>
      <c r="D1126" s="1" t="s">
        <v>158</v>
      </c>
      <c r="E1126" s="1" t="s">
        <v>39</v>
      </c>
      <c r="F1126" s="5">
        <v>0.0021</v>
      </c>
      <c r="G1126" s="5">
        <v>0.7672279999999999</v>
      </c>
      <c r="H1126" s="5">
        <v>4.0E-4</v>
      </c>
      <c r="I1126" s="5">
        <v>3.0</v>
      </c>
    </row>
    <row r="1127">
      <c r="A1127" s="6" t="s">
        <v>2488</v>
      </c>
      <c r="B1127" s="5">
        <v>9.0</v>
      </c>
      <c r="C1127" s="1" t="s">
        <v>116</v>
      </c>
      <c r="D1127" s="1" t="s">
        <v>158</v>
      </c>
      <c r="E1127" s="1" t="s">
        <v>17</v>
      </c>
      <c r="F1127" s="5">
        <v>0.1255</v>
      </c>
      <c r="G1127" s="5">
        <v>54.314748</v>
      </c>
      <c r="H1127" s="5">
        <v>0.0439</v>
      </c>
      <c r="I1127" s="5">
        <v>86.0</v>
      </c>
    </row>
    <row r="1128">
      <c r="A1128" s="6" t="s">
        <v>2488</v>
      </c>
      <c r="B1128" s="5">
        <v>9.0</v>
      </c>
      <c r="C1128" s="1" t="s">
        <v>116</v>
      </c>
      <c r="D1128" s="1" t="s">
        <v>158</v>
      </c>
      <c r="E1128" s="1" t="s">
        <v>21</v>
      </c>
      <c r="F1128" s="5">
        <v>0.4036</v>
      </c>
      <c r="G1128" s="5">
        <v>228.474595</v>
      </c>
      <c r="H1128" s="5">
        <v>0.1695</v>
      </c>
      <c r="I1128" s="5">
        <v>130.0</v>
      </c>
    </row>
    <row r="1129">
      <c r="A1129" s="6" t="s">
        <v>2488</v>
      </c>
      <c r="B1129" s="5">
        <v>9.0</v>
      </c>
      <c r="C1129" s="1" t="s">
        <v>116</v>
      </c>
      <c r="D1129" s="1" t="s">
        <v>544</v>
      </c>
      <c r="E1129" s="1" t="s">
        <v>17</v>
      </c>
      <c r="F1129" s="5">
        <v>4.3609</v>
      </c>
      <c r="G1129" s="5">
        <v>277.617801</v>
      </c>
      <c r="H1129" s="5">
        <v>1.5263</v>
      </c>
      <c r="I1129" s="5">
        <v>2679.0</v>
      </c>
    </row>
    <row r="1130">
      <c r="A1130" s="6" t="s">
        <v>2488</v>
      </c>
      <c r="B1130" s="5">
        <v>9.0</v>
      </c>
      <c r="C1130" s="1" t="s">
        <v>116</v>
      </c>
      <c r="D1130" s="1" t="s">
        <v>1830</v>
      </c>
      <c r="E1130" s="1" t="s">
        <v>72</v>
      </c>
      <c r="F1130" s="5">
        <v>2.6711</v>
      </c>
      <c r="G1130" s="5">
        <v>221.405838</v>
      </c>
      <c r="H1130" s="5">
        <v>0.8548</v>
      </c>
      <c r="I1130" s="5">
        <v>2847.0</v>
      </c>
    </row>
    <row r="1131">
      <c r="A1131" s="6" t="s">
        <v>2488</v>
      </c>
      <c r="B1131" s="5">
        <v>10.0</v>
      </c>
      <c r="C1131" s="1" t="s">
        <v>12</v>
      </c>
      <c r="D1131" s="1" t="s">
        <v>13</v>
      </c>
      <c r="E1131" s="1" t="s">
        <v>14</v>
      </c>
      <c r="F1131" s="5">
        <v>13.7742</v>
      </c>
      <c r="G1131" s="5">
        <v>838.3164919999999</v>
      </c>
      <c r="H1131" s="5">
        <v>2.8925</v>
      </c>
      <c r="I1131" s="5">
        <v>476.0</v>
      </c>
    </row>
    <row r="1132">
      <c r="A1132" s="6" t="s">
        <v>2488</v>
      </c>
      <c r="B1132" s="5">
        <v>10.0</v>
      </c>
      <c r="C1132" s="1" t="s">
        <v>12</v>
      </c>
      <c r="D1132" s="1" t="s">
        <v>13</v>
      </c>
      <c r="E1132" s="1" t="s">
        <v>17</v>
      </c>
      <c r="F1132" s="5">
        <v>74.1972</v>
      </c>
      <c r="G1132" s="5">
        <v>6333.92685</v>
      </c>
      <c r="H1132" s="5">
        <v>25.9689</v>
      </c>
      <c r="I1132" s="5">
        <v>789.0</v>
      </c>
    </row>
    <row r="1133">
      <c r="A1133" s="6" t="s">
        <v>2488</v>
      </c>
      <c r="B1133" s="5">
        <v>10.0</v>
      </c>
      <c r="C1133" s="1" t="s">
        <v>12</v>
      </c>
      <c r="D1133" s="1" t="s">
        <v>13</v>
      </c>
      <c r="E1133" s="1" t="s">
        <v>21</v>
      </c>
      <c r="F1133" s="5">
        <v>23.3262</v>
      </c>
      <c r="G1133" s="5">
        <v>2967.550514</v>
      </c>
      <c r="H1133" s="5">
        <v>11.6632</v>
      </c>
      <c r="I1133" s="5">
        <v>652.0</v>
      </c>
    </row>
    <row r="1134">
      <c r="A1134" s="6" t="s">
        <v>2488</v>
      </c>
      <c r="B1134" s="5">
        <v>10.0</v>
      </c>
      <c r="C1134" s="1" t="s">
        <v>12</v>
      </c>
      <c r="D1134" s="1" t="s">
        <v>29</v>
      </c>
      <c r="E1134" s="1" t="s">
        <v>14</v>
      </c>
      <c r="F1134" s="5">
        <v>0.1159</v>
      </c>
      <c r="G1134" s="5">
        <v>13.984016</v>
      </c>
      <c r="H1134" s="5">
        <v>0.0232</v>
      </c>
      <c r="I1134" s="5">
        <v>11.0</v>
      </c>
    </row>
    <row r="1135">
      <c r="A1135" s="6" t="s">
        <v>2488</v>
      </c>
      <c r="B1135" s="5">
        <v>10.0</v>
      </c>
      <c r="C1135" s="1" t="s">
        <v>12</v>
      </c>
      <c r="D1135" s="1" t="s">
        <v>29</v>
      </c>
      <c r="E1135" s="1" t="s">
        <v>21</v>
      </c>
      <c r="F1135" s="5">
        <v>40.4568</v>
      </c>
      <c r="G1135" s="5">
        <v>6789.88701899999</v>
      </c>
      <c r="H1135" s="5">
        <v>16.1827</v>
      </c>
      <c r="I1135" s="5">
        <v>721.0</v>
      </c>
    </row>
    <row r="1136">
      <c r="A1136" s="6" t="s">
        <v>2488</v>
      </c>
      <c r="B1136" s="5">
        <v>10.0</v>
      </c>
      <c r="C1136" s="1" t="s">
        <v>12</v>
      </c>
      <c r="D1136" s="1" t="s">
        <v>38</v>
      </c>
      <c r="E1136" s="1" t="s">
        <v>39</v>
      </c>
      <c r="F1136" s="5">
        <v>3.0682</v>
      </c>
      <c r="G1136" s="5">
        <v>342.041969</v>
      </c>
      <c r="H1136" s="5">
        <v>0.5522</v>
      </c>
      <c r="I1136" s="5">
        <v>196.0</v>
      </c>
    </row>
    <row r="1137">
      <c r="A1137" s="6" t="s">
        <v>2488</v>
      </c>
      <c r="B1137" s="5">
        <v>10.0</v>
      </c>
      <c r="C1137" s="1" t="s">
        <v>12</v>
      </c>
      <c r="D1137" s="1" t="s">
        <v>48</v>
      </c>
      <c r="E1137" s="1" t="s">
        <v>49</v>
      </c>
      <c r="F1137" s="5">
        <v>0.0495</v>
      </c>
      <c r="G1137" s="5">
        <v>12.090182</v>
      </c>
      <c r="H1137" s="5">
        <v>0.0139</v>
      </c>
      <c r="I1137" s="5">
        <v>15.0</v>
      </c>
    </row>
    <row r="1138">
      <c r="A1138" s="6" t="s">
        <v>2488</v>
      </c>
      <c r="B1138" s="5">
        <v>10.0</v>
      </c>
      <c r="C1138" s="1" t="s">
        <v>12</v>
      </c>
      <c r="D1138" s="1" t="s">
        <v>48</v>
      </c>
      <c r="E1138" s="1" t="s">
        <v>21</v>
      </c>
      <c r="F1138" s="5">
        <v>1.3659</v>
      </c>
      <c r="G1138" s="5">
        <v>170.32941200000002</v>
      </c>
      <c r="H1138" s="5">
        <v>0.5464</v>
      </c>
      <c r="I1138" s="5">
        <v>179.0</v>
      </c>
    </row>
    <row r="1139">
      <c r="A1139" s="6" t="s">
        <v>2488</v>
      </c>
      <c r="B1139" s="5">
        <v>10.0</v>
      </c>
      <c r="C1139" s="1" t="s">
        <v>12</v>
      </c>
      <c r="D1139" s="1" t="s">
        <v>45</v>
      </c>
      <c r="E1139" s="1" t="s">
        <v>17</v>
      </c>
      <c r="F1139" s="5">
        <v>2.0815</v>
      </c>
      <c r="G1139" s="5">
        <v>170.158144</v>
      </c>
      <c r="H1139" s="5">
        <v>0.7494</v>
      </c>
      <c r="I1139" s="5">
        <v>209.0</v>
      </c>
    </row>
    <row r="1140">
      <c r="A1140" s="6" t="s">
        <v>2488</v>
      </c>
      <c r="B1140" s="5">
        <v>10.0</v>
      </c>
      <c r="C1140" s="1" t="s">
        <v>12</v>
      </c>
      <c r="D1140" s="1" t="s">
        <v>1830</v>
      </c>
      <c r="E1140" s="1" t="s">
        <v>72</v>
      </c>
      <c r="F1140" s="5">
        <v>0.849</v>
      </c>
      <c r="G1140" s="5">
        <v>89.076101</v>
      </c>
      <c r="H1140" s="5">
        <v>0.2717</v>
      </c>
      <c r="I1140" s="5">
        <v>253.0</v>
      </c>
    </row>
    <row r="1141">
      <c r="A1141" s="6" t="s">
        <v>2488</v>
      </c>
      <c r="B1141" s="5">
        <v>10.0</v>
      </c>
      <c r="C1141" s="1" t="s">
        <v>12</v>
      </c>
      <c r="D1141" s="1" t="s">
        <v>42</v>
      </c>
      <c r="E1141" s="1" t="s">
        <v>17</v>
      </c>
      <c r="F1141" s="5">
        <v>0.2565</v>
      </c>
      <c r="G1141" s="5">
        <v>46.124092</v>
      </c>
      <c r="H1141" s="5">
        <v>0.0949</v>
      </c>
      <c r="I1141" s="5">
        <v>36.0</v>
      </c>
    </row>
    <row r="1142">
      <c r="A1142" s="6" t="s">
        <v>2488</v>
      </c>
      <c r="B1142" s="5">
        <v>10.0</v>
      </c>
      <c r="C1142" s="1" t="s">
        <v>12</v>
      </c>
      <c r="D1142" s="1" t="s">
        <v>848</v>
      </c>
      <c r="E1142" s="1" t="s">
        <v>21</v>
      </c>
      <c r="F1142" s="5">
        <v>0.1803</v>
      </c>
      <c r="G1142" s="5">
        <v>33.354405</v>
      </c>
      <c r="H1142" s="5">
        <v>0.0721</v>
      </c>
      <c r="I1142" s="5">
        <v>54.0</v>
      </c>
    </row>
    <row r="1143">
      <c r="A1143" s="6" t="s">
        <v>2488</v>
      </c>
      <c r="B1143" s="5">
        <v>10.0</v>
      </c>
      <c r="C1143" s="1" t="s">
        <v>12</v>
      </c>
      <c r="D1143" s="1" t="s">
        <v>729</v>
      </c>
      <c r="E1143" s="1" t="s">
        <v>21</v>
      </c>
      <c r="F1143" s="5">
        <v>0.1788</v>
      </c>
      <c r="G1143" s="5">
        <v>30.823635</v>
      </c>
      <c r="H1143" s="5">
        <v>0.0893999999999999</v>
      </c>
      <c r="I1143" s="5">
        <v>0.0</v>
      </c>
    </row>
    <row r="1144">
      <c r="A1144" s="6" t="s">
        <v>2488</v>
      </c>
      <c r="B1144" s="5">
        <v>10.0</v>
      </c>
      <c r="C1144" s="1" t="s">
        <v>12</v>
      </c>
      <c r="D1144" s="1" t="s">
        <v>64</v>
      </c>
      <c r="E1144" s="1" t="s">
        <v>39</v>
      </c>
      <c r="F1144" s="5">
        <v>0.4067</v>
      </c>
      <c r="G1144" s="5">
        <v>24.99752</v>
      </c>
      <c r="H1144" s="5">
        <v>0.0732</v>
      </c>
      <c r="I1144" s="5">
        <v>0.0</v>
      </c>
    </row>
    <row r="1145">
      <c r="A1145" s="6" t="s">
        <v>2488</v>
      </c>
      <c r="B1145" s="5">
        <v>10.0</v>
      </c>
      <c r="C1145" s="1" t="s">
        <v>12</v>
      </c>
      <c r="D1145" s="1" t="s">
        <v>64</v>
      </c>
      <c r="E1145" s="1" t="s">
        <v>21</v>
      </c>
      <c r="F1145" s="5">
        <v>4.0E-4</v>
      </c>
      <c r="G1145" s="5">
        <v>0.05762</v>
      </c>
      <c r="H1145" s="5">
        <v>1.0E-4</v>
      </c>
      <c r="I1145" s="5">
        <v>0.0</v>
      </c>
    </row>
    <row r="1146">
      <c r="A1146" s="6" t="s">
        <v>2488</v>
      </c>
      <c r="B1146" s="5">
        <v>10.0</v>
      </c>
      <c r="C1146" s="1" t="s">
        <v>68</v>
      </c>
      <c r="D1146" s="1" t="s">
        <v>13</v>
      </c>
      <c r="E1146" s="1" t="s">
        <v>14</v>
      </c>
      <c r="F1146" s="5">
        <v>38.1815</v>
      </c>
      <c r="G1146" s="5">
        <v>2459.423384</v>
      </c>
      <c r="H1146" s="5">
        <v>8.0181</v>
      </c>
      <c r="I1146" s="5">
        <v>6076.0</v>
      </c>
    </row>
    <row r="1147">
      <c r="A1147" s="6" t="s">
        <v>2488</v>
      </c>
      <c r="B1147" s="5">
        <v>10.0</v>
      </c>
      <c r="C1147" s="1" t="s">
        <v>68</v>
      </c>
      <c r="D1147" s="1" t="s">
        <v>13</v>
      </c>
      <c r="E1147" s="1" t="s">
        <v>17</v>
      </c>
      <c r="F1147" s="5">
        <v>85.807</v>
      </c>
      <c r="G1147" s="5">
        <v>7416.6546</v>
      </c>
      <c r="H1147" s="5">
        <v>30.0325</v>
      </c>
      <c r="I1147" s="5">
        <v>10542.0</v>
      </c>
    </row>
    <row r="1148">
      <c r="A1148" s="6" t="s">
        <v>2488</v>
      </c>
      <c r="B1148" s="5">
        <v>10.0</v>
      </c>
      <c r="C1148" s="1" t="s">
        <v>68</v>
      </c>
      <c r="D1148" s="1" t="s">
        <v>13</v>
      </c>
      <c r="E1148" s="1" t="s">
        <v>21</v>
      </c>
      <c r="F1148" s="5">
        <v>1.7193</v>
      </c>
      <c r="G1148" s="5">
        <v>266.12444</v>
      </c>
      <c r="H1148" s="5">
        <v>0.8596</v>
      </c>
      <c r="I1148" s="5">
        <v>540.0</v>
      </c>
    </row>
    <row r="1149">
      <c r="A1149" s="6" t="s">
        <v>2488</v>
      </c>
      <c r="B1149" s="5">
        <v>10.0</v>
      </c>
      <c r="C1149" s="1" t="s">
        <v>68</v>
      </c>
      <c r="D1149" s="1" t="s">
        <v>13</v>
      </c>
      <c r="E1149" s="1" t="s">
        <v>25</v>
      </c>
      <c r="F1149" s="5">
        <v>0.4027</v>
      </c>
      <c r="G1149" s="5">
        <v>65.041677</v>
      </c>
      <c r="H1149" s="5">
        <v>0.302</v>
      </c>
      <c r="I1149" s="5">
        <v>245.0</v>
      </c>
    </row>
    <row r="1150">
      <c r="A1150" s="6" t="s">
        <v>2488</v>
      </c>
      <c r="B1150" s="5">
        <v>10.0</v>
      </c>
      <c r="C1150" s="1" t="s">
        <v>68</v>
      </c>
      <c r="D1150" s="1" t="s">
        <v>29</v>
      </c>
      <c r="E1150" s="1" t="s">
        <v>14</v>
      </c>
      <c r="F1150" s="5">
        <v>0.0827</v>
      </c>
      <c r="G1150" s="5">
        <v>10.970206000000001</v>
      </c>
      <c r="H1150" s="5">
        <v>0.0165</v>
      </c>
      <c r="I1150" s="5">
        <v>31.0</v>
      </c>
    </row>
    <row r="1151">
      <c r="A1151" s="6" t="s">
        <v>2488</v>
      </c>
      <c r="B1151" s="5">
        <v>10.0</v>
      </c>
      <c r="C1151" s="1" t="s">
        <v>68</v>
      </c>
      <c r="D1151" s="1" t="s">
        <v>29</v>
      </c>
      <c r="E1151" s="1" t="s">
        <v>21</v>
      </c>
      <c r="F1151" s="5">
        <v>7.987</v>
      </c>
      <c r="G1151" s="5">
        <v>1451.2743770000002</v>
      </c>
      <c r="H1151" s="5">
        <v>3.1949</v>
      </c>
      <c r="I1151" s="5">
        <v>1257.0</v>
      </c>
    </row>
    <row r="1152">
      <c r="A1152" s="6" t="s">
        <v>2488</v>
      </c>
      <c r="B1152" s="5">
        <v>10.0</v>
      </c>
      <c r="C1152" s="1" t="s">
        <v>68</v>
      </c>
      <c r="D1152" s="1" t="s">
        <v>38</v>
      </c>
      <c r="E1152" s="1" t="s">
        <v>39</v>
      </c>
      <c r="F1152" s="5">
        <v>14.5779</v>
      </c>
      <c r="G1152" s="5">
        <v>1306.824554</v>
      </c>
      <c r="H1152" s="5">
        <v>2.624</v>
      </c>
      <c r="I1152" s="5">
        <v>3555.0</v>
      </c>
    </row>
    <row r="1153">
      <c r="A1153" s="6" t="s">
        <v>2488</v>
      </c>
      <c r="B1153" s="5">
        <v>10.0</v>
      </c>
      <c r="C1153" s="1" t="s">
        <v>68</v>
      </c>
      <c r="D1153" s="1" t="s">
        <v>45</v>
      </c>
      <c r="E1153" s="1" t="s">
        <v>49</v>
      </c>
      <c r="F1153" s="5">
        <v>0.2882</v>
      </c>
      <c r="G1153" s="5">
        <v>18.151684</v>
      </c>
      <c r="H1153" s="5">
        <v>0.0748999999999999</v>
      </c>
      <c r="I1153" s="5">
        <v>113.0</v>
      </c>
    </row>
    <row r="1154">
      <c r="A1154" s="6" t="s">
        <v>2488</v>
      </c>
      <c r="B1154" s="5">
        <v>10.0</v>
      </c>
      <c r="C1154" s="1" t="s">
        <v>68</v>
      </c>
      <c r="D1154" s="1" t="s">
        <v>45</v>
      </c>
      <c r="E1154" s="1" t="s">
        <v>17</v>
      </c>
      <c r="F1154" s="5">
        <v>5.6143</v>
      </c>
      <c r="G1154" s="5">
        <v>434.429395</v>
      </c>
      <c r="H1154" s="5">
        <v>2.0211</v>
      </c>
      <c r="I1154" s="5">
        <v>1348.0</v>
      </c>
    </row>
    <row r="1155">
      <c r="A1155" s="6" t="s">
        <v>2488</v>
      </c>
      <c r="B1155" s="5">
        <v>10.0</v>
      </c>
      <c r="C1155" s="1" t="s">
        <v>68</v>
      </c>
      <c r="D1155" s="1" t="s">
        <v>1851</v>
      </c>
      <c r="E1155" s="1" t="s">
        <v>17</v>
      </c>
      <c r="F1155" s="5">
        <v>2.415</v>
      </c>
      <c r="G1155" s="5">
        <v>163.867488</v>
      </c>
      <c r="H1155" s="5">
        <v>0.9297</v>
      </c>
      <c r="I1155" s="5">
        <v>1028.0</v>
      </c>
    </row>
    <row r="1156">
      <c r="A1156" s="6" t="s">
        <v>2488</v>
      </c>
      <c r="B1156" s="5">
        <v>10.0</v>
      </c>
      <c r="C1156" s="1" t="s">
        <v>68</v>
      </c>
      <c r="D1156" s="1" t="s">
        <v>1851</v>
      </c>
      <c r="E1156" s="1" t="s">
        <v>21</v>
      </c>
      <c r="F1156" s="5">
        <v>2.2058</v>
      </c>
      <c r="G1156" s="5">
        <v>155.758256</v>
      </c>
      <c r="H1156" s="5">
        <v>1.0809</v>
      </c>
      <c r="I1156" s="5">
        <v>1367.0</v>
      </c>
    </row>
    <row r="1157">
      <c r="A1157" s="6" t="s">
        <v>2488</v>
      </c>
      <c r="B1157" s="5">
        <v>10.0</v>
      </c>
      <c r="C1157" s="1" t="s">
        <v>68</v>
      </c>
      <c r="D1157" s="1" t="s">
        <v>2088</v>
      </c>
      <c r="E1157" s="1" t="s">
        <v>21</v>
      </c>
      <c r="F1157" s="5">
        <v>2.6855</v>
      </c>
      <c r="G1157" s="5">
        <v>198.28060200000002</v>
      </c>
      <c r="H1157" s="5">
        <v>1.0742</v>
      </c>
      <c r="I1157" s="5">
        <v>686.0</v>
      </c>
    </row>
    <row r="1158">
      <c r="A1158" s="6" t="s">
        <v>2488</v>
      </c>
      <c r="B1158" s="5">
        <v>10.0</v>
      </c>
      <c r="C1158" s="1" t="s">
        <v>68</v>
      </c>
      <c r="D1158" s="1" t="s">
        <v>32</v>
      </c>
      <c r="E1158" s="1" t="s">
        <v>14</v>
      </c>
      <c r="F1158" s="5">
        <v>2.1933</v>
      </c>
      <c r="G1158" s="5">
        <v>156.285721</v>
      </c>
      <c r="H1158" s="5">
        <v>0.504499999999999</v>
      </c>
      <c r="I1158" s="5">
        <v>739.0</v>
      </c>
    </row>
    <row r="1159">
      <c r="A1159" s="6" t="s">
        <v>2488</v>
      </c>
      <c r="B1159" s="5">
        <v>10.0</v>
      </c>
      <c r="C1159" s="1" t="s">
        <v>68</v>
      </c>
      <c r="D1159" s="1" t="s">
        <v>32</v>
      </c>
      <c r="E1159" s="1" t="s">
        <v>21</v>
      </c>
      <c r="F1159" s="5">
        <v>0.209</v>
      </c>
      <c r="G1159" s="5">
        <v>18.574319</v>
      </c>
      <c r="H1159" s="5">
        <v>0.094</v>
      </c>
      <c r="I1159" s="5">
        <v>193.0</v>
      </c>
    </row>
    <row r="1160">
      <c r="A1160" s="6" t="s">
        <v>2488</v>
      </c>
      <c r="B1160" s="5">
        <v>10.0</v>
      </c>
      <c r="C1160" s="1" t="s">
        <v>68</v>
      </c>
      <c r="D1160" s="1" t="s">
        <v>1830</v>
      </c>
      <c r="E1160" s="1" t="s">
        <v>72</v>
      </c>
      <c r="F1160" s="5">
        <v>1.7481</v>
      </c>
      <c r="G1160" s="5">
        <v>162.59215700000001</v>
      </c>
      <c r="H1160" s="5">
        <v>0.5594</v>
      </c>
      <c r="I1160" s="5">
        <v>1514.0</v>
      </c>
    </row>
    <row r="1161">
      <c r="A1161" s="6" t="s">
        <v>2488</v>
      </c>
      <c r="B1161" s="5">
        <v>10.0</v>
      </c>
      <c r="C1161" s="1" t="s">
        <v>68</v>
      </c>
      <c r="D1161" s="1" t="s">
        <v>544</v>
      </c>
      <c r="E1161" s="1" t="s">
        <v>17</v>
      </c>
      <c r="F1161" s="5">
        <v>1.8761</v>
      </c>
      <c r="G1161" s="5">
        <v>140.600756</v>
      </c>
      <c r="H1161" s="5">
        <v>0.6566</v>
      </c>
      <c r="I1161" s="5">
        <v>1215.0</v>
      </c>
    </row>
    <row r="1162">
      <c r="A1162" s="6" t="s">
        <v>2488</v>
      </c>
      <c r="B1162" s="5">
        <v>10.0</v>
      </c>
      <c r="C1162" s="1" t="s">
        <v>68</v>
      </c>
      <c r="D1162" s="1" t="s">
        <v>48</v>
      </c>
      <c r="E1162" s="1" t="s">
        <v>49</v>
      </c>
      <c r="F1162" s="5">
        <v>0.0037</v>
      </c>
      <c r="G1162" s="5">
        <v>1.48214</v>
      </c>
      <c r="H1162" s="5">
        <v>0.0011</v>
      </c>
      <c r="I1162" s="5">
        <v>0.0</v>
      </c>
    </row>
    <row r="1163">
      <c r="A1163" s="6" t="s">
        <v>2488</v>
      </c>
      <c r="B1163" s="5">
        <v>10.0</v>
      </c>
      <c r="C1163" s="1" t="s">
        <v>68</v>
      </c>
      <c r="D1163" s="1" t="s">
        <v>48</v>
      </c>
      <c r="E1163" s="1" t="s">
        <v>21</v>
      </c>
      <c r="F1163" s="5">
        <v>0.5566</v>
      </c>
      <c r="G1163" s="5">
        <v>67.058508</v>
      </c>
      <c r="H1163" s="5">
        <v>0.2226</v>
      </c>
      <c r="I1163" s="5">
        <v>0.0</v>
      </c>
    </row>
    <row r="1164">
      <c r="A1164" s="6" t="s">
        <v>2488</v>
      </c>
      <c r="B1164" s="5">
        <v>10.0</v>
      </c>
      <c r="C1164" s="1" t="s">
        <v>116</v>
      </c>
      <c r="D1164" s="1" t="s">
        <v>13</v>
      </c>
      <c r="E1164" s="1" t="s">
        <v>14</v>
      </c>
      <c r="F1164" s="5">
        <v>126.6332</v>
      </c>
      <c r="G1164" s="5">
        <v>7484.281153</v>
      </c>
      <c r="H1164" s="5">
        <v>26.593</v>
      </c>
      <c r="I1164" s="5">
        <v>11784.0</v>
      </c>
    </row>
    <row r="1165">
      <c r="A1165" s="6" t="s">
        <v>2488</v>
      </c>
      <c r="B1165" s="5">
        <v>10.0</v>
      </c>
      <c r="C1165" s="1" t="s">
        <v>116</v>
      </c>
      <c r="D1165" s="1" t="s">
        <v>13</v>
      </c>
      <c r="E1165" s="1" t="s">
        <v>17</v>
      </c>
      <c r="F1165" s="5">
        <v>188.8145</v>
      </c>
      <c r="G1165" s="5">
        <v>15760.805762</v>
      </c>
      <c r="H1165" s="5">
        <v>66.0851</v>
      </c>
      <c r="I1165" s="5">
        <v>17949.0</v>
      </c>
    </row>
    <row r="1166">
      <c r="A1166" s="6" t="s">
        <v>2488</v>
      </c>
      <c r="B1166" s="5">
        <v>10.0</v>
      </c>
      <c r="C1166" s="1" t="s">
        <v>116</v>
      </c>
      <c r="D1166" s="1" t="s">
        <v>13</v>
      </c>
      <c r="E1166" s="1" t="s">
        <v>21</v>
      </c>
      <c r="F1166" s="5">
        <v>7.1569</v>
      </c>
      <c r="G1166" s="5">
        <v>1051.793848</v>
      </c>
      <c r="H1166" s="5">
        <v>3.5785</v>
      </c>
      <c r="I1166" s="5">
        <v>680.0</v>
      </c>
    </row>
    <row r="1167">
      <c r="A1167" s="6" t="s">
        <v>2488</v>
      </c>
      <c r="B1167" s="5">
        <v>10.0</v>
      </c>
      <c r="C1167" s="1" t="s">
        <v>116</v>
      </c>
      <c r="D1167" s="1" t="s">
        <v>13</v>
      </c>
      <c r="E1167" s="1" t="s">
        <v>25</v>
      </c>
      <c r="F1167" s="5">
        <v>0.0121</v>
      </c>
      <c r="G1167" s="5">
        <v>1.881435</v>
      </c>
      <c r="H1167" s="5">
        <v>0.00899999999999999</v>
      </c>
      <c r="I1167" s="5">
        <v>3.0</v>
      </c>
    </row>
    <row r="1168">
      <c r="A1168" s="6" t="s">
        <v>2488</v>
      </c>
      <c r="B1168" s="5">
        <v>10.0</v>
      </c>
      <c r="C1168" s="1" t="s">
        <v>116</v>
      </c>
      <c r="D1168" s="1" t="s">
        <v>29</v>
      </c>
      <c r="E1168" s="1" t="s">
        <v>14</v>
      </c>
      <c r="F1168" s="5">
        <v>1.0007</v>
      </c>
      <c r="G1168" s="5">
        <v>112.165929</v>
      </c>
      <c r="H1168" s="5">
        <v>0.2002</v>
      </c>
      <c r="I1168" s="5">
        <v>225.0</v>
      </c>
    </row>
    <row r="1169">
      <c r="A1169" s="6" t="s">
        <v>2488</v>
      </c>
      <c r="B1169" s="5">
        <v>10.0</v>
      </c>
      <c r="C1169" s="1" t="s">
        <v>116</v>
      </c>
      <c r="D1169" s="1" t="s">
        <v>29</v>
      </c>
      <c r="E1169" s="1" t="s">
        <v>21</v>
      </c>
      <c r="F1169" s="5">
        <v>55.9615</v>
      </c>
      <c r="G1169" s="5">
        <v>9577.518937</v>
      </c>
      <c r="H1169" s="5">
        <v>22.3846</v>
      </c>
      <c r="I1169" s="5">
        <v>4222.0</v>
      </c>
    </row>
    <row r="1170">
      <c r="A1170" s="6" t="s">
        <v>2488</v>
      </c>
      <c r="B1170" s="5">
        <v>10.0</v>
      </c>
      <c r="C1170" s="1" t="s">
        <v>116</v>
      </c>
      <c r="D1170" s="1" t="s">
        <v>38</v>
      </c>
      <c r="E1170" s="1" t="s">
        <v>39</v>
      </c>
      <c r="F1170" s="5">
        <v>23.2374</v>
      </c>
      <c r="G1170" s="5">
        <v>2101.853462</v>
      </c>
      <c r="H1170" s="5">
        <v>4.1827</v>
      </c>
      <c r="I1170" s="5">
        <v>5351.0</v>
      </c>
    </row>
    <row r="1171">
      <c r="A1171" s="6" t="s">
        <v>2488</v>
      </c>
      <c r="B1171" s="5">
        <v>10.0</v>
      </c>
      <c r="C1171" s="1" t="s">
        <v>116</v>
      </c>
      <c r="D1171" s="1" t="s">
        <v>45</v>
      </c>
      <c r="E1171" s="1" t="s">
        <v>49</v>
      </c>
      <c r="F1171" s="5">
        <v>0.7115</v>
      </c>
      <c r="G1171" s="5">
        <v>44.767403</v>
      </c>
      <c r="H1171" s="5">
        <v>0.185</v>
      </c>
      <c r="I1171" s="5">
        <v>268.0</v>
      </c>
    </row>
    <row r="1172">
      <c r="A1172" s="6" t="s">
        <v>2488</v>
      </c>
      <c r="B1172" s="5">
        <v>10.0</v>
      </c>
      <c r="C1172" s="1" t="s">
        <v>116</v>
      </c>
      <c r="D1172" s="1" t="s">
        <v>45</v>
      </c>
      <c r="E1172" s="1" t="s">
        <v>17</v>
      </c>
      <c r="F1172" s="5">
        <v>14.6753</v>
      </c>
      <c r="G1172" s="5">
        <v>1156.387558</v>
      </c>
      <c r="H1172" s="5">
        <v>5.2831</v>
      </c>
      <c r="I1172" s="5">
        <v>1877.0</v>
      </c>
    </row>
    <row r="1173">
      <c r="A1173" s="6" t="s">
        <v>2488</v>
      </c>
      <c r="B1173" s="5">
        <v>10.0</v>
      </c>
      <c r="C1173" s="1" t="s">
        <v>116</v>
      </c>
      <c r="D1173" s="1" t="s">
        <v>1851</v>
      </c>
      <c r="E1173" s="1" t="s">
        <v>17</v>
      </c>
      <c r="F1173" s="5">
        <v>8.62529999999999</v>
      </c>
      <c r="G1173" s="5">
        <v>595.8027149999999</v>
      </c>
      <c r="H1173" s="5">
        <v>3.3207</v>
      </c>
      <c r="I1173" s="5">
        <v>2973.0</v>
      </c>
    </row>
    <row r="1174">
      <c r="A1174" s="6" t="s">
        <v>2488</v>
      </c>
      <c r="B1174" s="5">
        <v>10.0</v>
      </c>
      <c r="C1174" s="1" t="s">
        <v>116</v>
      </c>
      <c r="D1174" s="1" t="s">
        <v>1851</v>
      </c>
      <c r="E1174" s="1" t="s">
        <v>21</v>
      </c>
      <c r="F1174" s="5">
        <v>3.7985</v>
      </c>
      <c r="G1174" s="5">
        <v>275.085705</v>
      </c>
      <c r="H1174" s="5">
        <v>1.8613</v>
      </c>
      <c r="I1174" s="5">
        <v>1927.0</v>
      </c>
    </row>
    <row r="1175">
      <c r="A1175" s="6" t="s">
        <v>2488</v>
      </c>
      <c r="B1175" s="5">
        <v>10.0</v>
      </c>
      <c r="C1175" s="1" t="s">
        <v>116</v>
      </c>
      <c r="D1175" s="1" t="s">
        <v>42</v>
      </c>
      <c r="E1175" s="1" t="s">
        <v>17</v>
      </c>
      <c r="F1175" s="5">
        <v>2.1044</v>
      </c>
      <c r="G1175" s="5">
        <v>449.283347</v>
      </c>
      <c r="H1175" s="5">
        <v>0.7786</v>
      </c>
      <c r="I1175" s="5">
        <v>0.0</v>
      </c>
    </row>
    <row r="1176">
      <c r="A1176" s="6" t="s">
        <v>2488</v>
      </c>
      <c r="B1176" s="5">
        <v>10.0</v>
      </c>
      <c r="C1176" s="1" t="s">
        <v>116</v>
      </c>
      <c r="D1176" s="1" t="s">
        <v>147</v>
      </c>
      <c r="E1176" s="1" t="s">
        <v>39</v>
      </c>
      <c r="F1176" s="5">
        <v>1.2162</v>
      </c>
      <c r="G1176" s="5">
        <v>378.995335</v>
      </c>
      <c r="H1176" s="5">
        <v>0.2311</v>
      </c>
      <c r="I1176" s="5">
        <v>107.0</v>
      </c>
    </row>
    <row r="1177">
      <c r="A1177" s="6" t="s">
        <v>2488</v>
      </c>
      <c r="B1177" s="5">
        <v>10.0</v>
      </c>
      <c r="C1177" s="1" t="s">
        <v>116</v>
      </c>
      <c r="D1177" s="1" t="s">
        <v>147</v>
      </c>
      <c r="E1177" s="1" t="s">
        <v>17</v>
      </c>
      <c r="F1177" s="5">
        <v>0.0176</v>
      </c>
      <c r="G1177" s="5">
        <v>7.460162</v>
      </c>
      <c r="H1177" s="5">
        <v>0.0062</v>
      </c>
      <c r="I1177" s="5">
        <v>4.0</v>
      </c>
    </row>
    <row r="1178">
      <c r="A1178" s="6" t="s">
        <v>2488</v>
      </c>
      <c r="B1178" s="5">
        <v>10.0</v>
      </c>
      <c r="C1178" s="1" t="s">
        <v>116</v>
      </c>
      <c r="D1178" s="1" t="s">
        <v>147</v>
      </c>
      <c r="E1178" s="1" t="s">
        <v>21</v>
      </c>
      <c r="F1178" s="5">
        <v>0.0467</v>
      </c>
      <c r="G1178" s="5">
        <v>23.810641</v>
      </c>
      <c r="H1178" s="5">
        <v>0.0233</v>
      </c>
      <c r="I1178" s="5">
        <v>36.0</v>
      </c>
    </row>
    <row r="1179">
      <c r="A1179" s="6" t="s">
        <v>2488</v>
      </c>
      <c r="B1179" s="5">
        <v>10.0</v>
      </c>
      <c r="C1179" s="1" t="s">
        <v>116</v>
      </c>
      <c r="D1179" s="1" t="s">
        <v>158</v>
      </c>
      <c r="E1179" s="1" t="s">
        <v>39</v>
      </c>
      <c r="F1179" s="5">
        <v>0.0026</v>
      </c>
      <c r="G1179" s="5">
        <v>1.273673</v>
      </c>
      <c r="H1179" s="5">
        <v>5.0E-4</v>
      </c>
      <c r="I1179" s="5">
        <v>1.0</v>
      </c>
    </row>
    <row r="1180">
      <c r="A1180" s="6" t="s">
        <v>2488</v>
      </c>
      <c r="B1180" s="5">
        <v>10.0</v>
      </c>
      <c r="C1180" s="1" t="s">
        <v>116</v>
      </c>
      <c r="D1180" s="1" t="s">
        <v>158</v>
      </c>
      <c r="E1180" s="1" t="s">
        <v>17</v>
      </c>
      <c r="F1180" s="5">
        <v>0.1336</v>
      </c>
      <c r="G1180" s="5">
        <v>58.314527999999996</v>
      </c>
      <c r="H1180" s="5">
        <v>0.0467</v>
      </c>
      <c r="I1180" s="5">
        <v>89.0</v>
      </c>
    </row>
    <row r="1181">
      <c r="A1181" s="6" t="s">
        <v>2488</v>
      </c>
      <c r="B1181" s="5">
        <v>10.0</v>
      </c>
      <c r="C1181" s="1" t="s">
        <v>116</v>
      </c>
      <c r="D1181" s="1" t="s">
        <v>158</v>
      </c>
      <c r="E1181" s="1" t="s">
        <v>21</v>
      </c>
      <c r="F1181" s="5">
        <v>0.5234</v>
      </c>
      <c r="G1181" s="5">
        <v>283.693426</v>
      </c>
      <c r="H1181" s="5">
        <v>0.2199</v>
      </c>
      <c r="I1181" s="5">
        <v>89.0</v>
      </c>
    </row>
    <row r="1182">
      <c r="A1182" s="6" t="s">
        <v>2488</v>
      </c>
      <c r="B1182" s="5">
        <v>10.0</v>
      </c>
      <c r="C1182" s="1" t="s">
        <v>116</v>
      </c>
      <c r="D1182" s="1" t="s">
        <v>1830</v>
      </c>
      <c r="E1182" s="1" t="s">
        <v>72</v>
      </c>
      <c r="F1182" s="5">
        <v>2.7794</v>
      </c>
      <c r="G1182" s="5">
        <v>235.037437</v>
      </c>
      <c r="H1182" s="5">
        <v>0.8894</v>
      </c>
      <c r="I1182" s="5">
        <v>2408.0</v>
      </c>
    </row>
    <row r="1183">
      <c r="A1183" s="6" t="s">
        <v>2488</v>
      </c>
      <c r="B1183" s="5">
        <v>10.0</v>
      </c>
      <c r="C1183" s="1" t="s">
        <v>116</v>
      </c>
      <c r="D1183" s="1" t="s">
        <v>544</v>
      </c>
      <c r="E1183" s="1" t="s">
        <v>17</v>
      </c>
      <c r="F1183" s="5">
        <v>2.6869</v>
      </c>
      <c r="G1183" s="5">
        <v>191.25912100000002</v>
      </c>
      <c r="H1183" s="5">
        <v>0.9404</v>
      </c>
      <c r="I1183" s="5">
        <v>1641.0</v>
      </c>
    </row>
    <row r="1184">
      <c r="A1184" s="6" t="s">
        <v>2488</v>
      </c>
      <c r="B1184" s="5">
        <v>11.0</v>
      </c>
      <c r="C1184" s="1" t="s">
        <v>12</v>
      </c>
      <c r="D1184" s="1" t="s">
        <v>13</v>
      </c>
      <c r="E1184" s="1" t="s">
        <v>14</v>
      </c>
      <c r="F1184" s="5">
        <v>9.3454</v>
      </c>
      <c r="G1184" s="5">
        <v>632.6594719999999</v>
      </c>
      <c r="H1184" s="5">
        <v>1.9625</v>
      </c>
      <c r="I1184" s="5">
        <v>445.0</v>
      </c>
    </row>
    <row r="1185">
      <c r="A1185" s="6" t="s">
        <v>2488</v>
      </c>
      <c r="B1185" s="5">
        <v>11.0</v>
      </c>
      <c r="C1185" s="1" t="s">
        <v>12</v>
      </c>
      <c r="D1185" s="1" t="s">
        <v>13</v>
      </c>
      <c r="E1185" s="1" t="s">
        <v>17</v>
      </c>
      <c r="F1185" s="5">
        <v>49.5129</v>
      </c>
      <c r="G1185" s="5">
        <v>4733.22810399999</v>
      </c>
      <c r="H1185" s="5">
        <v>17.3296</v>
      </c>
      <c r="I1185" s="5">
        <v>780.0</v>
      </c>
    </row>
    <row r="1186">
      <c r="A1186" s="6" t="s">
        <v>2488</v>
      </c>
      <c r="B1186" s="5">
        <v>11.0</v>
      </c>
      <c r="C1186" s="1" t="s">
        <v>12</v>
      </c>
      <c r="D1186" s="1" t="s">
        <v>13</v>
      </c>
      <c r="E1186" s="1" t="s">
        <v>21</v>
      </c>
      <c r="F1186" s="5">
        <v>48.8577</v>
      </c>
      <c r="G1186" s="5">
        <v>5155.983123</v>
      </c>
      <c r="H1186" s="5">
        <v>24.4289</v>
      </c>
      <c r="I1186" s="5">
        <v>670.0</v>
      </c>
    </row>
    <row r="1187">
      <c r="A1187" s="6" t="s">
        <v>2488</v>
      </c>
      <c r="B1187" s="5">
        <v>11.0</v>
      </c>
      <c r="C1187" s="1" t="s">
        <v>12</v>
      </c>
      <c r="D1187" s="1" t="s">
        <v>29</v>
      </c>
      <c r="E1187" s="1" t="s">
        <v>14</v>
      </c>
      <c r="F1187" s="5">
        <v>0.1204</v>
      </c>
      <c r="G1187" s="5">
        <v>15.142913</v>
      </c>
      <c r="H1187" s="5">
        <v>0.0241</v>
      </c>
      <c r="I1187" s="5">
        <v>11.0</v>
      </c>
    </row>
    <row r="1188">
      <c r="A1188" s="6" t="s">
        <v>2488</v>
      </c>
      <c r="B1188" s="5">
        <v>11.0</v>
      </c>
      <c r="C1188" s="1" t="s">
        <v>12</v>
      </c>
      <c r="D1188" s="1" t="s">
        <v>29</v>
      </c>
      <c r="E1188" s="1" t="s">
        <v>21</v>
      </c>
      <c r="F1188" s="5">
        <v>57.1231</v>
      </c>
      <c r="G1188" s="5">
        <v>7939.393997</v>
      </c>
      <c r="H1188" s="5">
        <v>22.8493</v>
      </c>
      <c r="I1188" s="5">
        <v>766.0</v>
      </c>
    </row>
    <row r="1189">
      <c r="A1189" s="6" t="s">
        <v>2488</v>
      </c>
      <c r="B1189" s="5">
        <v>11.0</v>
      </c>
      <c r="C1189" s="1" t="s">
        <v>12</v>
      </c>
      <c r="D1189" s="1" t="s">
        <v>38</v>
      </c>
      <c r="E1189" s="1" t="s">
        <v>39</v>
      </c>
      <c r="F1189" s="5">
        <v>2.9588</v>
      </c>
      <c r="G1189" s="5">
        <v>322.443487</v>
      </c>
      <c r="H1189" s="5">
        <v>0.5326</v>
      </c>
      <c r="I1189" s="5">
        <v>196.0</v>
      </c>
    </row>
    <row r="1190">
      <c r="A1190" s="6" t="s">
        <v>2488</v>
      </c>
      <c r="B1190" s="5">
        <v>11.0</v>
      </c>
      <c r="C1190" s="1" t="s">
        <v>12</v>
      </c>
      <c r="D1190" s="1" t="s">
        <v>48</v>
      </c>
      <c r="E1190" s="1" t="s">
        <v>49</v>
      </c>
      <c r="F1190" s="5">
        <v>0.0298</v>
      </c>
      <c r="G1190" s="5">
        <v>8.82871899999999</v>
      </c>
      <c r="H1190" s="5">
        <v>0.00839999999999999</v>
      </c>
      <c r="I1190" s="5">
        <v>15.0</v>
      </c>
    </row>
    <row r="1191">
      <c r="A1191" s="6" t="s">
        <v>2488</v>
      </c>
      <c r="B1191" s="5">
        <v>11.0</v>
      </c>
      <c r="C1191" s="1" t="s">
        <v>12</v>
      </c>
      <c r="D1191" s="1" t="s">
        <v>48</v>
      </c>
      <c r="E1191" s="1" t="s">
        <v>21</v>
      </c>
      <c r="F1191" s="5">
        <v>1.2734</v>
      </c>
      <c r="G1191" s="5">
        <v>180.08316699999997</v>
      </c>
      <c r="H1191" s="5">
        <v>0.5093</v>
      </c>
      <c r="I1191" s="5">
        <v>186.0</v>
      </c>
    </row>
    <row r="1192">
      <c r="A1192" s="6" t="s">
        <v>2488</v>
      </c>
      <c r="B1192" s="5">
        <v>11.0</v>
      </c>
      <c r="C1192" s="1" t="s">
        <v>12</v>
      </c>
      <c r="D1192" s="1" t="s">
        <v>45</v>
      </c>
      <c r="E1192" s="1" t="s">
        <v>49</v>
      </c>
      <c r="F1192" s="5">
        <v>0.00839999999999999</v>
      </c>
      <c r="G1192" s="5">
        <v>0.5049209999999991</v>
      </c>
      <c r="H1192" s="5">
        <v>0.0022</v>
      </c>
      <c r="I1192" s="5">
        <v>2.0</v>
      </c>
    </row>
    <row r="1193">
      <c r="A1193" s="6" t="s">
        <v>2488</v>
      </c>
      <c r="B1193" s="5">
        <v>11.0</v>
      </c>
      <c r="C1193" s="1" t="s">
        <v>12</v>
      </c>
      <c r="D1193" s="1" t="s">
        <v>45</v>
      </c>
      <c r="E1193" s="1" t="s">
        <v>17</v>
      </c>
      <c r="F1193" s="5">
        <v>1.9763</v>
      </c>
      <c r="G1193" s="5">
        <v>158.905209</v>
      </c>
      <c r="H1193" s="5">
        <v>0.7115</v>
      </c>
      <c r="I1193" s="5">
        <v>188.0</v>
      </c>
    </row>
    <row r="1194">
      <c r="A1194" s="6" t="s">
        <v>2488</v>
      </c>
      <c r="B1194" s="5">
        <v>11.0</v>
      </c>
      <c r="C1194" s="1" t="s">
        <v>12</v>
      </c>
      <c r="D1194" s="1" t="s">
        <v>42</v>
      </c>
      <c r="E1194" s="1" t="s">
        <v>17</v>
      </c>
      <c r="F1194" s="5">
        <v>0.3746</v>
      </c>
      <c r="G1194" s="5">
        <v>70.102819</v>
      </c>
      <c r="H1194" s="5">
        <v>0.1386</v>
      </c>
      <c r="I1194" s="5">
        <v>33.0</v>
      </c>
    </row>
    <row r="1195">
      <c r="A1195" s="6" t="s">
        <v>2488</v>
      </c>
      <c r="B1195" s="5">
        <v>11.0</v>
      </c>
      <c r="C1195" s="1" t="s">
        <v>12</v>
      </c>
      <c r="D1195" s="1" t="s">
        <v>1830</v>
      </c>
      <c r="E1195" s="1" t="s">
        <v>72</v>
      </c>
      <c r="F1195" s="5">
        <v>0.6834</v>
      </c>
      <c r="G1195" s="5">
        <v>69.379221</v>
      </c>
      <c r="H1195" s="5">
        <v>0.2187</v>
      </c>
      <c r="I1195" s="5">
        <v>235.0</v>
      </c>
    </row>
    <row r="1196">
      <c r="A1196" s="6" t="s">
        <v>2488</v>
      </c>
      <c r="B1196" s="5">
        <v>11.0</v>
      </c>
      <c r="C1196" s="1" t="s">
        <v>12</v>
      </c>
      <c r="D1196" s="1" t="s">
        <v>2082</v>
      </c>
      <c r="E1196" s="1" t="s">
        <v>21</v>
      </c>
      <c r="F1196" s="5">
        <v>0.1553</v>
      </c>
      <c r="G1196" s="5">
        <v>31.865634999999997</v>
      </c>
      <c r="H1196" s="5">
        <v>0.0707</v>
      </c>
      <c r="I1196" s="5">
        <v>0.0</v>
      </c>
    </row>
    <row r="1197">
      <c r="A1197" s="6" t="s">
        <v>2488</v>
      </c>
      <c r="B1197" s="5">
        <v>11.0</v>
      </c>
      <c r="C1197" s="1" t="s">
        <v>12</v>
      </c>
      <c r="D1197" s="1" t="s">
        <v>848</v>
      </c>
      <c r="E1197" s="1" t="s">
        <v>21</v>
      </c>
      <c r="F1197" s="5">
        <v>0.1443</v>
      </c>
      <c r="G1197" s="5">
        <v>26.838243</v>
      </c>
      <c r="H1197" s="5">
        <v>0.0577</v>
      </c>
      <c r="I1197" s="5">
        <v>53.0</v>
      </c>
    </row>
    <row r="1198">
      <c r="A1198" s="6" t="s">
        <v>2488</v>
      </c>
      <c r="B1198" s="5">
        <v>11.0</v>
      </c>
      <c r="C1198" s="1" t="s">
        <v>12</v>
      </c>
      <c r="D1198" s="1" t="s">
        <v>60</v>
      </c>
      <c r="E1198" s="1" t="s">
        <v>39</v>
      </c>
      <c r="F1198" s="5">
        <v>0.1516</v>
      </c>
      <c r="G1198" s="5">
        <v>25.916124</v>
      </c>
      <c r="H1198" s="5">
        <v>0.0288</v>
      </c>
      <c r="I1198" s="5">
        <v>64.0</v>
      </c>
    </row>
    <row r="1199">
      <c r="A1199" s="6" t="s">
        <v>2488</v>
      </c>
      <c r="B1199" s="5">
        <v>11.0</v>
      </c>
      <c r="C1199" s="1" t="s">
        <v>12</v>
      </c>
      <c r="D1199" s="1" t="s">
        <v>60</v>
      </c>
      <c r="E1199" s="1" t="s">
        <v>17</v>
      </c>
      <c r="F1199" s="5">
        <v>7.0E-4</v>
      </c>
      <c r="G1199" s="5">
        <v>0.06962099999999999</v>
      </c>
      <c r="H1199" s="5">
        <v>3.0E-4</v>
      </c>
      <c r="I1199" s="5">
        <v>2.0</v>
      </c>
    </row>
    <row r="1200">
      <c r="A1200" s="6" t="s">
        <v>2488</v>
      </c>
      <c r="B1200" s="5">
        <v>11.0</v>
      </c>
      <c r="C1200" s="1" t="s">
        <v>68</v>
      </c>
      <c r="D1200" s="1" t="s">
        <v>13</v>
      </c>
      <c r="E1200" s="1" t="s">
        <v>14</v>
      </c>
      <c r="F1200" s="5">
        <v>26.6778</v>
      </c>
      <c r="G1200" s="5">
        <v>1862.527017</v>
      </c>
      <c r="H1200" s="5">
        <v>5.6023</v>
      </c>
      <c r="I1200" s="5">
        <v>5924.0</v>
      </c>
    </row>
    <row r="1201">
      <c r="A1201" s="6" t="s">
        <v>2488</v>
      </c>
      <c r="B1201" s="5">
        <v>11.0</v>
      </c>
      <c r="C1201" s="1" t="s">
        <v>68</v>
      </c>
      <c r="D1201" s="1" t="s">
        <v>13</v>
      </c>
      <c r="E1201" s="1" t="s">
        <v>17</v>
      </c>
      <c r="F1201" s="5">
        <v>65.9601</v>
      </c>
      <c r="G1201" s="5">
        <v>6276.647956</v>
      </c>
      <c r="H1201" s="5">
        <v>23.0859</v>
      </c>
      <c r="I1201" s="5">
        <v>10158.0</v>
      </c>
    </row>
    <row r="1202">
      <c r="A1202" s="6" t="s">
        <v>2488</v>
      </c>
      <c r="B1202" s="5">
        <v>11.0</v>
      </c>
      <c r="C1202" s="1" t="s">
        <v>68</v>
      </c>
      <c r="D1202" s="1" t="s">
        <v>13</v>
      </c>
      <c r="E1202" s="1" t="s">
        <v>21</v>
      </c>
      <c r="F1202" s="5">
        <v>1.9498</v>
      </c>
      <c r="G1202" s="5">
        <v>303.85544300000004</v>
      </c>
      <c r="H1202" s="5">
        <v>0.9749</v>
      </c>
      <c r="I1202" s="5">
        <v>545.0</v>
      </c>
    </row>
    <row r="1203">
      <c r="A1203" s="6" t="s">
        <v>2488</v>
      </c>
      <c r="B1203" s="5">
        <v>11.0</v>
      </c>
      <c r="C1203" s="1" t="s">
        <v>68</v>
      </c>
      <c r="D1203" s="1" t="s">
        <v>13</v>
      </c>
      <c r="E1203" s="1" t="s">
        <v>25</v>
      </c>
      <c r="F1203" s="5">
        <v>0.2765</v>
      </c>
      <c r="G1203" s="5">
        <v>44.648981</v>
      </c>
      <c r="H1203" s="5">
        <v>0.2073</v>
      </c>
      <c r="I1203" s="5">
        <v>163.0</v>
      </c>
    </row>
    <row r="1204">
      <c r="A1204" s="6" t="s">
        <v>2488</v>
      </c>
      <c r="B1204" s="5">
        <v>11.0</v>
      </c>
      <c r="C1204" s="1" t="s">
        <v>68</v>
      </c>
      <c r="D1204" s="1" t="s">
        <v>29</v>
      </c>
      <c r="E1204" s="1" t="s">
        <v>14</v>
      </c>
      <c r="F1204" s="5">
        <v>0.0267</v>
      </c>
      <c r="G1204" s="5">
        <v>3.1194349999999997</v>
      </c>
      <c r="H1204" s="5">
        <v>0.0054</v>
      </c>
      <c r="I1204" s="5">
        <v>8.0</v>
      </c>
    </row>
    <row r="1205">
      <c r="A1205" s="6" t="s">
        <v>2488</v>
      </c>
      <c r="B1205" s="5">
        <v>11.0</v>
      </c>
      <c r="C1205" s="1" t="s">
        <v>68</v>
      </c>
      <c r="D1205" s="1" t="s">
        <v>29</v>
      </c>
      <c r="E1205" s="1" t="s">
        <v>21</v>
      </c>
      <c r="F1205" s="5">
        <v>8.1549</v>
      </c>
      <c r="G1205" s="5">
        <v>1411.3826569999999</v>
      </c>
      <c r="H1205" s="5">
        <v>3.2619</v>
      </c>
      <c r="I1205" s="5">
        <v>1619.0</v>
      </c>
    </row>
    <row r="1206">
      <c r="A1206" s="6" t="s">
        <v>2488</v>
      </c>
      <c r="B1206" s="5">
        <v>11.0</v>
      </c>
      <c r="C1206" s="1" t="s">
        <v>68</v>
      </c>
      <c r="D1206" s="1" t="s">
        <v>38</v>
      </c>
      <c r="E1206" s="1" t="s">
        <v>39</v>
      </c>
      <c r="F1206" s="5">
        <v>10.259</v>
      </c>
      <c r="G1206" s="5">
        <v>911.9591929999999</v>
      </c>
      <c r="H1206" s="5">
        <v>1.8466</v>
      </c>
      <c r="I1206" s="5">
        <v>3204.0</v>
      </c>
    </row>
    <row r="1207">
      <c r="A1207" s="6" t="s">
        <v>2488</v>
      </c>
      <c r="B1207" s="5">
        <v>11.0</v>
      </c>
      <c r="C1207" s="1" t="s">
        <v>68</v>
      </c>
      <c r="D1207" s="1" t="s">
        <v>45</v>
      </c>
      <c r="E1207" s="1" t="s">
        <v>49</v>
      </c>
      <c r="F1207" s="5">
        <v>0.686</v>
      </c>
      <c r="G1207" s="5">
        <v>42.92005</v>
      </c>
      <c r="H1207" s="5">
        <v>0.1784</v>
      </c>
      <c r="I1207" s="5">
        <v>123.0</v>
      </c>
    </row>
    <row r="1208">
      <c r="A1208" s="6" t="s">
        <v>2488</v>
      </c>
      <c r="B1208" s="5">
        <v>11.0</v>
      </c>
      <c r="C1208" s="1" t="s">
        <v>68</v>
      </c>
      <c r="D1208" s="1" t="s">
        <v>45</v>
      </c>
      <c r="E1208" s="1" t="s">
        <v>17</v>
      </c>
      <c r="F1208" s="5">
        <v>12.0641</v>
      </c>
      <c r="G1208" s="5">
        <v>709.762952</v>
      </c>
      <c r="H1208" s="5">
        <v>4.343</v>
      </c>
      <c r="I1208" s="5">
        <v>1420.0</v>
      </c>
    </row>
    <row r="1209">
      <c r="A1209" s="6" t="s">
        <v>2488</v>
      </c>
      <c r="B1209" s="5">
        <v>11.0</v>
      </c>
      <c r="C1209" s="1" t="s">
        <v>68</v>
      </c>
      <c r="D1209" s="1" t="s">
        <v>1851</v>
      </c>
      <c r="E1209" s="1" t="s">
        <v>17</v>
      </c>
      <c r="F1209" s="5">
        <v>2.6768</v>
      </c>
      <c r="G1209" s="5">
        <v>167.301944</v>
      </c>
      <c r="H1209" s="5">
        <v>1.0306</v>
      </c>
      <c r="I1209" s="5">
        <v>788.0</v>
      </c>
    </row>
    <row r="1210">
      <c r="A1210" s="6" t="s">
        <v>2488</v>
      </c>
      <c r="B1210" s="5">
        <v>11.0</v>
      </c>
      <c r="C1210" s="1" t="s">
        <v>68</v>
      </c>
      <c r="D1210" s="1" t="s">
        <v>1851</v>
      </c>
      <c r="E1210" s="1" t="s">
        <v>21</v>
      </c>
      <c r="F1210" s="5">
        <v>1.2912</v>
      </c>
      <c r="G1210" s="5">
        <v>91.374932</v>
      </c>
      <c r="H1210" s="5">
        <v>0.6327</v>
      </c>
      <c r="I1210" s="5">
        <v>1002.0</v>
      </c>
    </row>
    <row r="1211">
      <c r="A1211" s="6" t="s">
        <v>2488</v>
      </c>
      <c r="B1211" s="5">
        <v>11.0</v>
      </c>
      <c r="C1211" s="1" t="s">
        <v>68</v>
      </c>
      <c r="D1211" s="1" t="s">
        <v>1830</v>
      </c>
      <c r="E1211" s="1" t="s">
        <v>72</v>
      </c>
      <c r="F1211" s="5">
        <v>1.9385</v>
      </c>
      <c r="G1211" s="5">
        <v>170.223986</v>
      </c>
      <c r="H1211" s="5">
        <v>0.6203</v>
      </c>
      <c r="I1211" s="5">
        <v>1671.0</v>
      </c>
    </row>
    <row r="1212">
      <c r="A1212" s="6" t="s">
        <v>2488</v>
      </c>
      <c r="B1212" s="5">
        <v>11.0</v>
      </c>
      <c r="C1212" s="1" t="s">
        <v>68</v>
      </c>
      <c r="D1212" s="1" t="s">
        <v>32</v>
      </c>
      <c r="E1212" s="1" t="s">
        <v>14</v>
      </c>
      <c r="F1212" s="5">
        <v>2.0573</v>
      </c>
      <c r="G1212" s="5">
        <v>141.777357</v>
      </c>
      <c r="H1212" s="5">
        <v>0.4732</v>
      </c>
      <c r="I1212" s="5">
        <v>673.0</v>
      </c>
    </row>
    <row r="1213">
      <c r="A1213" s="6" t="s">
        <v>2488</v>
      </c>
      <c r="B1213" s="5">
        <v>11.0</v>
      </c>
      <c r="C1213" s="1" t="s">
        <v>68</v>
      </c>
      <c r="D1213" s="1" t="s">
        <v>32</v>
      </c>
      <c r="E1213" s="1" t="s">
        <v>21</v>
      </c>
      <c r="F1213" s="5">
        <v>0.1111</v>
      </c>
      <c r="G1213" s="5">
        <v>9.832527</v>
      </c>
      <c r="H1213" s="5">
        <v>0.05</v>
      </c>
      <c r="I1213" s="5">
        <v>111.0</v>
      </c>
    </row>
    <row r="1214">
      <c r="A1214" s="6" t="s">
        <v>2488</v>
      </c>
      <c r="B1214" s="5">
        <v>11.0</v>
      </c>
      <c r="C1214" s="1" t="s">
        <v>68</v>
      </c>
      <c r="D1214" s="1" t="s">
        <v>2088</v>
      </c>
      <c r="E1214" s="1" t="s">
        <v>21</v>
      </c>
      <c r="F1214" s="5">
        <v>2.0803</v>
      </c>
      <c r="G1214" s="5">
        <v>150.47624900000002</v>
      </c>
      <c r="H1214" s="5">
        <v>0.8321</v>
      </c>
      <c r="I1214" s="5">
        <v>660.0</v>
      </c>
    </row>
    <row r="1215">
      <c r="A1215" s="6" t="s">
        <v>2488</v>
      </c>
      <c r="B1215" s="5">
        <v>11.0</v>
      </c>
      <c r="C1215" s="1" t="s">
        <v>68</v>
      </c>
      <c r="D1215" s="1" t="s">
        <v>544</v>
      </c>
      <c r="E1215" s="1" t="s">
        <v>17</v>
      </c>
      <c r="F1215" s="5">
        <v>1.6439</v>
      </c>
      <c r="G1215" s="5">
        <v>116.172805</v>
      </c>
      <c r="H1215" s="5">
        <v>0.5754</v>
      </c>
      <c r="I1215" s="5">
        <v>1077.0</v>
      </c>
    </row>
    <row r="1216">
      <c r="A1216" s="6" t="s">
        <v>2488</v>
      </c>
      <c r="B1216" s="5">
        <v>11.0</v>
      </c>
      <c r="C1216" s="1" t="s">
        <v>68</v>
      </c>
      <c r="D1216" s="1" t="s">
        <v>42</v>
      </c>
      <c r="E1216" s="1" t="s">
        <v>17</v>
      </c>
      <c r="F1216" s="5">
        <v>0.521</v>
      </c>
      <c r="G1216" s="5">
        <v>103.764818</v>
      </c>
      <c r="H1216" s="5">
        <v>0.1928</v>
      </c>
      <c r="I1216" s="5">
        <v>0.0</v>
      </c>
    </row>
    <row r="1217">
      <c r="A1217" s="6" t="s">
        <v>2488</v>
      </c>
      <c r="B1217" s="5">
        <v>11.0</v>
      </c>
      <c r="C1217" s="1" t="s">
        <v>116</v>
      </c>
      <c r="D1217" s="1" t="s">
        <v>13</v>
      </c>
      <c r="E1217" s="1" t="s">
        <v>14</v>
      </c>
      <c r="F1217" s="5">
        <v>91.0282</v>
      </c>
      <c r="G1217" s="5">
        <v>5751.850418999999</v>
      </c>
      <c r="H1217" s="5">
        <v>19.116</v>
      </c>
      <c r="I1217" s="5">
        <v>11309.0</v>
      </c>
    </row>
    <row r="1218">
      <c r="A1218" s="6" t="s">
        <v>2488</v>
      </c>
      <c r="B1218" s="5">
        <v>11.0</v>
      </c>
      <c r="C1218" s="1" t="s">
        <v>116</v>
      </c>
      <c r="D1218" s="1" t="s">
        <v>13</v>
      </c>
      <c r="E1218" s="1" t="s">
        <v>17</v>
      </c>
      <c r="F1218" s="5">
        <v>148.5251</v>
      </c>
      <c r="G1218" s="5">
        <v>13843.010251</v>
      </c>
      <c r="H1218" s="5">
        <v>51.9838</v>
      </c>
      <c r="I1218" s="5">
        <v>17986.0</v>
      </c>
    </row>
    <row r="1219">
      <c r="A1219" s="6" t="s">
        <v>2488</v>
      </c>
      <c r="B1219" s="5">
        <v>11.0</v>
      </c>
      <c r="C1219" s="1" t="s">
        <v>116</v>
      </c>
      <c r="D1219" s="1" t="s">
        <v>13</v>
      </c>
      <c r="E1219" s="1" t="s">
        <v>21</v>
      </c>
      <c r="F1219" s="5">
        <v>13.1242</v>
      </c>
      <c r="G1219" s="5">
        <v>1613.783187</v>
      </c>
      <c r="H1219" s="5">
        <v>6.5621</v>
      </c>
      <c r="I1219" s="5">
        <v>721.0</v>
      </c>
    </row>
    <row r="1220">
      <c r="A1220" s="6" t="s">
        <v>2488</v>
      </c>
      <c r="B1220" s="5">
        <v>11.0</v>
      </c>
      <c r="C1220" s="1" t="s">
        <v>116</v>
      </c>
      <c r="D1220" s="1" t="s">
        <v>13</v>
      </c>
      <c r="E1220" s="1" t="s">
        <v>25</v>
      </c>
      <c r="F1220" s="5">
        <v>0.0116</v>
      </c>
      <c r="G1220" s="5">
        <v>1.818643</v>
      </c>
      <c r="H1220" s="5">
        <v>0.00869999999999999</v>
      </c>
      <c r="I1220" s="5">
        <v>3.0</v>
      </c>
    </row>
    <row r="1221">
      <c r="A1221" s="6" t="s">
        <v>2488</v>
      </c>
      <c r="B1221" s="5">
        <v>11.0</v>
      </c>
      <c r="C1221" s="1" t="s">
        <v>116</v>
      </c>
      <c r="D1221" s="1" t="s">
        <v>29</v>
      </c>
      <c r="E1221" s="1" t="s">
        <v>14</v>
      </c>
      <c r="F1221" s="5">
        <v>0.9913</v>
      </c>
      <c r="G1221" s="5">
        <v>116.18659600000001</v>
      </c>
      <c r="H1221" s="5">
        <v>0.1983</v>
      </c>
      <c r="I1221" s="5">
        <v>252.0</v>
      </c>
    </row>
    <row r="1222">
      <c r="A1222" s="6" t="s">
        <v>2488</v>
      </c>
      <c r="B1222" s="5">
        <v>11.0</v>
      </c>
      <c r="C1222" s="1" t="s">
        <v>116</v>
      </c>
      <c r="D1222" s="1" t="s">
        <v>29</v>
      </c>
      <c r="E1222" s="1" t="s">
        <v>21</v>
      </c>
      <c r="F1222" s="5">
        <v>49.3487</v>
      </c>
      <c r="G1222" s="5">
        <v>8723.80770099999</v>
      </c>
      <c r="H1222" s="5">
        <v>19.7395</v>
      </c>
      <c r="I1222" s="5">
        <v>4650.0</v>
      </c>
    </row>
    <row r="1223">
      <c r="A1223" s="6" t="s">
        <v>2488</v>
      </c>
      <c r="B1223" s="5">
        <v>11.0</v>
      </c>
      <c r="C1223" s="1" t="s">
        <v>116</v>
      </c>
      <c r="D1223" s="1" t="s">
        <v>45</v>
      </c>
      <c r="E1223" s="1" t="s">
        <v>49</v>
      </c>
      <c r="F1223" s="5">
        <v>1.5021</v>
      </c>
      <c r="G1223" s="5">
        <v>94.16277099999999</v>
      </c>
      <c r="H1223" s="5">
        <v>0.3905</v>
      </c>
      <c r="I1223" s="5">
        <v>299.0</v>
      </c>
    </row>
    <row r="1224">
      <c r="A1224" s="6" t="s">
        <v>2488</v>
      </c>
      <c r="B1224" s="5">
        <v>11.0</v>
      </c>
      <c r="C1224" s="1" t="s">
        <v>116</v>
      </c>
      <c r="D1224" s="1" t="s">
        <v>45</v>
      </c>
      <c r="E1224" s="1" t="s">
        <v>17</v>
      </c>
      <c r="F1224" s="5">
        <v>31.1936</v>
      </c>
      <c r="G1224" s="5">
        <v>1961.2954069999998</v>
      </c>
      <c r="H1224" s="5">
        <v>11.2297</v>
      </c>
      <c r="I1224" s="5">
        <v>1922.0</v>
      </c>
    </row>
    <row r="1225">
      <c r="A1225" s="6" t="s">
        <v>2488</v>
      </c>
      <c r="B1225" s="5">
        <v>11.0</v>
      </c>
      <c r="C1225" s="1" t="s">
        <v>116</v>
      </c>
      <c r="D1225" s="1" t="s">
        <v>38</v>
      </c>
      <c r="E1225" s="1" t="s">
        <v>39</v>
      </c>
      <c r="F1225" s="5">
        <v>16.482</v>
      </c>
      <c r="G1225" s="5">
        <v>1502.999939</v>
      </c>
      <c r="H1225" s="5">
        <v>2.9668</v>
      </c>
      <c r="I1225" s="5">
        <v>4821.0</v>
      </c>
    </row>
    <row r="1226">
      <c r="A1226" s="6" t="s">
        <v>2488</v>
      </c>
      <c r="B1226" s="5">
        <v>11.0</v>
      </c>
      <c r="C1226" s="1" t="s">
        <v>116</v>
      </c>
      <c r="D1226" s="1" t="s">
        <v>1851</v>
      </c>
      <c r="E1226" s="1" t="s">
        <v>17</v>
      </c>
      <c r="F1226" s="5">
        <v>8.0768</v>
      </c>
      <c r="G1226" s="5">
        <v>479.585418</v>
      </c>
      <c r="H1226" s="5">
        <v>3.1096</v>
      </c>
      <c r="I1226" s="5">
        <v>2321.0</v>
      </c>
    </row>
    <row r="1227">
      <c r="A1227" s="6" t="s">
        <v>2488</v>
      </c>
      <c r="B1227" s="5">
        <v>11.0</v>
      </c>
      <c r="C1227" s="1" t="s">
        <v>116</v>
      </c>
      <c r="D1227" s="1" t="s">
        <v>1851</v>
      </c>
      <c r="E1227" s="1" t="s">
        <v>21</v>
      </c>
      <c r="F1227" s="5">
        <v>1.7141</v>
      </c>
      <c r="G1227" s="5">
        <v>119.78602099999999</v>
      </c>
      <c r="H1227" s="5">
        <v>0.8399</v>
      </c>
      <c r="I1227" s="5">
        <v>1202.0</v>
      </c>
    </row>
    <row r="1228">
      <c r="A1228" s="6" t="s">
        <v>2488</v>
      </c>
      <c r="B1228" s="5">
        <v>11.0</v>
      </c>
      <c r="C1228" s="1" t="s">
        <v>116</v>
      </c>
      <c r="D1228" s="1" t="s">
        <v>42</v>
      </c>
      <c r="E1228" s="1" t="s">
        <v>17</v>
      </c>
      <c r="F1228" s="5">
        <v>1.827</v>
      </c>
      <c r="G1228" s="5">
        <v>378.372655</v>
      </c>
      <c r="H1228" s="5">
        <v>0.676</v>
      </c>
      <c r="I1228" s="5">
        <v>0.0</v>
      </c>
    </row>
    <row r="1229">
      <c r="A1229" s="6" t="s">
        <v>2488</v>
      </c>
      <c r="B1229" s="5">
        <v>11.0</v>
      </c>
      <c r="C1229" s="1" t="s">
        <v>116</v>
      </c>
      <c r="D1229" s="1" t="s">
        <v>147</v>
      </c>
      <c r="E1229" s="1" t="s">
        <v>39</v>
      </c>
      <c r="F1229" s="5">
        <v>1.0677</v>
      </c>
      <c r="G1229" s="5">
        <v>321.767696</v>
      </c>
      <c r="H1229" s="5">
        <v>0.2027</v>
      </c>
      <c r="I1229" s="5">
        <v>108.0</v>
      </c>
    </row>
    <row r="1230">
      <c r="A1230" s="6" t="s">
        <v>2488</v>
      </c>
      <c r="B1230" s="5">
        <v>11.0</v>
      </c>
      <c r="C1230" s="1" t="s">
        <v>116</v>
      </c>
      <c r="D1230" s="1" t="s">
        <v>147</v>
      </c>
      <c r="E1230" s="1" t="s">
        <v>17</v>
      </c>
      <c r="F1230" s="5">
        <v>0.0168</v>
      </c>
      <c r="G1230" s="5">
        <v>7.170603</v>
      </c>
      <c r="H1230" s="5">
        <v>0.006</v>
      </c>
      <c r="I1230" s="5">
        <v>5.0</v>
      </c>
    </row>
    <row r="1231">
      <c r="A1231" s="6" t="s">
        <v>2488</v>
      </c>
      <c r="B1231" s="5">
        <v>11.0</v>
      </c>
      <c r="C1231" s="1" t="s">
        <v>116</v>
      </c>
      <c r="D1231" s="1" t="s">
        <v>147</v>
      </c>
      <c r="E1231" s="1" t="s">
        <v>21</v>
      </c>
      <c r="F1231" s="5">
        <v>0.0466</v>
      </c>
      <c r="G1231" s="5">
        <v>24.183679</v>
      </c>
      <c r="H1231" s="5">
        <v>0.0233</v>
      </c>
      <c r="I1231" s="5">
        <v>39.0</v>
      </c>
    </row>
    <row r="1232">
      <c r="A1232" s="6" t="s">
        <v>2488</v>
      </c>
      <c r="B1232" s="5">
        <v>11.0</v>
      </c>
      <c r="C1232" s="1" t="s">
        <v>116</v>
      </c>
      <c r="D1232" s="1" t="s">
        <v>1830</v>
      </c>
      <c r="E1232" s="1" t="s">
        <v>72</v>
      </c>
      <c r="F1232" s="5">
        <v>3.8501</v>
      </c>
      <c r="G1232" s="5">
        <v>311.613187</v>
      </c>
      <c r="H1232" s="5">
        <v>1.232</v>
      </c>
      <c r="I1232" s="5">
        <v>2984.0</v>
      </c>
    </row>
    <row r="1233">
      <c r="A1233" s="6" t="s">
        <v>2488</v>
      </c>
      <c r="B1233" s="5">
        <v>11.0</v>
      </c>
      <c r="C1233" s="1" t="s">
        <v>116</v>
      </c>
      <c r="D1233" s="1" t="s">
        <v>48</v>
      </c>
      <c r="E1233" s="1" t="s">
        <v>49</v>
      </c>
      <c r="F1233" s="5">
        <v>0.3133</v>
      </c>
      <c r="G1233" s="5">
        <v>119.615482</v>
      </c>
      <c r="H1233" s="5">
        <v>0.0877</v>
      </c>
      <c r="I1233" s="5">
        <v>0.0</v>
      </c>
    </row>
    <row r="1234">
      <c r="A1234" s="6" t="s">
        <v>2488</v>
      </c>
      <c r="B1234" s="5">
        <v>11.0</v>
      </c>
      <c r="C1234" s="1" t="s">
        <v>116</v>
      </c>
      <c r="D1234" s="1" t="s">
        <v>48</v>
      </c>
      <c r="E1234" s="1" t="s">
        <v>72</v>
      </c>
      <c r="F1234" s="5">
        <v>0.0016</v>
      </c>
      <c r="G1234" s="5">
        <v>0.5265359999999999</v>
      </c>
      <c r="H1234" s="5">
        <v>5.0E-4</v>
      </c>
      <c r="I1234" s="5">
        <v>0.0</v>
      </c>
    </row>
    <row r="1235">
      <c r="A1235" s="6" t="s">
        <v>2488</v>
      </c>
      <c r="B1235" s="5">
        <v>11.0</v>
      </c>
      <c r="C1235" s="1" t="s">
        <v>116</v>
      </c>
      <c r="D1235" s="1" t="s">
        <v>48</v>
      </c>
      <c r="E1235" s="1" t="s">
        <v>21</v>
      </c>
      <c r="F1235" s="5">
        <v>1.1007</v>
      </c>
      <c r="G1235" s="5">
        <v>150.34304</v>
      </c>
      <c r="H1235" s="5">
        <v>0.4403</v>
      </c>
      <c r="I1235" s="5">
        <v>0.0</v>
      </c>
    </row>
    <row r="1236">
      <c r="A1236" s="6" t="s">
        <v>2488</v>
      </c>
      <c r="B1236" s="5">
        <v>11.0</v>
      </c>
      <c r="C1236" s="1" t="s">
        <v>116</v>
      </c>
      <c r="D1236" s="1" t="s">
        <v>1949</v>
      </c>
      <c r="E1236" s="1" t="s">
        <v>14</v>
      </c>
      <c r="F1236" s="5">
        <v>0.2777</v>
      </c>
      <c r="G1236" s="5">
        <v>139.085529</v>
      </c>
      <c r="H1236" s="5">
        <v>0.0556</v>
      </c>
      <c r="I1236" s="5">
        <v>0.0</v>
      </c>
    </row>
    <row r="1237">
      <c r="A1237" s="6" t="s">
        <v>2488</v>
      </c>
      <c r="B1237" s="5">
        <v>11.0</v>
      </c>
      <c r="C1237" s="1" t="s">
        <v>116</v>
      </c>
      <c r="D1237" s="1" t="s">
        <v>1949</v>
      </c>
      <c r="E1237" s="1" t="s">
        <v>17</v>
      </c>
      <c r="F1237" s="5">
        <v>0.2557</v>
      </c>
      <c r="G1237" s="5">
        <v>129.399208</v>
      </c>
      <c r="H1237" s="5">
        <v>0.0893999999999999</v>
      </c>
      <c r="I1237" s="5">
        <v>0.0</v>
      </c>
    </row>
    <row r="1238">
      <c r="A1238" s="6" t="s">
        <v>2488</v>
      </c>
      <c r="B1238" s="5">
        <v>12.0</v>
      </c>
      <c r="C1238" s="1" t="s">
        <v>12</v>
      </c>
      <c r="D1238" s="1" t="s">
        <v>13</v>
      </c>
      <c r="E1238" s="1" t="s">
        <v>14</v>
      </c>
      <c r="F1238" s="5">
        <v>8.2873</v>
      </c>
      <c r="G1238" s="5">
        <v>584.439645</v>
      </c>
      <c r="H1238" s="5">
        <v>1.7403</v>
      </c>
      <c r="I1238" s="5">
        <v>484.0</v>
      </c>
    </row>
    <row r="1239">
      <c r="A1239" s="6" t="s">
        <v>2488</v>
      </c>
      <c r="B1239" s="5">
        <v>12.0</v>
      </c>
      <c r="C1239" s="1" t="s">
        <v>12</v>
      </c>
      <c r="D1239" s="1" t="s">
        <v>13</v>
      </c>
      <c r="E1239" s="1" t="s">
        <v>17</v>
      </c>
      <c r="F1239" s="5">
        <v>58.9269</v>
      </c>
      <c r="G1239" s="5">
        <v>5261.899307</v>
      </c>
      <c r="H1239" s="5">
        <v>20.6244</v>
      </c>
      <c r="I1239" s="5">
        <v>782.0</v>
      </c>
    </row>
    <row r="1240">
      <c r="A1240" s="6" t="s">
        <v>2488</v>
      </c>
      <c r="B1240" s="5">
        <v>12.0</v>
      </c>
      <c r="C1240" s="1" t="s">
        <v>12</v>
      </c>
      <c r="D1240" s="1" t="s">
        <v>13</v>
      </c>
      <c r="E1240" s="1" t="s">
        <v>21</v>
      </c>
      <c r="F1240" s="5">
        <v>40.0693</v>
      </c>
      <c r="G1240" s="5">
        <v>4483.308138</v>
      </c>
      <c r="H1240" s="5">
        <v>20.0346</v>
      </c>
      <c r="I1240" s="5">
        <v>666.0</v>
      </c>
    </row>
    <row r="1241">
      <c r="A1241" s="6" t="s">
        <v>2488</v>
      </c>
      <c r="B1241" s="5">
        <v>12.0</v>
      </c>
      <c r="C1241" s="1" t="s">
        <v>12</v>
      </c>
      <c r="D1241" s="1" t="s">
        <v>29</v>
      </c>
      <c r="E1241" s="1" t="s">
        <v>14</v>
      </c>
      <c r="F1241" s="5">
        <v>0.126</v>
      </c>
      <c r="G1241" s="5">
        <v>15.565614</v>
      </c>
      <c r="H1241" s="5">
        <v>0.0252</v>
      </c>
      <c r="I1241" s="5">
        <v>11.0</v>
      </c>
    </row>
    <row r="1242">
      <c r="A1242" s="6" t="s">
        <v>2488</v>
      </c>
      <c r="B1242" s="5">
        <v>12.0</v>
      </c>
      <c r="C1242" s="1" t="s">
        <v>12</v>
      </c>
      <c r="D1242" s="1" t="s">
        <v>29</v>
      </c>
      <c r="E1242" s="1" t="s">
        <v>21</v>
      </c>
      <c r="F1242" s="5">
        <v>48.5318</v>
      </c>
      <c r="G1242" s="5">
        <v>7688.316923</v>
      </c>
      <c r="H1242" s="5">
        <v>19.4127</v>
      </c>
      <c r="I1242" s="5">
        <v>766.0</v>
      </c>
    </row>
    <row r="1243">
      <c r="A1243" s="6" t="s">
        <v>2488</v>
      </c>
      <c r="B1243" s="5">
        <v>12.0</v>
      </c>
      <c r="C1243" s="1" t="s">
        <v>12</v>
      </c>
      <c r="D1243" s="1" t="s">
        <v>38</v>
      </c>
      <c r="E1243" s="1" t="s">
        <v>39</v>
      </c>
      <c r="F1243" s="5">
        <v>3.0142</v>
      </c>
      <c r="G1243" s="5">
        <v>325.02226299999995</v>
      </c>
      <c r="H1243" s="5">
        <v>0.5425</v>
      </c>
      <c r="I1243" s="5">
        <v>210.0</v>
      </c>
    </row>
    <row r="1244">
      <c r="A1244" s="6" t="s">
        <v>2488</v>
      </c>
      <c r="B1244" s="5">
        <v>12.0</v>
      </c>
      <c r="C1244" s="1" t="s">
        <v>12</v>
      </c>
      <c r="D1244" s="1" t="s">
        <v>48</v>
      </c>
      <c r="E1244" s="1" t="s">
        <v>49</v>
      </c>
      <c r="F1244" s="5">
        <v>0.0374</v>
      </c>
      <c r="G1244" s="5">
        <v>10.424574</v>
      </c>
      <c r="H1244" s="5">
        <v>0.0105</v>
      </c>
      <c r="I1244" s="5">
        <v>13.0</v>
      </c>
    </row>
    <row r="1245">
      <c r="A1245" s="6" t="s">
        <v>2488</v>
      </c>
      <c r="B1245" s="5">
        <v>12.0</v>
      </c>
      <c r="C1245" s="1" t="s">
        <v>12</v>
      </c>
      <c r="D1245" s="1" t="s">
        <v>48</v>
      </c>
      <c r="E1245" s="1" t="s">
        <v>21</v>
      </c>
      <c r="F1245" s="5">
        <v>1.381</v>
      </c>
      <c r="G1245" s="5">
        <v>191.527329</v>
      </c>
      <c r="H1245" s="5">
        <v>0.5524</v>
      </c>
      <c r="I1245" s="5">
        <v>195.0</v>
      </c>
    </row>
    <row r="1246">
      <c r="A1246" s="6" t="s">
        <v>2488</v>
      </c>
      <c r="B1246" s="5">
        <v>12.0</v>
      </c>
      <c r="C1246" s="1" t="s">
        <v>12</v>
      </c>
      <c r="D1246" s="1" t="s">
        <v>45</v>
      </c>
      <c r="E1246" s="1" t="s">
        <v>49</v>
      </c>
      <c r="F1246" s="5">
        <v>0.0071</v>
      </c>
      <c r="G1246" s="5">
        <v>0.403671</v>
      </c>
      <c r="H1246" s="5">
        <v>0.0019</v>
      </c>
      <c r="I1246" s="5">
        <v>2.0</v>
      </c>
    </row>
    <row r="1247">
      <c r="A1247" s="6" t="s">
        <v>2488</v>
      </c>
      <c r="B1247" s="5">
        <v>12.0</v>
      </c>
      <c r="C1247" s="1" t="s">
        <v>12</v>
      </c>
      <c r="D1247" s="1" t="s">
        <v>45</v>
      </c>
      <c r="E1247" s="1" t="s">
        <v>17</v>
      </c>
      <c r="F1247" s="5">
        <v>1.5797</v>
      </c>
      <c r="G1247" s="5">
        <v>129.878468</v>
      </c>
      <c r="H1247" s="5">
        <v>0.5687</v>
      </c>
      <c r="I1247" s="5">
        <v>175.0</v>
      </c>
    </row>
    <row r="1248">
      <c r="A1248" s="6" t="s">
        <v>2488</v>
      </c>
      <c r="B1248" s="5">
        <v>12.0</v>
      </c>
      <c r="C1248" s="1" t="s">
        <v>12</v>
      </c>
      <c r="D1248" s="1" t="s">
        <v>42</v>
      </c>
      <c r="E1248" s="1" t="s">
        <v>17</v>
      </c>
      <c r="F1248" s="5">
        <v>0.7599</v>
      </c>
      <c r="G1248" s="5">
        <v>127.89406</v>
      </c>
      <c r="H1248" s="5">
        <v>0.2812</v>
      </c>
      <c r="I1248" s="5">
        <v>35.0</v>
      </c>
    </row>
    <row r="1249">
      <c r="A1249" s="6" t="s">
        <v>2488</v>
      </c>
      <c r="B1249" s="5">
        <v>12.0</v>
      </c>
      <c r="C1249" s="1" t="s">
        <v>12</v>
      </c>
      <c r="D1249" s="1" t="s">
        <v>1830</v>
      </c>
      <c r="E1249" s="1" t="s">
        <v>72</v>
      </c>
      <c r="F1249" s="5">
        <v>0.5868</v>
      </c>
      <c r="G1249" s="5">
        <v>63.073779</v>
      </c>
      <c r="H1249" s="5">
        <v>0.1878</v>
      </c>
      <c r="I1249" s="5">
        <v>234.0</v>
      </c>
    </row>
    <row r="1250">
      <c r="A1250" s="6" t="s">
        <v>2488</v>
      </c>
      <c r="B1250" s="5">
        <v>12.0</v>
      </c>
      <c r="C1250" s="1" t="s">
        <v>12</v>
      </c>
      <c r="D1250" s="1" t="s">
        <v>2082</v>
      </c>
      <c r="E1250" s="1" t="s">
        <v>21</v>
      </c>
      <c r="F1250" s="5">
        <v>0.3817</v>
      </c>
      <c r="G1250" s="5">
        <v>61.491981</v>
      </c>
      <c r="H1250" s="5">
        <v>0.1737</v>
      </c>
      <c r="I1250" s="5">
        <v>0.0</v>
      </c>
    </row>
    <row r="1251">
      <c r="A1251" s="6" t="s">
        <v>2488</v>
      </c>
      <c r="B1251" s="5">
        <v>12.0</v>
      </c>
      <c r="C1251" s="1" t="s">
        <v>12</v>
      </c>
      <c r="D1251" s="1" t="s">
        <v>56</v>
      </c>
      <c r="E1251" s="1" t="s">
        <v>21</v>
      </c>
      <c r="F1251" s="5">
        <v>0.1827</v>
      </c>
      <c r="G1251" s="5">
        <v>36.0215</v>
      </c>
      <c r="H1251" s="5">
        <v>0.0731</v>
      </c>
      <c r="I1251" s="5">
        <v>118.0</v>
      </c>
    </row>
    <row r="1252">
      <c r="A1252" s="6" t="s">
        <v>2488</v>
      </c>
      <c r="B1252" s="5">
        <v>12.0</v>
      </c>
      <c r="C1252" s="1" t="s">
        <v>12</v>
      </c>
      <c r="D1252" s="1" t="s">
        <v>60</v>
      </c>
      <c r="E1252" s="1" t="s">
        <v>39</v>
      </c>
      <c r="F1252" s="5">
        <v>0.1949</v>
      </c>
      <c r="G1252" s="5">
        <v>33.214698</v>
      </c>
      <c r="H1252" s="5">
        <v>0.037</v>
      </c>
      <c r="I1252" s="5">
        <v>74.0</v>
      </c>
    </row>
    <row r="1253">
      <c r="A1253" s="6" t="s">
        <v>2488</v>
      </c>
      <c r="B1253" s="5">
        <v>12.0</v>
      </c>
      <c r="C1253" s="1" t="s">
        <v>12</v>
      </c>
      <c r="D1253" s="1" t="s">
        <v>60</v>
      </c>
      <c r="E1253" s="1" t="s">
        <v>17</v>
      </c>
      <c r="F1253" s="5">
        <v>7.0E-4</v>
      </c>
      <c r="G1253" s="5">
        <v>0.086132</v>
      </c>
      <c r="H1253" s="5">
        <v>3.0E-4</v>
      </c>
      <c r="I1253" s="5">
        <v>2.0</v>
      </c>
    </row>
    <row r="1254">
      <c r="A1254" s="6" t="s">
        <v>2488</v>
      </c>
      <c r="B1254" s="5">
        <v>12.0</v>
      </c>
      <c r="C1254" s="1" t="s">
        <v>68</v>
      </c>
      <c r="D1254" s="1" t="s">
        <v>13</v>
      </c>
      <c r="E1254" s="1" t="s">
        <v>14</v>
      </c>
      <c r="F1254" s="5">
        <v>26.8384</v>
      </c>
      <c r="G1254" s="5">
        <v>1831.470979</v>
      </c>
      <c r="H1254" s="5">
        <v>5.6361</v>
      </c>
      <c r="I1254" s="5">
        <v>5837.0</v>
      </c>
    </row>
    <row r="1255">
      <c r="A1255" s="6" t="s">
        <v>2488</v>
      </c>
      <c r="B1255" s="5">
        <v>12.0</v>
      </c>
      <c r="C1255" s="1" t="s">
        <v>68</v>
      </c>
      <c r="D1255" s="1" t="s">
        <v>13</v>
      </c>
      <c r="E1255" s="1" t="s">
        <v>17</v>
      </c>
      <c r="F1255" s="5">
        <v>69.7095999999999</v>
      </c>
      <c r="G1255" s="5">
        <v>6746.23011</v>
      </c>
      <c r="H1255" s="5">
        <v>24.3984</v>
      </c>
      <c r="I1255" s="5">
        <v>10270.0</v>
      </c>
    </row>
    <row r="1256">
      <c r="A1256" s="6" t="s">
        <v>2488</v>
      </c>
      <c r="B1256" s="5">
        <v>12.0</v>
      </c>
      <c r="C1256" s="1" t="s">
        <v>68</v>
      </c>
      <c r="D1256" s="1" t="s">
        <v>13</v>
      </c>
      <c r="E1256" s="1" t="s">
        <v>21</v>
      </c>
      <c r="F1256" s="5">
        <v>2.2707</v>
      </c>
      <c r="G1256" s="5">
        <v>346.235894</v>
      </c>
      <c r="H1256" s="5">
        <v>1.1352</v>
      </c>
      <c r="I1256" s="5">
        <v>606.0</v>
      </c>
    </row>
    <row r="1257">
      <c r="A1257" s="6" t="s">
        <v>2488</v>
      </c>
      <c r="B1257" s="5">
        <v>12.0</v>
      </c>
      <c r="C1257" s="1" t="s">
        <v>68</v>
      </c>
      <c r="D1257" s="1" t="s">
        <v>13</v>
      </c>
      <c r="E1257" s="1" t="s">
        <v>25</v>
      </c>
      <c r="F1257" s="5">
        <v>0.2856</v>
      </c>
      <c r="G1257" s="5">
        <v>46.13722</v>
      </c>
      <c r="H1257" s="5">
        <v>0.2142</v>
      </c>
      <c r="I1257" s="5">
        <v>163.0</v>
      </c>
    </row>
    <row r="1258">
      <c r="A1258" s="6" t="s">
        <v>2488</v>
      </c>
      <c r="B1258" s="5">
        <v>12.0</v>
      </c>
      <c r="C1258" s="1" t="s">
        <v>68</v>
      </c>
      <c r="D1258" s="1" t="s">
        <v>29</v>
      </c>
      <c r="E1258" s="1" t="s">
        <v>14</v>
      </c>
      <c r="F1258" s="5">
        <v>0.0646</v>
      </c>
      <c r="G1258" s="5">
        <v>9.829012</v>
      </c>
      <c r="H1258" s="5">
        <v>0.0129</v>
      </c>
      <c r="I1258" s="5">
        <v>19.0</v>
      </c>
    </row>
    <row r="1259">
      <c r="A1259" s="6" t="s">
        <v>2488</v>
      </c>
      <c r="B1259" s="5">
        <v>12.0</v>
      </c>
      <c r="C1259" s="1" t="s">
        <v>68</v>
      </c>
      <c r="D1259" s="1" t="s">
        <v>29</v>
      </c>
      <c r="E1259" s="1" t="s">
        <v>21</v>
      </c>
      <c r="F1259" s="5">
        <v>7.1892</v>
      </c>
      <c r="G1259" s="5">
        <v>1308.781975</v>
      </c>
      <c r="H1259" s="5">
        <v>2.8757</v>
      </c>
      <c r="I1259" s="5">
        <v>1638.0</v>
      </c>
    </row>
    <row r="1260">
      <c r="A1260" s="6" t="s">
        <v>2488</v>
      </c>
      <c r="B1260" s="5">
        <v>12.0</v>
      </c>
      <c r="C1260" s="1" t="s">
        <v>68</v>
      </c>
      <c r="D1260" s="1" t="s">
        <v>38</v>
      </c>
      <c r="E1260" s="1" t="s">
        <v>39</v>
      </c>
      <c r="F1260" s="5">
        <v>9.2164</v>
      </c>
      <c r="G1260" s="5">
        <v>785.239745</v>
      </c>
      <c r="H1260" s="5">
        <v>1.6589</v>
      </c>
      <c r="I1260" s="5">
        <v>3027.0</v>
      </c>
    </row>
    <row r="1261">
      <c r="A1261" s="6" t="s">
        <v>2488</v>
      </c>
      <c r="B1261" s="5">
        <v>12.0</v>
      </c>
      <c r="C1261" s="1" t="s">
        <v>68</v>
      </c>
      <c r="D1261" s="1" t="s">
        <v>45</v>
      </c>
      <c r="E1261" s="1" t="s">
        <v>49</v>
      </c>
      <c r="F1261" s="5">
        <v>1.021</v>
      </c>
      <c r="G1261" s="5">
        <v>58.98103699999999</v>
      </c>
      <c r="H1261" s="5">
        <v>0.2654</v>
      </c>
      <c r="I1261" s="5">
        <v>151.0</v>
      </c>
    </row>
    <row r="1262">
      <c r="A1262" s="6" t="s">
        <v>2488</v>
      </c>
      <c r="B1262" s="5">
        <v>12.0</v>
      </c>
      <c r="C1262" s="1" t="s">
        <v>68</v>
      </c>
      <c r="D1262" s="1" t="s">
        <v>45</v>
      </c>
      <c r="E1262" s="1" t="s">
        <v>17</v>
      </c>
      <c r="F1262" s="5">
        <v>10.0487</v>
      </c>
      <c r="G1262" s="5">
        <v>606.25328</v>
      </c>
      <c r="H1262" s="5">
        <v>3.6175</v>
      </c>
      <c r="I1262" s="5">
        <v>1359.0</v>
      </c>
    </row>
    <row r="1263">
      <c r="A1263" s="6" t="s">
        <v>2488</v>
      </c>
      <c r="B1263" s="5">
        <v>12.0</v>
      </c>
      <c r="C1263" s="1" t="s">
        <v>68</v>
      </c>
      <c r="D1263" s="1" t="s">
        <v>1851</v>
      </c>
      <c r="E1263" s="1" t="s">
        <v>17</v>
      </c>
      <c r="F1263" s="5">
        <v>2.361</v>
      </c>
      <c r="G1263" s="5">
        <v>171.533862</v>
      </c>
      <c r="H1263" s="5">
        <v>0.909</v>
      </c>
      <c r="I1263" s="5">
        <v>785.0</v>
      </c>
    </row>
    <row r="1264">
      <c r="A1264" s="6" t="s">
        <v>2488</v>
      </c>
      <c r="B1264" s="5">
        <v>12.0</v>
      </c>
      <c r="C1264" s="1" t="s">
        <v>68</v>
      </c>
      <c r="D1264" s="1" t="s">
        <v>1851</v>
      </c>
      <c r="E1264" s="1" t="s">
        <v>21</v>
      </c>
      <c r="F1264" s="5">
        <v>0.6965</v>
      </c>
      <c r="G1264" s="5">
        <v>55.380153</v>
      </c>
      <c r="H1264" s="5">
        <v>0.3413</v>
      </c>
      <c r="I1264" s="5">
        <v>408.0</v>
      </c>
    </row>
    <row r="1265">
      <c r="A1265" s="6" t="s">
        <v>2488</v>
      </c>
      <c r="B1265" s="5">
        <v>12.0</v>
      </c>
      <c r="C1265" s="1" t="s">
        <v>68</v>
      </c>
      <c r="D1265" s="1" t="s">
        <v>1830</v>
      </c>
      <c r="E1265" s="1" t="s">
        <v>72</v>
      </c>
      <c r="F1265" s="5">
        <v>1.9456</v>
      </c>
      <c r="G1265" s="5">
        <v>177.160661</v>
      </c>
      <c r="H1265" s="5">
        <v>0.6225</v>
      </c>
      <c r="I1265" s="5">
        <v>1542.0</v>
      </c>
    </row>
    <row r="1266">
      <c r="A1266" s="6" t="s">
        <v>2488</v>
      </c>
      <c r="B1266" s="5">
        <v>12.0</v>
      </c>
      <c r="C1266" s="1" t="s">
        <v>68</v>
      </c>
      <c r="D1266" s="1" t="s">
        <v>32</v>
      </c>
      <c r="E1266" s="1" t="s">
        <v>14</v>
      </c>
      <c r="F1266" s="5">
        <v>1.9184</v>
      </c>
      <c r="G1266" s="5">
        <v>134.078957</v>
      </c>
      <c r="H1266" s="5">
        <v>0.4413</v>
      </c>
      <c r="I1266" s="5">
        <v>623.0</v>
      </c>
    </row>
    <row r="1267">
      <c r="A1267" s="6" t="s">
        <v>2488</v>
      </c>
      <c r="B1267" s="5">
        <v>12.0</v>
      </c>
      <c r="C1267" s="1" t="s">
        <v>68</v>
      </c>
      <c r="D1267" s="1" t="s">
        <v>32</v>
      </c>
      <c r="E1267" s="1" t="s">
        <v>21</v>
      </c>
      <c r="F1267" s="5">
        <v>0.0887</v>
      </c>
      <c r="G1267" s="5">
        <v>7.754097</v>
      </c>
      <c r="H1267" s="5">
        <v>0.0398</v>
      </c>
      <c r="I1267" s="5">
        <v>134.0</v>
      </c>
    </row>
    <row r="1268">
      <c r="A1268" s="6" t="s">
        <v>2488</v>
      </c>
      <c r="B1268" s="5">
        <v>12.0</v>
      </c>
      <c r="C1268" s="1" t="s">
        <v>68</v>
      </c>
      <c r="D1268" s="1" t="s">
        <v>42</v>
      </c>
      <c r="E1268" s="1" t="s">
        <v>17</v>
      </c>
      <c r="F1268" s="5">
        <v>0.6647</v>
      </c>
      <c r="G1268" s="5">
        <v>133.355757</v>
      </c>
      <c r="H1268" s="5">
        <v>0.2459</v>
      </c>
      <c r="I1268" s="5">
        <v>0.0</v>
      </c>
    </row>
    <row r="1269">
      <c r="A1269" s="6" t="s">
        <v>2488</v>
      </c>
      <c r="B1269" s="5">
        <v>12.0</v>
      </c>
      <c r="C1269" s="1" t="s">
        <v>68</v>
      </c>
      <c r="D1269" s="1" t="s">
        <v>2104</v>
      </c>
      <c r="E1269" s="1" t="s">
        <v>17</v>
      </c>
      <c r="F1269" s="5">
        <v>2.4751</v>
      </c>
      <c r="G1269" s="5">
        <v>121.583181</v>
      </c>
      <c r="H1269" s="5">
        <v>0.8663</v>
      </c>
      <c r="I1269" s="5">
        <v>429.0</v>
      </c>
    </row>
    <row r="1270">
      <c r="A1270" s="6" t="s">
        <v>2488</v>
      </c>
      <c r="B1270" s="5">
        <v>12.0</v>
      </c>
      <c r="C1270" s="1" t="s">
        <v>68</v>
      </c>
      <c r="D1270" s="1" t="s">
        <v>544</v>
      </c>
      <c r="E1270" s="1" t="s">
        <v>17</v>
      </c>
      <c r="F1270" s="5">
        <v>1.6842</v>
      </c>
      <c r="G1270" s="5">
        <v>108.66609600000001</v>
      </c>
      <c r="H1270" s="5">
        <v>0.5895</v>
      </c>
      <c r="I1270" s="5">
        <v>956.0</v>
      </c>
    </row>
    <row r="1271">
      <c r="A1271" s="6" t="s">
        <v>2488</v>
      </c>
      <c r="B1271" s="5">
        <v>12.0</v>
      </c>
      <c r="C1271" s="1" t="s">
        <v>116</v>
      </c>
      <c r="D1271" s="1" t="s">
        <v>13</v>
      </c>
      <c r="E1271" s="1" t="s">
        <v>14</v>
      </c>
      <c r="F1271" s="5">
        <v>92.2485</v>
      </c>
      <c r="G1271" s="5">
        <v>5816.404614</v>
      </c>
      <c r="H1271" s="5">
        <v>19.3721</v>
      </c>
      <c r="I1271" s="5">
        <v>12028.0</v>
      </c>
    </row>
    <row r="1272">
      <c r="A1272" s="6" t="s">
        <v>2488</v>
      </c>
      <c r="B1272" s="5">
        <v>12.0</v>
      </c>
      <c r="C1272" s="1" t="s">
        <v>116</v>
      </c>
      <c r="D1272" s="1" t="s">
        <v>13</v>
      </c>
      <c r="E1272" s="1" t="s">
        <v>17</v>
      </c>
      <c r="F1272" s="5">
        <v>158.1712</v>
      </c>
      <c r="G1272" s="5">
        <v>14410.525472</v>
      </c>
      <c r="H1272" s="5">
        <v>55.3599</v>
      </c>
      <c r="I1272" s="5">
        <v>17750.0</v>
      </c>
    </row>
    <row r="1273">
      <c r="A1273" s="6" t="s">
        <v>2488</v>
      </c>
      <c r="B1273" s="5">
        <v>12.0</v>
      </c>
      <c r="C1273" s="1" t="s">
        <v>116</v>
      </c>
      <c r="D1273" s="1" t="s">
        <v>13</v>
      </c>
      <c r="E1273" s="1" t="s">
        <v>21</v>
      </c>
      <c r="F1273" s="5">
        <v>9.20229999999999</v>
      </c>
      <c r="G1273" s="5">
        <v>1260.9091939999998</v>
      </c>
      <c r="H1273" s="5">
        <v>4.6012</v>
      </c>
      <c r="I1273" s="5">
        <v>714.0</v>
      </c>
    </row>
    <row r="1274">
      <c r="A1274" s="6" t="s">
        <v>2488</v>
      </c>
      <c r="B1274" s="5">
        <v>12.0</v>
      </c>
      <c r="C1274" s="1" t="s">
        <v>116</v>
      </c>
      <c r="D1274" s="1" t="s">
        <v>13</v>
      </c>
      <c r="E1274" s="1" t="s">
        <v>25</v>
      </c>
      <c r="F1274" s="5">
        <v>0.00869999999999999</v>
      </c>
      <c r="G1274" s="5">
        <v>1.791126</v>
      </c>
      <c r="H1274" s="5">
        <v>0.0065</v>
      </c>
      <c r="I1274" s="5">
        <v>3.0</v>
      </c>
    </row>
    <row r="1275">
      <c r="A1275" s="6" t="s">
        <v>2488</v>
      </c>
      <c r="B1275" s="5">
        <v>12.0</v>
      </c>
      <c r="C1275" s="1" t="s">
        <v>116</v>
      </c>
      <c r="D1275" s="1" t="s">
        <v>29</v>
      </c>
      <c r="E1275" s="1" t="s">
        <v>14</v>
      </c>
      <c r="F1275" s="5">
        <v>1.3881</v>
      </c>
      <c r="G1275" s="5">
        <v>160.195657</v>
      </c>
      <c r="H1275" s="5">
        <v>0.2776</v>
      </c>
      <c r="I1275" s="5">
        <v>278.0</v>
      </c>
    </row>
    <row r="1276">
      <c r="A1276" s="6" t="s">
        <v>2488</v>
      </c>
      <c r="B1276" s="5">
        <v>12.0</v>
      </c>
      <c r="C1276" s="1" t="s">
        <v>116</v>
      </c>
      <c r="D1276" s="1" t="s">
        <v>29</v>
      </c>
      <c r="E1276" s="1" t="s">
        <v>21</v>
      </c>
      <c r="F1276" s="5">
        <v>38.9478</v>
      </c>
      <c r="G1276" s="5">
        <v>7508.4035649999905</v>
      </c>
      <c r="H1276" s="5">
        <v>15.5791</v>
      </c>
      <c r="I1276" s="5">
        <v>4678.0</v>
      </c>
    </row>
    <row r="1277">
      <c r="A1277" s="6" t="s">
        <v>2488</v>
      </c>
      <c r="B1277" s="5">
        <v>12.0</v>
      </c>
      <c r="C1277" s="1" t="s">
        <v>116</v>
      </c>
      <c r="D1277" s="1" t="s">
        <v>45</v>
      </c>
      <c r="E1277" s="1" t="s">
        <v>49</v>
      </c>
      <c r="F1277" s="5">
        <v>2.0282</v>
      </c>
      <c r="G1277" s="5">
        <v>122.270841</v>
      </c>
      <c r="H1277" s="5">
        <v>0.5273</v>
      </c>
      <c r="I1277" s="5">
        <v>312.0</v>
      </c>
    </row>
    <row r="1278">
      <c r="A1278" s="6" t="s">
        <v>2488</v>
      </c>
      <c r="B1278" s="5">
        <v>12.0</v>
      </c>
      <c r="C1278" s="1" t="s">
        <v>116</v>
      </c>
      <c r="D1278" s="1" t="s">
        <v>45</v>
      </c>
      <c r="E1278" s="1" t="s">
        <v>17</v>
      </c>
      <c r="F1278" s="5">
        <v>19.925</v>
      </c>
      <c r="G1278" s="5">
        <v>1349.544558</v>
      </c>
      <c r="H1278" s="5">
        <v>7.173</v>
      </c>
      <c r="I1278" s="5">
        <v>1769.0</v>
      </c>
    </row>
    <row r="1279">
      <c r="A1279" s="6" t="s">
        <v>2488</v>
      </c>
      <c r="B1279" s="5">
        <v>12.0</v>
      </c>
      <c r="C1279" s="1" t="s">
        <v>116</v>
      </c>
      <c r="D1279" s="1" t="s">
        <v>38</v>
      </c>
      <c r="E1279" s="1" t="s">
        <v>39</v>
      </c>
      <c r="F1279" s="5">
        <v>17.0671</v>
      </c>
      <c r="G1279" s="5">
        <v>1470.9417509999998</v>
      </c>
      <c r="H1279" s="5">
        <v>3.0721</v>
      </c>
      <c r="I1279" s="5">
        <v>4837.0</v>
      </c>
    </row>
    <row r="1280">
      <c r="A1280" s="6" t="s">
        <v>2488</v>
      </c>
      <c r="B1280" s="5">
        <v>12.0</v>
      </c>
      <c r="C1280" s="1" t="s">
        <v>116</v>
      </c>
      <c r="D1280" s="1" t="s">
        <v>147</v>
      </c>
      <c r="E1280" s="1" t="s">
        <v>39</v>
      </c>
      <c r="F1280" s="5">
        <v>1.3044</v>
      </c>
      <c r="G1280" s="5">
        <v>385.360054</v>
      </c>
      <c r="H1280" s="5">
        <v>0.2478</v>
      </c>
      <c r="I1280" s="5">
        <v>105.0</v>
      </c>
    </row>
    <row r="1281">
      <c r="A1281" s="6" t="s">
        <v>2488</v>
      </c>
      <c r="B1281" s="5">
        <v>12.0</v>
      </c>
      <c r="C1281" s="1" t="s">
        <v>116</v>
      </c>
      <c r="D1281" s="1" t="s">
        <v>147</v>
      </c>
      <c r="E1281" s="1" t="s">
        <v>17</v>
      </c>
      <c r="F1281" s="5">
        <v>0.0201</v>
      </c>
      <c r="G1281" s="5">
        <v>8.773221</v>
      </c>
      <c r="H1281" s="5">
        <v>0.0072</v>
      </c>
      <c r="I1281" s="5">
        <v>6.0</v>
      </c>
    </row>
    <row r="1282">
      <c r="A1282" s="6" t="s">
        <v>2488</v>
      </c>
      <c r="B1282" s="5">
        <v>12.0</v>
      </c>
      <c r="C1282" s="1" t="s">
        <v>116</v>
      </c>
      <c r="D1282" s="1" t="s">
        <v>147</v>
      </c>
      <c r="E1282" s="1" t="s">
        <v>21</v>
      </c>
      <c r="F1282" s="5">
        <v>0.0551</v>
      </c>
      <c r="G1282" s="5">
        <v>28.912295999999998</v>
      </c>
      <c r="H1282" s="5">
        <v>0.0276</v>
      </c>
      <c r="I1282" s="5">
        <v>44.0</v>
      </c>
    </row>
    <row r="1283">
      <c r="A1283" s="6" t="s">
        <v>2488</v>
      </c>
      <c r="B1283" s="5">
        <v>12.0</v>
      </c>
      <c r="C1283" s="1" t="s">
        <v>116</v>
      </c>
      <c r="D1283" s="1" t="s">
        <v>1851</v>
      </c>
      <c r="E1283" s="1" t="s">
        <v>17</v>
      </c>
      <c r="F1283" s="5">
        <v>3.5262</v>
      </c>
      <c r="G1283" s="5">
        <v>303.53724</v>
      </c>
      <c r="H1283" s="5">
        <v>1.3576</v>
      </c>
      <c r="I1283" s="5">
        <v>1857.0</v>
      </c>
    </row>
    <row r="1284">
      <c r="A1284" s="6" t="s">
        <v>2488</v>
      </c>
      <c r="B1284" s="5">
        <v>12.0</v>
      </c>
      <c r="C1284" s="1" t="s">
        <v>116</v>
      </c>
      <c r="D1284" s="1" t="s">
        <v>1851</v>
      </c>
      <c r="E1284" s="1" t="s">
        <v>21</v>
      </c>
      <c r="F1284" s="5">
        <v>0.5836</v>
      </c>
      <c r="G1284" s="5">
        <v>45.059481</v>
      </c>
      <c r="H1284" s="5">
        <v>0.286</v>
      </c>
      <c r="I1284" s="5">
        <v>483.0</v>
      </c>
    </row>
    <row r="1285">
      <c r="A1285" s="6" t="s">
        <v>2488</v>
      </c>
      <c r="B1285" s="5">
        <v>12.0</v>
      </c>
      <c r="C1285" s="1" t="s">
        <v>116</v>
      </c>
      <c r="D1285" s="1" t="s">
        <v>1830</v>
      </c>
      <c r="E1285" s="1" t="s">
        <v>72</v>
      </c>
      <c r="F1285" s="5">
        <v>3.5655</v>
      </c>
      <c r="G1285" s="5">
        <v>309.04197</v>
      </c>
      <c r="H1285" s="5">
        <v>1.141</v>
      </c>
      <c r="I1285" s="5">
        <v>2940.0</v>
      </c>
    </row>
    <row r="1286">
      <c r="A1286" s="6" t="s">
        <v>2488</v>
      </c>
      <c r="B1286" s="5">
        <v>12.0</v>
      </c>
      <c r="C1286" s="1" t="s">
        <v>116</v>
      </c>
      <c r="D1286" s="1" t="s">
        <v>42</v>
      </c>
      <c r="E1286" s="1" t="s">
        <v>17</v>
      </c>
      <c r="F1286" s="5">
        <v>1.341</v>
      </c>
      <c r="G1286" s="5">
        <v>266.459087</v>
      </c>
      <c r="H1286" s="5">
        <v>0.4962</v>
      </c>
      <c r="I1286" s="5">
        <v>0.0</v>
      </c>
    </row>
    <row r="1287">
      <c r="A1287" s="6" t="s">
        <v>2488</v>
      </c>
      <c r="B1287" s="5">
        <v>12.0</v>
      </c>
      <c r="C1287" s="1" t="s">
        <v>116</v>
      </c>
      <c r="D1287" s="1" t="s">
        <v>158</v>
      </c>
      <c r="E1287" s="1" t="s">
        <v>39</v>
      </c>
      <c r="F1287" s="5">
        <v>0.0033</v>
      </c>
      <c r="G1287" s="5">
        <v>1.6510209999999998</v>
      </c>
      <c r="H1287" s="5">
        <v>5.99999999999999E-4</v>
      </c>
      <c r="I1287" s="5">
        <v>0.0</v>
      </c>
    </row>
    <row r="1288">
      <c r="A1288" s="6" t="s">
        <v>2488</v>
      </c>
      <c r="B1288" s="5">
        <v>12.0</v>
      </c>
      <c r="C1288" s="1" t="s">
        <v>116</v>
      </c>
      <c r="D1288" s="1" t="s">
        <v>158</v>
      </c>
      <c r="E1288" s="1" t="s">
        <v>17</v>
      </c>
      <c r="F1288" s="5">
        <v>0.104</v>
      </c>
      <c r="G1288" s="5">
        <v>49.401866</v>
      </c>
      <c r="H1288" s="5">
        <v>0.0364</v>
      </c>
      <c r="I1288" s="5">
        <v>0.0</v>
      </c>
    </row>
    <row r="1289">
      <c r="A1289" s="6" t="s">
        <v>2488</v>
      </c>
      <c r="B1289" s="5">
        <v>12.0</v>
      </c>
      <c r="C1289" s="1" t="s">
        <v>116</v>
      </c>
      <c r="D1289" s="1" t="s">
        <v>158</v>
      </c>
      <c r="E1289" s="1" t="s">
        <v>21</v>
      </c>
      <c r="F1289" s="5">
        <v>0.2762</v>
      </c>
      <c r="G1289" s="5">
        <v>154.514089</v>
      </c>
      <c r="H1289" s="5">
        <v>0.116</v>
      </c>
      <c r="I1289" s="5">
        <v>0.0</v>
      </c>
    </row>
    <row r="1290">
      <c r="A1290" s="6" t="s">
        <v>2488</v>
      </c>
      <c r="B1290" s="5">
        <v>12.0</v>
      </c>
      <c r="C1290" s="1" t="s">
        <v>116</v>
      </c>
      <c r="D1290" s="1" t="s">
        <v>48</v>
      </c>
      <c r="E1290" s="1" t="s">
        <v>49</v>
      </c>
      <c r="F1290" s="5">
        <v>0.0391</v>
      </c>
      <c r="G1290" s="5">
        <v>14.953211999999999</v>
      </c>
      <c r="H1290" s="5">
        <v>0.0109</v>
      </c>
      <c r="I1290" s="5">
        <v>0.0</v>
      </c>
    </row>
    <row r="1291">
      <c r="A1291" s="6" t="s">
        <v>2488</v>
      </c>
      <c r="B1291" s="5">
        <v>12.0</v>
      </c>
      <c r="C1291" s="1" t="s">
        <v>116</v>
      </c>
      <c r="D1291" s="1" t="s">
        <v>48</v>
      </c>
      <c r="E1291" s="1" t="s">
        <v>72</v>
      </c>
      <c r="F1291" s="5">
        <v>0.0031</v>
      </c>
      <c r="G1291" s="5">
        <v>0.960840999999999</v>
      </c>
      <c r="H1291" s="5">
        <v>9.0E-4</v>
      </c>
      <c r="I1291" s="5">
        <v>0.0</v>
      </c>
    </row>
    <row r="1292">
      <c r="A1292" s="6" t="s">
        <v>2488</v>
      </c>
      <c r="B1292" s="5">
        <v>12.0</v>
      </c>
      <c r="C1292" s="1" t="s">
        <v>116</v>
      </c>
      <c r="D1292" s="1" t="s">
        <v>48</v>
      </c>
      <c r="E1292" s="1" t="s">
        <v>21</v>
      </c>
      <c r="F1292" s="5">
        <v>1.4449</v>
      </c>
      <c r="G1292" s="5">
        <v>173.679195</v>
      </c>
      <c r="H1292" s="5">
        <v>0.578099999999999</v>
      </c>
      <c r="I1292" s="5">
        <v>0.0</v>
      </c>
    </row>
    <row r="1293">
      <c r="A1293" s="6" t="s">
        <v>2488</v>
      </c>
      <c r="B1293" s="5">
        <v>1.0</v>
      </c>
      <c r="C1293" s="1" t="s">
        <v>12</v>
      </c>
      <c r="D1293" s="1" t="s">
        <v>13</v>
      </c>
      <c r="E1293" s="1" t="s">
        <v>2230</v>
      </c>
      <c r="F1293" s="5">
        <v>31.182</v>
      </c>
      <c r="G1293" s="5">
        <v>2078.5833000000002</v>
      </c>
      <c r="H1293" s="5">
        <v>6.2363</v>
      </c>
      <c r="I1293" s="5">
        <v>511.0</v>
      </c>
    </row>
    <row r="1294">
      <c r="A1294" s="6" t="s">
        <v>2488</v>
      </c>
      <c r="B1294" s="5">
        <v>1.0</v>
      </c>
      <c r="C1294" s="1" t="s">
        <v>68</v>
      </c>
      <c r="D1294" s="1" t="s">
        <v>13</v>
      </c>
      <c r="E1294" s="1" t="s">
        <v>2230</v>
      </c>
      <c r="F1294" s="5">
        <v>18.0189</v>
      </c>
      <c r="G1294" s="5">
        <v>1233.5554</v>
      </c>
      <c r="H1294" s="5">
        <v>3.6037</v>
      </c>
      <c r="I1294" s="5">
        <v>1755.0</v>
      </c>
    </row>
    <row r="1295">
      <c r="A1295" s="6" t="s">
        <v>2488</v>
      </c>
      <c r="B1295" s="5">
        <v>1.0</v>
      </c>
      <c r="C1295" s="1" t="s">
        <v>116</v>
      </c>
      <c r="D1295" s="1" t="s">
        <v>13</v>
      </c>
      <c r="E1295" s="1" t="s">
        <v>2230</v>
      </c>
      <c r="F1295" s="5">
        <v>26.234</v>
      </c>
      <c r="G1295" s="5">
        <v>1891.4637</v>
      </c>
      <c r="H1295" s="5">
        <v>5.2468</v>
      </c>
      <c r="I1295" s="5">
        <v>2038.0</v>
      </c>
    </row>
    <row r="1296">
      <c r="A1296" s="6" t="s">
        <v>2488</v>
      </c>
      <c r="B1296" s="5">
        <v>2.0</v>
      </c>
      <c r="C1296" s="1" t="s">
        <v>12</v>
      </c>
      <c r="D1296" s="1" t="s">
        <v>13</v>
      </c>
      <c r="E1296" s="1" t="s">
        <v>2230</v>
      </c>
      <c r="F1296" s="5">
        <v>27.5444</v>
      </c>
      <c r="G1296" s="5">
        <v>1726.978</v>
      </c>
      <c r="H1296" s="5">
        <v>5.5089</v>
      </c>
      <c r="I1296" s="5">
        <v>549.0</v>
      </c>
    </row>
    <row r="1297">
      <c r="A1297" s="6" t="s">
        <v>2488</v>
      </c>
      <c r="B1297" s="5">
        <v>2.0</v>
      </c>
      <c r="C1297" s="1" t="s">
        <v>68</v>
      </c>
      <c r="D1297" s="1" t="s">
        <v>13</v>
      </c>
      <c r="E1297" s="1" t="s">
        <v>2230</v>
      </c>
      <c r="F1297" s="5">
        <v>15.2089</v>
      </c>
      <c r="G1297" s="5">
        <v>999.1274000000001</v>
      </c>
      <c r="H1297" s="5">
        <v>3.0419</v>
      </c>
      <c r="I1297" s="5">
        <v>1941.0</v>
      </c>
    </row>
    <row r="1298">
      <c r="A1298" s="6" t="s">
        <v>2488</v>
      </c>
      <c r="B1298" s="5">
        <v>2.0</v>
      </c>
      <c r="C1298" s="1" t="s">
        <v>116</v>
      </c>
      <c r="D1298" s="1" t="s">
        <v>13</v>
      </c>
      <c r="E1298" s="1" t="s">
        <v>2230</v>
      </c>
      <c r="F1298" s="5">
        <v>23.4901</v>
      </c>
      <c r="G1298" s="5">
        <v>1653.5799</v>
      </c>
      <c r="H1298" s="5">
        <v>4.6981</v>
      </c>
      <c r="I1298" s="5">
        <v>1923.0</v>
      </c>
    </row>
    <row r="1299">
      <c r="A1299" s="6" t="s">
        <v>2488</v>
      </c>
      <c r="B1299" s="5">
        <v>3.0</v>
      </c>
      <c r="C1299" s="1" t="s">
        <v>12</v>
      </c>
      <c r="D1299" s="1" t="s">
        <v>13</v>
      </c>
      <c r="E1299" s="1" t="s">
        <v>2230</v>
      </c>
      <c r="F1299" s="5">
        <v>24.9705</v>
      </c>
      <c r="G1299" s="5">
        <v>1670.2214</v>
      </c>
      <c r="H1299" s="5">
        <v>4.9941</v>
      </c>
      <c r="I1299" s="5">
        <v>543.0</v>
      </c>
    </row>
    <row r="1300">
      <c r="A1300" s="6" t="s">
        <v>2488</v>
      </c>
      <c r="B1300" s="5">
        <v>3.0</v>
      </c>
      <c r="C1300" s="1" t="s">
        <v>68</v>
      </c>
      <c r="D1300" s="1" t="s">
        <v>13</v>
      </c>
      <c r="E1300" s="1" t="s">
        <v>2230</v>
      </c>
      <c r="F1300" s="5">
        <v>14.6105</v>
      </c>
      <c r="G1300" s="5">
        <v>876.2526</v>
      </c>
      <c r="H1300" s="5">
        <v>2.9221</v>
      </c>
      <c r="I1300" s="5">
        <v>1735.0</v>
      </c>
    </row>
    <row r="1301">
      <c r="A1301" s="6" t="s">
        <v>2488</v>
      </c>
      <c r="B1301" s="5">
        <v>3.0</v>
      </c>
      <c r="C1301" s="1" t="s">
        <v>116</v>
      </c>
      <c r="D1301" s="1" t="s">
        <v>13</v>
      </c>
      <c r="E1301" s="1" t="s">
        <v>2230</v>
      </c>
      <c r="F1301" s="5">
        <v>18.2471</v>
      </c>
      <c r="G1301" s="5">
        <v>1287.2407</v>
      </c>
      <c r="H1301" s="5">
        <v>3.6494</v>
      </c>
      <c r="I1301" s="5">
        <v>1862.0</v>
      </c>
    </row>
    <row r="1302">
      <c r="A1302" s="6" t="s">
        <v>2488</v>
      </c>
      <c r="B1302" s="5">
        <v>4.0</v>
      </c>
      <c r="C1302" s="1" t="s">
        <v>12</v>
      </c>
      <c r="D1302" s="1" t="s">
        <v>13</v>
      </c>
      <c r="E1302" s="1" t="s">
        <v>2230</v>
      </c>
      <c r="F1302" s="5">
        <v>19.3133</v>
      </c>
      <c r="G1302" s="5">
        <v>1358.9363</v>
      </c>
      <c r="H1302" s="5">
        <v>3.8626</v>
      </c>
      <c r="I1302" s="5">
        <v>543.0</v>
      </c>
    </row>
    <row r="1303">
      <c r="A1303" s="6" t="s">
        <v>2488</v>
      </c>
      <c r="B1303" s="5">
        <v>4.0</v>
      </c>
      <c r="C1303" s="1" t="s">
        <v>68</v>
      </c>
      <c r="D1303" s="1" t="s">
        <v>13</v>
      </c>
      <c r="E1303" s="1" t="s">
        <v>2230</v>
      </c>
      <c r="F1303" s="5">
        <v>9.37689999999999</v>
      </c>
      <c r="G1303" s="5">
        <v>759.3861999999999</v>
      </c>
      <c r="H1303" s="5">
        <v>1.8754</v>
      </c>
      <c r="I1303" s="5">
        <v>1389.0</v>
      </c>
    </row>
    <row r="1304">
      <c r="A1304" s="6" t="s">
        <v>2488</v>
      </c>
      <c r="B1304" s="5">
        <v>4.0</v>
      </c>
      <c r="C1304" s="1" t="s">
        <v>116</v>
      </c>
      <c r="D1304" s="1" t="s">
        <v>13</v>
      </c>
      <c r="E1304" s="1" t="s">
        <v>2230</v>
      </c>
      <c r="F1304" s="5">
        <v>62.7087</v>
      </c>
      <c r="G1304" s="5">
        <v>2991.2072000000003</v>
      </c>
      <c r="H1304" s="5">
        <v>12.5417</v>
      </c>
      <c r="I1304" s="5">
        <v>1647.0</v>
      </c>
    </row>
    <row r="1305">
      <c r="A1305" s="6" t="s">
        <v>2488</v>
      </c>
      <c r="B1305" s="5">
        <v>5.0</v>
      </c>
      <c r="C1305" s="1" t="s">
        <v>12</v>
      </c>
      <c r="D1305" s="1" t="s">
        <v>13</v>
      </c>
      <c r="E1305" s="1" t="s">
        <v>2230</v>
      </c>
      <c r="F1305" s="5">
        <v>22.617</v>
      </c>
      <c r="G1305" s="5">
        <v>1451.1396000000002</v>
      </c>
      <c r="H1305" s="5">
        <v>4.5234</v>
      </c>
      <c r="I1305" s="5">
        <v>539.0</v>
      </c>
    </row>
    <row r="1306">
      <c r="A1306" s="6" t="s">
        <v>2488</v>
      </c>
      <c r="B1306" s="5">
        <v>5.0</v>
      </c>
      <c r="C1306" s="1" t="s">
        <v>68</v>
      </c>
      <c r="D1306" s="1" t="s">
        <v>13</v>
      </c>
      <c r="E1306" s="1" t="s">
        <v>2230</v>
      </c>
      <c r="F1306" s="5">
        <v>8.8641</v>
      </c>
      <c r="G1306" s="5">
        <v>751.6631</v>
      </c>
      <c r="H1306" s="5">
        <v>1.7728</v>
      </c>
      <c r="I1306" s="5">
        <v>1521.0</v>
      </c>
    </row>
    <row r="1307">
      <c r="A1307" s="6" t="s">
        <v>2488</v>
      </c>
      <c r="B1307" s="5">
        <v>5.0</v>
      </c>
      <c r="C1307" s="1" t="s">
        <v>116</v>
      </c>
      <c r="D1307" s="1" t="s">
        <v>13</v>
      </c>
      <c r="E1307" s="1" t="s">
        <v>2230</v>
      </c>
      <c r="F1307" s="5">
        <v>17.6217</v>
      </c>
      <c r="G1307" s="5">
        <v>1321.7206999999999</v>
      </c>
      <c r="H1307" s="5">
        <v>3.5244</v>
      </c>
      <c r="I1307" s="5">
        <v>1773.0</v>
      </c>
    </row>
    <row r="1308">
      <c r="A1308" s="6" t="s">
        <v>2488</v>
      </c>
      <c r="B1308" s="5">
        <v>6.0</v>
      </c>
      <c r="C1308" s="1" t="s">
        <v>12</v>
      </c>
      <c r="D1308" s="1" t="s">
        <v>13</v>
      </c>
      <c r="E1308" s="1" t="s">
        <v>2230</v>
      </c>
      <c r="F1308" s="5">
        <v>20.1482</v>
      </c>
      <c r="G1308" s="5">
        <v>1271.7483</v>
      </c>
      <c r="H1308" s="5">
        <v>4.0296</v>
      </c>
      <c r="I1308" s="5">
        <v>588.0</v>
      </c>
    </row>
    <row r="1309">
      <c r="A1309" s="6" t="s">
        <v>2488</v>
      </c>
      <c r="B1309" s="5">
        <v>6.0</v>
      </c>
      <c r="C1309" s="1" t="s">
        <v>68</v>
      </c>
      <c r="D1309" s="1" t="s">
        <v>13</v>
      </c>
      <c r="E1309" s="1" t="s">
        <v>2230</v>
      </c>
      <c r="F1309" s="5">
        <v>15.7034</v>
      </c>
      <c r="G1309" s="5">
        <v>1119.4307</v>
      </c>
      <c r="H1309" s="5">
        <v>3.1407</v>
      </c>
      <c r="I1309" s="5">
        <v>1986.0</v>
      </c>
    </row>
    <row r="1310">
      <c r="A1310" s="6" t="s">
        <v>2488</v>
      </c>
      <c r="B1310" s="5">
        <v>6.0</v>
      </c>
      <c r="C1310" s="1" t="s">
        <v>116</v>
      </c>
      <c r="D1310" s="1" t="s">
        <v>13</v>
      </c>
      <c r="E1310" s="1" t="s">
        <v>2230</v>
      </c>
      <c r="F1310" s="5">
        <v>36.2357</v>
      </c>
      <c r="G1310" s="5">
        <v>2409.2682</v>
      </c>
      <c r="H1310" s="5">
        <v>7.2472</v>
      </c>
      <c r="I1310" s="5">
        <v>3011.0</v>
      </c>
    </row>
    <row r="1311">
      <c r="A1311" s="6" t="s">
        <v>2488</v>
      </c>
      <c r="B1311" s="5">
        <v>7.0</v>
      </c>
      <c r="C1311" s="1" t="s">
        <v>12</v>
      </c>
      <c r="D1311" s="1" t="s">
        <v>13</v>
      </c>
      <c r="E1311" s="1" t="s">
        <v>2230</v>
      </c>
      <c r="F1311" s="5">
        <v>25.8357</v>
      </c>
      <c r="G1311" s="5">
        <v>1472.9105</v>
      </c>
      <c r="H1311" s="5">
        <v>5.1671</v>
      </c>
      <c r="I1311" s="5">
        <v>689.0</v>
      </c>
    </row>
    <row r="1312">
      <c r="A1312" s="6" t="s">
        <v>2488</v>
      </c>
      <c r="B1312" s="5">
        <v>7.0</v>
      </c>
      <c r="C1312" s="1" t="s">
        <v>68</v>
      </c>
      <c r="D1312" s="1" t="s">
        <v>13</v>
      </c>
      <c r="E1312" s="1" t="s">
        <v>2230</v>
      </c>
      <c r="F1312" s="5">
        <v>21.2905</v>
      </c>
      <c r="G1312" s="5">
        <v>1292.4159</v>
      </c>
      <c r="H1312" s="5">
        <v>4.2581</v>
      </c>
      <c r="I1312" s="5">
        <v>2136.0</v>
      </c>
    </row>
    <row r="1313">
      <c r="A1313" s="6" t="s">
        <v>2488</v>
      </c>
      <c r="B1313" s="5">
        <v>7.0</v>
      </c>
      <c r="C1313" s="1" t="s">
        <v>116</v>
      </c>
      <c r="D1313" s="1" t="s">
        <v>13</v>
      </c>
      <c r="E1313" s="1" t="s">
        <v>2230</v>
      </c>
      <c r="F1313" s="5">
        <v>44.1025</v>
      </c>
      <c r="G1313" s="5">
        <v>2610.5357999999997</v>
      </c>
      <c r="H1313" s="5">
        <v>8.82039999999999</v>
      </c>
      <c r="I1313" s="5">
        <v>3823.0</v>
      </c>
    </row>
    <row r="1314">
      <c r="A1314" s="6" t="s">
        <v>2488</v>
      </c>
      <c r="B1314" s="5">
        <v>8.0</v>
      </c>
      <c r="C1314" s="1" t="s">
        <v>12</v>
      </c>
      <c r="D1314" s="1" t="s">
        <v>13</v>
      </c>
      <c r="E1314" s="1" t="s">
        <v>2230</v>
      </c>
      <c r="F1314" s="5">
        <v>19.4161</v>
      </c>
      <c r="G1314" s="5">
        <v>1174.4153000000001</v>
      </c>
      <c r="H1314" s="5">
        <v>3.8833</v>
      </c>
      <c r="I1314" s="5">
        <v>654.0</v>
      </c>
    </row>
    <row r="1315">
      <c r="A1315" s="6" t="s">
        <v>2488</v>
      </c>
      <c r="B1315" s="5">
        <v>8.0</v>
      </c>
      <c r="C1315" s="1" t="s">
        <v>68</v>
      </c>
      <c r="D1315" s="1" t="s">
        <v>13</v>
      </c>
      <c r="E1315" s="1" t="s">
        <v>2230</v>
      </c>
      <c r="F1315" s="5">
        <v>22.1025</v>
      </c>
      <c r="G1315" s="5">
        <v>1298.0841</v>
      </c>
      <c r="H1315" s="5">
        <v>4.4205</v>
      </c>
      <c r="I1315" s="5">
        <v>2197.0</v>
      </c>
    </row>
    <row r="1316">
      <c r="A1316" s="6" t="s">
        <v>2488</v>
      </c>
      <c r="B1316" s="5">
        <v>8.0</v>
      </c>
      <c r="C1316" s="1" t="s">
        <v>116</v>
      </c>
      <c r="D1316" s="1" t="s">
        <v>13</v>
      </c>
      <c r="E1316" s="1" t="s">
        <v>2230</v>
      </c>
      <c r="F1316" s="5">
        <v>49.0676</v>
      </c>
      <c r="G1316" s="5">
        <v>2683.1193</v>
      </c>
      <c r="H1316" s="5">
        <v>9.81359999999999</v>
      </c>
      <c r="I1316" s="5">
        <v>4198.0</v>
      </c>
    </row>
    <row r="1317">
      <c r="A1317" s="6" t="s">
        <v>2488</v>
      </c>
      <c r="B1317" s="5">
        <v>9.0</v>
      </c>
      <c r="C1317" s="1" t="s">
        <v>12</v>
      </c>
      <c r="D1317" s="1" t="s">
        <v>13</v>
      </c>
      <c r="E1317" s="1" t="s">
        <v>2230</v>
      </c>
      <c r="F1317" s="5">
        <v>17.6166</v>
      </c>
      <c r="G1317" s="5">
        <v>1100.4578999999999</v>
      </c>
      <c r="H1317" s="5">
        <v>3.5234</v>
      </c>
      <c r="I1317" s="5">
        <v>563.0</v>
      </c>
    </row>
    <row r="1318">
      <c r="A1318" s="6" t="s">
        <v>2488</v>
      </c>
      <c r="B1318" s="5">
        <v>9.0</v>
      </c>
      <c r="C1318" s="1" t="s">
        <v>68</v>
      </c>
      <c r="D1318" s="1" t="s">
        <v>13</v>
      </c>
      <c r="E1318" s="1" t="s">
        <v>2230</v>
      </c>
      <c r="F1318" s="5">
        <v>19.039</v>
      </c>
      <c r="G1318" s="5">
        <v>1265.2026</v>
      </c>
      <c r="H1318" s="5">
        <v>3.8079</v>
      </c>
      <c r="I1318" s="5">
        <v>2540.0</v>
      </c>
    </row>
    <row r="1319">
      <c r="A1319" s="6" t="s">
        <v>2488</v>
      </c>
      <c r="B1319" s="5">
        <v>9.0</v>
      </c>
      <c r="C1319" s="1" t="s">
        <v>116</v>
      </c>
      <c r="D1319" s="1" t="s">
        <v>13</v>
      </c>
      <c r="E1319" s="1" t="s">
        <v>2230</v>
      </c>
      <c r="F1319" s="5">
        <v>29.4026</v>
      </c>
      <c r="G1319" s="5">
        <v>1831.2858999999999</v>
      </c>
      <c r="H1319" s="5">
        <v>5.8805</v>
      </c>
      <c r="I1319" s="5">
        <v>3746.0</v>
      </c>
    </row>
    <row r="1320">
      <c r="A1320" s="6" t="s">
        <v>2488</v>
      </c>
      <c r="B1320" s="5">
        <v>10.0</v>
      </c>
      <c r="C1320" s="1" t="s">
        <v>12</v>
      </c>
      <c r="D1320" s="1" t="s">
        <v>13</v>
      </c>
      <c r="E1320" s="1" t="s">
        <v>2230</v>
      </c>
      <c r="F1320" s="5">
        <v>12.0022</v>
      </c>
      <c r="G1320" s="5">
        <v>833.8938</v>
      </c>
      <c r="H1320" s="5">
        <v>2.4005</v>
      </c>
      <c r="I1320" s="5">
        <v>468.0</v>
      </c>
    </row>
    <row r="1321">
      <c r="A1321" s="6" t="s">
        <v>2488</v>
      </c>
      <c r="B1321" s="5">
        <v>10.0</v>
      </c>
      <c r="C1321" s="1" t="s">
        <v>68</v>
      </c>
      <c r="D1321" s="1" t="s">
        <v>13</v>
      </c>
      <c r="E1321" s="1" t="s">
        <v>2230</v>
      </c>
      <c r="F1321" s="5">
        <v>13.6879</v>
      </c>
      <c r="G1321" s="5">
        <v>867.9115</v>
      </c>
      <c r="H1321" s="5">
        <v>2.7376</v>
      </c>
      <c r="I1321" s="5">
        <v>1703.0</v>
      </c>
    </row>
    <row r="1322">
      <c r="A1322" s="6" t="s">
        <v>2488</v>
      </c>
      <c r="B1322" s="5">
        <v>10.0</v>
      </c>
      <c r="C1322" s="1" t="s">
        <v>116</v>
      </c>
      <c r="D1322" s="1" t="s">
        <v>13</v>
      </c>
      <c r="E1322" s="1" t="s">
        <v>2230</v>
      </c>
      <c r="F1322" s="5">
        <v>27.9039</v>
      </c>
      <c r="G1322" s="5">
        <v>1875.1751000000002</v>
      </c>
      <c r="H1322" s="5">
        <v>5.5807</v>
      </c>
      <c r="I1322" s="5">
        <v>2625.0</v>
      </c>
    </row>
    <row r="1323">
      <c r="A1323" s="6" t="s">
        <v>2488</v>
      </c>
      <c r="B1323" s="5">
        <v>11.0</v>
      </c>
      <c r="C1323" s="1" t="s">
        <v>12</v>
      </c>
      <c r="D1323" s="1" t="s">
        <v>13</v>
      </c>
      <c r="E1323" s="1" t="s">
        <v>2230</v>
      </c>
      <c r="F1323" s="5">
        <v>13.2139</v>
      </c>
      <c r="G1323" s="5">
        <v>894.7549</v>
      </c>
      <c r="H1323" s="5">
        <v>2.6428</v>
      </c>
      <c r="I1323" s="5">
        <v>461.0</v>
      </c>
    </row>
    <row r="1324">
      <c r="A1324" s="6" t="s">
        <v>2488</v>
      </c>
      <c r="B1324" s="5">
        <v>11.0</v>
      </c>
      <c r="C1324" s="1" t="s">
        <v>68</v>
      </c>
      <c r="D1324" s="1" t="s">
        <v>13</v>
      </c>
      <c r="E1324" s="1" t="s">
        <v>2230</v>
      </c>
      <c r="F1324" s="5">
        <v>11.4728</v>
      </c>
      <c r="G1324" s="5">
        <v>749.0576</v>
      </c>
      <c r="H1324" s="5">
        <v>2.2945</v>
      </c>
      <c r="I1324" s="5">
        <v>1710.0</v>
      </c>
    </row>
    <row r="1325">
      <c r="A1325" s="6" t="s">
        <v>2488</v>
      </c>
      <c r="B1325" s="5">
        <v>11.0</v>
      </c>
      <c r="C1325" s="1" t="s">
        <v>116</v>
      </c>
      <c r="D1325" s="1" t="s">
        <v>13</v>
      </c>
      <c r="E1325" s="1" t="s">
        <v>2230</v>
      </c>
      <c r="F1325" s="5">
        <v>17.9486</v>
      </c>
      <c r="G1325" s="5">
        <v>1339.4531000000002</v>
      </c>
      <c r="H1325" s="5">
        <v>3.5896</v>
      </c>
      <c r="I1325" s="5">
        <v>2387.0</v>
      </c>
    </row>
    <row r="1326">
      <c r="A1326" s="6" t="s">
        <v>2488</v>
      </c>
      <c r="B1326" s="5">
        <v>12.0</v>
      </c>
      <c r="C1326" s="1" t="s">
        <v>12</v>
      </c>
      <c r="D1326" s="1" t="s">
        <v>13</v>
      </c>
      <c r="E1326" s="1" t="s">
        <v>2230</v>
      </c>
      <c r="F1326" s="5">
        <v>10.5903</v>
      </c>
      <c r="G1326" s="5">
        <v>748.8579</v>
      </c>
      <c r="H1326" s="5">
        <v>2.118</v>
      </c>
      <c r="I1326" s="5">
        <v>428.0</v>
      </c>
    </row>
    <row r="1327">
      <c r="A1327" s="6" t="s">
        <v>2488</v>
      </c>
      <c r="B1327" s="5">
        <v>12.0</v>
      </c>
      <c r="C1327" s="1" t="s">
        <v>68</v>
      </c>
      <c r="D1327" s="1" t="s">
        <v>13</v>
      </c>
      <c r="E1327" s="1" t="s">
        <v>2230</v>
      </c>
      <c r="F1327" s="5">
        <v>7.8182</v>
      </c>
      <c r="G1327" s="5">
        <v>549.344299999999</v>
      </c>
      <c r="H1327" s="5">
        <v>1.5636</v>
      </c>
      <c r="I1327" s="5">
        <v>1053.0</v>
      </c>
    </row>
    <row r="1328">
      <c r="A1328" s="6" t="s">
        <v>2488</v>
      </c>
      <c r="B1328" s="5">
        <v>12.0</v>
      </c>
      <c r="C1328" s="1" t="s">
        <v>116</v>
      </c>
      <c r="D1328" s="1" t="s">
        <v>13</v>
      </c>
      <c r="E1328" s="1" t="s">
        <v>2230</v>
      </c>
      <c r="F1328" s="5">
        <v>25.2956</v>
      </c>
      <c r="G1328" s="5">
        <v>1721.9886000000001</v>
      </c>
      <c r="H1328" s="5">
        <v>5.0591</v>
      </c>
      <c r="I1328" s="5">
        <v>2407.0</v>
      </c>
    </row>
    <row r="1329">
      <c r="A1329" s="6" t="s">
        <v>5010</v>
      </c>
      <c r="B1329" s="5">
        <v>1.0</v>
      </c>
      <c r="C1329" s="1" t="s">
        <v>12</v>
      </c>
      <c r="D1329" s="1" t="s">
        <v>13</v>
      </c>
      <c r="E1329" s="1" t="s">
        <v>14</v>
      </c>
      <c r="F1329" s="5">
        <v>15.2249</v>
      </c>
      <c r="G1329" s="5">
        <v>899.265493</v>
      </c>
      <c r="H1329" s="5">
        <v>3.1972</v>
      </c>
      <c r="I1329" s="5">
        <v>536.0</v>
      </c>
    </row>
    <row r="1330">
      <c r="A1330" s="6" t="s">
        <v>5010</v>
      </c>
      <c r="B1330" s="5">
        <v>1.0</v>
      </c>
      <c r="C1330" s="1" t="s">
        <v>12</v>
      </c>
      <c r="D1330" s="1" t="s">
        <v>13</v>
      </c>
      <c r="E1330" s="1" t="s">
        <v>17</v>
      </c>
      <c r="F1330" s="5">
        <v>58.2443</v>
      </c>
      <c r="G1330" s="5">
        <v>5622.580442</v>
      </c>
      <c r="H1330" s="5">
        <v>20.3855</v>
      </c>
      <c r="I1330" s="5">
        <v>758.0</v>
      </c>
    </row>
    <row r="1331">
      <c r="A1331" s="6" t="s">
        <v>5010</v>
      </c>
      <c r="B1331" s="5">
        <v>1.0</v>
      </c>
      <c r="C1331" s="1" t="s">
        <v>12</v>
      </c>
      <c r="D1331" s="1" t="s">
        <v>13</v>
      </c>
      <c r="E1331" s="1" t="s">
        <v>21</v>
      </c>
      <c r="F1331" s="5">
        <v>38.4102</v>
      </c>
      <c r="G1331" s="5">
        <v>4457.22479</v>
      </c>
      <c r="H1331" s="5">
        <v>19.2051</v>
      </c>
      <c r="I1331" s="5">
        <v>633.0</v>
      </c>
    </row>
    <row r="1332">
      <c r="A1332" s="6" t="s">
        <v>5010</v>
      </c>
      <c r="B1332" s="5">
        <v>1.0</v>
      </c>
      <c r="C1332" s="1" t="s">
        <v>12</v>
      </c>
      <c r="D1332" s="1" t="s">
        <v>29</v>
      </c>
      <c r="E1332" s="1" t="s">
        <v>14</v>
      </c>
      <c r="F1332" s="5">
        <v>0.1327</v>
      </c>
      <c r="G1332" s="5">
        <v>15.948333</v>
      </c>
      <c r="H1332" s="5">
        <v>0.0265</v>
      </c>
      <c r="I1332" s="5">
        <v>10.0</v>
      </c>
    </row>
    <row r="1333">
      <c r="A1333" s="6" t="s">
        <v>5010</v>
      </c>
      <c r="B1333" s="5">
        <v>1.0</v>
      </c>
      <c r="C1333" s="1" t="s">
        <v>12</v>
      </c>
      <c r="D1333" s="1" t="s">
        <v>29</v>
      </c>
      <c r="E1333" s="1" t="s">
        <v>21</v>
      </c>
      <c r="F1333" s="5">
        <v>44.9287</v>
      </c>
      <c r="G1333" s="5">
        <v>7611.563208</v>
      </c>
      <c r="H1333" s="5">
        <v>17.9715</v>
      </c>
      <c r="I1333" s="5">
        <v>728.0</v>
      </c>
    </row>
    <row r="1334">
      <c r="A1334" s="6" t="s">
        <v>5010</v>
      </c>
      <c r="B1334" s="5">
        <v>1.0</v>
      </c>
      <c r="C1334" s="1" t="s">
        <v>12</v>
      </c>
      <c r="D1334" s="1" t="s">
        <v>38</v>
      </c>
      <c r="E1334" s="1" t="s">
        <v>39</v>
      </c>
      <c r="F1334" s="5">
        <v>2.8629</v>
      </c>
      <c r="G1334" s="5">
        <v>307.946992</v>
      </c>
      <c r="H1334" s="5">
        <v>0.5153</v>
      </c>
      <c r="I1334" s="5">
        <v>210.0</v>
      </c>
    </row>
    <row r="1335">
      <c r="A1335" s="6" t="s">
        <v>5010</v>
      </c>
      <c r="B1335" s="5">
        <v>1.0</v>
      </c>
      <c r="C1335" s="1" t="s">
        <v>12</v>
      </c>
      <c r="D1335" s="1" t="s">
        <v>48</v>
      </c>
      <c r="E1335" s="1" t="s">
        <v>49</v>
      </c>
      <c r="F1335" s="5">
        <v>0.0225</v>
      </c>
      <c r="G1335" s="5">
        <v>6.422605</v>
      </c>
      <c r="H1335" s="5">
        <v>0.0063</v>
      </c>
      <c r="I1335" s="5">
        <v>13.0</v>
      </c>
    </row>
    <row r="1336">
      <c r="A1336" s="6" t="s">
        <v>5010</v>
      </c>
      <c r="B1336" s="5">
        <v>1.0</v>
      </c>
      <c r="C1336" s="1" t="s">
        <v>12</v>
      </c>
      <c r="D1336" s="1" t="s">
        <v>48</v>
      </c>
      <c r="E1336" s="1" t="s">
        <v>21</v>
      </c>
      <c r="F1336" s="5">
        <v>1.5595</v>
      </c>
      <c r="G1336" s="5">
        <v>212.469968</v>
      </c>
      <c r="H1336" s="5">
        <v>0.6237</v>
      </c>
      <c r="I1336" s="5">
        <v>178.0</v>
      </c>
    </row>
    <row r="1337">
      <c r="A1337" s="6" t="s">
        <v>5010</v>
      </c>
      <c r="B1337" s="5">
        <v>1.0</v>
      </c>
      <c r="C1337" s="1" t="s">
        <v>12</v>
      </c>
      <c r="D1337" s="1" t="s">
        <v>42</v>
      </c>
      <c r="E1337" s="1" t="s">
        <v>17</v>
      </c>
      <c r="F1337" s="5">
        <v>1.0881</v>
      </c>
      <c r="G1337" s="5">
        <v>171.236944</v>
      </c>
      <c r="H1337" s="5">
        <v>0.4026</v>
      </c>
      <c r="I1337" s="5">
        <v>39.0</v>
      </c>
    </row>
    <row r="1338">
      <c r="A1338" s="6" t="s">
        <v>5010</v>
      </c>
      <c r="B1338" s="5">
        <v>1.0</v>
      </c>
      <c r="C1338" s="1" t="s">
        <v>12</v>
      </c>
      <c r="D1338" s="1" t="s">
        <v>45</v>
      </c>
      <c r="E1338" s="1" t="s">
        <v>49</v>
      </c>
      <c r="F1338" s="5">
        <v>5.0E-4</v>
      </c>
      <c r="G1338" s="5">
        <v>0.029771</v>
      </c>
      <c r="H1338" s="5">
        <v>1.0E-4</v>
      </c>
      <c r="I1338" s="5">
        <v>2.0</v>
      </c>
    </row>
    <row r="1339">
      <c r="A1339" s="6" t="s">
        <v>5010</v>
      </c>
      <c r="B1339" s="5">
        <v>1.0</v>
      </c>
      <c r="C1339" s="1" t="s">
        <v>12</v>
      </c>
      <c r="D1339" s="1" t="s">
        <v>45</v>
      </c>
      <c r="E1339" s="1" t="s">
        <v>17</v>
      </c>
      <c r="F1339" s="5">
        <v>1.4561</v>
      </c>
      <c r="G1339" s="5">
        <v>116.992414</v>
      </c>
      <c r="H1339" s="5">
        <v>0.5242</v>
      </c>
      <c r="I1339" s="5">
        <v>155.0</v>
      </c>
    </row>
    <row r="1340">
      <c r="A1340" s="6" t="s">
        <v>5010</v>
      </c>
      <c r="B1340" s="5">
        <v>1.0</v>
      </c>
      <c r="C1340" s="1" t="s">
        <v>12</v>
      </c>
      <c r="D1340" s="1" t="s">
        <v>1830</v>
      </c>
      <c r="E1340" s="1" t="s">
        <v>72</v>
      </c>
      <c r="F1340" s="5">
        <v>0.8941</v>
      </c>
      <c r="G1340" s="5">
        <v>95.339903</v>
      </c>
      <c r="H1340" s="5">
        <v>0.2861</v>
      </c>
      <c r="I1340" s="5">
        <v>209.0</v>
      </c>
    </row>
    <row r="1341">
      <c r="A1341" s="6" t="s">
        <v>5010</v>
      </c>
      <c r="B1341" s="5">
        <v>1.0</v>
      </c>
      <c r="C1341" s="1" t="s">
        <v>12</v>
      </c>
      <c r="D1341" s="1" t="s">
        <v>56</v>
      </c>
      <c r="E1341" s="1" t="s">
        <v>21</v>
      </c>
      <c r="F1341" s="5">
        <v>0.1668</v>
      </c>
      <c r="G1341" s="5">
        <v>38.969667</v>
      </c>
      <c r="H1341" s="5">
        <v>0.0667</v>
      </c>
      <c r="I1341" s="5">
        <v>110.0</v>
      </c>
    </row>
    <row r="1342">
      <c r="A1342" s="6" t="s">
        <v>5010</v>
      </c>
      <c r="B1342" s="5">
        <v>1.0</v>
      </c>
      <c r="C1342" s="1" t="s">
        <v>12</v>
      </c>
      <c r="D1342" s="1" t="s">
        <v>60</v>
      </c>
      <c r="E1342" s="1" t="s">
        <v>39</v>
      </c>
      <c r="F1342" s="5">
        <v>0.2026</v>
      </c>
      <c r="G1342" s="5">
        <v>34.905171</v>
      </c>
      <c r="H1342" s="5">
        <v>0.0385</v>
      </c>
      <c r="I1342" s="5">
        <v>80.0</v>
      </c>
    </row>
    <row r="1343">
      <c r="A1343" s="6" t="s">
        <v>5010</v>
      </c>
      <c r="B1343" s="5">
        <v>1.0</v>
      </c>
      <c r="C1343" s="1" t="s">
        <v>12</v>
      </c>
      <c r="D1343" s="1" t="s">
        <v>60</v>
      </c>
      <c r="E1343" s="1" t="s">
        <v>17</v>
      </c>
      <c r="F1343" s="5">
        <v>0.0014</v>
      </c>
      <c r="G1343" s="5">
        <v>0.142028</v>
      </c>
      <c r="H1343" s="5">
        <v>5.0E-4</v>
      </c>
      <c r="I1343" s="5">
        <v>1.0</v>
      </c>
    </row>
    <row r="1344">
      <c r="A1344" s="6" t="s">
        <v>5010</v>
      </c>
      <c r="B1344" s="5">
        <v>1.0</v>
      </c>
      <c r="C1344" s="1" t="s">
        <v>12</v>
      </c>
      <c r="D1344" s="1" t="s">
        <v>2082</v>
      </c>
      <c r="E1344" s="1" t="s">
        <v>21</v>
      </c>
      <c r="F1344" s="5">
        <v>0.1902</v>
      </c>
      <c r="G1344" s="5">
        <v>32.450189</v>
      </c>
      <c r="H1344" s="5">
        <v>0.0865</v>
      </c>
      <c r="I1344" s="5">
        <v>0.0</v>
      </c>
    </row>
    <row r="1345">
      <c r="A1345" s="6" t="s">
        <v>5010</v>
      </c>
      <c r="B1345" s="5">
        <v>1.0</v>
      </c>
      <c r="C1345" s="1" t="s">
        <v>68</v>
      </c>
      <c r="D1345" s="1" t="s">
        <v>13</v>
      </c>
      <c r="E1345" s="1" t="s">
        <v>14</v>
      </c>
      <c r="F1345" s="5">
        <v>88.4917</v>
      </c>
      <c r="G1345" s="5">
        <v>4389.809554</v>
      </c>
      <c r="H1345" s="5">
        <v>18.5833</v>
      </c>
      <c r="I1345" s="5">
        <v>9100.0</v>
      </c>
    </row>
    <row r="1346">
      <c r="A1346" s="6" t="s">
        <v>5010</v>
      </c>
      <c r="B1346" s="5">
        <v>1.0</v>
      </c>
      <c r="C1346" s="1" t="s">
        <v>68</v>
      </c>
      <c r="D1346" s="1" t="s">
        <v>13</v>
      </c>
      <c r="E1346" s="1" t="s">
        <v>17</v>
      </c>
      <c r="F1346" s="5">
        <v>57.6908</v>
      </c>
      <c r="G1346" s="5">
        <v>5967.119432</v>
      </c>
      <c r="H1346" s="5">
        <v>20.1918</v>
      </c>
      <c r="I1346" s="5">
        <v>9322.0</v>
      </c>
    </row>
    <row r="1347">
      <c r="A1347" s="6" t="s">
        <v>5010</v>
      </c>
      <c r="B1347" s="5">
        <v>1.0</v>
      </c>
      <c r="C1347" s="1" t="s">
        <v>68</v>
      </c>
      <c r="D1347" s="1" t="s">
        <v>13</v>
      </c>
      <c r="E1347" s="1" t="s">
        <v>21</v>
      </c>
      <c r="F1347" s="5">
        <v>2.834</v>
      </c>
      <c r="G1347" s="5">
        <v>485.822233</v>
      </c>
      <c r="H1347" s="5">
        <v>1.4171</v>
      </c>
      <c r="I1347" s="5">
        <v>721.0</v>
      </c>
    </row>
    <row r="1348">
      <c r="A1348" s="6" t="s">
        <v>5010</v>
      </c>
      <c r="B1348" s="5">
        <v>1.0</v>
      </c>
      <c r="C1348" s="1" t="s">
        <v>68</v>
      </c>
      <c r="D1348" s="1" t="s">
        <v>13</v>
      </c>
      <c r="E1348" s="1" t="s">
        <v>25</v>
      </c>
      <c r="F1348" s="5">
        <v>0.2856</v>
      </c>
      <c r="G1348" s="5">
        <v>46.13722</v>
      </c>
      <c r="H1348" s="5">
        <v>0.2142</v>
      </c>
      <c r="I1348" s="5">
        <v>163.0</v>
      </c>
    </row>
    <row r="1349">
      <c r="A1349" s="6" t="s">
        <v>5010</v>
      </c>
      <c r="B1349" s="5">
        <v>1.0</v>
      </c>
      <c r="C1349" s="1" t="s">
        <v>68</v>
      </c>
      <c r="D1349" s="1" t="s">
        <v>29</v>
      </c>
      <c r="E1349" s="1" t="s">
        <v>14</v>
      </c>
      <c r="F1349" s="5">
        <v>0.0974</v>
      </c>
      <c r="G1349" s="5">
        <v>14.795735</v>
      </c>
      <c r="H1349" s="5">
        <v>0.0195</v>
      </c>
      <c r="I1349" s="5">
        <v>24.0</v>
      </c>
    </row>
    <row r="1350">
      <c r="A1350" s="6" t="s">
        <v>5010</v>
      </c>
      <c r="B1350" s="5">
        <v>1.0</v>
      </c>
      <c r="C1350" s="1" t="s">
        <v>68</v>
      </c>
      <c r="D1350" s="1" t="s">
        <v>29</v>
      </c>
      <c r="E1350" s="1" t="s">
        <v>21</v>
      </c>
      <c r="F1350" s="5">
        <v>8.1112</v>
      </c>
      <c r="G1350" s="5">
        <v>1609.072208</v>
      </c>
      <c r="H1350" s="5">
        <v>3.2445</v>
      </c>
      <c r="I1350" s="5">
        <v>1351.0</v>
      </c>
    </row>
    <row r="1351">
      <c r="A1351" s="6" t="s">
        <v>5010</v>
      </c>
      <c r="B1351" s="5">
        <v>1.0</v>
      </c>
      <c r="C1351" s="1" t="s">
        <v>68</v>
      </c>
      <c r="D1351" s="1" t="s">
        <v>45</v>
      </c>
      <c r="E1351" s="1" t="s">
        <v>49</v>
      </c>
      <c r="F1351" s="5">
        <v>0.6235</v>
      </c>
      <c r="G1351" s="5">
        <v>38.73859</v>
      </c>
      <c r="H1351" s="5">
        <v>0.1621</v>
      </c>
      <c r="I1351" s="5">
        <v>128.0</v>
      </c>
    </row>
    <row r="1352">
      <c r="A1352" s="6" t="s">
        <v>5010</v>
      </c>
      <c r="B1352" s="5">
        <v>1.0</v>
      </c>
      <c r="C1352" s="1" t="s">
        <v>68</v>
      </c>
      <c r="D1352" s="1" t="s">
        <v>45</v>
      </c>
      <c r="E1352" s="1" t="s">
        <v>17</v>
      </c>
      <c r="F1352" s="5">
        <v>11.9015</v>
      </c>
      <c r="G1352" s="5">
        <v>701.603394</v>
      </c>
      <c r="H1352" s="5">
        <v>4.2846</v>
      </c>
      <c r="I1352" s="5">
        <v>1386.0</v>
      </c>
    </row>
    <row r="1353">
      <c r="A1353" s="6" t="s">
        <v>5010</v>
      </c>
      <c r="B1353" s="5">
        <v>1.0</v>
      </c>
      <c r="C1353" s="1" t="s">
        <v>68</v>
      </c>
      <c r="D1353" s="1" t="s">
        <v>38</v>
      </c>
      <c r="E1353" s="1" t="s">
        <v>39</v>
      </c>
      <c r="F1353" s="5">
        <v>8.1162</v>
      </c>
      <c r="G1353" s="5">
        <v>700.442242</v>
      </c>
      <c r="H1353" s="5">
        <v>1.4609</v>
      </c>
      <c r="I1353" s="5">
        <v>2897.0</v>
      </c>
    </row>
    <row r="1354">
      <c r="A1354" s="6" t="s">
        <v>5010</v>
      </c>
      <c r="B1354" s="5">
        <v>1.0</v>
      </c>
      <c r="C1354" s="1" t="s">
        <v>68</v>
      </c>
      <c r="D1354" s="1" t="s">
        <v>2104</v>
      </c>
      <c r="E1354" s="1" t="s">
        <v>17</v>
      </c>
      <c r="F1354" s="5">
        <v>4.4477</v>
      </c>
      <c r="G1354" s="5">
        <v>193.181003</v>
      </c>
      <c r="H1354" s="5">
        <v>1.5567</v>
      </c>
      <c r="I1354" s="5">
        <v>435.0</v>
      </c>
    </row>
    <row r="1355">
      <c r="A1355" s="6" t="s">
        <v>5010</v>
      </c>
      <c r="B1355" s="5">
        <v>1.0</v>
      </c>
      <c r="C1355" s="1" t="s">
        <v>68</v>
      </c>
      <c r="D1355" s="1" t="s">
        <v>1851</v>
      </c>
      <c r="E1355" s="1" t="s">
        <v>17</v>
      </c>
      <c r="F1355" s="5">
        <v>2.2066</v>
      </c>
      <c r="G1355" s="5">
        <v>164.704934</v>
      </c>
      <c r="H1355" s="5">
        <v>0.8496</v>
      </c>
      <c r="I1355" s="5">
        <v>769.0</v>
      </c>
    </row>
    <row r="1356">
      <c r="A1356" s="6" t="s">
        <v>5010</v>
      </c>
      <c r="B1356" s="5">
        <v>1.0</v>
      </c>
      <c r="C1356" s="1" t="s">
        <v>68</v>
      </c>
      <c r="D1356" s="1" t="s">
        <v>1851</v>
      </c>
      <c r="E1356" s="1" t="s">
        <v>21</v>
      </c>
      <c r="F1356" s="5">
        <v>0.1416</v>
      </c>
      <c r="G1356" s="5">
        <v>12.006769</v>
      </c>
      <c r="H1356" s="5">
        <v>0.0694</v>
      </c>
      <c r="I1356" s="5">
        <v>56.0</v>
      </c>
    </row>
    <row r="1357">
      <c r="A1357" s="6" t="s">
        <v>5010</v>
      </c>
      <c r="B1357" s="5">
        <v>1.0</v>
      </c>
      <c r="C1357" s="1" t="s">
        <v>68</v>
      </c>
      <c r="D1357" s="1" t="s">
        <v>2088</v>
      </c>
      <c r="E1357" s="1" t="s">
        <v>21</v>
      </c>
      <c r="F1357" s="5">
        <v>1.1685</v>
      </c>
      <c r="G1357" s="5">
        <v>135.056441</v>
      </c>
      <c r="H1357" s="5">
        <v>0.4674</v>
      </c>
      <c r="I1357" s="5">
        <v>0.0</v>
      </c>
    </row>
    <row r="1358">
      <c r="A1358" s="6" t="s">
        <v>5010</v>
      </c>
      <c r="B1358" s="5">
        <v>1.0</v>
      </c>
      <c r="C1358" s="1" t="s">
        <v>68</v>
      </c>
      <c r="D1358" s="1" t="s">
        <v>48</v>
      </c>
      <c r="E1358" s="1" t="s">
        <v>49</v>
      </c>
      <c r="F1358" s="5">
        <v>0.0036</v>
      </c>
      <c r="G1358" s="5">
        <v>1.59307</v>
      </c>
      <c r="H1358" s="5">
        <v>0.001</v>
      </c>
      <c r="I1358" s="5">
        <v>0.0</v>
      </c>
    </row>
    <row r="1359">
      <c r="A1359" s="6" t="s">
        <v>5010</v>
      </c>
      <c r="B1359" s="5">
        <v>1.0</v>
      </c>
      <c r="C1359" s="1" t="s">
        <v>68</v>
      </c>
      <c r="D1359" s="1" t="s">
        <v>48</v>
      </c>
      <c r="E1359" s="1" t="s">
        <v>72</v>
      </c>
      <c r="F1359" s="5">
        <v>0.0031</v>
      </c>
      <c r="G1359" s="5">
        <v>0.95189</v>
      </c>
      <c r="H1359" s="5">
        <v>9.0E-4</v>
      </c>
      <c r="I1359" s="5">
        <v>0.0</v>
      </c>
    </row>
    <row r="1360">
      <c r="A1360" s="6" t="s">
        <v>5010</v>
      </c>
      <c r="B1360" s="5">
        <v>1.0</v>
      </c>
      <c r="C1360" s="1" t="s">
        <v>68</v>
      </c>
      <c r="D1360" s="1" t="s">
        <v>48</v>
      </c>
      <c r="E1360" s="1" t="s">
        <v>21</v>
      </c>
      <c r="F1360" s="5">
        <v>0.871</v>
      </c>
      <c r="G1360" s="5">
        <v>127.584278</v>
      </c>
      <c r="H1360" s="5">
        <v>0.3483</v>
      </c>
      <c r="I1360" s="5">
        <v>0.0</v>
      </c>
    </row>
    <row r="1361">
      <c r="A1361" s="6" t="s">
        <v>5010</v>
      </c>
      <c r="B1361" s="5">
        <v>1.0</v>
      </c>
      <c r="C1361" s="1" t="s">
        <v>68</v>
      </c>
      <c r="D1361" s="1" t="s">
        <v>32</v>
      </c>
      <c r="E1361" s="1" t="s">
        <v>14</v>
      </c>
      <c r="F1361" s="5">
        <v>1.3608</v>
      </c>
      <c r="G1361" s="5">
        <v>98.695255</v>
      </c>
      <c r="H1361" s="5">
        <v>0.313</v>
      </c>
      <c r="I1361" s="5">
        <v>422.0</v>
      </c>
    </row>
    <row r="1362">
      <c r="A1362" s="6" t="s">
        <v>5010</v>
      </c>
      <c r="B1362" s="5">
        <v>1.0</v>
      </c>
      <c r="C1362" s="1" t="s">
        <v>68</v>
      </c>
      <c r="D1362" s="1" t="s">
        <v>32</v>
      </c>
      <c r="E1362" s="1" t="s">
        <v>21</v>
      </c>
      <c r="F1362" s="5">
        <v>0.0795</v>
      </c>
      <c r="G1362" s="5">
        <v>7.20621</v>
      </c>
      <c r="H1362" s="5">
        <v>0.0358</v>
      </c>
      <c r="I1362" s="5">
        <v>97.0</v>
      </c>
    </row>
    <row r="1363">
      <c r="A1363" s="6" t="s">
        <v>5010</v>
      </c>
      <c r="B1363" s="5">
        <v>1.0</v>
      </c>
      <c r="C1363" s="1" t="s">
        <v>68</v>
      </c>
      <c r="D1363" s="1" t="s">
        <v>1830</v>
      </c>
      <c r="E1363" s="1" t="s">
        <v>72</v>
      </c>
      <c r="F1363" s="5">
        <v>1.0835</v>
      </c>
      <c r="G1363" s="5">
        <v>96.79121</v>
      </c>
      <c r="H1363" s="5">
        <v>0.3467</v>
      </c>
      <c r="I1363" s="5">
        <v>921.0</v>
      </c>
    </row>
    <row r="1364">
      <c r="A1364" s="6" t="s">
        <v>5010</v>
      </c>
      <c r="B1364" s="5">
        <v>1.0</v>
      </c>
      <c r="C1364" s="1" t="s">
        <v>116</v>
      </c>
      <c r="D1364" s="1" t="s">
        <v>13</v>
      </c>
      <c r="E1364" s="1" t="s">
        <v>14</v>
      </c>
      <c r="F1364" s="5">
        <v>200.7302</v>
      </c>
      <c r="G1364" s="5">
        <v>10271.13988</v>
      </c>
      <c r="H1364" s="5">
        <v>42.1534</v>
      </c>
      <c r="I1364" s="5">
        <v>17167.0</v>
      </c>
    </row>
    <row r="1365">
      <c r="A1365" s="6" t="s">
        <v>5010</v>
      </c>
      <c r="B1365" s="5">
        <v>1.0</v>
      </c>
      <c r="C1365" s="1" t="s">
        <v>116</v>
      </c>
      <c r="D1365" s="1" t="s">
        <v>13</v>
      </c>
      <c r="E1365" s="1" t="s">
        <v>17</v>
      </c>
      <c r="F1365" s="5">
        <v>159.5171</v>
      </c>
      <c r="G1365" s="5">
        <v>14567.6979</v>
      </c>
      <c r="H1365" s="5">
        <v>55.8309</v>
      </c>
      <c r="I1365" s="5">
        <v>17397.0</v>
      </c>
    </row>
    <row r="1366">
      <c r="A1366" s="6" t="s">
        <v>5010</v>
      </c>
      <c r="B1366" s="5">
        <v>1.0</v>
      </c>
      <c r="C1366" s="1" t="s">
        <v>116</v>
      </c>
      <c r="D1366" s="1" t="s">
        <v>13</v>
      </c>
      <c r="E1366" s="1" t="s">
        <v>21</v>
      </c>
      <c r="F1366" s="5">
        <v>9.9211</v>
      </c>
      <c r="G1366" s="5">
        <v>1323.619549</v>
      </c>
      <c r="H1366" s="5">
        <v>4.9606</v>
      </c>
      <c r="I1366" s="5">
        <v>729.0</v>
      </c>
    </row>
    <row r="1367">
      <c r="A1367" s="6" t="s">
        <v>5010</v>
      </c>
      <c r="B1367" s="5">
        <v>1.0</v>
      </c>
      <c r="C1367" s="1" t="s">
        <v>116</v>
      </c>
      <c r="D1367" s="1" t="s">
        <v>13</v>
      </c>
      <c r="E1367" s="1" t="s">
        <v>25</v>
      </c>
      <c r="F1367" s="5">
        <v>0.0087</v>
      </c>
      <c r="G1367" s="5">
        <v>1.791126</v>
      </c>
      <c r="H1367" s="5">
        <v>0.0065</v>
      </c>
      <c r="I1367" s="5">
        <v>3.0</v>
      </c>
    </row>
    <row r="1368">
      <c r="A1368" s="6" t="s">
        <v>5010</v>
      </c>
      <c r="B1368" s="5">
        <v>1.0</v>
      </c>
      <c r="C1368" s="1" t="s">
        <v>116</v>
      </c>
      <c r="D1368" s="1" t="s">
        <v>29</v>
      </c>
      <c r="E1368" s="1" t="s">
        <v>14</v>
      </c>
      <c r="F1368" s="5">
        <v>1.2303</v>
      </c>
      <c r="G1368" s="5">
        <v>147.988777</v>
      </c>
      <c r="H1368" s="5">
        <v>0.2461</v>
      </c>
      <c r="I1368" s="5">
        <v>286.0</v>
      </c>
    </row>
    <row r="1369">
      <c r="A1369" s="6" t="s">
        <v>5010</v>
      </c>
      <c r="B1369" s="5">
        <v>1.0</v>
      </c>
      <c r="C1369" s="1" t="s">
        <v>116</v>
      </c>
      <c r="D1369" s="1" t="s">
        <v>29</v>
      </c>
      <c r="E1369" s="1" t="s">
        <v>21</v>
      </c>
      <c r="F1369" s="5">
        <v>56.187</v>
      </c>
      <c r="G1369" s="5">
        <v>9934.412537</v>
      </c>
      <c r="H1369" s="5">
        <v>22.4747</v>
      </c>
      <c r="I1369" s="5">
        <v>4241.0</v>
      </c>
    </row>
    <row r="1370">
      <c r="A1370" s="6" t="s">
        <v>5010</v>
      </c>
      <c r="B1370" s="5">
        <v>1.0</v>
      </c>
      <c r="C1370" s="1" t="s">
        <v>116</v>
      </c>
      <c r="D1370" s="1" t="s">
        <v>45</v>
      </c>
      <c r="E1370" s="1" t="s">
        <v>49</v>
      </c>
      <c r="F1370" s="5">
        <v>1.5709</v>
      </c>
      <c r="G1370" s="5">
        <v>96.490976</v>
      </c>
      <c r="H1370" s="5">
        <v>0.4084</v>
      </c>
      <c r="I1370" s="5">
        <v>309.0</v>
      </c>
    </row>
    <row r="1371">
      <c r="A1371" s="6" t="s">
        <v>5010</v>
      </c>
      <c r="B1371" s="5">
        <v>1.0</v>
      </c>
      <c r="C1371" s="1" t="s">
        <v>116</v>
      </c>
      <c r="D1371" s="1" t="s">
        <v>45</v>
      </c>
      <c r="E1371" s="1" t="s">
        <v>17</v>
      </c>
      <c r="F1371" s="5">
        <v>19.0162</v>
      </c>
      <c r="G1371" s="5">
        <v>1335.566377</v>
      </c>
      <c r="H1371" s="5">
        <v>6.8459</v>
      </c>
      <c r="I1371" s="5">
        <v>1751.0</v>
      </c>
    </row>
    <row r="1372">
      <c r="A1372" s="6" t="s">
        <v>5010</v>
      </c>
      <c r="B1372" s="5">
        <v>1.0</v>
      </c>
      <c r="C1372" s="1" t="s">
        <v>116</v>
      </c>
      <c r="D1372" s="1" t="s">
        <v>38</v>
      </c>
      <c r="E1372" s="1" t="s">
        <v>39</v>
      </c>
      <c r="F1372" s="5">
        <v>14.6676</v>
      </c>
      <c r="G1372" s="5">
        <v>1288.467984</v>
      </c>
      <c r="H1372" s="5">
        <v>2.6402</v>
      </c>
      <c r="I1372" s="5">
        <v>4284.0</v>
      </c>
    </row>
    <row r="1373">
      <c r="A1373" s="6" t="s">
        <v>5010</v>
      </c>
      <c r="B1373" s="5">
        <v>1.0</v>
      </c>
      <c r="C1373" s="1" t="s">
        <v>116</v>
      </c>
      <c r="D1373" s="1" t="s">
        <v>1851</v>
      </c>
      <c r="E1373" s="1" t="s">
        <v>17</v>
      </c>
      <c r="F1373" s="5">
        <v>5.3848</v>
      </c>
      <c r="G1373" s="5">
        <v>403.571082</v>
      </c>
      <c r="H1373" s="5">
        <v>2.0731</v>
      </c>
      <c r="I1373" s="5">
        <v>1598.0</v>
      </c>
    </row>
    <row r="1374">
      <c r="A1374" s="6" t="s">
        <v>5010</v>
      </c>
      <c r="B1374" s="5">
        <v>1.0</v>
      </c>
      <c r="C1374" s="1" t="s">
        <v>116</v>
      </c>
      <c r="D1374" s="1" t="s">
        <v>1851</v>
      </c>
      <c r="E1374" s="1" t="s">
        <v>21</v>
      </c>
      <c r="F1374" s="5">
        <v>0.4175</v>
      </c>
      <c r="G1374" s="5">
        <v>34.83502</v>
      </c>
      <c r="H1374" s="5">
        <v>0.2046</v>
      </c>
      <c r="I1374" s="5">
        <v>201.0</v>
      </c>
    </row>
    <row r="1375">
      <c r="A1375" s="6" t="s">
        <v>5010</v>
      </c>
      <c r="B1375" s="5">
        <v>1.0</v>
      </c>
      <c r="C1375" s="1" t="s">
        <v>116</v>
      </c>
      <c r="D1375" s="1" t="s">
        <v>147</v>
      </c>
      <c r="E1375" s="1" t="s">
        <v>39</v>
      </c>
      <c r="F1375" s="5">
        <v>1.1421</v>
      </c>
      <c r="G1375" s="5">
        <v>359.109615</v>
      </c>
      <c r="H1375" s="5">
        <v>0.217</v>
      </c>
      <c r="I1375" s="5">
        <v>112.0</v>
      </c>
    </row>
    <row r="1376">
      <c r="A1376" s="6" t="s">
        <v>5010</v>
      </c>
      <c r="B1376" s="5">
        <v>1.0</v>
      </c>
      <c r="C1376" s="1" t="s">
        <v>116</v>
      </c>
      <c r="D1376" s="1" t="s">
        <v>147</v>
      </c>
      <c r="E1376" s="1" t="s">
        <v>17</v>
      </c>
      <c r="F1376" s="5">
        <v>0.0118</v>
      </c>
      <c r="G1376" s="5">
        <v>5.171741</v>
      </c>
      <c r="H1376" s="5">
        <v>0.0042</v>
      </c>
      <c r="I1376" s="5">
        <v>5.0</v>
      </c>
    </row>
    <row r="1377">
      <c r="A1377" s="6" t="s">
        <v>5010</v>
      </c>
      <c r="B1377" s="5">
        <v>1.0</v>
      </c>
      <c r="C1377" s="1" t="s">
        <v>116</v>
      </c>
      <c r="D1377" s="1" t="s">
        <v>147</v>
      </c>
      <c r="E1377" s="1" t="s">
        <v>21</v>
      </c>
      <c r="F1377" s="5">
        <v>0.0603</v>
      </c>
      <c r="G1377" s="5">
        <v>31.900512</v>
      </c>
      <c r="H1377" s="5">
        <v>0.0302</v>
      </c>
      <c r="I1377" s="5">
        <v>44.0</v>
      </c>
    </row>
    <row r="1378">
      <c r="A1378" s="6" t="s">
        <v>5010</v>
      </c>
      <c r="B1378" s="5">
        <v>1.0</v>
      </c>
      <c r="C1378" s="1" t="s">
        <v>116</v>
      </c>
      <c r="D1378" s="1" t="s">
        <v>42</v>
      </c>
      <c r="E1378" s="1" t="s">
        <v>17</v>
      </c>
      <c r="F1378" s="5">
        <v>1.3623</v>
      </c>
      <c r="G1378" s="5">
        <v>282.59374</v>
      </c>
      <c r="H1378" s="5">
        <v>0.504</v>
      </c>
      <c r="I1378" s="5">
        <v>0.0</v>
      </c>
    </row>
    <row r="1379">
      <c r="A1379" s="6" t="s">
        <v>5010</v>
      </c>
      <c r="B1379" s="5">
        <v>1.0</v>
      </c>
      <c r="C1379" s="1" t="s">
        <v>116</v>
      </c>
      <c r="D1379" s="1" t="s">
        <v>1830</v>
      </c>
      <c r="E1379" s="1" t="s">
        <v>72</v>
      </c>
      <c r="F1379" s="5">
        <v>3.0058</v>
      </c>
      <c r="G1379" s="5">
        <v>280.300213</v>
      </c>
      <c r="H1379" s="5">
        <v>0.9618</v>
      </c>
      <c r="I1379" s="5">
        <v>2426.0</v>
      </c>
    </row>
    <row r="1380">
      <c r="A1380" s="6" t="s">
        <v>5010</v>
      </c>
      <c r="B1380" s="5">
        <v>1.0</v>
      </c>
      <c r="C1380" s="1" t="s">
        <v>116</v>
      </c>
      <c r="D1380" s="1" t="s">
        <v>48</v>
      </c>
      <c r="E1380" s="1" t="s">
        <v>49</v>
      </c>
      <c r="F1380" s="5">
        <v>0.0084</v>
      </c>
      <c r="G1380" s="5">
        <v>3.230365</v>
      </c>
      <c r="H1380" s="5">
        <v>0.0024</v>
      </c>
      <c r="I1380" s="5">
        <v>4.0</v>
      </c>
    </row>
    <row r="1381">
      <c r="A1381" s="6" t="s">
        <v>5010</v>
      </c>
      <c r="B1381" s="5">
        <v>1.0</v>
      </c>
      <c r="C1381" s="1" t="s">
        <v>116</v>
      </c>
      <c r="D1381" s="1" t="s">
        <v>48</v>
      </c>
      <c r="E1381" s="1" t="s">
        <v>72</v>
      </c>
      <c r="F1381" s="5">
        <v>0.0193</v>
      </c>
      <c r="G1381" s="5">
        <v>6.086698</v>
      </c>
      <c r="H1381" s="5">
        <v>0.0058</v>
      </c>
      <c r="I1381" s="5">
        <v>14.0</v>
      </c>
    </row>
    <row r="1382">
      <c r="A1382" s="6" t="s">
        <v>5010</v>
      </c>
      <c r="B1382" s="5">
        <v>1.0</v>
      </c>
      <c r="C1382" s="1" t="s">
        <v>116</v>
      </c>
      <c r="D1382" s="1" t="s">
        <v>48</v>
      </c>
      <c r="E1382" s="1" t="s">
        <v>21</v>
      </c>
      <c r="F1382" s="5">
        <v>1.4654</v>
      </c>
      <c r="G1382" s="5">
        <v>261.313471</v>
      </c>
      <c r="H1382" s="5">
        <v>0.5861</v>
      </c>
      <c r="I1382" s="5">
        <v>188.0</v>
      </c>
    </row>
    <row r="1383">
      <c r="A1383" s="6" t="s">
        <v>5010</v>
      </c>
      <c r="B1383" s="5">
        <v>1.0</v>
      </c>
      <c r="C1383" s="1" t="s">
        <v>116</v>
      </c>
      <c r="D1383" s="1" t="s">
        <v>165</v>
      </c>
      <c r="E1383" s="1" t="s">
        <v>39</v>
      </c>
      <c r="F1383" s="5">
        <v>0.2676</v>
      </c>
      <c r="G1383" s="5">
        <v>46.087756</v>
      </c>
      <c r="H1383" s="5">
        <v>0.0481</v>
      </c>
      <c r="I1383" s="5">
        <v>0.0</v>
      </c>
    </row>
    <row r="1384">
      <c r="A1384" s="6" t="s">
        <v>5010</v>
      </c>
      <c r="B1384" s="5">
        <v>1.0</v>
      </c>
      <c r="C1384" s="1" t="s">
        <v>116</v>
      </c>
      <c r="D1384" s="1" t="s">
        <v>165</v>
      </c>
      <c r="E1384" s="1" t="s">
        <v>17</v>
      </c>
      <c r="F1384" s="5">
        <v>0.5965</v>
      </c>
      <c r="G1384" s="5">
        <v>145.866054</v>
      </c>
      <c r="H1384" s="5">
        <v>0.2087</v>
      </c>
      <c r="I1384" s="5">
        <v>0.0</v>
      </c>
    </row>
    <row r="1385">
      <c r="A1385" s="6" t="s">
        <v>5010</v>
      </c>
      <c r="B1385" s="5">
        <v>2.0</v>
      </c>
      <c r="C1385" s="1" t="s">
        <v>12</v>
      </c>
      <c r="D1385" s="1" t="s">
        <v>13</v>
      </c>
      <c r="E1385" s="1" t="s">
        <v>14</v>
      </c>
      <c r="F1385" s="5">
        <v>11.1079</v>
      </c>
      <c r="G1385" s="5">
        <v>729.821201</v>
      </c>
      <c r="H1385" s="5">
        <v>2.3326</v>
      </c>
      <c r="I1385" s="5">
        <v>533.0</v>
      </c>
    </row>
    <row r="1386">
      <c r="A1386" s="6" t="s">
        <v>5010</v>
      </c>
      <c r="B1386" s="5">
        <v>2.0</v>
      </c>
      <c r="C1386" s="1" t="s">
        <v>12</v>
      </c>
      <c r="D1386" s="1" t="s">
        <v>13</v>
      </c>
      <c r="E1386" s="1" t="s">
        <v>17</v>
      </c>
      <c r="F1386" s="5">
        <v>47.1109</v>
      </c>
      <c r="G1386" s="5">
        <v>4702.004113</v>
      </c>
      <c r="H1386" s="5">
        <v>16.4889</v>
      </c>
      <c r="I1386" s="5">
        <v>744.0</v>
      </c>
    </row>
    <row r="1387">
      <c r="A1387" s="6" t="s">
        <v>5010</v>
      </c>
      <c r="B1387" s="5">
        <v>2.0</v>
      </c>
      <c r="C1387" s="1" t="s">
        <v>12</v>
      </c>
      <c r="D1387" s="1" t="s">
        <v>13</v>
      </c>
      <c r="E1387" s="1" t="s">
        <v>21</v>
      </c>
      <c r="F1387" s="5">
        <v>32.4152</v>
      </c>
      <c r="G1387" s="5">
        <v>3969.19894</v>
      </c>
      <c r="H1387" s="5">
        <v>16.2075</v>
      </c>
      <c r="I1387" s="5">
        <v>641.0</v>
      </c>
    </row>
    <row r="1388">
      <c r="A1388" s="6" t="s">
        <v>5010</v>
      </c>
      <c r="B1388" s="5">
        <v>2.0</v>
      </c>
      <c r="C1388" s="1" t="s">
        <v>12</v>
      </c>
      <c r="D1388" s="1" t="s">
        <v>29</v>
      </c>
      <c r="E1388" s="1" t="s">
        <v>14</v>
      </c>
      <c r="F1388" s="5">
        <v>0.0893</v>
      </c>
      <c r="G1388" s="5">
        <v>11.329055</v>
      </c>
      <c r="H1388" s="5">
        <v>0.0178</v>
      </c>
      <c r="I1388" s="5">
        <v>10.0</v>
      </c>
    </row>
    <row r="1389">
      <c r="A1389" s="6" t="s">
        <v>5010</v>
      </c>
      <c r="B1389" s="5">
        <v>2.0</v>
      </c>
      <c r="C1389" s="1" t="s">
        <v>12</v>
      </c>
      <c r="D1389" s="1" t="s">
        <v>29</v>
      </c>
      <c r="E1389" s="1" t="s">
        <v>21</v>
      </c>
      <c r="F1389" s="5">
        <v>35.8498</v>
      </c>
      <c r="G1389" s="5">
        <v>5962.643043</v>
      </c>
      <c r="H1389" s="5">
        <v>14.3399</v>
      </c>
      <c r="I1389" s="5">
        <v>694.0</v>
      </c>
    </row>
    <row r="1390">
      <c r="A1390" s="6" t="s">
        <v>5010</v>
      </c>
      <c r="B1390" s="5">
        <v>2.0</v>
      </c>
      <c r="C1390" s="1" t="s">
        <v>12</v>
      </c>
      <c r="D1390" s="1" t="s">
        <v>38</v>
      </c>
      <c r="E1390" s="1" t="s">
        <v>39</v>
      </c>
      <c r="F1390" s="5">
        <v>2.5138</v>
      </c>
      <c r="G1390" s="5">
        <v>284.824342</v>
      </c>
      <c r="H1390" s="5">
        <v>0.4525</v>
      </c>
      <c r="I1390" s="5">
        <v>202.0</v>
      </c>
    </row>
    <row r="1391">
      <c r="A1391" s="6" t="s">
        <v>5010</v>
      </c>
      <c r="B1391" s="5">
        <v>2.0</v>
      </c>
      <c r="C1391" s="1" t="s">
        <v>12</v>
      </c>
      <c r="D1391" s="1" t="s">
        <v>48</v>
      </c>
      <c r="E1391" s="1" t="s">
        <v>49</v>
      </c>
      <c r="F1391" s="5">
        <v>0.0093</v>
      </c>
      <c r="G1391" s="5">
        <v>2.950686</v>
      </c>
      <c r="H1391" s="5">
        <v>0.0027</v>
      </c>
      <c r="I1391" s="5">
        <v>7.0</v>
      </c>
    </row>
    <row r="1392">
      <c r="A1392" s="6" t="s">
        <v>5010</v>
      </c>
      <c r="B1392" s="5">
        <v>2.0</v>
      </c>
      <c r="C1392" s="1" t="s">
        <v>12</v>
      </c>
      <c r="D1392" s="1" t="s">
        <v>48</v>
      </c>
      <c r="E1392" s="1" t="s">
        <v>21</v>
      </c>
      <c r="F1392" s="5">
        <v>1.6619</v>
      </c>
      <c r="G1392" s="5">
        <v>234.198798</v>
      </c>
      <c r="H1392" s="5">
        <v>0.6647</v>
      </c>
      <c r="I1392" s="5">
        <v>171.0</v>
      </c>
    </row>
    <row r="1393">
      <c r="A1393" s="6" t="s">
        <v>5010</v>
      </c>
      <c r="B1393" s="5">
        <v>2.0</v>
      </c>
      <c r="C1393" s="1" t="s">
        <v>12</v>
      </c>
      <c r="D1393" s="1" t="s">
        <v>45</v>
      </c>
      <c r="E1393" s="1" t="s">
        <v>49</v>
      </c>
      <c r="F1393" s="5">
        <v>0.0039</v>
      </c>
      <c r="G1393" s="5">
        <v>0.20893</v>
      </c>
      <c r="H1393" s="5">
        <v>0.001</v>
      </c>
      <c r="I1393" s="5">
        <v>1.0</v>
      </c>
    </row>
    <row r="1394">
      <c r="A1394" s="6" t="s">
        <v>5010</v>
      </c>
      <c r="B1394" s="5">
        <v>2.0</v>
      </c>
      <c r="C1394" s="1" t="s">
        <v>12</v>
      </c>
      <c r="D1394" s="1" t="s">
        <v>45</v>
      </c>
      <c r="E1394" s="1" t="s">
        <v>17</v>
      </c>
      <c r="F1394" s="5">
        <v>1.5126</v>
      </c>
      <c r="G1394" s="5">
        <v>124.996153</v>
      </c>
      <c r="H1394" s="5">
        <v>0.5445</v>
      </c>
      <c r="I1394" s="5">
        <v>151.0</v>
      </c>
    </row>
    <row r="1395">
      <c r="A1395" s="6" t="s">
        <v>5010</v>
      </c>
      <c r="B1395" s="5">
        <v>2.0</v>
      </c>
      <c r="C1395" s="1" t="s">
        <v>12</v>
      </c>
      <c r="D1395" s="1" t="s">
        <v>42</v>
      </c>
      <c r="E1395" s="1" t="s">
        <v>17</v>
      </c>
      <c r="F1395" s="5">
        <v>0.413</v>
      </c>
      <c r="G1395" s="5">
        <v>75.322764</v>
      </c>
      <c r="H1395" s="5">
        <v>0.1528</v>
      </c>
      <c r="I1395" s="5">
        <v>34.0</v>
      </c>
    </row>
    <row r="1396">
      <c r="A1396" s="6" t="s">
        <v>5010</v>
      </c>
      <c r="B1396" s="5">
        <v>2.0</v>
      </c>
      <c r="C1396" s="1" t="s">
        <v>12</v>
      </c>
      <c r="D1396" s="1" t="s">
        <v>1830</v>
      </c>
      <c r="E1396" s="1" t="s">
        <v>72</v>
      </c>
      <c r="F1396" s="5">
        <v>0.7527</v>
      </c>
      <c r="G1396" s="5">
        <v>74.063678</v>
      </c>
      <c r="H1396" s="5">
        <v>0.2409</v>
      </c>
      <c r="I1396" s="5">
        <v>251.0</v>
      </c>
    </row>
    <row r="1397">
      <c r="A1397" s="6" t="s">
        <v>5010</v>
      </c>
      <c r="B1397" s="5">
        <v>2.0</v>
      </c>
      <c r="C1397" s="1" t="s">
        <v>12</v>
      </c>
      <c r="D1397" s="1" t="s">
        <v>56</v>
      </c>
      <c r="E1397" s="1" t="s">
        <v>21</v>
      </c>
      <c r="F1397" s="5">
        <v>0.157</v>
      </c>
      <c r="G1397" s="5">
        <v>34.985402</v>
      </c>
      <c r="H1397" s="5">
        <v>0.0628</v>
      </c>
      <c r="I1397" s="5">
        <v>108.0</v>
      </c>
    </row>
    <row r="1398">
      <c r="A1398" s="6" t="s">
        <v>5010</v>
      </c>
      <c r="B1398" s="5">
        <v>2.0</v>
      </c>
      <c r="C1398" s="1" t="s">
        <v>12</v>
      </c>
      <c r="D1398" s="1" t="s">
        <v>848</v>
      </c>
      <c r="E1398" s="1" t="s">
        <v>21</v>
      </c>
      <c r="F1398" s="5">
        <v>0.202</v>
      </c>
      <c r="G1398" s="5">
        <v>33.859989</v>
      </c>
      <c r="H1398" s="5">
        <v>0.0808</v>
      </c>
      <c r="I1398" s="5">
        <v>0.0</v>
      </c>
    </row>
    <row r="1399">
      <c r="A1399" s="6" t="s">
        <v>5010</v>
      </c>
      <c r="B1399" s="5">
        <v>2.0</v>
      </c>
      <c r="C1399" s="1" t="s">
        <v>12</v>
      </c>
      <c r="D1399" s="1" t="s">
        <v>60</v>
      </c>
      <c r="E1399" s="1" t="s">
        <v>39</v>
      </c>
      <c r="F1399" s="5">
        <v>0.1907</v>
      </c>
      <c r="G1399" s="5">
        <v>32.362732</v>
      </c>
      <c r="H1399" s="5">
        <v>0.0362</v>
      </c>
      <c r="I1399" s="5">
        <v>82.0</v>
      </c>
    </row>
    <row r="1400">
      <c r="A1400" s="6" t="s">
        <v>5010</v>
      </c>
      <c r="B1400" s="5">
        <v>2.0</v>
      </c>
      <c r="C1400" s="1" t="s">
        <v>12</v>
      </c>
      <c r="D1400" s="1" t="s">
        <v>60</v>
      </c>
      <c r="E1400" s="1" t="s">
        <v>17</v>
      </c>
      <c r="F1400" s="5">
        <v>0.0044</v>
      </c>
      <c r="G1400" s="5">
        <v>0.405462</v>
      </c>
      <c r="H1400" s="5">
        <v>0.0017</v>
      </c>
      <c r="I1400" s="5">
        <v>2.0</v>
      </c>
    </row>
    <row r="1401">
      <c r="A1401" s="6" t="s">
        <v>5010</v>
      </c>
      <c r="B1401" s="5">
        <v>2.0</v>
      </c>
      <c r="C1401" s="1" t="s">
        <v>68</v>
      </c>
      <c r="D1401" s="1" t="s">
        <v>13</v>
      </c>
      <c r="E1401" s="1" t="s">
        <v>14</v>
      </c>
      <c r="F1401" s="5">
        <v>82.455</v>
      </c>
      <c r="G1401" s="5">
        <v>4483.615135</v>
      </c>
      <c r="H1401" s="5">
        <v>17.3156</v>
      </c>
      <c r="I1401" s="5">
        <v>9842.0</v>
      </c>
    </row>
    <row r="1402">
      <c r="A1402" s="6" t="s">
        <v>5010</v>
      </c>
      <c r="B1402" s="5">
        <v>2.0</v>
      </c>
      <c r="C1402" s="1" t="s">
        <v>68</v>
      </c>
      <c r="D1402" s="1" t="s">
        <v>13</v>
      </c>
      <c r="E1402" s="1" t="s">
        <v>17</v>
      </c>
      <c r="F1402" s="5">
        <v>54.6811</v>
      </c>
      <c r="G1402" s="5">
        <v>5765.421415</v>
      </c>
      <c r="H1402" s="5">
        <v>19.1384</v>
      </c>
      <c r="I1402" s="5">
        <v>8884.0</v>
      </c>
    </row>
    <row r="1403">
      <c r="A1403" s="6" t="s">
        <v>5010</v>
      </c>
      <c r="B1403" s="5">
        <v>2.0</v>
      </c>
      <c r="C1403" s="1" t="s">
        <v>68</v>
      </c>
      <c r="D1403" s="1" t="s">
        <v>13</v>
      </c>
      <c r="E1403" s="1" t="s">
        <v>21</v>
      </c>
      <c r="F1403" s="5">
        <v>3.2303</v>
      </c>
      <c r="G1403" s="5">
        <v>555.281552</v>
      </c>
      <c r="H1403" s="5">
        <v>1.6151</v>
      </c>
      <c r="I1403" s="5">
        <v>698.0</v>
      </c>
    </row>
    <row r="1404">
      <c r="A1404" s="6" t="s">
        <v>5010</v>
      </c>
      <c r="B1404" s="5">
        <v>2.0</v>
      </c>
      <c r="C1404" s="1" t="s">
        <v>68</v>
      </c>
      <c r="D1404" s="1" t="s">
        <v>13</v>
      </c>
      <c r="E1404" s="1" t="s">
        <v>25</v>
      </c>
      <c r="F1404" s="5">
        <v>0.2929</v>
      </c>
      <c r="G1404" s="5">
        <v>47.309114</v>
      </c>
      <c r="H1404" s="5">
        <v>0.2197</v>
      </c>
      <c r="I1404" s="5">
        <v>179.0</v>
      </c>
    </row>
    <row r="1405">
      <c r="A1405" s="6" t="s">
        <v>5010</v>
      </c>
      <c r="B1405" s="5">
        <v>2.0</v>
      </c>
      <c r="C1405" s="1" t="s">
        <v>68</v>
      </c>
      <c r="D1405" s="1" t="s">
        <v>29</v>
      </c>
      <c r="E1405" s="1" t="s">
        <v>14</v>
      </c>
      <c r="F1405" s="5">
        <v>0.0863</v>
      </c>
      <c r="G1405" s="5">
        <v>13.461723</v>
      </c>
      <c r="H1405" s="5">
        <v>0.0172</v>
      </c>
      <c r="I1405" s="5">
        <v>22.0</v>
      </c>
    </row>
    <row r="1406">
      <c r="A1406" s="6" t="s">
        <v>5010</v>
      </c>
      <c r="B1406" s="5">
        <v>2.0</v>
      </c>
      <c r="C1406" s="1" t="s">
        <v>68</v>
      </c>
      <c r="D1406" s="1" t="s">
        <v>29</v>
      </c>
      <c r="E1406" s="1" t="s">
        <v>21</v>
      </c>
      <c r="F1406" s="5">
        <v>7.6719</v>
      </c>
      <c r="G1406" s="5">
        <v>1608.789744</v>
      </c>
      <c r="H1406" s="5">
        <v>3.0688</v>
      </c>
      <c r="I1406" s="5">
        <v>1087.0</v>
      </c>
    </row>
    <row r="1407">
      <c r="A1407" s="6" t="s">
        <v>5010</v>
      </c>
      <c r="B1407" s="5">
        <v>2.0</v>
      </c>
      <c r="C1407" s="1" t="s">
        <v>68</v>
      </c>
      <c r="D1407" s="1" t="s">
        <v>45</v>
      </c>
      <c r="E1407" s="1" t="s">
        <v>49</v>
      </c>
      <c r="F1407" s="5">
        <v>0.9638</v>
      </c>
      <c r="G1407" s="5">
        <v>54.697267</v>
      </c>
      <c r="H1407" s="5">
        <v>0.2506</v>
      </c>
      <c r="I1407" s="5">
        <v>153.0</v>
      </c>
    </row>
    <row r="1408">
      <c r="A1408" s="6" t="s">
        <v>5010</v>
      </c>
      <c r="B1408" s="5">
        <v>2.0</v>
      </c>
      <c r="C1408" s="1" t="s">
        <v>68</v>
      </c>
      <c r="D1408" s="1" t="s">
        <v>45</v>
      </c>
      <c r="E1408" s="1" t="s">
        <v>17</v>
      </c>
      <c r="F1408" s="5">
        <v>7.0538</v>
      </c>
      <c r="G1408" s="5">
        <v>530.288474</v>
      </c>
      <c r="H1408" s="5">
        <v>2.5393</v>
      </c>
      <c r="I1408" s="5">
        <v>1340.0</v>
      </c>
    </row>
    <row r="1409">
      <c r="A1409" s="6" t="s">
        <v>5010</v>
      </c>
      <c r="B1409" s="5">
        <v>2.0</v>
      </c>
      <c r="C1409" s="1" t="s">
        <v>68</v>
      </c>
      <c r="D1409" s="1" t="s">
        <v>38</v>
      </c>
      <c r="E1409" s="1" t="s">
        <v>39</v>
      </c>
      <c r="F1409" s="5">
        <v>5.7038</v>
      </c>
      <c r="G1409" s="5">
        <v>515.438104</v>
      </c>
      <c r="H1409" s="5">
        <v>1.0267</v>
      </c>
      <c r="I1409" s="5">
        <v>2437.0</v>
      </c>
    </row>
    <row r="1410">
      <c r="A1410" s="6" t="s">
        <v>5010</v>
      </c>
      <c r="B1410" s="5">
        <v>2.0</v>
      </c>
      <c r="C1410" s="1" t="s">
        <v>68</v>
      </c>
      <c r="D1410" s="1" t="s">
        <v>1851</v>
      </c>
      <c r="E1410" s="1" t="s">
        <v>17</v>
      </c>
      <c r="F1410" s="5">
        <v>2.7931</v>
      </c>
      <c r="G1410" s="5">
        <v>192.427103</v>
      </c>
      <c r="H1410" s="5">
        <v>1.0754</v>
      </c>
      <c r="I1410" s="5">
        <v>960.0</v>
      </c>
    </row>
    <row r="1411">
      <c r="A1411" s="6" t="s">
        <v>5010</v>
      </c>
      <c r="B1411" s="5">
        <v>2.0</v>
      </c>
      <c r="C1411" s="1" t="s">
        <v>68</v>
      </c>
      <c r="D1411" s="1" t="s">
        <v>1851</v>
      </c>
      <c r="E1411" s="1" t="s">
        <v>21</v>
      </c>
      <c r="F1411" s="5">
        <v>0.2556</v>
      </c>
      <c r="G1411" s="5">
        <v>21.533492</v>
      </c>
      <c r="H1411" s="5">
        <v>0.1253</v>
      </c>
      <c r="I1411" s="5">
        <v>180.0</v>
      </c>
    </row>
    <row r="1412">
      <c r="A1412" s="6" t="s">
        <v>5010</v>
      </c>
      <c r="B1412" s="5">
        <v>2.0</v>
      </c>
      <c r="C1412" s="1" t="s">
        <v>68</v>
      </c>
      <c r="D1412" s="1" t="s">
        <v>48</v>
      </c>
      <c r="E1412" s="1" t="s">
        <v>49</v>
      </c>
      <c r="F1412" s="5">
        <v>0.002</v>
      </c>
      <c r="G1412" s="5">
        <v>0.908857</v>
      </c>
      <c r="H1412" s="5">
        <v>6.0E-4</v>
      </c>
      <c r="I1412" s="5">
        <v>0.0</v>
      </c>
    </row>
    <row r="1413">
      <c r="A1413" s="6" t="s">
        <v>5010</v>
      </c>
      <c r="B1413" s="5">
        <v>2.0</v>
      </c>
      <c r="C1413" s="1" t="s">
        <v>68</v>
      </c>
      <c r="D1413" s="1" t="s">
        <v>48</v>
      </c>
      <c r="E1413" s="1" t="s">
        <v>72</v>
      </c>
      <c r="F1413" s="5">
        <v>0.0044</v>
      </c>
      <c r="G1413" s="5">
        <v>1.373464</v>
      </c>
      <c r="H1413" s="5">
        <v>0.0013</v>
      </c>
      <c r="I1413" s="5">
        <v>0.0</v>
      </c>
    </row>
    <row r="1414">
      <c r="A1414" s="6" t="s">
        <v>5010</v>
      </c>
      <c r="B1414" s="5">
        <v>2.0</v>
      </c>
      <c r="C1414" s="1" t="s">
        <v>68</v>
      </c>
      <c r="D1414" s="1" t="s">
        <v>48</v>
      </c>
      <c r="E1414" s="1" t="s">
        <v>21</v>
      </c>
      <c r="F1414" s="5">
        <v>1.0493</v>
      </c>
      <c r="G1414" s="5">
        <v>156.258602</v>
      </c>
      <c r="H1414" s="5">
        <v>0.4197</v>
      </c>
      <c r="I1414" s="5">
        <v>0.0</v>
      </c>
    </row>
    <row r="1415">
      <c r="A1415" s="6" t="s">
        <v>5010</v>
      </c>
      <c r="B1415" s="5">
        <v>2.0</v>
      </c>
      <c r="C1415" s="1" t="s">
        <v>68</v>
      </c>
      <c r="D1415" s="1" t="s">
        <v>1830</v>
      </c>
      <c r="E1415" s="1" t="s">
        <v>72</v>
      </c>
      <c r="F1415" s="5">
        <v>1.6042</v>
      </c>
      <c r="G1415" s="5">
        <v>121.201788</v>
      </c>
      <c r="H1415" s="5">
        <v>0.5133</v>
      </c>
      <c r="I1415" s="5">
        <v>1290.0</v>
      </c>
    </row>
    <row r="1416">
      <c r="A1416" s="6" t="s">
        <v>5010</v>
      </c>
      <c r="B1416" s="5">
        <v>2.0</v>
      </c>
      <c r="C1416" s="1" t="s">
        <v>68</v>
      </c>
      <c r="D1416" s="1" t="s">
        <v>2104</v>
      </c>
      <c r="E1416" s="1" t="s">
        <v>17</v>
      </c>
      <c r="F1416" s="5">
        <v>2.2345</v>
      </c>
      <c r="G1416" s="5">
        <v>106.804421</v>
      </c>
      <c r="H1416" s="5">
        <v>0.7821</v>
      </c>
      <c r="I1416" s="5">
        <v>463.0</v>
      </c>
    </row>
    <row r="1417">
      <c r="A1417" s="6" t="s">
        <v>5010</v>
      </c>
      <c r="B1417" s="5">
        <v>2.0</v>
      </c>
      <c r="C1417" s="1" t="s">
        <v>68</v>
      </c>
      <c r="D1417" s="1" t="s">
        <v>32</v>
      </c>
      <c r="E1417" s="1" t="s">
        <v>14</v>
      </c>
      <c r="F1417" s="5">
        <v>1.1353</v>
      </c>
      <c r="G1417" s="5">
        <v>79.158238</v>
      </c>
      <c r="H1417" s="5">
        <v>0.2611</v>
      </c>
      <c r="I1417" s="5">
        <v>359.0</v>
      </c>
    </row>
    <row r="1418">
      <c r="A1418" s="6" t="s">
        <v>5010</v>
      </c>
      <c r="B1418" s="5">
        <v>2.0</v>
      </c>
      <c r="C1418" s="1" t="s">
        <v>68</v>
      </c>
      <c r="D1418" s="1" t="s">
        <v>32</v>
      </c>
      <c r="E1418" s="1" t="s">
        <v>21</v>
      </c>
      <c r="F1418" s="5">
        <v>0.0531</v>
      </c>
      <c r="G1418" s="5">
        <v>5.084217</v>
      </c>
      <c r="H1418" s="5">
        <v>0.0239</v>
      </c>
      <c r="I1418" s="5">
        <v>52.0</v>
      </c>
    </row>
    <row r="1419">
      <c r="A1419" s="6" t="s">
        <v>5010</v>
      </c>
      <c r="B1419" s="5">
        <v>2.0</v>
      </c>
      <c r="C1419" s="1" t="s">
        <v>68</v>
      </c>
      <c r="D1419" s="1" t="s">
        <v>42</v>
      </c>
      <c r="E1419" s="1" t="s">
        <v>17</v>
      </c>
      <c r="F1419" s="5">
        <v>0.4189</v>
      </c>
      <c r="G1419" s="5">
        <v>83.905488</v>
      </c>
      <c r="H1419" s="5">
        <v>0.155</v>
      </c>
      <c r="I1419" s="5">
        <v>0.0</v>
      </c>
    </row>
    <row r="1420">
      <c r="A1420" s="6" t="s">
        <v>5010</v>
      </c>
      <c r="B1420" s="5">
        <v>2.0</v>
      </c>
      <c r="C1420" s="1" t="s">
        <v>116</v>
      </c>
      <c r="D1420" s="1" t="s">
        <v>13</v>
      </c>
      <c r="E1420" s="1" t="s">
        <v>14</v>
      </c>
      <c r="F1420" s="5">
        <v>211.8291</v>
      </c>
      <c r="G1420" s="5">
        <v>11127.30868</v>
      </c>
      <c r="H1420" s="5">
        <v>44.4841</v>
      </c>
      <c r="I1420" s="5">
        <v>18131.0</v>
      </c>
    </row>
    <row r="1421">
      <c r="A1421" s="6" t="s">
        <v>5010</v>
      </c>
      <c r="B1421" s="5">
        <v>2.0</v>
      </c>
      <c r="C1421" s="1" t="s">
        <v>116</v>
      </c>
      <c r="D1421" s="1" t="s">
        <v>13</v>
      </c>
      <c r="E1421" s="1" t="s">
        <v>17</v>
      </c>
      <c r="F1421" s="5">
        <v>129.5281</v>
      </c>
      <c r="G1421" s="5">
        <v>12648.513944</v>
      </c>
      <c r="H1421" s="5">
        <v>45.3348</v>
      </c>
      <c r="I1421" s="5">
        <v>16535.0</v>
      </c>
    </row>
    <row r="1422">
      <c r="A1422" s="6" t="s">
        <v>5010</v>
      </c>
      <c r="B1422" s="5">
        <v>2.0</v>
      </c>
      <c r="C1422" s="1" t="s">
        <v>116</v>
      </c>
      <c r="D1422" s="1" t="s">
        <v>13</v>
      </c>
      <c r="E1422" s="1" t="s">
        <v>21</v>
      </c>
      <c r="F1422" s="5">
        <v>7.3785</v>
      </c>
      <c r="G1422" s="5">
        <v>1108.961017</v>
      </c>
      <c r="H1422" s="5">
        <v>3.6893</v>
      </c>
      <c r="I1422" s="5">
        <v>690.0</v>
      </c>
    </row>
    <row r="1423">
      <c r="A1423" s="6" t="s">
        <v>5010</v>
      </c>
      <c r="B1423" s="5">
        <v>2.0</v>
      </c>
      <c r="C1423" s="1" t="s">
        <v>116</v>
      </c>
      <c r="D1423" s="1" t="s">
        <v>13</v>
      </c>
      <c r="E1423" s="1" t="s">
        <v>25</v>
      </c>
      <c r="F1423" s="5">
        <v>0.0152</v>
      </c>
      <c r="G1423" s="5">
        <v>3.141648</v>
      </c>
      <c r="H1423" s="5">
        <v>0.0114</v>
      </c>
      <c r="I1423" s="5">
        <v>4.0</v>
      </c>
    </row>
    <row r="1424">
      <c r="A1424" s="6" t="s">
        <v>5010</v>
      </c>
      <c r="B1424" s="5">
        <v>2.0</v>
      </c>
      <c r="C1424" s="1" t="s">
        <v>116</v>
      </c>
      <c r="D1424" s="1" t="s">
        <v>29</v>
      </c>
      <c r="E1424" s="1" t="s">
        <v>14</v>
      </c>
      <c r="F1424" s="5">
        <v>0.9859</v>
      </c>
      <c r="G1424" s="5">
        <v>118.79017</v>
      </c>
      <c r="H1424" s="5">
        <v>0.1972</v>
      </c>
      <c r="I1424" s="5">
        <v>276.0</v>
      </c>
    </row>
    <row r="1425">
      <c r="A1425" s="6" t="s">
        <v>5010</v>
      </c>
      <c r="B1425" s="5">
        <v>2.0</v>
      </c>
      <c r="C1425" s="1" t="s">
        <v>116</v>
      </c>
      <c r="D1425" s="1" t="s">
        <v>29</v>
      </c>
      <c r="E1425" s="1" t="s">
        <v>21</v>
      </c>
      <c r="F1425" s="5">
        <v>29.5518</v>
      </c>
      <c r="G1425" s="5">
        <v>6283.969207</v>
      </c>
      <c r="H1425" s="5">
        <v>11.8206</v>
      </c>
      <c r="I1425" s="5">
        <v>3996.0</v>
      </c>
    </row>
    <row r="1426">
      <c r="A1426" s="6" t="s">
        <v>5010</v>
      </c>
      <c r="B1426" s="5">
        <v>2.0</v>
      </c>
      <c r="C1426" s="1" t="s">
        <v>116</v>
      </c>
      <c r="D1426" s="1" t="s">
        <v>45</v>
      </c>
      <c r="E1426" s="1" t="s">
        <v>49</v>
      </c>
      <c r="F1426" s="5">
        <v>2.2895</v>
      </c>
      <c r="G1426" s="5">
        <v>130.569642</v>
      </c>
      <c r="H1426" s="5">
        <v>0.5952</v>
      </c>
      <c r="I1426" s="5">
        <v>321.0</v>
      </c>
    </row>
    <row r="1427">
      <c r="A1427" s="6" t="s">
        <v>5010</v>
      </c>
      <c r="B1427" s="5">
        <v>2.0</v>
      </c>
      <c r="C1427" s="1" t="s">
        <v>116</v>
      </c>
      <c r="D1427" s="1" t="s">
        <v>45</v>
      </c>
      <c r="E1427" s="1" t="s">
        <v>17</v>
      </c>
      <c r="F1427" s="5">
        <v>26.0692</v>
      </c>
      <c r="G1427" s="5">
        <v>1788.133068</v>
      </c>
      <c r="H1427" s="5">
        <v>9.3849</v>
      </c>
      <c r="I1427" s="5">
        <v>1739.0</v>
      </c>
    </row>
    <row r="1428">
      <c r="A1428" s="6" t="s">
        <v>5010</v>
      </c>
      <c r="B1428" s="5">
        <v>2.0</v>
      </c>
      <c r="C1428" s="1" t="s">
        <v>116</v>
      </c>
      <c r="D1428" s="1" t="s">
        <v>38</v>
      </c>
      <c r="E1428" s="1" t="s">
        <v>39</v>
      </c>
      <c r="F1428" s="5">
        <v>10.0157</v>
      </c>
      <c r="G1428" s="5">
        <v>953.289157</v>
      </c>
      <c r="H1428" s="5">
        <v>1.8028</v>
      </c>
      <c r="I1428" s="5">
        <v>3804.0</v>
      </c>
    </row>
    <row r="1429">
      <c r="A1429" s="6" t="s">
        <v>5010</v>
      </c>
      <c r="B1429" s="5">
        <v>2.0</v>
      </c>
      <c r="C1429" s="1" t="s">
        <v>116</v>
      </c>
      <c r="D1429" s="1" t="s">
        <v>48</v>
      </c>
      <c r="E1429" s="1" t="s">
        <v>49</v>
      </c>
      <c r="F1429" s="5">
        <v>0.0114</v>
      </c>
      <c r="G1429" s="5">
        <v>4.713831</v>
      </c>
      <c r="H1429" s="5">
        <v>0.0032</v>
      </c>
      <c r="I1429" s="5">
        <v>5.0</v>
      </c>
    </row>
    <row r="1430">
      <c r="A1430" s="6" t="s">
        <v>5010</v>
      </c>
      <c r="B1430" s="5">
        <v>2.0</v>
      </c>
      <c r="C1430" s="1" t="s">
        <v>116</v>
      </c>
      <c r="D1430" s="1" t="s">
        <v>48</v>
      </c>
      <c r="E1430" s="1" t="s">
        <v>72</v>
      </c>
      <c r="F1430" s="5">
        <v>0.0077</v>
      </c>
      <c r="G1430" s="5">
        <v>2.390466</v>
      </c>
      <c r="H1430" s="5">
        <v>0.0023</v>
      </c>
      <c r="I1430" s="5">
        <v>7.0</v>
      </c>
    </row>
    <row r="1431">
      <c r="A1431" s="6" t="s">
        <v>5010</v>
      </c>
      <c r="B1431" s="5">
        <v>2.0</v>
      </c>
      <c r="C1431" s="1" t="s">
        <v>116</v>
      </c>
      <c r="D1431" s="1" t="s">
        <v>48</v>
      </c>
      <c r="E1431" s="1" t="s">
        <v>21</v>
      </c>
      <c r="F1431" s="5">
        <v>3.7361</v>
      </c>
      <c r="G1431" s="5">
        <v>756.533329</v>
      </c>
      <c r="H1431" s="5">
        <v>1.4945</v>
      </c>
      <c r="I1431" s="5">
        <v>411.0</v>
      </c>
    </row>
    <row r="1432">
      <c r="A1432" s="6" t="s">
        <v>5010</v>
      </c>
      <c r="B1432" s="5">
        <v>2.0</v>
      </c>
      <c r="C1432" s="1" t="s">
        <v>116</v>
      </c>
      <c r="D1432" s="1" t="s">
        <v>147</v>
      </c>
      <c r="E1432" s="1" t="s">
        <v>39</v>
      </c>
      <c r="F1432" s="5">
        <v>1.3058</v>
      </c>
      <c r="G1432" s="5">
        <v>401.388021</v>
      </c>
      <c r="H1432" s="5">
        <v>0.2481</v>
      </c>
      <c r="I1432" s="5">
        <v>99.0</v>
      </c>
    </row>
    <row r="1433">
      <c r="A1433" s="6" t="s">
        <v>5010</v>
      </c>
      <c r="B1433" s="5">
        <v>2.0</v>
      </c>
      <c r="C1433" s="1" t="s">
        <v>116</v>
      </c>
      <c r="D1433" s="1" t="s">
        <v>147</v>
      </c>
      <c r="E1433" s="1" t="s">
        <v>17</v>
      </c>
      <c r="F1433" s="5">
        <v>0.0144</v>
      </c>
      <c r="G1433" s="5">
        <v>6.543679</v>
      </c>
      <c r="H1433" s="5">
        <v>0.0051</v>
      </c>
      <c r="I1433" s="5">
        <v>3.0</v>
      </c>
    </row>
    <row r="1434">
      <c r="A1434" s="6" t="s">
        <v>5010</v>
      </c>
      <c r="B1434" s="5">
        <v>2.0</v>
      </c>
      <c r="C1434" s="1" t="s">
        <v>116</v>
      </c>
      <c r="D1434" s="1" t="s">
        <v>147</v>
      </c>
      <c r="E1434" s="1" t="s">
        <v>21</v>
      </c>
      <c r="F1434" s="5">
        <v>0.0869</v>
      </c>
      <c r="G1434" s="5">
        <v>46.111162</v>
      </c>
      <c r="H1434" s="5">
        <v>0.0435</v>
      </c>
      <c r="I1434" s="5">
        <v>42.0</v>
      </c>
    </row>
    <row r="1435">
      <c r="A1435" s="6" t="s">
        <v>5010</v>
      </c>
      <c r="B1435" s="5">
        <v>2.0</v>
      </c>
      <c r="C1435" s="1" t="s">
        <v>116</v>
      </c>
      <c r="D1435" s="1" t="s">
        <v>3962</v>
      </c>
      <c r="E1435" s="1" t="s">
        <v>17</v>
      </c>
      <c r="F1435" s="5">
        <v>4.6976</v>
      </c>
      <c r="G1435" s="5">
        <v>410.970309</v>
      </c>
      <c r="H1435" s="5">
        <v>1.6441</v>
      </c>
      <c r="I1435" s="5">
        <v>2630.0</v>
      </c>
    </row>
    <row r="1436">
      <c r="A1436" s="6" t="s">
        <v>5010</v>
      </c>
      <c r="B1436" s="5">
        <v>2.0</v>
      </c>
      <c r="C1436" s="1" t="s">
        <v>116</v>
      </c>
      <c r="D1436" s="1" t="s">
        <v>1851</v>
      </c>
      <c r="E1436" s="1" t="s">
        <v>17</v>
      </c>
      <c r="F1436" s="5">
        <v>4.8779</v>
      </c>
      <c r="G1436" s="5">
        <v>342.937167</v>
      </c>
      <c r="H1436" s="5">
        <v>1.878</v>
      </c>
      <c r="I1436" s="5">
        <v>1629.0</v>
      </c>
    </row>
    <row r="1437">
      <c r="A1437" s="6" t="s">
        <v>5010</v>
      </c>
      <c r="B1437" s="5">
        <v>2.0</v>
      </c>
      <c r="C1437" s="1" t="s">
        <v>116</v>
      </c>
      <c r="D1437" s="1" t="s">
        <v>1851</v>
      </c>
      <c r="E1437" s="1" t="s">
        <v>21</v>
      </c>
      <c r="F1437" s="5">
        <v>0.2908</v>
      </c>
      <c r="G1437" s="5">
        <v>28.097594</v>
      </c>
      <c r="H1437" s="5">
        <v>0.1425</v>
      </c>
      <c r="I1437" s="5">
        <v>145.0</v>
      </c>
    </row>
    <row r="1438">
      <c r="A1438" s="6" t="s">
        <v>5010</v>
      </c>
      <c r="B1438" s="5">
        <v>2.0</v>
      </c>
      <c r="C1438" s="1" t="s">
        <v>116</v>
      </c>
      <c r="D1438" s="1" t="s">
        <v>1830</v>
      </c>
      <c r="E1438" s="1" t="s">
        <v>72</v>
      </c>
      <c r="F1438" s="5">
        <v>3.7243</v>
      </c>
      <c r="G1438" s="5">
        <v>298.288386</v>
      </c>
      <c r="H1438" s="5">
        <v>1.1918</v>
      </c>
      <c r="I1438" s="5">
        <v>2653.0</v>
      </c>
    </row>
    <row r="1439">
      <c r="A1439" s="6" t="s">
        <v>5010</v>
      </c>
      <c r="B1439" s="5">
        <v>2.0</v>
      </c>
      <c r="C1439" s="1" t="s">
        <v>116</v>
      </c>
      <c r="D1439" s="1" t="s">
        <v>42</v>
      </c>
      <c r="E1439" s="1" t="s">
        <v>17</v>
      </c>
      <c r="F1439" s="5">
        <v>1.193</v>
      </c>
      <c r="G1439" s="5">
        <v>256.508867</v>
      </c>
      <c r="H1439" s="5">
        <v>0.4414</v>
      </c>
      <c r="I1439" s="5">
        <v>0.0</v>
      </c>
    </row>
    <row r="1440">
      <c r="A1440" s="6" t="s">
        <v>5010</v>
      </c>
      <c r="B1440" s="5">
        <v>3.0</v>
      </c>
      <c r="C1440" s="1" t="s">
        <v>12</v>
      </c>
      <c r="D1440" s="1" t="s">
        <v>13</v>
      </c>
      <c r="E1440" s="1" t="s">
        <v>14</v>
      </c>
      <c r="F1440" s="5">
        <v>14.1119</v>
      </c>
      <c r="G1440" s="5">
        <v>1000.988615</v>
      </c>
      <c r="H1440" s="5">
        <v>2.9635</v>
      </c>
      <c r="I1440" s="5">
        <v>478.0</v>
      </c>
    </row>
    <row r="1441">
      <c r="A1441" s="6" t="s">
        <v>5010</v>
      </c>
      <c r="B1441" s="5">
        <v>3.0</v>
      </c>
      <c r="C1441" s="1" t="s">
        <v>12</v>
      </c>
      <c r="D1441" s="1" t="s">
        <v>13</v>
      </c>
      <c r="E1441" s="1" t="s">
        <v>17</v>
      </c>
      <c r="F1441" s="5">
        <v>73.7461</v>
      </c>
      <c r="G1441" s="5">
        <v>7356.761192</v>
      </c>
      <c r="H1441" s="5">
        <v>25.8113</v>
      </c>
      <c r="I1441" s="5">
        <v>710.0</v>
      </c>
    </row>
    <row r="1442">
      <c r="A1442" s="6" t="s">
        <v>5010</v>
      </c>
      <c r="B1442" s="5">
        <v>3.0</v>
      </c>
      <c r="C1442" s="1" t="s">
        <v>12</v>
      </c>
      <c r="D1442" s="1" t="s">
        <v>13</v>
      </c>
      <c r="E1442" s="1" t="s">
        <v>21</v>
      </c>
      <c r="F1442" s="5">
        <v>55.5542</v>
      </c>
      <c r="G1442" s="5">
        <v>6568.246391</v>
      </c>
      <c r="H1442" s="5">
        <v>27.7771</v>
      </c>
      <c r="I1442" s="5">
        <v>618.0</v>
      </c>
    </row>
    <row r="1443">
      <c r="A1443" s="6" t="s">
        <v>5010</v>
      </c>
      <c r="B1443" s="5">
        <v>3.0</v>
      </c>
      <c r="C1443" s="1" t="s">
        <v>12</v>
      </c>
      <c r="D1443" s="1" t="s">
        <v>29</v>
      </c>
      <c r="E1443" s="1" t="s">
        <v>14</v>
      </c>
      <c r="F1443" s="5">
        <v>3.0953</v>
      </c>
      <c r="G1443" s="5">
        <v>327.837154</v>
      </c>
      <c r="H1443" s="5">
        <v>0.6191</v>
      </c>
      <c r="I1443" s="5">
        <v>92.0</v>
      </c>
    </row>
    <row r="1444">
      <c r="A1444" s="6" t="s">
        <v>5010</v>
      </c>
      <c r="B1444" s="5">
        <v>3.0</v>
      </c>
      <c r="C1444" s="1" t="s">
        <v>12</v>
      </c>
      <c r="D1444" s="1" t="s">
        <v>29</v>
      </c>
      <c r="E1444" s="1" t="s">
        <v>21</v>
      </c>
      <c r="F1444" s="5">
        <v>45.207</v>
      </c>
      <c r="G1444" s="5">
        <v>9020.890311</v>
      </c>
      <c r="H1444" s="5">
        <v>18.0827</v>
      </c>
      <c r="I1444" s="5">
        <v>675.0</v>
      </c>
    </row>
    <row r="1445">
      <c r="A1445" s="6" t="s">
        <v>5010</v>
      </c>
      <c r="B1445" s="5">
        <v>3.0</v>
      </c>
      <c r="C1445" s="1" t="s">
        <v>12</v>
      </c>
      <c r="D1445" s="1" t="s">
        <v>38</v>
      </c>
      <c r="E1445" s="1" t="s">
        <v>39</v>
      </c>
      <c r="F1445" s="5">
        <v>3.8064</v>
      </c>
      <c r="G1445" s="5">
        <v>424.69898</v>
      </c>
      <c r="H1445" s="5">
        <v>0.6851</v>
      </c>
      <c r="I1445" s="5">
        <v>191.0</v>
      </c>
    </row>
    <row r="1446">
      <c r="A1446" s="6" t="s">
        <v>5010</v>
      </c>
      <c r="B1446" s="5">
        <v>3.0</v>
      </c>
      <c r="C1446" s="1" t="s">
        <v>12</v>
      </c>
      <c r="D1446" s="1" t="s">
        <v>48</v>
      </c>
      <c r="E1446" s="1" t="s">
        <v>49</v>
      </c>
      <c r="F1446" s="5">
        <v>0.0135</v>
      </c>
      <c r="G1446" s="5">
        <v>4.180465</v>
      </c>
      <c r="H1446" s="5">
        <v>0.0038</v>
      </c>
      <c r="I1446" s="5">
        <v>8.0</v>
      </c>
    </row>
    <row r="1447">
      <c r="A1447" s="6" t="s">
        <v>5010</v>
      </c>
      <c r="B1447" s="5">
        <v>3.0</v>
      </c>
      <c r="C1447" s="1" t="s">
        <v>12</v>
      </c>
      <c r="D1447" s="1" t="s">
        <v>48</v>
      </c>
      <c r="E1447" s="1" t="s">
        <v>21</v>
      </c>
      <c r="F1447" s="5">
        <v>2.299</v>
      </c>
      <c r="G1447" s="5">
        <v>346.640958</v>
      </c>
      <c r="H1447" s="5">
        <v>0.9196</v>
      </c>
      <c r="I1447" s="5">
        <v>169.0</v>
      </c>
    </row>
    <row r="1448">
      <c r="A1448" s="6" t="s">
        <v>5010</v>
      </c>
      <c r="B1448" s="5">
        <v>3.0</v>
      </c>
      <c r="C1448" s="1" t="s">
        <v>12</v>
      </c>
      <c r="D1448" s="1" t="s">
        <v>45</v>
      </c>
      <c r="E1448" s="1" t="s">
        <v>49</v>
      </c>
      <c r="F1448" s="5">
        <v>0.0038</v>
      </c>
      <c r="G1448" s="5">
        <v>0.209196</v>
      </c>
      <c r="H1448" s="5">
        <v>0.001</v>
      </c>
      <c r="I1448" s="5">
        <v>2.0</v>
      </c>
    </row>
    <row r="1449">
      <c r="A1449" s="6" t="s">
        <v>5010</v>
      </c>
      <c r="B1449" s="5">
        <v>3.0</v>
      </c>
      <c r="C1449" s="1" t="s">
        <v>12</v>
      </c>
      <c r="D1449" s="1" t="s">
        <v>45</v>
      </c>
      <c r="E1449" s="1" t="s">
        <v>17</v>
      </c>
      <c r="F1449" s="5">
        <v>2.7622</v>
      </c>
      <c r="G1449" s="5">
        <v>225.403033</v>
      </c>
      <c r="H1449" s="5">
        <v>0.9944</v>
      </c>
      <c r="I1449" s="5">
        <v>148.0</v>
      </c>
    </row>
    <row r="1450">
      <c r="A1450" s="6" t="s">
        <v>5010</v>
      </c>
      <c r="B1450" s="5">
        <v>3.0</v>
      </c>
      <c r="C1450" s="1" t="s">
        <v>12</v>
      </c>
      <c r="D1450" s="1" t="s">
        <v>42</v>
      </c>
      <c r="E1450" s="1" t="s">
        <v>17</v>
      </c>
      <c r="F1450" s="5">
        <v>0.7931</v>
      </c>
      <c r="G1450" s="5">
        <v>146.810783</v>
      </c>
      <c r="H1450" s="5">
        <v>0.2935</v>
      </c>
      <c r="I1450" s="5">
        <v>30.0</v>
      </c>
    </row>
    <row r="1451">
      <c r="A1451" s="6" t="s">
        <v>5010</v>
      </c>
      <c r="B1451" s="5">
        <v>3.0</v>
      </c>
      <c r="C1451" s="1" t="s">
        <v>12</v>
      </c>
      <c r="D1451" s="1" t="s">
        <v>1830</v>
      </c>
      <c r="E1451" s="1" t="s">
        <v>72</v>
      </c>
      <c r="F1451" s="5">
        <v>1.2496</v>
      </c>
      <c r="G1451" s="5">
        <v>117.282172</v>
      </c>
      <c r="H1451" s="5">
        <v>0.3999</v>
      </c>
      <c r="I1451" s="5">
        <v>291.0</v>
      </c>
    </row>
    <row r="1452">
      <c r="A1452" s="6" t="s">
        <v>5010</v>
      </c>
      <c r="B1452" s="5">
        <v>3.0</v>
      </c>
      <c r="C1452" s="1" t="s">
        <v>12</v>
      </c>
      <c r="D1452" s="1" t="s">
        <v>848</v>
      </c>
      <c r="E1452" s="1" t="s">
        <v>21</v>
      </c>
      <c r="F1452" s="5">
        <v>0.4511</v>
      </c>
      <c r="G1452" s="5">
        <v>82.92376</v>
      </c>
      <c r="H1452" s="5">
        <v>0.1804</v>
      </c>
      <c r="I1452" s="5">
        <v>0.0</v>
      </c>
    </row>
    <row r="1453">
      <c r="A1453" s="6" t="s">
        <v>5010</v>
      </c>
      <c r="B1453" s="5">
        <v>3.0</v>
      </c>
      <c r="C1453" s="1" t="s">
        <v>12</v>
      </c>
      <c r="D1453" s="1" t="s">
        <v>3962</v>
      </c>
      <c r="E1453" s="1" t="s">
        <v>17</v>
      </c>
      <c r="F1453" s="5">
        <v>0.8319</v>
      </c>
      <c r="G1453" s="5">
        <v>75.031017</v>
      </c>
      <c r="H1453" s="5">
        <v>0.2911</v>
      </c>
      <c r="I1453" s="5">
        <v>117.0</v>
      </c>
    </row>
    <row r="1454">
      <c r="A1454" s="6" t="s">
        <v>5010</v>
      </c>
      <c r="B1454" s="5">
        <v>3.0</v>
      </c>
      <c r="C1454" s="1" t="s">
        <v>12</v>
      </c>
      <c r="D1454" s="1" t="s">
        <v>56</v>
      </c>
      <c r="E1454" s="1" t="s">
        <v>21</v>
      </c>
      <c r="F1454" s="5">
        <v>0.2807</v>
      </c>
      <c r="G1454" s="5">
        <v>64.890698</v>
      </c>
      <c r="H1454" s="5">
        <v>0.1123</v>
      </c>
      <c r="I1454" s="5">
        <v>128.0</v>
      </c>
    </row>
    <row r="1455">
      <c r="A1455" s="6" t="s">
        <v>5010</v>
      </c>
      <c r="B1455" s="5">
        <v>3.0</v>
      </c>
      <c r="C1455" s="1" t="s">
        <v>68</v>
      </c>
      <c r="D1455" s="1" t="s">
        <v>13</v>
      </c>
      <c r="E1455" s="1" t="s">
        <v>14</v>
      </c>
      <c r="F1455" s="5">
        <v>52.4857</v>
      </c>
      <c r="G1455" s="5">
        <v>3593.978608</v>
      </c>
      <c r="H1455" s="5">
        <v>11.022</v>
      </c>
      <c r="I1455" s="5">
        <v>8349.0</v>
      </c>
    </row>
    <row r="1456">
      <c r="A1456" s="6" t="s">
        <v>5010</v>
      </c>
      <c r="B1456" s="5">
        <v>3.0</v>
      </c>
      <c r="C1456" s="1" t="s">
        <v>68</v>
      </c>
      <c r="D1456" s="1" t="s">
        <v>13</v>
      </c>
      <c r="E1456" s="1" t="s">
        <v>17</v>
      </c>
      <c r="F1456" s="5">
        <v>62.9831</v>
      </c>
      <c r="G1456" s="5">
        <v>6762.738663</v>
      </c>
      <c r="H1456" s="5">
        <v>22.0441</v>
      </c>
      <c r="I1456" s="5">
        <v>9221.0</v>
      </c>
    </row>
    <row r="1457">
      <c r="A1457" s="6" t="s">
        <v>5010</v>
      </c>
      <c r="B1457" s="5">
        <v>3.0</v>
      </c>
      <c r="C1457" s="1" t="s">
        <v>68</v>
      </c>
      <c r="D1457" s="1" t="s">
        <v>13</v>
      </c>
      <c r="E1457" s="1" t="s">
        <v>21</v>
      </c>
      <c r="F1457" s="5">
        <v>3.6111</v>
      </c>
      <c r="G1457" s="5">
        <v>602.117373</v>
      </c>
      <c r="H1457" s="5">
        <v>1.8055</v>
      </c>
      <c r="I1457" s="5">
        <v>786.0</v>
      </c>
    </row>
    <row r="1458">
      <c r="A1458" s="6" t="s">
        <v>5010</v>
      </c>
      <c r="B1458" s="5">
        <v>3.0</v>
      </c>
      <c r="C1458" s="1" t="s">
        <v>68</v>
      </c>
      <c r="D1458" s="1" t="s">
        <v>13</v>
      </c>
      <c r="E1458" s="1" t="s">
        <v>25</v>
      </c>
      <c r="F1458" s="5">
        <v>0.3132</v>
      </c>
      <c r="G1458" s="5">
        <v>50.571637</v>
      </c>
      <c r="H1458" s="5">
        <v>0.2349</v>
      </c>
      <c r="I1458" s="5">
        <v>179.0</v>
      </c>
    </row>
    <row r="1459">
      <c r="A1459" s="6" t="s">
        <v>5010</v>
      </c>
      <c r="B1459" s="5">
        <v>3.0</v>
      </c>
      <c r="C1459" s="1" t="s">
        <v>68</v>
      </c>
      <c r="D1459" s="1" t="s">
        <v>29</v>
      </c>
      <c r="E1459" s="1" t="s">
        <v>14</v>
      </c>
      <c r="F1459" s="5">
        <v>0.6268</v>
      </c>
      <c r="G1459" s="5">
        <v>67.629072</v>
      </c>
      <c r="H1459" s="5">
        <v>0.1254</v>
      </c>
      <c r="I1459" s="5">
        <v>64.0</v>
      </c>
    </row>
    <row r="1460">
      <c r="A1460" s="6" t="s">
        <v>5010</v>
      </c>
      <c r="B1460" s="5">
        <v>3.0</v>
      </c>
      <c r="C1460" s="1" t="s">
        <v>68</v>
      </c>
      <c r="D1460" s="1" t="s">
        <v>29</v>
      </c>
      <c r="E1460" s="1" t="s">
        <v>21</v>
      </c>
      <c r="F1460" s="5">
        <v>19.7052</v>
      </c>
      <c r="G1460" s="5">
        <v>3567.870595</v>
      </c>
      <c r="H1460" s="5">
        <v>7.8821</v>
      </c>
      <c r="I1460" s="5">
        <v>2934.0</v>
      </c>
    </row>
    <row r="1461">
      <c r="A1461" s="6" t="s">
        <v>5010</v>
      </c>
      <c r="B1461" s="5">
        <v>3.0</v>
      </c>
      <c r="C1461" s="1" t="s">
        <v>68</v>
      </c>
      <c r="D1461" s="1" t="s">
        <v>45</v>
      </c>
      <c r="E1461" s="1" t="s">
        <v>49</v>
      </c>
      <c r="F1461" s="5">
        <v>1.1108</v>
      </c>
      <c r="G1461" s="5">
        <v>68.207659</v>
      </c>
      <c r="H1461" s="5">
        <v>0.2888</v>
      </c>
      <c r="I1461" s="5">
        <v>136.0</v>
      </c>
    </row>
    <row r="1462">
      <c r="A1462" s="6" t="s">
        <v>5010</v>
      </c>
      <c r="B1462" s="5">
        <v>3.0</v>
      </c>
      <c r="C1462" s="1" t="s">
        <v>68</v>
      </c>
      <c r="D1462" s="1" t="s">
        <v>45</v>
      </c>
      <c r="E1462" s="1" t="s">
        <v>17</v>
      </c>
      <c r="F1462" s="5">
        <v>11.5989</v>
      </c>
      <c r="G1462" s="5">
        <v>762.579249</v>
      </c>
      <c r="H1462" s="5">
        <v>4.1756</v>
      </c>
      <c r="I1462" s="5">
        <v>1371.0</v>
      </c>
    </row>
    <row r="1463">
      <c r="A1463" s="6" t="s">
        <v>5010</v>
      </c>
      <c r="B1463" s="5">
        <v>3.0</v>
      </c>
      <c r="C1463" s="1" t="s">
        <v>68</v>
      </c>
      <c r="D1463" s="1" t="s">
        <v>38</v>
      </c>
      <c r="E1463" s="1" t="s">
        <v>39</v>
      </c>
      <c r="F1463" s="5">
        <v>5.496</v>
      </c>
      <c r="G1463" s="5">
        <v>517.770552</v>
      </c>
      <c r="H1463" s="5">
        <v>0.9893</v>
      </c>
      <c r="I1463" s="5">
        <v>2432.0</v>
      </c>
    </row>
    <row r="1464">
      <c r="A1464" s="6" t="s">
        <v>5010</v>
      </c>
      <c r="B1464" s="5">
        <v>3.0</v>
      </c>
      <c r="C1464" s="1" t="s">
        <v>68</v>
      </c>
      <c r="D1464" s="1" t="s">
        <v>1851</v>
      </c>
      <c r="E1464" s="1" t="s">
        <v>17</v>
      </c>
      <c r="F1464" s="5">
        <v>3.3084</v>
      </c>
      <c r="G1464" s="5">
        <v>227.97836</v>
      </c>
      <c r="H1464" s="5">
        <v>1.2737</v>
      </c>
      <c r="I1464" s="5">
        <v>868.0</v>
      </c>
    </row>
    <row r="1465">
      <c r="A1465" s="6" t="s">
        <v>5010</v>
      </c>
      <c r="B1465" s="5">
        <v>3.0</v>
      </c>
      <c r="C1465" s="1" t="s">
        <v>68</v>
      </c>
      <c r="D1465" s="1" t="s">
        <v>1851</v>
      </c>
      <c r="E1465" s="1" t="s">
        <v>21</v>
      </c>
      <c r="F1465" s="5">
        <v>0.1235</v>
      </c>
      <c r="G1465" s="5">
        <v>10.237458</v>
      </c>
      <c r="H1465" s="5">
        <v>0.0605</v>
      </c>
      <c r="I1465" s="5">
        <v>147.0</v>
      </c>
    </row>
    <row r="1466">
      <c r="A1466" s="6" t="s">
        <v>5010</v>
      </c>
      <c r="B1466" s="5">
        <v>3.0</v>
      </c>
      <c r="C1466" s="1" t="s">
        <v>68</v>
      </c>
      <c r="D1466" s="1" t="s">
        <v>48</v>
      </c>
      <c r="E1466" s="1" t="s">
        <v>49</v>
      </c>
      <c r="F1466" s="5">
        <v>0.0013</v>
      </c>
      <c r="G1466" s="5">
        <v>0.489206</v>
      </c>
      <c r="H1466" s="5">
        <v>4.0E-4</v>
      </c>
      <c r="I1466" s="5">
        <v>3.0</v>
      </c>
    </row>
    <row r="1467">
      <c r="A1467" s="6" t="s">
        <v>5010</v>
      </c>
      <c r="B1467" s="5">
        <v>3.0</v>
      </c>
      <c r="C1467" s="1" t="s">
        <v>68</v>
      </c>
      <c r="D1467" s="1" t="s">
        <v>48</v>
      </c>
      <c r="E1467" s="1" t="s">
        <v>72</v>
      </c>
      <c r="F1467" s="5">
        <v>0.0062</v>
      </c>
      <c r="G1467" s="5">
        <v>1.9124</v>
      </c>
      <c r="H1467" s="5">
        <v>0.0019</v>
      </c>
      <c r="I1467" s="5">
        <v>5.0</v>
      </c>
    </row>
    <row r="1468">
      <c r="A1468" s="6" t="s">
        <v>5010</v>
      </c>
      <c r="B1468" s="5">
        <v>3.0</v>
      </c>
      <c r="C1468" s="1" t="s">
        <v>68</v>
      </c>
      <c r="D1468" s="1" t="s">
        <v>48</v>
      </c>
      <c r="E1468" s="1" t="s">
        <v>21</v>
      </c>
      <c r="F1468" s="5">
        <v>1.2257</v>
      </c>
      <c r="G1468" s="5">
        <v>191.383313</v>
      </c>
      <c r="H1468" s="5">
        <v>0.4904</v>
      </c>
      <c r="I1468" s="5">
        <v>385.0</v>
      </c>
    </row>
    <row r="1469">
      <c r="A1469" s="6" t="s">
        <v>5010</v>
      </c>
      <c r="B1469" s="5">
        <v>3.0</v>
      </c>
      <c r="C1469" s="1" t="s">
        <v>68</v>
      </c>
      <c r="D1469" s="1" t="s">
        <v>1830</v>
      </c>
      <c r="E1469" s="1" t="s">
        <v>72</v>
      </c>
      <c r="F1469" s="5">
        <v>2.2679</v>
      </c>
      <c r="G1469" s="5">
        <v>163.897989</v>
      </c>
      <c r="H1469" s="5">
        <v>0.7257</v>
      </c>
      <c r="I1469" s="5">
        <v>1604.0</v>
      </c>
    </row>
    <row r="1470">
      <c r="A1470" s="6" t="s">
        <v>5010</v>
      </c>
      <c r="B1470" s="5">
        <v>3.0</v>
      </c>
      <c r="C1470" s="1" t="s">
        <v>68</v>
      </c>
      <c r="D1470" s="1" t="s">
        <v>3962</v>
      </c>
      <c r="E1470" s="1" t="s">
        <v>17</v>
      </c>
      <c r="F1470" s="5">
        <v>1.5232</v>
      </c>
      <c r="G1470" s="5">
        <v>136.057994</v>
      </c>
      <c r="H1470" s="5">
        <v>0.5331</v>
      </c>
      <c r="I1470" s="5">
        <v>642.0</v>
      </c>
    </row>
    <row r="1471">
      <c r="A1471" s="6" t="s">
        <v>5010</v>
      </c>
      <c r="B1471" s="5">
        <v>3.0</v>
      </c>
      <c r="C1471" s="1" t="s">
        <v>68</v>
      </c>
      <c r="D1471" s="1" t="s">
        <v>42</v>
      </c>
      <c r="E1471" s="1" t="s">
        <v>17</v>
      </c>
      <c r="F1471" s="5">
        <v>0.6503</v>
      </c>
      <c r="G1471" s="5">
        <v>131.263071</v>
      </c>
      <c r="H1471" s="5">
        <v>0.2406</v>
      </c>
      <c r="I1471" s="5">
        <v>0.0</v>
      </c>
    </row>
    <row r="1472">
      <c r="A1472" s="6" t="s">
        <v>5010</v>
      </c>
      <c r="B1472" s="5">
        <v>3.0</v>
      </c>
      <c r="C1472" s="1" t="s">
        <v>68</v>
      </c>
      <c r="D1472" s="1" t="s">
        <v>2104</v>
      </c>
      <c r="E1472" s="1" t="s">
        <v>17</v>
      </c>
      <c r="F1472" s="5">
        <v>2.1043</v>
      </c>
      <c r="G1472" s="5">
        <v>110.584264</v>
      </c>
      <c r="H1472" s="5">
        <v>0.7365</v>
      </c>
      <c r="I1472" s="5">
        <v>454.0</v>
      </c>
    </row>
    <row r="1473">
      <c r="A1473" s="6" t="s">
        <v>5010</v>
      </c>
      <c r="B1473" s="5">
        <v>3.0</v>
      </c>
      <c r="C1473" s="1" t="s">
        <v>116</v>
      </c>
      <c r="D1473" s="1" t="s">
        <v>13</v>
      </c>
      <c r="E1473" s="1" t="s">
        <v>14</v>
      </c>
      <c r="F1473" s="5">
        <v>161.9302</v>
      </c>
      <c r="G1473" s="5">
        <v>10159.89176</v>
      </c>
      <c r="H1473" s="5">
        <v>34.0053</v>
      </c>
      <c r="I1473" s="5">
        <v>16513.0</v>
      </c>
    </row>
    <row r="1474">
      <c r="A1474" s="6" t="s">
        <v>5010</v>
      </c>
      <c r="B1474" s="5">
        <v>3.0</v>
      </c>
      <c r="C1474" s="1" t="s">
        <v>116</v>
      </c>
      <c r="D1474" s="1" t="s">
        <v>13</v>
      </c>
      <c r="E1474" s="1" t="s">
        <v>17</v>
      </c>
      <c r="F1474" s="5">
        <v>159.762</v>
      </c>
      <c r="G1474" s="5">
        <v>16676.61422</v>
      </c>
      <c r="H1474" s="5">
        <v>55.9166</v>
      </c>
      <c r="I1474" s="5">
        <v>17796.0</v>
      </c>
    </row>
    <row r="1475">
      <c r="A1475" s="6" t="s">
        <v>5010</v>
      </c>
      <c r="B1475" s="5">
        <v>3.0</v>
      </c>
      <c r="C1475" s="1" t="s">
        <v>116</v>
      </c>
      <c r="D1475" s="1" t="s">
        <v>13</v>
      </c>
      <c r="E1475" s="1" t="s">
        <v>21</v>
      </c>
      <c r="F1475" s="5">
        <v>26.5525</v>
      </c>
      <c r="G1475" s="5">
        <v>3433.774729</v>
      </c>
      <c r="H1475" s="5">
        <v>13.2763</v>
      </c>
      <c r="I1475" s="5">
        <v>918.0</v>
      </c>
    </row>
    <row r="1476">
      <c r="A1476" s="6" t="s">
        <v>5010</v>
      </c>
      <c r="B1476" s="5">
        <v>3.0</v>
      </c>
      <c r="C1476" s="1" t="s">
        <v>116</v>
      </c>
      <c r="D1476" s="1" t="s">
        <v>13</v>
      </c>
      <c r="E1476" s="1" t="s">
        <v>25</v>
      </c>
      <c r="F1476" s="5">
        <v>0.0162</v>
      </c>
      <c r="G1476" s="5">
        <v>3.358336</v>
      </c>
      <c r="H1476" s="5">
        <v>0.0122</v>
      </c>
      <c r="I1476" s="5">
        <v>4.0</v>
      </c>
    </row>
    <row r="1477">
      <c r="A1477" s="6" t="s">
        <v>5010</v>
      </c>
      <c r="B1477" s="5">
        <v>3.0</v>
      </c>
      <c r="C1477" s="1" t="s">
        <v>116</v>
      </c>
      <c r="D1477" s="1" t="s">
        <v>29</v>
      </c>
      <c r="E1477" s="1" t="s">
        <v>14</v>
      </c>
      <c r="F1477" s="5">
        <v>1.4626</v>
      </c>
      <c r="G1477" s="5">
        <v>186.268794</v>
      </c>
      <c r="H1477" s="5">
        <v>0.2925</v>
      </c>
      <c r="I1477" s="5">
        <v>281.0</v>
      </c>
    </row>
    <row r="1478">
      <c r="A1478" s="6" t="s">
        <v>5010</v>
      </c>
      <c r="B1478" s="5">
        <v>3.0</v>
      </c>
      <c r="C1478" s="1" t="s">
        <v>116</v>
      </c>
      <c r="D1478" s="1" t="s">
        <v>29</v>
      </c>
      <c r="E1478" s="1" t="s">
        <v>21</v>
      </c>
      <c r="F1478" s="5">
        <v>73.7656</v>
      </c>
      <c r="G1478" s="5">
        <v>14237.19253</v>
      </c>
      <c r="H1478" s="5">
        <v>29.5063</v>
      </c>
      <c r="I1478" s="5">
        <v>5015.0</v>
      </c>
    </row>
    <row r="1479">
      <c r="A1479" s="6" t="s">
        <v>5010</v>
      </c>
      <c r="B1479" s="5">
        <v>3.0</v>
      </c>
      <c r="C1479" s="1" t="s">
        <v>116</v>
      </c>
      <c r="D1479" s="1" t="s">
        <v>45</v>
      </c>
      <c r="E1479" s="1" t="s">
        <v>49</v>
      </c>
      <c r="F1479" s="5">
        <v>2.6452</v>
      </c>
      <c r="G1479" s="5">
        <v>160.448018</v>
      </c>
      <c r="H1479" s="5">
        <v>0.6877</v>
      </c>
      <c r="I1479" s="5">
        <v>335.0</v>
      </c>
    </row>
    <row r="1480">
      <c r="A1480" s="6" t="s">
        <v>5010</v>
      </c>
      <c r="B1480" s="5">
        <v>3.0</v>
      </c>
      <c r="C1480" s="1" t="s">
        <v>116</v>
      </c>
      <c r="D1480" s="1" t="s">
        <v>45</v>
      </c>
      <c r="E1480" s="1" t="s">
        <v>17</v>
      </c>
      <c r="F1480" s="5">
        <v>32.6474</v>
      </c>
      <c r="G1480" s="5">
        <v>2284.922391</v>
      </c>
      <c r="H1480" s="5">
        <v>11.753</v>
      </c>
      <c r="I1480" s="5">
        <v>1770.0</v>
      </c>
    </row>
    <row r="1481">
      <c r="A1481" s="6" t="s">
        <v>5010</v>
      </c>
      <c r="B1481" s="5">
        <v>3.0</v>
      </c>
      <c r="C1481" s="1" t="s">
        <v>116</v>
      </c>
      <c r="D1481" s="1" t="s">
        <v>48</v>
      </c>
      <c r="E1481" s="1" t="s">
        <v>49</v>
      </c>
      <c r="F1481" s="5">
        <v>0.0097</v>
      </c>
      <c r="G1481" s="5">
        <v>3.930093</v>
      </c>
      <c r="H1481" s="5">
        <v>0.0027</v>
      </c>
      <c r="I1481" s="5">
        <v>8.0</v>
      </c>
    </row>
    <row r="1482">
      <c r="A1482" s="6" t="s">
        <v>5010</v>
      </c>
      <c r="B1482" s="5">
        <v>3.0</v>
      </c>
      <c r="C1482" s="1" t="s">
        <v>116</v>
      </c>
      <c r="D1482" s="1" t="s">
        <v>48</v>
      </c>
      <c r="E1482" s="1" t="s">
        <v>72</v>
      </c>
      <c r="F1482" s="5">
        <v>0.043</v>
      </c>
      <c r="G1482" s="5">
        <v>13.459402</v>
      </c>
      <c r="H1482" s="5">
        <v>0.0129</v>
      </c>
      <c r="I1482" s="5">
        <v>15.0</v>
      </c>
    </row>
    <row r="1483">
      <c r="A1483" s="6" t="s">
        <v>5010</v>
      </c>
      <c r="B1483" s="5">
        <v>3.0</v>
      </c>
      <c r="C1483" s="1" t="s">
        <v>116</v>
      </c>
      <c r="D1483" s="1" t="s">
        <v>48</v>
      </c>
      <c r="E1483" s="1" t="s">
        <v>21</v>
      </c>
      <c r="F1483" s="5">
        <v>4.5225</v>
      </c>
      <c r="G1483" s="5">
        <v>1072.683641</v>
      </c>
      <c r="H1483" s="5">
        <v>1.809</v>
      </c>
      <c r="I1483" s="5">
        <v>470.0</v>
      </c>
    </row>
    <row r="1484">
      <c r="A1484" s="6" t="s">
        <v>5010</v>
      </c>
      <c r="B1484" s="5">
        <v>3.0</v>
      </c>
      <c r="C1484" s="1" t="s">
        <v>116</v>
      </c>
      <c r="D1484" s="1" t="s">
        <v>3962</v>
      </c>
      <c r="E1484" s="1" t="s">
        <v>17</v>
      </c>
      <c r="F1484" s="5">
        <v>10.7233</v>
      </c>
      <c r="G1484" s="5">
        <v>982.058829</v>
      </c>
      <c r="H1484" s="5">
        <v>3.7531</v>
      </c>
      <c r="I1484" s="5">
        <v>3545.0</v>
      </c>
    </row>
    <row r="1485">
      <c r="A1485" s="6" t="s">
        <v>5010</v>
      </c>
      <c r="B1485" s="5">
        <v>3.0</v>
      </c>
      <c r="C1485" s="1" t="s">
        <v>116</v>
      </c>
      <c r="D1485" s="1" t="s">
        <v>38</v>
      </c>
      <c r="E1485" s="1" t="s">
        <v>39</v>
      </c>
      <c r="F1485" s="5">
        <v>9.3746</v>
      </c>
      <c r="G1485" s="5">
        <v>947.040142</v>
      </c>
      <c r="H1485" s="5">
        <v>1.6874</v>
      </c>
      <c r="I1485" s="5">
        <v>3564.0</v>
      </c>
    </row>
    <row r="1486">
      <c r="A1486" s="6" t="s">
        <v>5010</v>
      </c>
      <c r="B1486" s="5">
        <v>3.0</v>
      </c>
      <c r="C1486" s="1" t="s">
        <v>116</v>
      </c>
      <c r="D1486" s="1" t="s">
        <v>147</v>
      </c>
      <c r="E1486" s="1" t="s">
        <v>39</v>
      </c>
      <c r="F1486" s="5">
        <v>2.2362</v>
      </c>
      <c r="G1486" s="5">
        <v>709.715146</v>
      </c>
      <c r="H1486" s="5">
        <v>0.4248</v>
      </c>
      <c r="I1486" s="5">
        <v>116.0</v>
      </c>
    </row>
    <row r="1487">
      <c r="A1487" s="6" t="s">
        <v>5010</v>
      </c>
      <c r="B1487" s="5">
        <v>3.0</v>
      </c>
      <c r="C1487" s="1" t="s">
        <v>116</v>
      </c>
      <c r="D1487" s="1" t="s">
        <v>147</v>
      </c>
      <c r="E1487" s="1" t="s">
        <v>17</v>
      </c>
      <c r="F1487" s="5">
        <v>0.051</v>
      </c>
      <c r="G1487" s="5">
        <v>22.146691</v>
      </c>
      <c r="H1487" s="5">
        <v>0.018</v>
      </c>
      <c r="I1487" s="5">
        <v>6.0</v>
      </c>
    </row>
    <row r="1488">
      <c r="A1488" s="6" t="s">
        <v>5010</v>
      </c>
      <c r="B1488" s="5">
        <v>3.0</v>
      </c>
      <c r="C1488" s="1" t="s">
        <v>116</v>
      </c>
      <c r="D1488" s="1" t="s">
        <v>147</v>
      </c>
      <c r="E1488" s="1" t="s">
        <v>21</v>
      </c>
      <c r="F1488" s="5">
        <v>0.1688</v>
      </c>
      <c r="G1488" s="5">
        <v>88.881426</v>
      </c>
      <c r="H1488" s="5">
        <v>0.0844</v>
      </c>
      <c r="I1488" s="5">
        <v>64.0</v>
      </c>
    </row>
    <row r="1489">
      <c r="A1489" s="6" t="s">
        <v>5010</v>
      </c>
      <c r="B1489" s="5">
        <v>3.0</v>
      </c>
      <c r="C1489" s="1" t="s">
        <v>116</v>
      </c>
      <c r="D1489" s="1" t="s">
        <v>1830</v>
      </c>
      <c r="E1489" s="1" t="s">
        <v>72</v>
      </c>
      <c r="F1489" s="5">
        <v>7.9659</v>
      </c>
      <c r="G1489" s="5">
        <v>521.416723</v>
      </c>
      <c r="H1489" s="5">
        <v>2.5491</v>
      </c>
      <c r="I1489" s="5">
        <v>3499.0</v>
      </c>
    </row>
    <row r="1490">
      <c r="A1490" s="6" t="s">
        <v>5010</v>
      </c>
      <c r="B1490" s="5">
        <v>3.0</v>
      </c>
      <c r="C1490" s="1" t="s">
        <v>116</v>
      </c>
      <c r="D1490" s="1" t="s">
        <v>158</v>
      </c>
      <c r="E1490" s="1" t="s">
        <v>17</v>
      </c>
      <c r="F1490" s="5">
        <v>0.4466</v>
      </c>
      <c r="G1490" s="5">
        <v>200.891934</v>
      </c>
      <c r="H1490" s="5">
        <v>0.1563</v>
      </c>
      <c r="I1490" s="5">
        <v>0.0</v>
      </c>
    </row>
    <row r="1491">
      <c r="A1491" s="6" t="s">
        <v>5010</v>
      </c>
      <c r="B1491" s="5">
        <v>3.0</v>
      </c>
      <c r="C1491" s="1" t="s">
        <v>116</v>
      </c>
      <c r="D1491" s="1" t="s">
        <v>158</v>
      </c>
      <c r="E1491" s="1" t="s">
        <v>21</v>
      </c>
      <c r="F1491" s="5">
        <v>0.5306</v>
      </c>
      <c r="G1491" s="5">
        <v>290.884253</v>
      </c>
      <c r="H1491" s="5">
        <v>0.2229</v>
      </c>
      <c r="I1491" s="5">
        <v>0.0</v>
      </c>
    </row>
    <row r="1492">
      <c r="A1492" s="6" t="s">
        <v>5010</v>
      </c>
      <c r="B1492" s="5">
        <v>3.0</v>
      </c>
      <c r="C1492" s="1" t="s">
        <v>116</v>
      </c>
      <c r="D1492" s="1" t="s">
        <v>1851</v>
      </c>
      <c r="E1492" s="1" t="s">
        <v>17</v>
      </c>
      <c r="F1492" s="5">
        <v>5.4266</v>
      </c>
      <c r="G1492" s="5">
        <v>395.156842</v>
      </c>
      <c r="H1492" s="5">
        <v>2.0892</v>
      </c>
      <c r="I1492" s="5">
        <v>1692.0</v>
      </c>
    </row>
    <row r="1493">
      <c r="A1493" s="6" t="s">
        <v>5010</v>
      </c>
      <c r="B1493" s="5">
        <v>3.0</v>
      </c>
      <c r="C1493" s="1" t="s">
        <v>116</v>
      </c>
      <c r="D1493" s="1" t="s">
        <v>1851</v>
      </c>
      <c r="E1493" s="1" t="s">
        <v>21</v>
      </c>
      <c r="F1493" s="5">
        <v>0.2713</v>
      </c>
      <c r="G1493" s="5">
        <v>25.76972</v>
      </c>
      <c r="H1493" s="5">
        <v>0.1329</v>
      </c>
      <c r="I1493" s="5">
        <v>135.0</v>
      </c>
    </row>
    <row r="1494">
      <c r="A1494" s="6" t="s">
        <v>5010</v>
      </c>
      <c r="B1494" s="5">
        <v>4.0</v>
      </c>
      <c r="C1494" s="1" t="s">
        <v>12</v>
      </c>
      <c r="D1494" s="1" t="s">
        <v>13</v>
      </c>
      <c r="E1494" s="1" t="s">
        <v>14</v>
      </c>
      <c r="F1494" s="5">
        <v>11.3379</v>
      </c>
      <c r="G1494" s="5">
        <v>820.416108</v>
      </c>
      <c r="H1494" s="5">
        <v>2.3809</v>
      </c>
      <c r="I1494" s="5">
        <v>442.0</v>
      </c>
    </row>
    <row r="1495">
      <c r="A1495" s="6" t="s">
        <v>5010</v>
      </c>
      <c r="B1495" s="5">
        <v>4.0</v>
      </c>
      <c r="C1495" s="1" t="s">
        <v>12</v>
      </c>
      <c r="D1495" s="1" t="s">
        <v>13</v>
      </c>
      <c r="E1495" s="1" t="s">
        <v>17</v>
      </c>
      <c r="F1495" s="5">
        <v>54.2457</v>
      </c>
      <c r="G1495" s="5">
        <v>5684.181431</v>
      </c>
      <c r="H1495" s="5">
        <v>18.986</v>
      </c>
      <c r="I1495" s="5">
        <v>679.0</v>
      </c>
    </row>
    <row r="1496">
      <c r="A1496" s="6" t="s">
        <v>5010</v>
      </c>
      <c r="B1496" s="5">
        <v>4.0</v>
      </c>
      <c r="C1496" s="1" t="s">
        <v>12</v>
      </c>
      <c r="D1496" s="1" t="s">
        <v>13</v>
      </c>
      <c r="E1496" s="1" t="s">
        <v>21</v>
      </c>
      <c r="F1496" s="5">
        <v>25.783</v>
      </c>
      <c r="G1496" s="5">
        <v>3564.350803</v>
      </c>
      <c r="H1496" s="5">
        <v>12.8916</v>
      </c>
      <c r="I1496" s="5">
        <v>538.0</v>
      </c>
    </row>
    <row r="1497">
      <c r="A1497" s="6" t="s">
        <v>5010</v>
      </c>
      <c r="B1497" s="5">
        <v>4.0</v>
      </c>
      <c r="C1497" s="1" t="s">
        <v>12</v>
      </c>
      <c r="D1497" s="1" t="s">
        <v>29</v>
      </c>
      <c r="E1497" s="1" t="s">
        <v>14</v>
      </c>
      <c r="F1497" s="5">
        <v>3.0257</v>
      </c>
      <c r="G1497" s="5">
        <v>318.203811</v>
      </c>
      <c r="H1497" s="5">
        <v>0.6051</v>
      </c>
      <c r="I1497" s="5">
        <v>92.0</v>
      </c>
    </row>
    <row r="1498">
      <c r="A1498" s="6" t="s">
        <v>5010</v>
      </c>
      <c r="B1498" s="5">
        <v>4.0</v>
      </c>
      <c r="C1498" s="1" t="s">
        <v>12</v>
      </c>
      <c r="D1498" s="1" t="s">
        <v>29</v>
      </c>
      <c r="E1498" s="1" t="s">
        <v>21</v>
      </c>
      <c r="F1498" s="5">
        <v>29.1363</v>
      </c>
      <c r="G1498" s="5">
        <v>6304.313433</v>
      </c>
      <c r="H1498" s="5">
        <v>11.6546</v>
      </c>
      <c r="I1498" s="5">
        <v>633.0</v>
      </c>
    </row>
    <row r="1499">
      <c r="A1499" s="6" t="s">
        <v>5010</v>
      </c>
      <c r="B1499" s="5">
        <v>4.0</v>
      </c>
      <c r="C1499" s="1" t="s">
        <v>12</v>
      </c>
      <c r="D1499" s="1" t="s">
        <v>48</v>
      </c>
      <c r="E1499" s="1" t="s">
        <v>49</v>
      </c>
      <c r="F1499" s="5">
        <v>0.0126</v>
      </c>
      <c r="G1499" s="5">
        <v>3.818633</v>
      </c>
      <c r="H1499" s="5">
        <v>0.0035</v>
      </c>
      <c r="I1499" s="5">
        <v>7.0</v>
      </c>
    </row>
    <row r="1500">
      <c r="A1500" s="6" t="s">
        <v>5010</v>
      </c>
      <c r="B1500" s="5">
        <v>4.0</v>
      </c>
      <c r="C1500" s="1" t="s">
        <v>12</v>
      </c>
      <c r="D1500" s="1" t="s">
        <v>48</v>
      </c>
      <c r="E1500" s="1" t="s">
        <v>21</v>
      </c>
      <c r="F1500" s="5">
        <v>2.839</v>
      </c>
      <c r="G1500" s="5">
        <v>475.48094</v>
      </c>
      <c r="H1500" s="5">
        <v>1.1356</v>
      </c>
      <c r="I1500" s="5">
        <v>163.0</v>
      </c>
    </row>
    <row r="1501">
      <c r="A1501" s="6" t="s">
        <v>5010</v>
      </c>
      <c r="B1501" s="5">
        <v>4.0</v>
      </c>
      <c r="C1501" s="1" t="s">
        <v>12</v>
      </c>
      <c r="D1501" s="1" t="s">
        <v>38</v>
      </c>
      <c r="E1501" s="1" t="s">
        <v>39</v>
      </c>
      <c r="F1501" s="5">
        <v>1.7006</v>
      </c>
      <c r="G1501" s="5">
        <v>203.671087</v>
      </c>
      <c r="H1501" s="5">
        <v>0.3061</v>
      </c>
      <c r="I1501" s="5">
        <v>167.0</v>
      </c>
    </row>
    <row r="1502">
      <c r="A1502" s="6" t="s">
        <v>5010</v>
      </c>
      <c r="B1502" s="5">
        <v>4.0</v>
      </c>
      <c r="C1502" s="1" t="s">
        <v>12</v>
      </c>
      <c r="D1502" s="1" t="s">
        <v>45</v>
      </c>
      <c r="E1502" s="1" t="s">
        <v>49</v>
      </c>
      <c r="F1502" s="5">
        <v>0.0046</v>
      </c>
      <c r="G1502" s="5">
        <v>0.27464</v>
      </c>
      <c r="H1502" s="5">
        <v>0.0012</v>
      </c>
      <c r="I1502" s="5">
        <v>1.0</v>
      </c>
    </row>
    <row r="1503">
      <c r="A1503" s="6" t="s">
        <v>5010</v>
      </c>
      <c r="B1503" s="5">
        <v>4.0</v>
      </c>
      <c r="C1503" s="1" t="s">
        <v>12</v>
      </c>
      <c r="D1503" s="1" t="s">
        <v>45</v>
      </c>
      <c r="E1503" s="1" t="s">
        <v>17</v>
      </c>
      <c r="F1503" s="5">
        <v>2.3275</v>
      </c>
      <c r="G1503" s="5">
        <v>195.828471</v>
      </c>
      <c r="H1503" s="5">
        <v>0.8379</v>
      </c>
      <c r="I1503" s="5">
        <v>140.0</v>
      </c>
    </row>
    <row r="1504">
      <c r="A1504" s="6" t="s">
        <v>5010</v>
      </c>
      <c r="B1504" s="5">
        <v>4.0</v>
      </c>
      <c r="C1504" s="1" t="s">
        <v>12</v>
      </c>
      <c r="D1504" s="1" t="s">
        <v>42</v>
      </c>
      <c r="E1504" s="1" t="s">
        <v>17</v>
      </c>
      <c r="F1504" s="5">
        <v>0.541</v>
      </c>
      <c r="G1504" s="5">
        <v>104.952492</v>
      </c>
      <c r="H1504" s="5">
        <v>0.2001</v>
      </c>
      <c r="I1504" s="5">
        <v>0.0</v>
      </c>
    </row>
    <row r="1505">
      <c r="A1505" s="6" t="s">
        <v>5010</v>
      </c>
      <c r="B1505" s="5">
        <v>4.0</v>
      </c>
      <c r="C1505" s="1" t="s">
        <v>12</v>
      </c>
      <c r="D1505" s="1" t="s">
        <v>4127</v>
      </c>
      <c r="E1505" s="1" t="s">
        <v>17</v>
      </c>
      <c r="F1505" s="5">
        <v>1.4503</v>
      </c>
      <c r="G1505" s="5">
        <v>92.093955</v>
      </c>
      <c r="H1505" s="5">
        <v>0.5076</v>
      </c>
      <c r="I1505" s="5">
        <v>104.0</v>
      </c>
    </row>
    <row r="1506">
      <c r="A1506" s="6" t="s">
        <v>5010</v>
      </c>
      <c r="B1506" s="5">
        <v>4.0</v>
      </c>
      <c r="C1506" s="1" t="s">
        <v>12</v>
      </c>
      <c r="D1506" s="1" t="s">
        <v>3962</v>
      </c>
      <c r="E1506" s="1" t="s">
        <v>17</v>
      </c>
      <c r="F1506" s="5">
        <v>0.7924</v>
      </c>
      <c r="G1506" s="5">
        <v>73.897714</v>
      </c>
      <c r="H1506" s="5">
        <v>0.2774</v>
      </c>
      <c r="I1506" s="5">
        <v>117.0</v>
      </c>
    </row>
    <row r="1507">
      <c r="A1507" s="6" t="s">
        <v>5010</v>
      </c>
      <c r="B1507" s="5">
        <v>4.0</v>
      </c>
      <c r="C1507" s="1" t="s">
        <v>12</v>
      </c>
      <c r="D1507" s="1" t="s">
        <v>1830</v>
      </c>
      <c r="E1507" s="1" t="s">
        <v>72</v>
      </c>
      <c r="F1507" s="5">
        <v>0.4853</v>
      </c>
      <c r="G1507" s="5">
        <v>55.820227</v>
      </c>
      <c r="H1507" s="5">
        <v>0.1553</v>
      </c>
      <c r="I1507" s="5">
        <v>245.0</v>
      </c>
    </row>
    <row r="1508">
      <c r="A1508" s="6" t="s">
        <v>5010</v>
      </c>
      <c r="B1508" s="5">
        <v>4.0</v>
      </c>
      <c r="C1508" s="1" t="s">
        <v>12</v>
      </c>
      <c r="D1508" s="1" t="s">
        <v>56</v>
      </c>
      <c r="E1508" s="1" t="s">
        <v>21</v>
      </c>
      <c r="F1508" s="5">
        <v>0.2207</v>
      </c>
      <c r="G1508" s="5">
        <v>52.923911</v>
      </c>
      <c r="H1508" s="5">
        <v>0.0883</v>
      </c>
      <c r="I1508" s="5">
        <v>125.0</v>
      </c>
    </row>
    <row r="1509">
      <c r="A1509" s="6" t="s">
        <v>5010</v>
      </c>
      <c r="B1509" s="5">
        <v>4.0</v>
      </c>
      <c r="C1509" s="1" t="s">
        <v>68</v>
      </c>
      <c r="D1509" s="1" t="s">
        <v>13</v>
      </c>
      <c r="E1509" s="1" t="s">
        <v>14</v>
      </c>
      <c r="F1509" s="5">
        <v>41.0183</v>
      </c>
      <c r="G1509" s="5">
        <v>2841.10438</v>
      </c>
      <c r="H1509" s="5">
        <v>8.6138</v>
      </c>
      <c r="I1509" s="5">
        <v>7512.0</v>
      </c>
    </row>
    <row r="1510">
      <c r="A1510" s="6" t="s">
        <v>5010</v>
      </c>
      <c r="B1510" s="5">
        <v>4.0</v>
      </c>
      <c r="C1510" s="1" t="s">
        <v>68</v>
      </c>
      <c r="D1510" s="1" t="s">
        <v>13</v>
      </c>
      <c r="E1510" s="1" t="s">
        <v>17</v>
      </c>
      <c r="F1510" s="5">
        <v>61.0993</v>
      </c>
      <c r="G1510" s="5">
        <v>6623.000018</v>
      </c>
      <c r="H1510" s="5">
        <v>21.3847</v>
      </c>
      <c r="I1510" s="5">
        <v>8855.0</v>
      </c>
    </row>
    <row r="1511">
      <c r="A1511" s="6" t="s">
        <v>5010</v>
      </c>
      <c r="B1511" s="5">
        <v>4.0</v>
      </c>
      <c r="C1511" s="1" t="s">
        <v>68</v>
      </c>
      <c r="D1511" s="1" t="s">
        <v>13</v>
      </c>
      <c r="E1511" s="1" t="s">
        <v>21</v>
      </c>
      <c r="F1511" s="5">
        <v>2.8634</v>
      </c>
      <c r="G1511" s="5">
        <v>525.96028</v>
      </c>
      <c r="H1511" s="5">
        <v>1.4317</v>
      </c>
      <c r="I1511" s="5">
        <v>472.0</v>
      </c>
    </row>
    <row r="1512">
      <c r="A1512" s="6" t="s">
        <v>5010</v>
      </c>
      <c r="B1512" s="5">
        <v>4.0</v>
      </c>
      <c r="C1512" s="1" t="s">
        <v>68</v>
      </c>
      <c r="D1512" s="1" t="s">
        <v>13</v>
      </c>
      <c r="E1512" s="1" t="s">
        <v>25</v>
      </c>
      <c r="F1512" s="5">
        <v>0.303</v>
      </c>
      <c r="G1512" s="5">
        <v>48.940376</v>
      </c>
      <c r="H1512" s="5">
        <v>0.2273</v>
      </c>
      <c r="I1512" s="5">
        <v>179.0</v>
      </c>
    </row>
    <row r="1513">
      <c r="A1513" s="6" t="s">
        <v>5010</v>
      </c>
      <c r="B1513" s="5">
        <v>4.0</v>
      </c>
      <c r="C1513" s="1" t="s">
        <v>68</v>
      </c>
      <c r="D1513" s="1" t="s">
        <v>29</v>
      </c>
      <c r="E1513" s="1" t="s">
        <v>14</v>
      </c>
      <c r="F1513" s="5">
        <v>1.0727</v>
      </c>
      <c r="G1513" s="5">
        <v>113.266212</v>
      </c>
      <c r="H1513" s="5">
        <v>0.2146</v>
      </c>
      <c r="I1513" s="5">
        <v>73.0</v>
      </c>
    </row>
    <row r="1514">
      <c r="A1514" s="6" t="s">
        <v>5010</v>
      </c>
      <c r="B1514" s="5">
        <v>4.0</v>
      </c>
      <c r="C1514" s="1" t="s">
        <v>68</v>
      </c>
      <c r="D1514" s="1" t="s">
        <v>29</v>
      </c>
      <c r="E1514" s="1" t="s">
        <v>21</v>
      </c>
      <c r="F1514" s="5">
        <v>17.8592</v>
      </c>
      <c r="G1514" s="5">
        <v>3527.423164</v>
      </c>
      <c r="H1514" s="5">
        <v>7.1437</v>
      </c>
      <c r="I1514" s="5">
        <v>2396.0</v>
      </c>
    </row>
    <row r="1515">
      <c r="A1515" s="6" t="s">
        <v>5010</v>
      </c>
      <c r="B1515" s="5">
        <v>4.0</v>
      </c>
      <c r="C1515" s="1" t="s">
        <v>68</v>
      </c>
      <c r="D1515" s="1" t="s">
        <v>45</v>
      </c>
      <c r="E1515" s="1" t="s">
        <v>49</v>
      </c>
      <c r="F1515" s="5">
        <v>1.096</v>
      </c>
      <c r="G1515" s="5">
        <v>63.418239</v>
      </c>
      <c r="H1515" s="5">
        <v>0.285</v>
      </c>
      <c r="I1515" s="5">
        <v>155.0</v>
      </c>
    </row>
    <row r="1516">
      <c r="A1516" s="6" t="s">
        <v>5010</v>
      </c>
      <c r="B1516" s="5">
        <v>4.0</v>
      </c>
      <c r="C1516" s="1" t="s">
        <v>68</v>
      </c>
      <c r="D1516" s="1" t="s">
        <v>45</v>
      </c>
      <c r="E1516" s="1" t="s">
        <v>17</v>
      </c>
      <c r="F1516" s="5">
        <v>10.1778</v>
      </c>
      <c r="G1516" s="5">
        <v>634.861232</v>
      </c>
      <c r="H1516" s="5">
        <v>3.6641</v>
      </c>
      <c r="I1516" s="5">
        <v>1409.0</v>
      </c>
    </row>
    <row r="1517">
      <c r="A1517" s="6" t="s">
        <v>5010</v>
      </c>
      <c r="B1517" s="5">
        <v>4.0</v>
      </c>
      <c r="C1517" s="1" t="s">
        <v>68</v>
      </c>
      <c r="D1517" s="1" t="s">
        <v>38</v>
      </c>
      <c r="E1517" s="1" t="s">
        <v>39</v>
      </c>
      <c r="F1517" s="5">
        <v>4.4525</v>
      </c>
      <c r="G1517" s="5">
        <v>416.924196</v>
      </c>
      <c r="H1517" s="5">
        <v>0.8014</v>
      </c>
      <c r="I1517" s="5">
        <v>1675.0</v>
      </c>
    </row>
    <row r="1518">
      <c r="A1518" s="6" t="s">
        <v>5010</v>
      </c>
      <c r="B1518" s="5">
        <v>4.0</v>
      </c>
      <c r="C1518" s="1" t="s">
        <v>68</v>
      </c>
      <c r="D1518" s="1" t="s">
        <v>1851</v>
      </c>
      <c r="E1518" s="1" t="s">
        <v>17</v>
      </c>
      <c r="F1518" s="5">
        <v>2.022</v>
      </c>
      <c r="G1518" s="5">
        <v>142.501286</v>
      </c>
      <c r="H1518" s="5">
        <v>0.7784</v>
      </c>
      <c r="I1518" s="5">
        <v>883.0</v>
      </c>
    </row>
    <row r="1519">
      <c r="A1519" s="6" t="s">
        <v>5010</v>
      </c>
      <c r="B1519" s="5">
        <v>4.0</v>
      </c>
      <c r="C1519" s="1" t="s">
        <v>68</v>
      </c>
      <c r="D1519" s="1" t="s">
        <v>1851</v>
      </c>
      <c r="E1519" s="1" t="s">
        <v>21</v>
      </c>
      <c r="F1519" s="5">
        <v>1.6967</v>
      </c>
      <c r="G1519" s="5">
        <v>141.081872</v>
      </c>
      <c r="H1519" s="5">
        <v>0.8314</v>
      </c>
      <c r="I1519" s="5">
        <v>281.0</v>
      </c>
    </row>
    <row r="1520">
      <c r="A1520" s="6" t="s">
        <v>5010</v>
      </c>
      <c r="B1520" s="5">
        <v>4.0</v>
      </c>
      <c r="C1520" s="1" t="s">
        <v>68</v>
      </c>
      <c r="D1520" s="1" t="s">
        <v>48</v>
      </c>
      <c r="E1520" s="1" t="s">
        <v>49</v>
      </c>
      <c r="F1520" s="5">
        <v>0.002</v>
      </c>
      <c r="G1520" s="5">
        <v>0.895596</v>
      </c>
      <c r="H1520" s="5">
        <v>6.0E-4</v>
      </c>
      <c r="I1520" s="5">
        <v>2.0</v>
      </c>
    </row>
    <row r="1521">
      <c r="A1521" s="6" t="s">
        <v>5010</v>
      </c>
      <c r="B1521" s="5">
        <v>4.0</v>
      </c>
      <c r="C1521" s="1" t="s">
        <v>68</v>
      </c>
      <c r="D1521" s="1" t="s">
        <v>48</v>
      </c>
      <c r="E1521" s="1" t="s">
        <v>72</v>
      </c>
      <c r="F1521" s="5">
        <v>7.0E-4</v>
      </c>
      <c r="G1521" s="5">
        <v>0.238702</v>
      </c>
      <c r="H1521" s="5">
        <v>2.0E-4</v>
      </c>
      <c r="I1521" s="5">
        <v>2.0</v>
      </c>
    </row>
    <row r="1522">
      <c r="A1522" s="6" t="s">
        <v>5010</v>
      </c>
      <c r="B1522" s="5">
        <v>4.0</v>
      </c>
      <c r="C1522" s="1" t="s">
        <v>68</v>
      </c>
      <c r="D1522" s="1" t="s">
        <v>48</v>
      </c>
      <c r="E1522" s="1" t="s">
        <v>21</v>
      </c>
      <c r="F1522" s="5">
        <v>1.2879</v>
      </c>
      <c r="G1522" s="5">
        <v>227.064729</v>
      </c>
      <c r="H1522" s="5">
        <v>0.5152</v>
      </c>
      <c r="I1522" s="5">
        <v>388.0</v>
      </c>
    </row>
    <row r="1523">
      <c r="A1523" s="6" t="s">
        <v>5010</v>
      </c>
      <c r="B1523" s="5">
        <v>4.0</v>
      </c>
      <c r="C1523" s="1" t="s">
        <v>68</v>
      </c>
      <c r="D1523" s="1" t="s">
        <v>3962</v>
      </c>
      <c r="E1523" s="1" t="s">
        <v>17</v>
      </c>
      <c r="F1523" s="5">
        <v>1.6755</v>
      </c>
      <c r="G1523" s="5">
        <v>152.961334</v>
      </c>
      <c r="H1523" s="5">
        <v>0.5864</v>
      </c>
      <c r="I1523" s="5">
        <v>814.0</v>
      </c>
    </row>
    <row r="1524">
      <c r="A1524" s="6" t="s">
        <v>5010</v>
      </c>
      <c r="B1524" s="5">
        <v>4.0</v>
      </c>
      <c r="C1524" s="1" t="s">
        <v>68</v>
      </c>
      <c r="D1524" s="1" t="s">
        <v>1830</v>
      </c>
      <c r="E1524" s="1" t="s">
        <v>72</v>
      </c>
      <c r="F1524" s="5">
        <v>1.2133</v>
      </c>
      <c r="G1524" s="5">
        <v>95.999383</v>
      </c>
      <c r="H1524" s="5">
        <v>0.3882</v>
      </c>
      <c r="I1524" s="5">
        <v>1026.0</v>
      </c>
    </row>
    <row r="1525">
      <c r="A1525" s="6" t="s">
        <v>5010</v>
      </c>
      <c r="B1525" s="5">
        <v>4.0</v>
      </c>
      <c r="C1525" s="1" t="s">
        <v>68</v>
      </c>
      <c r="D1525" s="1" t="s">
        <v>4127</v>
      </c>
      <c r="E1525" s="1" t="s">
        <v>17</v>
      </c>
      <c r="F1525" s="5">
        <v>1.1159</v>
      </c>
      <c r="G1525" s="5">
        <v>89.912221</v>
      </c>
      <c r="H1525" s="5">
        <v>0.3905</v>
      </c>
      <c r="I1525" s="5">
        <v>566.0</v>
      </c>
    </row>
    <row r="1526">
      <c r="A1526" s="6" t="s">
        <v>5010</v>
      </c>
      <c r="B1526" s="5">
        <v>4.0</v>
      </c>
      <c r="C1526" s="1" t="s">
        <v>68</v>
      </c>
      <c r="D1526" s="1" t="s">
        <v>32</v>
      </c>
      <c r="E1526" s="1" t="s">
        <v>14</v>
      </c>
      <c r="F1526" s="5">
        <v>1.2441</v>
      </c>
      <c r="G1526" s="5">
        <v>83.254229</v>
      </c>
      <c r="H1526" s="5">
        <v>0.2862</v>
      </c>
      <c r="I1526" s="5">
        <v>0.0</v>
      </c>
    </row>
    <row r="1527">
      <c r="A1527" s="6" t="s">
        <v>5010</v>
      </c>
      <c r="B1527" s="5">
        <v>4.0</v>
      </c>
      <c r="C1527" s="1" t="s">
        <v>68</v>
      </c>
      <c r="D1527" s="1" t="s">
        <v>32</v>
      </c>
      <c r="E1527" s="1" t="s">
        <v>21</v>
      </c>
      <c r="F1527" s="5">
        <v>0.0076</v>
      </c>
      <c r="G1527" s="5">
        <v>1.029136</v>
      </c>
      <c r="H1527" s="5">
        <v>0.0034</v>
      </c>
      <c r="I1527" s="5">
        <v>0.0</v>
      </c>
    </row>
    <row r="1528">
      <c r="A1528" s="6" t="s">
        <v>5010</v>
      </c>
      <c r="B1528" s="5">
        <v>4.0</v>
      </c>
      <c r="C1528" s="1" t="s">
        <v>116</v>
      </c>
      <c r="D1528" s="1" t="s">
        <v>13</v>
      </c>
      <c r="E1528" s="1" t="s">
        <v>14</v>
      </c>
      <c r="F1528" s="5">
        <v>94.0721</v>
      </c>
      <c r="G1528" s="5">
        <v>6235.15773</v>
      </c>
      <c r="H1528" s="5">
        <v>19.7551</v>
      </c>
      <c r="I1528" s="5">
        <v>13935.0</v>
      </c>
    </row>
    <row r="1529">
      <c r="A1529" s="6" t="s">
        <v>5010</v>
      </c>
      <c r="B1529" s="5">
        <v>4.0</v>
      </c>
      <c r="C1529" s="1" t="s">
        <v>116</v>
      </c>
      <c r="D1529" s="1" t="s">
        <v>13</v>
      </c>
      <c r="E1529" s="1" t="s">
        <v>17</v>
      </c>
      <c r="F1529" s="5">
        <v>150.4402</v>
      </c>
      <c r="G1529" s="5">
        <v>15700.382104</v>
      </c>
      <c r="H1529" s="5">
        <v>52.6541</v>
      </c>
      <c r="I1529" s="5">
        <v>17610.0</v>
      </c>
    </row>
    <row r="1530">
      <c r="A1530" s="6" t="s">
        <v>5010</v>
      </c>
      <c r="B1530" s="5">
        <v>4.0</v>
      </c>
      <c r="C1530" s="1" t="s">
        <v>116</v>
      </c>
      <c r="D1530" s="1" t="s">
        <v>13</v>
      </c>
      <c r="E1530" s="1" t="s">
        <v>21</v>
      </c>
      <c r="F1530" s="5">
        <v>12.1963</v>
      </c>
      <c r="G1530" s="5">
        <v>1938.389976</v>
      </c>
      <c r="H1530" s="5">
        <v>6.0981</v>
      </c>
      <c r="I1530" s="5">
        <v>971.0</v>
      </c>
    </row>
    <row r="1531">
      <c r="A1531" s="6" t="s">
        <v>5010</v>
      </c>
      <c r="B1531" s="5">
        <v>4.0</v>
      </c>
      <c r="C1531" s="1" t="s">
        <v>116</v>
      </c>
      <c r="D1531" s="1" t="s">
        <v>13</v>
      </c>
      <c r="E1531" s="1" t="s">
        <v>25</v>
      </c>
      <c r="F1531" s="5">
        <v>0.0157</v>
      </c>
      <c r="G1531" s="5">
        <v>3.249992</v>
      </c>
      <c r="H1531" s="5">
        <v>0.0118</v>
      </c>
      <c r="I1531" s="5">
        <v>4.0</v>
      </c>
    </row>
    <row r="1532">
      <c r="A1532" s="6" t="s">
        <v>5010</v>
      </c>
      <c r="B1532" s="5">
        <v>4.0</v>
      </c>
      <c r="C1532" s="1" t="s">
        <v>116</v>
      </c>
      <c r="D1532" s="1" t="s">
        <v>29</v>
      </c>
      <c r="E1532" s="1" t="s">
        <v>14</v>
      </c>
      <c r="F1532" s="5">
        <v>1.2804</v>
      </c>
      <c r="G1532" s="5">
        <v>166.170232</v>
      </c>
      <c r="H1532" s="5">
        <v>0.2561</v>
      </c>
      <c r="I1532" s="5">
        <v>230.0</v>
      </c>
    </row>
    <row r="1533">
      <c r="A1533" s="6" t="s">
        <v>5010</v>
      </c>
      <c r="B1533" s="5">
        <v>4.0</v>
      </c>
      <c r="C1533" s="1" t="s">
        <v>116</v>
      </c>
      <c r="D1533" s="1" t="s">
        <v>29</v>
      </c>
      <c r="E1533" s="1" t="s">
        <v>21</v>
      </c>
      <c r="F1533" s="5">
        <v>41.0715</v>
      </c>
      <c r="G1533" s="5">
        <v>8986.126968</v>
      </c>
      <c r="H1533" s="5">
        <v>16.4286</v>
      </c>
      <c r="I1533" s="5">
        <v>4466.0</v>
      </c>
    </row>
    <row r="1534">
      <c r="A1534" s="6" t="s">
        <v>5010</v>
      </c>
      <c r="B1534" s="5">
        <v>4.0</v>
      </c>
      <c r="C1534" s="1" t="s">
        <v>116</v>
      </c>
      <c r="D1534" s="1" t="s">
        <v>45</v>
      </c>
      <c r="E1534" s="1" t="s">
        <v>49</v>
      </c>
      <c r="F1534" s="5">
        <v>2.6467</v>
      </c>
      <c r="G1534" s="5">
        <v>152.979037</v>
      </c>
      <c r="H1534" s="5">
        <v>0.6881</v>
      </c>
      <c r="I1534" s="5">
        <v>337.0</v>
      </c>
    </row>
    <row r="1535">
      <c r="A1535" s="6" t="s">
        <v>5010</v>
      </c>
      <c r="B1535" s="5">
        <v>4.0</v>
      </c>
      <c r="C1535" s="1" t="s">
        <v>116</v>
      </c>
      <c r="D1535" s="1" t="s">
        <v>45</v>
      </c>
      <c r="E1535" s="1" t="s">
        <v>17</v>
      </c>
      <c r="F1535" s="5">
        <v>32.6462</v>
      </c>
      <c r="G1535" s="5">
        <v>2037.907029</v>
      </c>
      <c r="H1535" s="5">
        <v>11.7526</v>
      </c>
      <c r="I1535" s="5">
        <v>1760.0</v>
      </c>
    </row>
    <row r="1536">
      <c r="A1536" s="6" t="s">
        <v>5010</v>
      </c>
      <c r="B1536" s="5">
        <v>4.0</v>
      </c>
      <c r="C1536" s="1" t="s">
        <v>116</v>
      </c>
      <c r="D1536" s="1" t="s">
        <v>48</v>
      </c>
      <c r="E1536" s="1" t="s">
        <v>49</v>
      </c>
      <c r="F1536" s="5">
        <v>0.0052</v>
      </c>
      <c r="G1536" s="5">
        <v>2.054427</v>
      </c>
      <c r="H1536" s="5">
        <v>0.0014</v>
      </c>
      <c r="I1536" s="5">
        <v>4.0</v>
      </c>
    </row>
    <row r="1537">
      <c r="A1537" s="6" t="s">
        <v>5010</v>
      </c>
      <c r="B1537" s="5">
        <v>4.0</v>
      </c>
      <c r="C1537" s="1" t="s">
        <v>116</v>
      </c>
      <c r="D1537" s="1" t="s">
        <v>48</v>
      </c>
      <c r="E1537" s="1" t="s">
        <v>72</v>
      </c>
      <c r="F1537" s="5">
        <v>0.0773</v>
      </c>
      <c r="G1537" s="5">
        <v>23.693545</v>
      </c>
      <c r="H1537" s="5">
        <v>0.0232</v>
      </c>
      <c r="I1537" s="5">
        <v>28.0</v>
      </c>
    </row>
    <row r="1538">
      <c r="A1538" s="6" t="s">
        <v>5010</v>
      </c>
      <c r="B1538" s="5">
        <v>4.0</v>
      </c>
      <c r="C1538" s="1" t="s">
        <v>116</v>
      </c>
      <c r="D1538" s="1" t="s">
        <v>48</v>
      </c>
      <c r="E1538" s="1" t="s">
        <v>21</v>
      </c>
      <c r="F1538" s="5">
        <v>4.3507</v>
      </c>
      <c r="G1538" s="5">
        <v>1098.941175</v>
      </c>
      <c r="H1538" s="5">
        <v>1.7402</v>
      </c>
      <c r="I1538" s="5">
        <v>426.0</v>
      </c>
    </row>
    <row r="1539">
      <c r="A1539" s="6" t="s">
        <v>5010</v>
      </c>
      <c r="B1539" s="5">
        <v>4.0</v>
      </c>
      <c r="C1539" s="1" t="s">
        <v>116</v>
      </c>
      <c r="D1539" s="1" t="s">
        <v>3962</v>
      </c>
      <c r="E1539" s="1" t="s">
        <v>17</v>
      </c>
      <c r="F1539" s="5">
        <v>10.2876</v>
      </c>
      <c r="G1539" s="5">
        <v>955.543497</v>
      </c>
      <c r="H1539" s="5">
        <v>3.6007</v>
      </c>
      <c r="I1539" s="5">
        <v>3276.0</v>
      </c>
    </row>
    <row r="1540">
      <c r="A1540" s="6" t="s">
        <v>5010</v>
      </c>
      <c r="B1540" s="5">
        <v>4.0</v>
      </c>
      <c r="C1540" s="1" t="s">
        <v>116</v>
      </c>
      <c r="D1540" s="1" t="s">
        <v>147</v>
      </c>
      <c r="E1540" s="1" t="s">
        <v>39</v>
      </c>
      <c r="F1540" s="5">
        <v>2.2897</v>
      </c>
      <c r="G1540" s="5">
        <v>723.549708</v>
      </c>
      <c r="H1540" s="5">
        <v>0.435</v>
      </c>
      <c r="I1540" s="5">
        <v>122.0</v>
      </c>
    </row>
    <row r="1541">
      <c r="A1541" s="6" t="s">
        <v>5010</v>
      </c>
      <c r="B1541" s="5">
        <v>4.0</v>
      </c>
      <c r="C1541" s="1" t="s">
        <v>116</v>
      </c>
      <c r="D1541" s="1" t="s">
        <v>147</v>
      </c>
      <c r="E1541" s="1" t="s">
        <v>17</v>
      </c>
      <c r="F1541" s="5">
        <v>0.024</v>
      </c>
      <c r="G1541" s="5">
        <v>10.674282</v>
      </c>
      <c r="H1541" s="5">
        <v>0.0086</v>
      </c>
      <c r="I1541" s="5">
        <v>6.0</v>
      </c>
    </row>
    <row r="1542">
      <c r="A1542" s="6" t="s">
        <v>5010</v>
      </c>
      <c r="B1542" s="5">
        <v>4.0</v>
      </c>
      <c r="C1542" s="1" t="s">
        <v>116</v>
      </c>
      <c r="D1542" s="1" t="s">
        <v>147</v>
      </c>
      <c r="E1542" s="1" t="s">
        <v>21</v>
      </c>
      <c r="F1542" s="5">
        <v>0.1361</v>
      </c>
      <c r="G1542" s="5">
        <v>71.973048</v>
      </c>
      <c r="H1542" s="5">
        <v>0.068</v>
      </c>
      <c r="I1542" s="5">
        <v>52.0</v>
      </c>
    </row>
    <row r="1543">
      <c r="A1543" s="6" t="s">
        <v>5010</v>
      </c>
      <c r="B1543" s="5">
        <v>4.0</v>
      </c>
      <c r="C1543" s="1" t="s">
        <v>116</v>
      </c>
      <c r="D1543" s="1" t="s">
        <v>38</v>
      </c>
      <c r="E1543" s="1" t="s">
        <v>39</v>
      </c>
      <c r="F1543" s="5">
        <v>6.2296</v>
      </c>
      <c r="G1543" s="5">
        <v>631.506543</v>
      </c>
      <c r="H1543" s="5">
        <v>1.1213</v>
      </c>
      <c r="I1543" s="5">
        <v>2641.0</v>
      </c>
    </row>
    <row r="1544">
      <c r="A1544" s="6" t="s">
        <v>5010</v>
      </c>
      <c r="B1544" s="5">
        <v>4.0</v>
      </c>
      <c r="C1544" s="1" t="s">
        <v>116</v>
      </c>
      <c r="D1544" s="1" t="s">
        <v>42</v>
      </c>
      <c r="E1544" s="1" t="s">
        <v>17</v>
      </c>
      <c r="F1544" s="5">
        <v>2.4324</v>
      </c>
      <c r="G1544" s="5">
        <v>528.577778</v>
      </c>
      <c r="H1544" s="5">
        <v>0.9</v>
      </c>
      <c r="I1544" s="5">
        <v>0.0</v>
      </c>
    </row>
    <row r="1545">
      <c r="A1545" s="6" t="s">
        <v>5010</v>
      </c>
      <c r="B1545" s="5">
        <v>4.0</v>
      </c>
      <c r="C1545" s="1" t="s">
        <v>116</v>
      </c>
      <c r="D1545" s="1" t="s">
        <v>158</v>
      </c>
      <c r="E1545" s="1" t="s">
        <v>17</v>
      </c>
      <c r="F1545" s="5">
        <v>0.434</v>
      </c>
      <c r="G1545" s="5">
        <v>183.839274</v>
      </c>
      <c r="H1545" s="5">
        <v>0.1519</v>
      </c>
      <c r="I1545" s="5">
        <v>0.0</v>
      </c>
    </row>
    <row r="1546">
      <c r="A1546" s="6" t="s">
        <v>5010</v>
      </c>
      <c r="B1546" s="5">
        <v>4.0</v>
      </c>
      <c r="C1546" s="1" t="s">
        <v>116</v>
      </c>
      <c r="D1546" s="1" t="s">
        <v>158</v>
      </c>
      <c r="E1546" s="1" t="s">
        <v>21</v>
      </c>
      <c r="F1546" s="5">
        <v>0.5333</v>
      </c>
      <c r="G1546" s="5">
        <v>288.943805</v>
      </c>
      <c r="H1546" s="5">
        <v>0.224</v>
      </c>
      <c r="I1546" s="5">
        <v>0.0</v>
      </c>
    </row>
    <row r="1547">
      <c r="A1547" s="6" t="s">
        <v>5010</v>
      </c>
      <c r="B1547" s="5">
        <v>4.0</v>
      </c>
      <c r="C1547" s="1" t="s">
        <v>116</v>
      </c>
      <c r="D1547" s="1" t="s">
        <v>1851</v>
      </c>
      <c r="E1547" s="1" t="s">
        <v>17</v>
      </c>
      <c r="F1547" s="5">
        <v>5.2129</v>
      </c>
      <c r="G1547" s="5">
        <v>362.237206</v>
      </c>
      <c r="H1547" s="5">
        <v>2.007</v>
      </c>
      <c r="I1547" s="5">
        <v>1569.0</v>
      </c>
    </row>
    <row r="1548">
      <c r="A1548" s="6" t="s">
        <v>5010</v>
      </c>
      <c r="B1548" s="5">
        <v>4.0</v>
      </c>
      <c r="C1548" s="1" t="s">
        <v>116</v>
      </c>
      <c r="D1548" s="1" t="s">
        <v>1851</v>
      </c>
      <c r="E1548" s="1" t="s">
        <v>21</v>
      </c>
      <c r="F1548" s="5">
        <v>0.4653</v>
      </c>
      <c r="G1548" s="5">
        <v>42.914679</v>
      </c>
      <c r="H1548" s="5">
        <v>0.228</v>
      </c>
      <c r="I1548" s="5">
        <v>130.0</v>
      </c>
    </row>
    <row r="1549">
      <c r="A1549" s="6" t="s">
        <v>5010</v>
      </c>
      <c r="B1549" s="5">
        <v>5.0</v>
      </c>
      <c r="C1549" s="1" t="s">
        <v>12</v>
      </c>
      <c r="D1549" s="1" t="s">
        <v>13</v>
      </c>
      <c r="E1549" s="1" t="s">
        <v>14</v>
      </c>
      <c r="F1549" s="5">
        <v>10.4227</v>
      </c>
      <c r="G1549" s="5">
        <v>773.766541</v>
      </c>
      <c r="H1549" s="5">
        <v>2.1888</v>
      </c>
      <c r="I1549" s="5">
        <v>423.0</v>
      </c>
    </row>
    <row r="1550">
      <c r="A1550" s="6" t="s">
        <v>5010</v>
      </c>
      <c r="B1550" s="5">
        <v>5.0</v>
      </c>
      <c r="C1550" s="1" t="s">
        <v>12</v>
      </c>
      <c r="D1550" s="1" t="s">
        <v>13</v>
      </c>
      <c r="E1550" s="1" t="s">
        <v>17</v>
      </c>
      <c r="F1550" s="5">
        <v>42.728</v>
      </c>
      <c r="G1550" s="5">
        <v>4568.309267</v>
      </c>
      <c r="H1550" s="5">
        <v>14.9549</v>
      </c>
      <c r="I1550" s="5">
        <v>677.0</v>
      </c>
    </row>
    <row r="1551">
      <c r="A1551" s="6" t="s">
        <v>5010</v>
      </c>
      <c r="B1551" s="5">
        <v>5.0</v>
      </c>
      <c r="C1551" s="1" t="s">
        <v>12</v>
      </c>
      <c r="D1551" s="1" t="s">
        <v>13</v>
      </c>
      <c r="E1551" s="1" t="s">
        <v>21</v>
      </c>
      <c r="F1551" s="5">
        <v>38.6723</v>
      </c>
      <c r="G1551" s="5">
        <v>4738.784354</v>
      </c>
      <c r="H1551" s="5">
        <v>19.3361</v>
      </c>
      <c r="I1551" s="5">
        <v>554.0</v>
      </c>
    </row>
    <row r="1552">
      <c r="A1552" s="6" t="s">
        <v>5010</v>
      </c>
      <c r="B1552" s="5">
        <v>5.0</v>
      </c>
      <c r="C1552" s="1" t="s">
        <v>12</v>
      </c>
      <c r="D1552" s="1" t="s">
        <v>29</v>
      </c>
      <c r="E1552" s="1" t="s">
        <v>14</v>
      </c>
      <c r="F1552" s="5">
        <v>1.3643</v>
      </c>
      <c r="G1552" s="5">
        <v>146.524473</v>
      </c>
      <c r="H1552" s="5">
        <v>0.2729</v>
      </c>
      <c r="I1552" s="5">
        <v>89.0</v>
      </c>
    </row>
    <row r="1553">
      <c r="A1553" s="6" t="s">
        <v>5010</v>
      </c>
      <c r="B1553" s="5">
        <v>5.0</v>
      </c>
      <c r="C1553" s="1" t="s">
        <v>12</v>
      </c>
      <c r="D1553" s="1" t="s">
        <v>29</v>
      </c>
      <c r="E1553" s="1" t="s">
        <v>21</v>
      </c>
      <c r="F1553" s="5">
        <v>34.1818</v>
      </c>
      <c r="G1553" s="5">
        <v>6829.434676</v>
      </c>
      <c r="H1553" s="5">
        <v>13.6727</v>
      </c>
      <c r="I1553" s="5">
        <v>649.0</v>
      </c>
    </row>
    <row r="1554">
      <c r="A1554" s="6" t="s">
        <v>5010</v>
      </c>
      <c r="B1554" s="5">
        <v>5.0</v>
      </c>
      <c r="C1554" s="1" t="s">
        <v>12</v>
      </c>
      <c r="D1554" s="1" t="s">
        <v>48</v>
      </c>
      <c r="E1554" s="1" t="s">
        <v>49</v>
      </c>
      <c r="F1554" s="5">
        <v>0.0119</v>
      </c>
      <c r="G1554" s="5">
        <v>3.743044</v>
      </c>
      <c r="H1554" s="5">
        <v>0.0034</v>
      </c>
      <c r="I1554" s="5">
        <v>9.0</v>
      </c>
    </row>
    <row r="1555">
      <c r="A1555" s="6" t="s">
        <v>5010</v>
      </c>
      <c r="B1555" s="5">
        <v>5.0</v>
      </c>
      <c r="C1555" s="1" t="s">
        <v>12</v>
      </c>
      <c r="D1555" s="1" t="s">
        <v>48</v>
      </c>
      <c r="E1555" s="1" t="s">
        <v>21</v>
      </c>
      <c r="F1555" s="5">
        <v>4.3142</v>
      </c>
      <c r="G1555" s="5">
        <v>760.294077</v>
      </c>
      <c r="H1555" s="5">
        <v>1.7256</v>
      </c>
      <c r="I1555" s="5">
        <v>166.0</v>
      </c>
    </row>
    <row r="1556">
      <c r="A1556" s="6" t="s">
        <v>5010</v>
      </c>
      <c r="B1556" s="5">
        <v>5.0</v>
      </c>
      <c r="C1556" s="1" t="s">
        <v>12</v>
      </c>
      <c r="D1556" s="1" t="s">
        <v>38</v>
      </c>
      <c r="E1556" s="1" t="s">
        <v>39</v>
      </c>
      <c r="F1556" s="5">
        <v>1.6699</v>
      </c>
      <c r="G1556" s="5">
        <v>200.276349</v>
      </c>
      <c r="H1556" s="5">
        <v>0.3006</v>
      </c>
      <c r="I1556" s="5">
        <v>159.0</v>
      </c>
    </row>
    <row r="1557">
      <c r="A1557" s="6" t="s">
        <v>5010</v>
      </c>
      <c r="B1557" s="5">
        <v>5.0</v>
      </c>
      <c r="C1557" s="1" t="s">
        <v>12</v>
      </c>
      <c r="D1557" s="1" t="s">
        <v>45</v>
      </c>
      <c r="E1557" s="1" t="s">
        <v>49</v>
      </c>
      <c r="F1557" s="5">
        <v>0.0619</v>
      </c>
      <c r="G1557" s="5">
        <v>3.624223</v>
      </c>
      <c r="H1557" s="5">
        <v>0.0161</v>
      </c>
      <c r="I1557" s="5">
        <v>6.0</v>
      </c>
    </row>
    <row r="1558">
      <c r="A1558" s="6" t="s">
        <v>5010</v>
      </c>
      <c r="B1558" s="5">
        <v>5.0</v>
      </c>
      <c r="C1558" s="1" t="s">
        <v>12</v>
      </c>
      <c r="D1558" s="1" t="s">
        <v>45</v>
      </c>
      <c r="E1558" s="1" t="s">
        <v>17</v>
      </c>
      <c r="F1558" s="5">
        <v>2.3174</v>
      </c>
      <c r="G1558" s="5">
        <v>190.920762</v>
      </c>
      <c r="H1558" s="5">
        <v>0.8343</v>
      </c>
      <c r="I1558" s="5">
        <v>151.0</v>
      </c>
    </row>
    <row r="1559">
      <c r="A1559" s="6" t="s">
        <v>5010</v>
      </c>
      <c r="B1559" s="5">
        <v>5.0</v>
      </c>
      <c r="C1559" s="1" t="s">
        <v>12</v>
      </c>
      <c r="D1559" s="1" t="s">
        <v>4127</v>
      </c>
      <c r="E1559" s="1" t="s">
        <v>17</v>
      </c>
      <c r="F1559" s="5">
        <v>2.8145</v>
      </c>
      <c r="G1559" s="5">
        <v>192.815258</v>
      </c>
      <c r="H1559" s="5">
        <v>0.9851</v>
      </c>
      <c r="I1559" s="5">
        <v>132.0</v>
      </c>
    </row>
    <row r="1560">
      <c r="A1560" s="6" t="s">
        <v>5010</v>
      </c>
      <c r="B1560" s="5">
        <v>5.0</v>
      </c>
      <c r="C1560" s="1" t="s">
        <v>12</v>
      </c>
      <c r="D1560" s="1" t="s">
        <v>42</v>
      </c>
      <c r="E1560" s="1" t="s">
        <v>17</v>
      </c>
      <c r="F1560" s="5">
        <v>0.4574</v>
      </c>
      <c r="G1560" s="5">
        <v>88.075675</v>
      </c>
      <c r="H1560" s="5">
        <v>0.1692</v>
      </c>
      <c r="I1560" s="5">
        <v>0.0</v>
      </c>
    </row>
    <row r="1561">
      <c r="A1561" s="6" t="s">
        <v>5010</v>
      </c>
      <c r="B1561" s="5">
        <v>5.0</v>
      </c>
      <c r="C1561" s="1" t="s">
        <v>12</v>
      </c>
      <c r="D1561" s="1" t="s">
        <v>3962</v>
      </c>
      <c r="E1561" s="1" t="s">
        <v>17</v>
      </c>
      <c r="F1561" s="5">
        <v>0.7986</v>
      </c>
      <c r="G1561" s="5">
        <v>74.260342</v>
      </c>
      <c r="H1561" s="5">
        <v>0.2795</v>
      </c>
      <c r="I1561" s="5">
        <v>109.0</v>
      </c>
    </row>
    <row r="1562">
      <c r="A1562" s="6" t="s">
        <v>5010</v>
      </c>
      <c r="B1562" s="5">
        <v>5.0</v>
      </c>
      <c r="C1562" s="1" t="s">
        <v>12</v>
      </c>
      <c r="D1562" s="1" t="s">
        <v>1830</v>
      </c>
      <c r="E1562" s="1" t="s">
        <v>72</v>
      </c>
      <c r="F1562" s="5">
        <v>0.4573</v>
      </c>
      <c r="G1562" s="5">
        <v>52.727248</v>
      </c>
      <c r="H1562" s="5">
        <v>0.1463</v>
      </c>
      <c r="I1562" s="5">
        <v>234.0</v>
      </c>
    </row>
    <row r="1563">
      <c r="A1563" s="6" t="s">
        <v>5010</v>
      </c>
      <c r="B1563" s="5">
        <v>5.0</v>
      </c>
      <c r="C1563" s="1" t="s">
        <v>12</v>
      </c>
      <c r="D1563" s="1" t="s">
        <v>56</v>
      </c>
      <c r="E1563" s="1" t="s">
        <v>21</v>
      </c>
      <c r="F1563" s="5">
        <v>0.1885</v>
      </c>
      <c r="G1563" s="5">
        <v>45.304416</v>
      </c>
      <c r="H1563" s="5">
        <v>0.0754</v>
      </c>
      <c r="I1563" s="5">
        <v>117.0</v>
      </c>
    </row>
    <row r="1564">
      <c r="A1564" s="6" t="s">
        <v>5010</v>
      </c>
      <c r="B1564" s="5">
        <v>5.0</v>
      </c>
      <c r="C1564" s="1" t="s">
        <v>68</v>
      </c>
      <c r="D1564" s="1" t="s">
        <v>13</v>
      </c>
      <c r="E1564" s="1" t="s">
        <v>14</v>
      </c>
      <c r="F1564" s="5">
        <v>38.1428</v>
      </c>
      <c r="G1564" s="5">
        <v>2383.271661</v>
      </c>
      <c r="H1564" s="5">
        <v>8.01</v>
      </c>
      <c r="I1564" s="5">
        <v>6985.0</v>
      </c>
    </row>
    <row r="1565">
      <c r="A1565" s="6" t="s">
        <v>5010</v>
      </c>
      <c r="B1565" s="5">
        <v>5.0</v>
      </c>
      <c r="C1565" s="1" t="s">
        <v>68</v>
      </c>
      <c r="D1565" s="1" t="s">
        <v>13</v>
      </c>
      <c r="E1565" s="1" t="s">
        <v>17</v>
      </c>
      <c r="F1565" s="5">
        <v>62.5334</v>
      </c>
      <c r="G1565" s="5">
        <v>6723.164019</v>
      </c>
      <c r="H1565" s="5">
        <v>21.8865</v>
      </c>
      <c r="I1565" s="5">
        <v>8839.0</v>
      </c>
    </row>
    <row r="1566">
      <c r="A1566" s="6" t="s">
        <v>5010</v>
      </c>
      <c r="B1566" s="5">
        <v>5.0</v>
      </c>
      <c r="C1566" s="1" t="s">
        <v>68</v>
      </c>
      <c r="D1566" s="1" t="s">
        <v>13</v>
      </c>
      <c r="E1566" s="1" t="s">
        <v>21</v>
      </c>
      <c r="F1566" s="5">
        <v>2.8616</v>
      </c>
      <c r="G1566" s="5">
        <v>523.029817</v>
      </c>
      <c r="H1566" s="5">
        <v>1.4308</v>
      </c>
      <c r="I1566" s="5">
        <v>438.0</v>
      </c>
    </row>
    <row r="1567">
      <c r="A1567" s="6" t="s">
        <v>5010</v>
      </c>
      <c r="B1567" s="5">
        <v>5.0</v>
      </c>
      <c r="C1567" s="1" t="s">
        <v>68</v>
      </c>
      <c r="D1567" s="1" t="s">
        <v>13</v>
      </c>
      <c r="E1567" s="1" t="s">
        <v>25</v>
      </c>
      <c r="F1567" s="5">
        <v>0.2933</v>
      </c>
      <c r="G1567" s="5">
        <v>47.36375</v>
      </c>
      <c r="H1567" s="5">
        <v>0.2199</v>
      </c>
      <c r="I1567" s="5">
        <v>168.0</v>
      </c>
    </row>
    <row r="1568">
      <c r="A1568" s="6" t="s">
        <v>5010</v>
      </c>
      <c r="B1568" s="5">
        <v>5.0</v>
      </c>
      <c r="C1568" s="1" t="s">
        <v>68</v>
      </c>
      <c r="D1568" s="1" t="s">
        <v>29</v>
      </c>
      <c r="E1568" s="1" t="s">
        <v>14</v>
      </c>
      <c r="F1568" s="5">
        <v>0.5615</v>
      </c>
      <c r="G1568" s="5">
        <v>72.253721</v>
      </c>
      <c r="H1568" s="5">
        <v>0.1123</v>
      </c>
      <c r="I1568" s="5">
        <v>72.0</v>
      </c>
    </row>
    <row r="1569">
      <c r="A1569" s="6" t="s">
        <v>5010</v>
      </c>
      <c r="B1569" s="5">
        <v>5.0</v>
      </c>
      <c r="C1569" s="1" t="s">
        <v>68</v>
      </c>
      <c r="D1569" s="1" t="s">
        <v>29</v>
      </c>
      <c r="E1569" s="1" t="s">
        <v>21</v>
      </c>
      <c r="F1569" s="5">
        <v>11.3387</v>
      </c>
      <c r="G1569" s="5">
        <v>2381.702329</v>
      </c>
      <c r="H1569" s="5">
        <v>4.5355</v>
      </c>
      <c r="I1569" s="5">
        <v>1918.0</v>
      </c>
    </row>
    <row r="1570">
      <c r="A1570" s="6" t="s">
        <v>5010</v>
      </c>
      <c r="B1570" s="5">
        <v>5.0</v>
      </c>
      <c r="C1570" s="1" t="s">
        <v>68</v>
      </c>
      <c r="D1570" s="1" t="s">
        <v>45</v>
      </c>
      <c r="E1570" s="1" t="s">
        <v>49</v>
      </c>
      <c r="F1570" s="5">
        <v>1.0163</v>
      </c>
      <c r="G1570" s="5">
        <v>58.583002</v>
      </c>
      <c r="H1570" s="5">
        <v>0.2642</v>
      </c>
      <c r="I1570" s="5">
        <v>134.0</v>
      </c>
    </row>
    <row r="1571">
      <c r="A1571" s="6" t="s">
        <v>5010</v>
      </c>
      <c r="B1571" s="5">
        <v>5.0</v>
      </c>
      <c r="C1571" s="1" t="s">
        <v>68</v>
      </c>
      <c r="D1571" s="1" t="s">
        <v>45</v>
      </c>
      <c r="E1571" s="1" t="s">
        <v>17</v>
      </c>
      <c r="F1571" s="5">
        <v>5.2722</v>
      </c>
      <c r="G1571" s="5">
        <v>410.251949</v>
      </c>
      <c r="H1571" s="5">
        <v>1.8979</v>
      </c>
      <c r="I1571" s="5">
        <v>1380.0</v>
      </c>
    </row>
    <row r="1572">
      <c r="A1572" s="6" t="s">
        <v>5010</v>
      </c>
      <c r="B1572" s="5">
        <v>5.0</v>
      </c>
      <c r="C1572" s="1" t="s">
        <v>68</v>
      </c>
      <c r="D1572" s="1" t="s">
        <v>4127</v>
      </c>
      <c r="E1572" s="1" t="s">
        <v>17</v>
      </c>
      <c r="F1572" s="5">
        <v>4.7601</v>
      </c>
      <c r="G1572" s="5">
        <v>382.141359</v>
      </c>
      <c r="H1572" s="5">
        <v>1.6661</v>
      </c>
      <c r="I1572" s="5">
        <v>870.0</v>
      </c>
    </row>
    <row r="1573">
      <c r="A1573" s="6" t="s">
        <v>5010</v>
      </c>
      <c r="B1573" s="5">
        <v>5.0</v>
      </c>
      <c r="C1573" s="1" t="s">
        <v>68</v>
      </c>
      <c r="D1573" s="1" t="s">
        <v>38</v>
      </c>
      <c r="E1573" s="1" t="s">
        <v>39</v>
      </c>
      <c r="F1573" s="5">
        <v>3.8741</v>
      </c>
      <c r="G1573" s="5">
        <v>350.53213</v>
      </c>
      <c r="H1573" s="5">
        <v>0.6973</v>
      </c>
      <c r="I1573" s="5">
        <v>1441.0</v>
      </c>
    </row>
    <row r="1574">
      <c r="A1574" s="6" t="s">
        <v>5010</v>
      </c>
      <c r="B1574" s="5">
        <v>5.0</v>
      </c>
      <c r="C1574" s="1" t="s">
        <v>68</v>
      </c>
      <c r="D1574" s="1" t="s">
        <v>48</v>
      </c>
      <c r="E1574" s="1" t="s">
        <v>49</v>
      </c>
      <c r="F1574" s="5">
        <v>7.0E-4</v>
      </c>
      <c r="G1574" s="5">
        <v>0.296985</v>
      </c>
      <c r="H1574" s="5">
        <v>2.0E-4</v>
      </c>
      <c r="I1574" s="5">
        <v>2.0</v>
      </c>
    </row>
    <row r="1575">
      <c r="A1575" s="6" t="s">
        <v>5010</v>
      </c>
      <c r="B1575" s="5">
        <v>5.0</v>
      </c>
      <c r="C1575" s="1" t="s">
        <v>68</v>
      </c>
      <c r="D1575" s="1" t="s">
        <v>48</v>
      </c>
      <c r="E1575" s="1" t="s">
        <v>72</v>
      </c>
      <c r="F1575" s="5">
        <v>0.0092</v>
      </c>
      <c r="G1575" s="5">
        <v>2.811444</v>
      </c>
      <c r="H1575" s="5">
        <v>0.0028</v>
      </c>
      <c r="I1575" s="5">
        <v>11.0</v>
      </c>
    </row>
    <row r="1576">
      <c r="A1576" s="6" t="s">
        <v>5010</v>
      </c>
      <c r="B1576" s="5">
        <v>5.0</v>
      </c>
      <c r="C1576" s="1" t="s">
        <v>68</v>
      </c>
      <c r="D1576" s="1" t="s">
        <v>48</v>
      </c>
      <c r="E1576" s="1" t="s">
        <v>21</v>
      </c>
      <c r="F1576" s="5">
        <v>1.3945</v>
      </c>
      <c r="G1576" s="5">
        <v>246.065794</v>
      </c>
      <c r="H1576" s="5">
        <v>0.5578</v>
      </c>
      <c r="I1576" s="5">
        <v>345.0</v>
      </c>
    </row>
    <row r="1577">
      <c r="A1577" s="6" t="s">
        <v>5010</v>
      </c>
      <c r="B1577" s="5">
        <v>5.0</v>
      </c>
      <c r="C1577" s="1" t="s">
        <v>68</v>
      </c>
      <c r="D1577" s="1" t="s">
        <v>1851</v>
      </c>
      <c r="E1577" s="1" t="s">
        <v>17</v>
      </c>
      <c r="F1577" s="5">
        <v>3.0453</v>
      </c>
      <c r="G1577" s="5">
        <v>174.863686</v>
      </c>
      <c r="H1577" s="5">
        <v>1.1724</v>
      </c>
      <c r="I1577" s="5">
        <v>915.0</v>
      </c>
    </row>
    <row r="1578">
      <c r="A1578" s="6" t="s">
        <v>5010</v>
      </c>
      <c r="B1578" s="5">
        <v>5.0</v>
      </c>
      <c r="C1578" s="1" t="s">
        <v>68</v>
      </c>
      <c r="D1578" s="1" t="s">
        <v>1851</v>
      </c>
      <c r="E1578" s="1" t="s">
        <v>21</v>
      </c>
      <c r="F1578" s="5">
        <v>0.3384</v>
      </c>
      <c r="G1578" s="5">
        <v>24.139055</v>
      </c>
      <c r="H1578" s="5">
        <v>0.1658</v>
      </c>
      <c r="I1578" s="5">
        <v>144.0</v>
      </c>
    </row>
    <row r="1579">
      <c r="A1579" s="6" t="s">
        <v>5010</v>
      </c>
      <c r="B1579" s="5">
        <v>5.0</v>
      </c>
      <c r="C1579" s="1" t="s">
        <v>68</v>
      </c>
      <c r="D1579" s="1" t="s">
        <v>3962</v>
      </c>
      <c r="E1579" s="1" t="s">
        <v>17</v>
      </c>
      <c r="F1579" s="5">
        <v>1.4164</v>
      </c>
      <c r="G1579" s="5">
        <v>129.822771</v>
      </c>
      <c r="H1579" s="5">
        <v>0.4957</v>
      </c>
      <c r="I1579" s="5">
        <v>529.0</v>
      </c>
    </row>
    <row r="1580">
      <c r="A1580" s="6" t="s">
        <v>5010</v>
      </c>
      <c r="B1580" s="5">
        <v>5.0</v>
      </c>
      <c r="C1580" s="1" t="s">
        <v>68</v>
      </c>
      <c r="D1580" s="1" t="s">
        <v>1830</v>
      </c>
      <c r="E1580" s="1" t="s">
        <v>72</v>
      </c>
      <c r="F1580" s="5">
        <v>1.3728</v>
      </c>
      <c r="G1580" s="5">
        <v>107.913191</v>
      </c>
      <c r="H1580" s="5">
        <v>0.4393</v>
      </c>
      <c r="I1580" s="5">
        <v>1203.0</v>
      </c>
    </row>
    <row r="1581">
      <c r="A1581" s="6" t="s">
        <v>5010</v>
      </c>
      <c r="B1581" s="5">
        <v>5.0</v>
      </c>
      <c r="C1581" s="1" t="s">
        <v>68</v>
      </c>
      <c r="D1581" s="1" t="s">
        <v>2104</v>
      </c>
      <c r="E1581" s="1" t="s">
        <v>17</v>
      </c>
      <c r="F1581" s="5">
        <v>1.5552</v>
      </c>
      <c r="G1581" s="5">
        <v>76.888582</v>
      </c>
      <c r="H1581" s="5">
        <v>0.5444</v>
      </c>
      <c r="I1581" s="5">
        <v>336.0</v>
      </c>
    </row>
    <row r="1582">
      <c r="A1582" s="6" t="s">
        <v>5010</v>
      </c>
      <c r="B1582" s="5">
        <v>5.0</v>
      </c>
      <c r="C1582" s="1" t="s">
        <v>116</v>
      </c>
      <c r="D1582" s="1" t="s">
        <v>13</v>
      </c>
      <c r="E1582" s="1" t="s">
        <v>14</v>
      </c>
      <c r="F1582" s="5">
        <v>83.0088</v>
      </c>
      <c r="G1582" s="5">
        <v>5184.360197</v>
      </c>
      <c r="H1582" s="5">
        <v>17.4319</v>
      </c>
      <c r="I1582" s="5">
        <v>12256.0</v>
      </c>
    </row>
    <row r="1583">
      <c r="A1583" s="6" t="s">
        <v>5010</v>
      </c>
      <c r="B1583" s="5">
        <v>5.0</v>
      </c>
      <c r="C1583" s="1" t="s">
        <v>116</v>
      </c>
      <c r="D1583" s="1" t="s">
        <v>13</v>
      </c>
      <c r="E1583" s="1" t="s">
        <v>17</v>
      </c>
      <c r="F1583" s="5">
        <v>139.1166</v>
      </c>
      <c r="G1583" s="5">
        <v>14277.08856</v>
      </c>
      <c r="H1583" s="5">
        <v>48.6907</v>
      </c>
      <c r="I1583" s="5">
        <v>18024.0</v>
      </c>
    </row>
    <row r="1584">
      <c r="A1584" s="6" t="s">
        <v>5010</v>
      </c>
      <c r="B1584" s="5">
        <v>5.0</v>
      </c>
      <c r="C1584" s="1" t="s">
        <v>116</v>
      </c>
      <c r="D1584" s="1" t="s">
        <v>13</v>
      </c>
      <c r="E1584" s="1" t="s">
        <v>21</v>
      </c>
      <c r="F1584" s="5">
        <v>11.2546</v>
      </c>
      <c r="G1584" s="5">
        <v>1644.230536</v>
      </c>
      <c r="H1584" s="5">
        <v>5.6273</v>
      </c>
      <c r="I1584" s="5">
        <v>891.0</v>
      </c>
    </row>
    <row r="1585">
      <c r="A1585" s="6" t="s">
        <v>5010</v>
      </c>
      <c r="B1585" s="5">
        <v>5.0</v>
      </c>
      <c r="C1585" s="1" t="s">
        <v>116</v>
      </c>
      <c r="D1585" s="1" t="s">
        <v>13</v>
      </c>
      <c r="E1585" s="1" t="s">
        <v>25</v>
      </c>
      <c r="F1585" s="5">
        <v>0.0173</v>
      </c>
      <c r="G1585" s="5">
        <v>3.582185</v>
      </c>
      <c r="H1585" s="5">
        <v>0.013</v>
      </c>
      <c r="I1585" s="5">
        <v>5.0</v>
      </c>
    </row>
    <row r="1586">
      <c r="A1586" s="6" t="s">
        <v>5010</v>
      </c>
      <c r="B1586" s="5">
        <v>5.0</v>
      </c>
      <c r="C1586" s="1" t="s">
        <v>116</v>
      </c>
      <c r="D1586" s="1" t="s">
        <v>29</v>
      </c>
      <c r="E1586" s="1" t="s">
        <v>14</v>
      </c>
      <c r="F1586" s="5">
        <v>1.2908</v>
      </c>
      <c r="G1586" s="5">
        <v>183.721912</v>
      </c>
      <c r="H1586" s="5">
        <v>0.2582</v>
      </c>
      <c r="I1586" s="5">
        <v>293.0</v>
      </c>
    </row>
    <row r="1587">
      <c r="A1587" s="6" t="s">
        <v>5010</v>
      </c>
      <c r="B1587" s="5">
        <v>5.0</v>
      </c>
      <c r="C1587" s="1" t="s">
        <v>116</v>
      </c>
      <c r="D1587" s="1" t="s">
        <v>29</v>
      </c>
      <c r="E1587" s="1" t="s">
        <v>21</v>
      </c>
      <c r="F1587" s="5">
        <v>30.6972</v>
      </c>
      <c r="G1587" s="5">
        <v>6818.829617</v>
      </c>
      <c r="H1587" s="5">
        <v>12.2789</v>
      </c>
      <c r="I1587" s="5">
        <v>4051.0</v>
      </c>
    </row>
    <row r="1588">
      <c r="A1588" s="6" t="s">
        <v>5010</v>
      </c>
      <c r="B1588" s="5">
        <v>5.0</v>
      </c>
      <c r="C1588" s="1" t="s">
        <v>116</v>
      </c>
      <c r="D1588" s="1" t="s">
        <v>45</v>
      </c>
      <c r="E1588" s="1" t="s">
        <v>49</v>
      </c>
      <c r="F1588" s="5">
        <v>2.7366</v>
      </c>
      <c r="G1588" s="5">
        <v>157.761561</v>
      </c>
      <c r="H1588" s="5">
        <v>0.7115</v>
      </c>
      <c r="I1588" s="5">
        <v>352.0</v>
      </c>
    </row>
    <row r="1589">
      <c r="A1589" s="6" t="s">
        <v>5010</v>
      </c>
      <c r="B1589" s="5">
        <v>5.0</v>
      </c>
      <c r="C1589" s="1" t="s">
        <v>116</v>
      </c>
      <c r="D1589" s="1" t="s">
        <v>45</v>
      </c>
      <c r="E1589" s="1" t="s">
        <v>17</v>
      </c>
      <c r="F1589" s="5">
        <v>23.6977</v>
      </c>
      <c r="G1589" s="5">
        <v>1670.173912</v>
      </c>
      <c r="H1589" s="5">
        <v>8.5312</v>
      </c>
      <c r="I1589" s="5">
        <v>1669.0</v>
      </c>
    </row>
    <row r="1590">
      <c r="A1590" s="6" t="s">
        <v>5010</v>
      </c>
      <c r="B1590" s="5">
        <v>5.0</v>
      </c>
      <c r="C1590" s="1" t="s">
        <v>116</v>
      </c>
      <c r="D1590" s="1" t="s">
        <v>48</v>
      </c>
      <c r="E1590" s="1" t="s">
        <v>49</v>
      </c>
      <c r="F1590" s="5">
        <v>0.0088</v>
      </c>
      <c r="G1590" s="5">
        <v>3.545319</v>
      </c>
      <c r="H1590" s="5">
        <v>0.0025</v>
      </c>
      <c r="I1590" s="5">
        <v>6.0</v>
      </c>
    </row>
    <row r="1591">
      <c r="A1591" s="6" t="s">
        <v>5010</v>
      </c>
      <c r="B1591" s="5">
        <v>5.0</v>
      </c>
      <c r="C1591" s="1" t="s">
        <v>116</v>
      </c>
      <c r="D1591" s="1" t="s">
        <v>48</v>
      </c>
      <c r="E1591" s="1" t="s">
        <v>72</v>
      </c>
      <c r="F1591" s="5">
        <v>0.0585</v>
      </c>
      <c r="G1591" s="5">
        <v>17.701399</v>
      </c>
      <c r="H1591" s="5">
        <v>0.0176</v>
      </c>
      <c r="I1591" s="5">
        <v>33.0</v>
      </c>
    </row>
    <row r="1592">
      <c r="A1592" s="6" t="s">
        <v>5010</v>
      </c>
      <c r="B1592" s="5">
        <v>5.0</v>
      </c>
      <c r="C1592" s="1" t="s">
        <v>116</v>
      </c>
      <c r="D1592" s="1" t="s">
        <v>48</v>
      </c>
      <c r="E1592" s="1" t="s">
        <v>21</v>
      </c>
      <c r="F1592" s="5">
        <v>4.6614</v>
      </c>
      <c r="G1592" s="5">
        <v>1070.070585</v>
      </c>
      <c r="H1592" s="5">
        <v>1.8646</v>
      </c>
      <c r="I1592" s="5">
        <v>447.0</v>
      </c>
    </row>
    <row r="1593">
      <c r="A1593" s="6" t="s">
        <v>5010</v>
      </c>
      <c r="B1593" s="5">
        <v>5.0</v>
      </c>
      <c r="C1593" s="1" t="s">
        <v>116</v>
      </c>
      <c r="D1593" s="1" t="s">
        <v>3962</v>
      </c>
      <c r="E1593" s="1" t="s">
        <v>17</v>
      </c>
      <c r="F1593" s="5">
        <v>10.0082</v>
      </c>
      <c r="G1593" s="5">
        <v>934.2562</v>
      </c>
      <c r="H1593" s="5">
        <v>3.5029</v>
      </c>
      <c r="I1593" s="5">
        <v>3211.0</v>
      </c>
    </row>
    <row r="1594">
      <c r="A1594" s="6" t="s">
        <v>5010</v>
      </c>
      <c r="B1594" s="5">
        <v>5.0</v>
      </c>
      <c r="C1594" s="1" t="s">
        <v>116</v>
      </c>
      <c r="D1594" s="1" t="s">
        <v>38</v>
      </c>
      <c r="E1594" s="1" t="s">
        <v>39</v>
      </c>
      <c r="F1594" s="5">
        <v>6.4933</v>
      </c>
      <c r="G1594" s="5">
        <v>637.886115</v>
      </c>
      <c r="H1594" s="5">
        <v>1.1688</v>
      </c>
      <c r="I1594" s="5">
        <v>2563.0</v>
      </c>
    </row>
    <row r="1595">
      <c r="A1595" s="6" t="s">
        <v>5010</v>
      </c>
      <c r="B1595" s="5">
        <v>5.0</v>
      </c>
      <c r="C1595" s="1" t="s">
        <v>116</v>
      </c>
      <c r="D1595" s="1" t="s">
        <v>147</v>
      </c>
      <c r="E1595" s="1" t="s">
        <v>39</v>
      </c>
      <c r="F1595" s="5">
        <v>1.5366</v>
      </c>
      <c r="G1595" s="5">
        <v>489.37299</v>
      </c>
      <c r="H1595" s="5">
        <v>0.2919</v>
      </c>
      <c r="I1595" s="5">
        <v>121.0</v>
      </c>
    </row>
    <row r="1596">
      <c r="A1596" s="6" t="s">
        <v>5010</v>
      </c>
      <c r="B1596" s="5">
        <v>5.0</v>
      </c>
      <c r="C1596" s="1" t="s">
        <v>116</v>
      </c>
      <c r="D1596" s="1" t="s">
        <v>147</v>
      </c>
      <c r="E1596" s="1" t="s">
        <v>17</v>
      </c>
      <c r="F1596" s="5">
        <v>0.0253</v>
      </c>
      <c r="G1596" s="5">
        <v>11.949414</v>
      </c>
      <c r="H1596" s="5">
        <v>0.009</v>
      </c>
      <c r="I1596" s="5">
        <v>6.0</v>
      </c>
    </row>
    <row r="1597">
      <c r="A1597" s="6" t="s">
        <v>5010</v>
      </c>
      <c r="B1597" s="5">
        <v>5.0</v>
      </c>
      <c r="C1597" s="1" t="s">
        <v>116</v>
      </c>
      <c r="D1597" s="1" t="s">
        <v>147</v>
      </c>
      <c r="E1597" s="1" t="s">
        <v>21</v>
      </c>
      <c r="F1597" s="5">
        <v>0.0909</v>
      </c>
      <c r="G1597" s="5">
        <v>47.841618</v>
      </c>
      <c r="H1597" s="5">
        <v>0.0455</v>
      </c>
      <c r="I1597" s="5">
        <v>52.0</v>
      </c>
    </row>
    <row r="1598">
      <c r="A1598" s="6" t="s">
        <v>5010</v>
      </c>
      <c r="B1598" s="5">
        <v>5.0</v>
      </c>
      <c r="C1598" s="1" t="s">
        <v>116</v>
      </c>
      <c r="D1598" s="1" t="s">
        <v>4127</v>
      </c>
      <c r="E1598" s="1" t="s">
        <v>17</v>
      </c>
      <c r="F1598" s="5">
        <v>4.1804</v>
      </c>
      <c r="G1598" s="5">
        <v>344.140954</v>
      </c>
      <c r="H1598" s="5">
        <v>1.4631</v>
      </c>
      <c r="I1598" s="5">
        <v>641.0</v>
      </c>
    </row>
    <row r="1599">
      <c r="A1599" s="6" t="s">
        <v>5010</v>
      </c>
      <c r="B1599" s="5">
        <v>5.0</v>
      </c>
      <c r="C1599" s="1" t="s">
        <v>116</v>
      </c>
      <c r="D1599" s="1" t="s">
        <v>1851</v>
      </c>
      <c r="E1599" s="1" t="s">
        <v>17</v>
      </c>
      <c r="F1599" s="5">
        <v>4.5991</v>
      </c>
      <c r="G1599" s="5">
        <v>302.883131</v>
      </c>
      <c r="H1599" s="5">
        <v>1.7706</v>
      </c>
      <c r="I1599" s="5">
        <v>1506.0</v>
      </c>
    </row>
    <row r="1600">
      <c r="A1600" s="6" t="s">
        <v>5010</v>
      </c>
      <c r="B1600" s="5">
        <v>5.0</v>
      </c>
      <c r="C1600" s="1" t="s">
        <v>116</v>
      </c>
      <c r="D1600" s="1" t="s">
        <v>1851</v>
      </c>
      <c r="E1600" s="1" t="s">
        <v>21</v>
      </c>
      <c r="F1600" s="5">
        <v>0.3958</v>
      </c>
      <c r="G1600" s="5">
        <v>36.618056</v>
      </c>
      <c r="H1600" s="5">
        <v>0.1939</v>
      </c>
      <c r="I1600" s="5">
        <v>125.0</v>
      </c>
    </row>
    <row r="1601">
      <c r="A1601" s="6" t="s">
        <v>5010</v>
      </c>
      <c r="B1601" s="5">
        <v>5.0</v>
      </c>
      <c r="C1601" s="1" t="s">
        <v>116</v>
      </c>
      <c r="D1601" s="1" t="s">
        <v>158</v>
      </c>
      <c r="E1601" s="1" t="s">
        <v>17</v>
      </c>
      <c r="F1601" s="5">
        <v>0.4543</v>
      </c>
      <c r="G1601" s="5">
        <v>194.672956</v>
      </c>
      <c r="H1601" s="5">
        <v>0.159</v>
      </c>
      <c r="I1601" s="5">
        <v>0.0</v>
      </c>
    </row>
    <row r="1602">
      <c r="A1602" s="6" t="s">
        <v>5010</v>
      </c>
      <c r="B1602" s="5">
        <v>5.0</v>
      </c>
      <c r="C1602" s="1" t="s">
        <v>116</v>
      </c>
      <c r="D1602" s="1" t="s">
        <v>158</v>
      </c>
      <c r="E1602" s="1" t="s">
        <v>21</v>
      </c>
      <c r="F1602" s="5">
        <v>0.1734</v>
      </c>
      <c r="G1602" s="5">
        <v>100.229246</v>
      </c>
      <c r="H1602" s="5">
        <v>0.0728</v>
      </c>
      <c r="I1602" s="5">
        <v>0.0</v>
      </c>
    </row>
    <row r="1603">
      <c r="A1603" s="6" t="s">
        <v>5010</v>
      </c>
      <c r="B1603" s="5">
        <v>6.0</v>
      </c>
      <c r="C1603" s="1" t="s">
        <v>12</v>
      </c>
      <c r="D1603" s="1" t="s">
        <v>13</v>
      </c>
      <c r="E1603" s="1" t="s">
        <v>14</v>
      </c>
      <c r="F1603" s="5">
        <v>7.5261</v>
      </c>
      <c r="G1603" s="5">
        <v>562.876647</v>
      </c>
      <c r="H1603" s="5">
        <v>1.5805</v>
      </c>
      <c r="I1603" s="5">
        <v>403.0</v>
      </c>
    </row>
    <row r="1604">
      <c r="A1604" s="6" t="s">
        <v>5010</v>
      </c>
      <c r="B1604" s="5">
        <v>6.0</v>
      </c>
      <c r="C1604" s="1" t="s">
        <v>12</v>
      </c>
      <c r="D1604" s="1" t="s">
        <v>13</v>
      </c>
      <c r="E1604" s="1" t="s">
        <v>17</v>
      </c>
      <c r="F1604" s="5">
        <v>56.8652</v>
      </c>
      <c r="G1604" s="5">
        <v>5681.495903</v>
      </c>
      <c r="H1604" s="5">
        <v>19.9028</v>
      </c>
      <c r="I1604" s="5">
        <v>681.0</v>
      </c>
    </row>
    <row r="1605">
      <c r="A1605" s="6" t="s">
        <v>5010</v>
      </c>
      <c r="B1605" s="5">
        <v>6.0</v>
      </c>
      <c r="C1605" s="1" t="s">
        <v>12</v>
      </c>
      <c r="D1605" s="1" t="s">
        <v>13</v>
      </c>
      <c r="E1605" s="1" t="s">
        <v>21</v>
      </c>
      <c r="F1605" s="5">
        <v>22.7316</v>
      </c>
      <c r="G1605" s="5">
        <v>2922.396679</v>
      </c>
      <c r="H1605" s="5">
        <v>11.3659</v>
      </c>
      <c r="I1605" s="5">
        <v>558.0</v>
      </c>
    </row>
    <row r="1606">
      <c r="A1606" s="6" t="s">
        <v>5010</v>
      </c>
      <c r="B1606" s="5">
        <v>6.0</v>
      </c>
      <c r="C1606" s="1" t="s">
        <v>12</v>
      </c>
      <c r="D1606" s="1" t="s">
        <v>29</v>
      </c>
      <c r="E1606" s="1" t="s">
        <v>14</v>
      </c>
      <c r="F1606" s="5">
        <v>1.1255</v>
      </c>
      <c r="G1606" s="5">
        <v>121.087477</v>
      </c>
      <c r="H1606" s="5">
        <v>0.2251</v>
      </c>
      <c r="I1606" s="5">
        <v>85.0</v>
      </c>
    </row>
    <row r="1607">
      <c r="A1607" s="6" t="s">
        <v>5010</v>
      </c>
      <c r="B1607" s="5">
        <v>6.0</v>
      </c>
      <c r="C1607" s="1" t="s">
        <v>12</v>
      </c>
      <c r="D1607" s="1" t="s">
        <v>29</v>
      </c>
      <c r="E1607" s="1" t="s">
        <v>21</v>
      </c>
      <c r="F1607" s="5">
        <v>27.2284</v>
      </c>
      <c r="G1607" s="5">
        <v>5610.048795</v>
      </c>
      <c r="H1607" s="5">
        <v>10.8914</v>
      </c>
      <c r="I1607" s="5">
        <v>636.0</v>
      </c>
    </row>
    <row r="1608">
      <c r="A1608" s="6" t="s">
        <v>5010</v>
      </c>
      <c r="B1608" s="5">
        <v>6.0</v>
      </c>
      <c r="C1608" s="1" t="s">
        <v>12</v>
      </c>
      <c r="D1608" s="1" t="s">
        <v>48</v>
      </c>
      <c r="E1608" s="1" t="s">
        <v>49</v>
      </c>
      <c r="F1608" s="5">
        <v>0.0095</v>
      </c>
      <c r="G1608" s="5">
        <v>2.881198</v>
      </c>
      <c r="H1608" s="5">
        <v>0.0027</v>
      </c>
      <c r="I1608" s="5">
        <v>8.0</v>
      </c>
    </row>
    <row r="1609">
      <c r="A1609" s="6" t="s">
        <v>5010</v>
      </c>
      <c r="B1609" s="5">
        <v>6.0</v>
      </c>
      <c r="C1609" s="1" t="s">
        <v>12</v>
      </c>
      <c r="D1609" s="1" t="s">
        <v>48</v>
      </c>
      <c r="E1609" s="1" t="s">
        <v>21</v>
      </c>
      <c r="F1609" s="5">
        <v>3.1193</v>
      </c>
      <c r="G1609" s="5">
        <v>536.896802</v>
      </c>
      <c r="H1609" s="5">
        <v>1.2478</v>
      </c>
      <c r="I1609" s="5">
        <v>166.0</v>
      </c>
    </row>
    <row r="1610">
      <c r="A1610" s="6" t="s">
        <v>5010</v>
      </c>
      <c r="B1610" s="5">
        <v>6.0</v>
      </c>
      <c r="C1610" s="1" t="s">
        <v>12</v>
      </c>
      <c r="D1610" s="1" t="s">
        <v>38</v>
      </c>
      <c r="E1610" s="1" t="s">
        <v>39</v>
      </c>
      <c r="F1610" s="5">
        <v>1.9763</v>
      </c>
      <c r="G1610" s="5">
        <v>231.508429</v>
      </c>
      <c r="H1610" s="5">
        <v>0.3557</v>
      </c>
      <c r="I1610" s="5">
        <v>189.0</v>
      </c>
    </row>
    <row r="1611">
      <c r="A1611" s="6" t="s">
        <v>5010</v>
      </c>
      <c r="B1611" s="5">
        <v>6.0</v>
      </c>
      <c r="C1611" s="1" t="s">
        <v>12</v>
      </c>
      <c r="D1611" s="1" t="s">
        <v>45</v>
      </c>
      <c r="E1611" s="1" t="s">
        <v>49</v>
      </c>
      <c r="F1611" s="5">
        <v>0.0432</v>
      </c>
      <c r="G1611" s="5">
        <v>2.459027</v>
      </c>
      <c r="H1611" s="5">
        <v>0.0112</v>
      </c>
      <c r="I1611" s="5">
        <v>5.0</v>
      </c>
    </row>
    <row r="1612">
      <c r="A1612" s="6" t="s">
        <v>5010</v>
      </c>
      <c r="B1612" s="5">
        <v>6.0</v>
      </c>
      <c r="C1612" s="1" t="s">
        <v>12</v>
      </c>
      <c r="D1612" s="1" t="s">
        <v>45</v>
      </c>
      <c r="E1612" s="1" t="s">
        <v>17</v>
      </c>
      <c r="F1612" s="5">
        <v>1.9364</v>
      </c>
      <c r="G1612" s="5">
        <v>166.33235</v>
      </c>
      <c r="H1612" s="5">
        <v>0.6971</v>
      </c>
      <c r="I1612" s="5">
        <v>156.0</v>
      </c>
    </row>
    <row r="1613">
      <c r="A1613" s="6" t="s">
        <v>5010</v>
      </c>
      <c r="B1613" s="5">
        <v>6.0</v>
      </c>
      <c r="C1613" s="1" t="s">
        <v>12</v>
      </c>
      <c r="D1613" s="1" t="s">
        <v>42</v>
      </c>
      <c r="E1613" s="1" t="s">
        <v>17</v>
      </c>
      <c r="F1613" s="5">
        <v>0.756</v>
      </c>
      <c r="G1613" s="5">
        <v>130.466006</v>
      </c>
      <c r="H1613" s="5">
        <v>0.2797</v>
      </c>
      <c r="I1613" s="5">
        <v>0.0</v>
      </c>
    </row>
    <row r="1614">
      <c r="A1614" s="6" t="s">
        <v>5010</v>
      </c>
      <c r="B1614" s="5">
        <v>6.0</v>
      </c>
      <c r="C1614" s="1" t="s">
        <v>12</v>
      </c>
      <c r="D1614" s="1" t="s">
        <v>4127</v>
      </c>
      <c r="E1614" s="1" t="s">
        <v>17</v>
      </c>
      <c r="F1614" s="5">
        <v>1.3609</v>
      </c>
      <c r="G1614" s="5">
        <v>99.192219</v>
      </c>
      <c r="H1614" s="5">
        <v>0.4763</v>
      </c>
      <c r="I1614" s="5">
        <v>123.0</v>
      </c>
    </row>
    <row r="1615">
      <c r="A1615" s="6" t="s">
        <v>5010</v>
      </c>
      <c r="B1615" s="5">
        <v>6.0</v>
      </c>
      <c r="C1615" s="1" t="s">
        <v>12</v>
      </c>
      <c r="D1615" s="1" t="s">
        <v>848</v>
      </c>
      <c r="E1615" s="1" t="s">
        <v>21</v>
      </c>
      <c r="F1615" s="5">
        <v>0.5159</v>
      </c>
      <c r="G1615" s="5">
        <v>65.759904</v>
      </c>
      <c r="H1615" s="5">
        <v>0.2064</v>
      </c>
      <c r="I1615" s="5">
        <v>0.0</v>
      </c>
    </row>
    <row r="1616">
      <c r="A1616" s="6" t="s">
        <v>5010</v>
      </c>
      <c r="B1616" s="5">
        <v>6.0</v>
      </c>
      <c r="C1616" s="1" t="s">
        <v>12</v>
      </c>
      <c r="D1616" s="1" t="s">
        <v>3962</v>
      </c>
      <c r="E1616" s="1" t="s">
        <v>17</v>
      </c>
      <c r="F1616" s="5">
        <v>0.6942</v>
      </c>
      <c r="G1616" s="5">
        <v>64.158082</v>
      </c>
      <c r="H1616" s="5">
        <v>0.2429</v>
      </c>
      <c r="I1616" s="5">
        <v>111.0</v>
      </c>
    </row>
    <row r="1617">
      <c r="A1617" s="6" t="s">
        <v>5010</v>
      </c>
      <c r="B1617" s="5">
        <v>6.0</v>
      </c>
      <c r="C1617" s="1" t="s">
        <v>12</v>
      </c>
      <c r="D1617" s="1" t="s">
        <v>56</v>
      </c>
      <c r="E1617" s="1" t="s">
        <v>21</v>
      </c>
      <c r="F1617" s="5">
        <v>0.205</v>
      </c>
      <c r="G1617" s="5">
        <v>47.942005</v>
      </c>
      <c r="H1617" s="5">
        <v>0.082</v>
      </c>
      <c r="I1617" s="5">
        <v>129.0</v>
      </c>
    </row>
    <row r="1618">
      <c r="A1618" s="6" t="s">
        <v>5010</v>
      </c>
      <c r="B1618" s="5">
        <v>6.0</v>
      </c>
      <c r="C1618" s="1" t="s">
        <v>68</v>
      </c>
      <c r="D1618" s="1" t="s">
        <v>13</v>
      </c>
      <c r="E1618" s="1" t="s">
        <v>14</v>
      </c>
      <c r="F1618" s="5">
        <v>23.0084</v>
      </c>
      <c r="G1618" s="5">
        <v>1685.635691</v>
      </c>
      <c r="H1618" s="5">
        <v>4.8318</v>
      </c>
      <c r="I1618" s="5">
        <v>5156.0</v>
      </c>
    </row>
    <row r="1619">
      <c r="A1619" s="6" t="s">
        <v>5010</v>
      </c>
      <c r="B1619" s="5">
        <v>6.0</v>
      </c>
      <c r="C1619" s="1" t="s">
        <v>68</v>
      </c>
      <c r="D1619" s="1" t="s">
        <v>13</v>
      </c>
      <c r="E1619" s="1" t="s">
        <v>17</v>
      </c>
      <c r="F1619" s="5">
        <v>49.5326</v>
      </c>
      <c r="G1619" s="5">
        <v>5592.503082</v>
      </c>
      <c r="H1619" s="5">
        <v>17.3364</v>
      </c>
      <c r="I1619" s="5">
        <v>9047.0</v>
      </c>
    </row>
    <row r="1620">
      <c r="A1620" s="6" t="s">
        <v>5010</v>
      </c>
      <c r="B1620" s="5">
        <v>6.0</v>
      </c>
      <c r="C1620" s="1" t="s">
        <v>68</v>
      </c>
      <c r="D1620" s="1" t="s">
        <v>13</v>
      </c>
      <c r="E1620" s="1" t="s">
        <v>21</v>
      </c>
      <c r="F1620" s="5">
        <v>1.6843</v>
      </c>
      <c r="G1620" s="5">
        <v>272.150799</v>
      </c>
      <c r="H1620" s="5">
        <v>0.8422</v>
      </c>
      <c r="I1620" s="5">
        <v>405.0</v>
      </c>
    </row>
    <row r="1621">
      <c r="A1621" s="6" t="s">
        <v>5010</v>
      </c>
      <c r="B1621" s="5">
        <v>6.0</v>
      </c>
      <c r="C1621" s="1" t="s">
        <v>68</v>
      </c>
      <c r="D1621" s="1" t="s">
        <v>13</v>
      </c>
      <c r="E1621" s="1" t="s">
        <v>25</v>
      </c>
      <c r="F1621" s="5">
        <v>0.2838</v>
      </c>
      <c r="G1621" s="5">
        <v>45.835925</v>
      </c>
      <c r="H1621" s="5">
        <v>0.2128</v>
      </c>
      <c r="I1621" s="5">
        <v>168.0</v>
      </c>
    </row>
    <row r="1622">
      <c r="A1622" s="6" t="s">
        <v>5010</v>
      </c>
      <c r="B1622" s="5">
        <v>6.0</v>
      </c>
      <c r="C1622" s="1" t="s">
        <v>68</v>
      </c>
      <c r="D1622" s="1" t="s">
        <v>29</v>
      </c>
      <c r="E1622" s="1" t="s">
        <v>14</v>
      </c>
      <c r="F1622" s="5">
        <v>0.4136</v>
      </c>
      <c r="G1622" s="5">
        <v>55.049286</v>
      </c>
      <c r="H1622" s="5">
        <v>0.0827</v>
      </c>
      <c r="I1622" s="5">
        <v>79.0</v>
      </c>
    </row>
    <row r="1623">
      <c r="A1623" s="6" t="s">
        <v>5010</v>
      </c>
      <c r="B1623" s="5">
        <v>6.0</v>
      </c>
      <c r="C1623" s="1" t="s">
        <v>68</v>
      </c>
      <c r="D1623" s="1" t="s">
        <v>29</v>
      </c>
      <c r="E1623" s="1" t="s">
        <v>21</v>
      </c>
      <c r="F1623" s="5">
        <v>10.0684</v>
      </c>
      <c r="G1623" s="5">
        <v>1936.799692</v>
      </c>
      <c r="H1623" s="5">
        <v>4.0274</v>
      </c>
      <c r="I1623" s="5">
        <v>1724.0</v>
      </c>
    </row>
    <row r="1624">
      <c r="A1624" s="6" t="s">
        <v>5010</v>
      </c>
      <c r="B1624" s="5">
        <v>6.0</v>
      </c>
      <c r="C1624" s="1" t="s">
        <v>68</v>
      </c>
      <c r="D1624" s="1" t="s">
        <v>45</v>
      </c>
      <c r="E1624" s="1" t="s">
        <v>49</v>
      </c>
      <c r="F1624" s="5">
        <v>0.7601</v>
      </c>
      <c r="G1624" s="5">
        <v>47.310042</v>
      </c>
      <c r="H1624" s="5">
        <v>0.1977</v>
      </c>
      <c r="I1624" s="5">
        <v>132.0</v>
      </c>
    </row>
    <row r="1625">
      <c r="A1625" s="6" t="s">
        <v>5010</v>
      </c>
      <c r="B1625" s="5">
        <v>6.0</v>
      </c>
      <c r="C1625" s="1" t="s">
        <v>68</v>
      </c>
      <c r="D1625" s="1" t="s">
        <v>45</v>
      </c>
      <c r="E1625" s="1" t="s">
        <v>17</v>
      </c>
      <c r="F1625" s="5">
        <v>4.6069</v>
      </c>
      <c r="G1625" s="5">
        <v>358.479509</v>
      </c>
      <c r="H1625" s="5">
        <v>1.6584</v>
      </c>
      <c r="I1625" s="5">
        <v>1378.0</v>
      </c>
    </row>
    <row r="1626">
      <c r="A1626" s="6" t="s">
        <v>5010</v>
      </c>
      <c r="B1626" s="5">
        <v>6.0</v>
      </c>
      <c r="C1626" s="1" t="s">
        <v>68</v>
      </c>
      <c r="D1626" s="1" t="s">
        <v>38</v>
      </c>
      <c r="E1626" s="1" t="s">
        <v>39</v>
      </c>
      <c r="F1626" s="5">
        <v>3.7427</v>
      </c>
      <c r="G1626" s="5">
        <v>338.563089</v>
      </c>
      <c r="H1626" s="5">
        <v>0.6737</v>
      </c>
      <c r="I1626" s="5">
        <v>1548.0</v>
      </c>
    </row>
    <row r="1627">
      <c r="A1627" s="6" t="s">
        <v>5010</v>
      </c>
      <c r="B1627" s="5">
        <v>6.0</v>
      </c>
      <c r="C1627" s="1" t="s">
        <v>68</v>
      </c>
      <c r="D1627" s="1" t="s">
        <v>4127</v>
      </c>
      <c r="E1627" s="1" t="s">
        <v>17</v>
      </c>
      <c r="F1627" s="5">
        <v>2.3031</v>
      </c>
      <c r="G1627" s="5">
        <v>185.188337</v>
      </c>
      <c r="H1627" s="5">
        <v>0.8061</v>
      </c>
      <c r="I1627" s="5">
        <v>800.0</v>
      </c>
    </row>
    <row r="1628">
      <c r="A1628" s="6" t="s">
        <v>5010</v>
      </c>
      <c r="B1628" s="5">
        <v>6.0</v>
      </c>
      <c r="C1628" s="1" t="s">
        <v>68</v>
      </c>
      <c r="D1628" s="1" t="s">
        <v>1851</v>
      </c>
      <c r="E1628" s="1" t="s">
        <v>17</v>
      </c>
      <c r="F1628" s="5">
        <v>2.3916</v>
      </c>
      <c r="G1628" s="5">
        <v>125.774255</v>
      </c>
      <c r="H1628" s="5">
        <v>0.9208</v>
      </c>
      <c r="I1628" s="5">
        <v>735.0</v>
      </c>
    </row>
    <row r="1629">
      <c r="A1629" s="6" t="s">
        <v>5010</v>
      </c>
      <c r="B1629" s="5">
        <v>6.0</v>
      </c>
      <c r="C1629" s="1" t="s">
        <v>68</v>
      </c>
      <c r="D1629" s="1" t="s">
        <v>1851</v>
      </c>
      <c r="E1629" s="1" t="s">
        <v>21</v>
      </c>
      <c r="F1629" s="5">
        <v>0.3448</v>
      </c>
      <c r="G1629" s="5">
        <v>24.544915</v>
      </c>
      <c r="H1629" s="5">
        <v>0.1689</v>
      </c>
      <c r="I1629" s="5">
        <v>139.0</v>
      </c>
    </row>
    <row r="1630">
      <c r="A1630" s="6" t="s">
        <v>5010</v>
      </c>
      <c r="B1630" s="5">
        <v>6.0</v>
      </c>
      <c r="C1630" s="1" t="s">
        <v>68</v>
      </c>
      <c r="D1630" s="1" t="s">
        <v>48</v>
      </c>
      <c r="E1630" s="1" t="s">
        <v>49</v>
      </c>
      <c r="F1630" s="5">
        <v>0.0013</v>
      </c>
      <c r="G1630" s="5">
        <v>0.436692</v>
      </c>
      <c r="H1630" s="5">
        <v>4.0E-4</v>
      </c>
      <c r="I1630" s="5">
        <v>0.0</v>
      </c>
    </row>
    <row r="1631">
      <c r="A1631" s="6" t="s">
        <v>5010</v>
      </c>
      <c r="B1631" s="5">
        <v>6.0</v>
      </c>
      <c r="C1631" s="1" t="s">
        <v>68</v>
      </c>
      <c r="D1631" s="1" t="s">
        <v>48</v>
      </c>
      <c r="E1631" s="1" t="s">
        <v>72</v>
      </c>
      <c r="F1631" s="5">
        <v>0.0057</v>
      </c>
      <c r="G1631" s="5">
        <v>1.798287</v>
      </c>
      <c r="H1631" s="5">
        <v>0.0017</v>
      </c>
      <c r="I1631" s="5">
        <v>0.0</v>
      </c>
    </row>
    <row r="1632">
      <c r="A1632" s="6" t="s">
        <v>5010</v>
      </c>
      <c r="B1632" s="5">
        <v>6.0</v>
      </c>
      <c r="C1632" s="1" t="s">
        <v>68</v>
      </c>
      <c r="D1632" s="1" t="s">
        <v>48</v>
      </c>
      <c r="E1632" s="1" t="s">
        <v>21</v>
      </c>
      <c r="F1632" s="5">
        <v>0.7973</v>
      </c>
      <c r="G1632" s="5">
        <v>130.889304</v>
      </c>
      <c r="H1632" s="5">
        <v>0.3189</v>
      </c>
      <c r="I1632" s="5">
        <v>0.0</v>
      </c>
    </row>
    <row r="1633">
      <c r="A1633" s="6" t="s">
        <v>5010</v>
      </c>
      <c r="B1633" s="5">
        <v>6.0</v>
      </c>
      <c r="C1633" s="1" t="s">
        <v>68</v>
      </c>
      <c r="D1633" s="1" t="s">
        <v>3962</v>
      </c>
      <c r="E1633" s="1" t="s">
        <v>17</v>
      </c>
      <c r="F1633" s="5">
        <v>1.3516</v>
      </c>
      <c r="G1633" s="5">
        <v>123.076725</v>
      </c>
      <c r="H1633" s="5">
        <v>0.4731</v>
      </c>
      <c r="I1633" s="5">
        <v>569.0</v>
      </c>
    </row>
    <row r="1634">
      <c r="A1634" s="6" t="s">
        <v>5010</v>
      </c>
      <c r="B1634" s="5">
        <v>6.0</v>
      </c>
      <c r="C1634" s="1" t="s">
        <v>68</v>
      </c>
      <c r="D1634" s="1" t="s">
        <v>1830</v>
      </c>
      <c r="E1634" s="1" t="s">
        <v>72</v>
      </c>
      <c r="F1634" s="5">
        <v>0.7768</v>
      </c>
      <c r="G1634" s="5">
        <v>77.288938</v>
      </c>
      <c r="H1634" s="5">
        <v>0.2486</v>
      </c>
      <c r="I1634" s="5">
        <v>548.0</v>
      </c>
    </row>
    <row r="1635">
      <c r="A1635" s="6" t="s">
        <v>5010</v>
      </c>
      <c r="B1635" s="5">
        <v>6.0</v>
      </c>
      <c r="C1635" s="1" t="s">
        <v>68</v>
      </c>
      <c r="D1635" s="1" t="s">
        <v>32</v>
      </c>
      <c r="E1635" s="1" t="s">
        <v>14</v>
      </c>
      <c r="F1635" s="5">
        <v>1.1194</v>
      </c>
      <c r="G1635" s="5">
        <v>73.262568</v>
      </c>
      <c r="H1635" s="5">
        <v>0.2575</v>
      </c>
      <c r="I1635" s="5">
        <v>0.0</v>
      </c>
    </row>
    <row r="1636">
      <c r="A1636" s="6" t="s">
        <v>5010</v>
      </c>
      <c r="B1636" s="5">
        <v>6.0</v>
      </c>
      <c r="C1636" s="1" t="s">
        <v>68</v>
      </c>
      <c r="D1636" s="1" t="s">
        <v>32</v>
      </c>
      <c r="E1636" s="1" t="s">
        <v>21</v>
      </c>
      <c r="F1636" s="5">
        <v>0.0027</v>
      </c>
      <c r="G1636" s="5">
        <v>0.424094</v>
      </c>
      <c r="H1636" s="5">
        <v>0.0012</v>
      </c>
      <c r="I1636" s="5">
        <v>0.0</v>
      </c>
    </row>
    <row r="1637">
      <c r="A1637" s="6" t="s">
        <v>5010</v>
      </c>
      <c r="B1637" s="5">
        <v>6.0</v>
      </c>
      <c r="C1637" s="1" t="s">
        <v>116</v>
      </c>
      <c r="D1637" s="1" t="s">
        <v>13</v>
      </c>
      <c r="E1637" s="1" t="s">
        <v>14</v>
      </c>
      <c r="F1637" s="5">
        <v>51.0212</v>
      </c>
      <c r="G1637" s="5">
        <v>3597.991186</v>
      </c>
      <c r="H1637" s="5">
        <v>10.7144</v>
      </c>
      <c r="I1637" s="5">
        <v>9488.0</v>
      </c>
    </row>
    <row r="1638">
      <c r="A1638" s="6" t="s">
        <v>5010</v>
      </c>
      <c r="B1638" s="5">
        <v>6.0</v>
      </c>
      <c r="C1638" s="1" t="s">
        <v>116</v>
      </c>
      <c r="D1638" s="1" t="s">
        <v>13</v>
      </c>
      <c r="E1638" s="1" t="s">
        <v>17</v>
      </c>
      <c r="F1638" s="5">
        <v>107.7345</v>
      </c>
      <c r="G1638" s="5">
        <v>12022.168798</v>
      </c>
      <c r="H1638" s="5">
        <v>37.707</v>
      </c>
      <c r="I1638" s="5">
        <v>17303.0</v>
      </c>
    </row>
    <row r="1639">
      <c r="A1639" s="6" t="s">
        <v>5010</v>
      </c>
      <c r="B1639" s="5">
        <v>6.0</v>
      </c>
      <c r="C1639" s="1" t="s">
        <v>116</v>
      </c>
      <c r="D1639" s="1" t="s">
        <v>13</v>
      </c>
      <c r="E1639" s="1" t="s">
        <v>21</v>
      </c>
      <c r="F1639" s="5">
        <v>7.0644</v>
      </c>
      <c r="G1639" s="5">
        <v>1132.86316</v>
      </c>
      <c r="H1639" s="5">
        <v>3.5321</v>
      </c>
      <c r="I1639" s="5">
        <v>824.0</v>
      </c>
    </row>
    <row r="1640">
      <c r="A1640" s="6" t="s">
        <v>5010</v>
      </c>
      <c r="B1640" s="5">
        <v>6.0</v>
      </c>
      <c r="C1640" s="1" t="s">
        <v>116</v>
      </c>
      <c r="D1640" s="1" t="s">
        <v>13</v>
      </c>
      <c r="E1640" s="1" t="s">
        <v>25</v>
      </c>
      <c r="F1640" s="5">
        <v>0.0168</v>
      </c>
      <c r="G1640" s="5">
        <v>3.46668</v>
      </c>
      <c r="H1640" s="5">
        <v>0.0126</v>
      </c>
      <c r="I1640" s="5">
        <v>5.0</v>
      </c>
    </row>
    <row r="1641">
      <c r="A1641" s="6" t="s">
        <v>5010</v>
      </c>
      <c r="B1641" s="5">
        <v>6.0</v>
      </c>
      <c r="C1641" s="1" t="s">
        <v>116</v>
      </c>
      <c r="D1641" s="1" t="s">
        <v>29</v>
      </c>
      <c r="E1641" s="1" t="s">
        <v>14</v>
      </c>
      <c r="F1641" s="5">
        <v>1.5532</v>
      </c>
      <c r="G1641" s="5">
        <v>186.218269</v>
      </c>
      <c r="H1641" s="5">
        <v>0.3106</v>
      </c>
      <c r="I1641" s="5">
        <v>276.0</v>
      </c>
    </row>
    <row r="1642">
      <c r="A1642" s="6" t="s">
        <v>5010</v>
      </c>
      <c r="B1642" s="5">
        <v>6.0</v>
      </c>
      <c r="C1642" s="1" t="s">
        <v>116</v>
      </c>
      <c r="D1642" s="1" t="s">
        <v>29</v>
      </c>
      <c r="E1642" s="1" t="s">
        <v>21</v>
      </c>
      <c r="F1642" s="5">
        <v>29.5306</v>
      </c>
      <c r="G1642" s="5">
        <v>6132.884335</v>
      </c>
      <c r="H1642" s="5">
        <v>11.8122</v>
      </c>
      <c r="I1642" s="5">
        <v>4155.0</v>
      </c>
    </row>
    <row r="1643">
      <c r="A1643" s="6" t="s">
        <v>5010</v>
      </c>
      <c r="B1643" s="5">
        <v>6.0</v>
      </c>
      <c r="C1643" s="1" t="s">
        <v>116</v>
      </c>
      <c r="D1643" s="1" t="s">
        <v>45</v>
      </c>
      <c r="E1643" s="1" t="s">
        <v>49</v>
      </c>
      <c r="F1643" s="5">
        <v>2.2017</v>
      </c>
      <c r="G1643" s="5">
        <v>135.541072</v>
      </c>
      <c r="H1643" s="5">
        <v>0.5724</v>
      </c>
      <c r="I1643" s="5">
        <v>359.0</v>
      </c>
    </row>
    <row r="1644">
      <c r="A1644" s="6" t="s">
        <v>5010</v>
      </c>
      <c r="B1644" s="5">
        <v>6.0</v>
      </c>
      <c r="C1644" s="1" t="s">
        <v>116</v>
      </c>
      <c r="D1644" s="1" t="s">
        <v>45</v>
      </c>
      <c r="E1644" s="1" t="s">
        <v>17</v>
      </c>
      <c r="F1644" s="5">
        <v>11.8421</v>
      </c>
      <c r="G1644" s="5">
        <v>998.023275</v>
      </c>
      <c r="H1644" s="5">
        <v>4.2631</v>
      </c>
      <c r="I1644" s="5">
        <v>1694.0</v>
      </c>
    </row>
    <row r="1645">
      <c r="A1645" s="6" t="s">
        <v>5010</v>
      </c>
      <c r="B1645" s="5">
        <v>6.0</v>
      </c>
      <c r="C1645" s="1" t="s">
        <v>116</v>
      </c>
      <c r="D1645" s="1" t="s">
        <v>3962</v>
      </c>
      <c r="E1645" s="1" t="s">
        <v>17</v>
      </c>
      <c r="F1645" s="5">
        <v>8.194</v>
      </c>
      <c r="G1645" s="5">
        <v>763.411125</v>
      </c>
      <c r="H1645" s="5">
        <v>2.8679</v>
      </c>
      <c r="I1645" s="5">
        <v>2990.0</v>
      </c>
    </row>
    <row r="1646">
      <c r="A1646" s="6" t="s">
        <v>5010</v>
      </c>
      <c r="B1646" s="5">
        <v>6.0</v>
      </c>
      <c r="C1646" s="1" t="s">
        <v>116</v>
      </c>
      <c r="D1646" s="1" t="s">
        <v>48</v>
      </c>
      <c r="E1646" s="1" t="s">
        <v>49</v>
      </c>
      <c r="F1646" s="5">
        <v>0.004</v>
      </c>
      <c r="G1646" s="5">
        <v>1.783766</v>
      </c>
      <c r="H1646" s="5">
        <v>0.0011</v>
      </c>
      <c r="I1646" s="5">
        <v>3.0</v>
      </c>
    </row>
    <row r="1647">
      <c r="A1647" s="6" t="s">
        <v>5010</v>
      </c>
      <c r="B1647" s="5">
        <v>6.0</v>
      </c>
      <c r="C1647" s="1" t="s">
        <v>116</v>
      </c>
      <c r="D1647" s="1" t="s">
        <v>48</v>
      </c>
      <c r="E1647" s="1" t="s">
        <v>72</v>
      </c>
      <c r="F1647" s="5">
        <v>0.0437</v>
      </c>
      <c r="G1647" s="5">
        <v>12.487819</v>
      </c>
      <c r="H1647" s="5">
        <v>0.0131</v>
      </c>
      <c r="I1647" s="5">
        <v>31.0</v>
      </c>
    </row>
    <row r="1648">
      <c r="A1648" s="6" t="s">
        <v>5010</v>
      </c>
      <c r="B1648" s="5">
        <v>6.0</v>
      </c>
      <c r="C1648" s="1" t="s">
        <v>116</v>
      </c>
      <c r="D1648" s="1" t="s">
        <v>48</v>
      </c>
      <c r="E1648" s="1" t="s">
        <v>21</v>
      </c>
      <c r="F1648" s="5">
        <v>2.0888</v>
      </c>
      <c r="G1648" s="5">
        <v>570.032862</v>
      </c>
      <c r="H1648" s="5">
        <v>0.8355</v>
      </c>
      <c r="I1648" s="5">
        <v>353.0</v>
      </c>
    </row>
    <row r="1649">
      <c r="A1649" s="6" t="s">
        <v>5010</v>
      </c>
      <c r="B1649" s="5">
        <v>6.0</v>
      </c>
      <c r="C1649" s="1" t="s">
        <v>116</v>
      </c>
      <c r="D1649" s="1" t="s">
        <v>38</v>
      </c>
      <c r="E1649" s="1" t="s">
        <v>39</v>
      </c>
      <c r="F1649" s="5">
        <v>5.4623</v>
      </c>
      <c r="G1649" s="5">
        <v>528.67611</v>
      </c>
      <c r="H1649" s="5">
        <v>0.9833</v>
      </c>
      <c r="I1649" s="5">
        <v>2267.0</v>
      </c>
    </row>
    <row r="1650">
      <c r="A1650" s="6" t="s">
        <v>5010</v>
      </c>
      <c r="B1650" s="5">
        <v>6.0</v>
      </c>
      <c r="C1650" s="1" t="s">
        <v>116</v>
      </c>
      <c r="D1650" s="1" t="s">
        <v>1851</v>
      </c>
      <c r="E1650" s="1" t="s">
        <v>17</v>
      </c>
      <c r="F1650" s="5">
        <v>6.5873</v>
      </c>
      <c r="G1650" s="5">
        <v>378.791908</v>
      </c>
      <c r="H1650" s="5">
        <v>2.5361</v>
      </c>
      <c r="I1650" s="5">
        <v>1670.0</v>
      </c>
    </row>
    <row r="1651">
      <c r="A1651" s="6" t="s">
        <v>5010</v>
      </c>
      <c r="B1651" s="5">
        <v>6.0</v>
      </c>
      <c r="C1651" s="1" t="s">
        <v>116</v>
      </c>
      <c r="D1651" s="1" t="s">
        <v>1851</v>
      </c>
      <c r="E1651" s="1" t="s">
        <v>21</v>
      </c>
      <c r="F1651" s="5">
        <v>0.3579</v>
      </c>
      <c r="G1651" s="5">
        <v>31.427352</v>
      </c>
      <c r="H1651" s="5">
        <v>0.1754</v>
      </c>
      <c r="I1651" s="5">
        <v>112.0</v>
      </c>
    </row>
    <row r="1652">
      <c r="A1652" s="6" t="s">
        <v>5010</v>
      </c>
      <c r="B1652" s="5">
        <v>6.0</v>
      </c>
      <c r="C1652" s="1" t="s">
        <v>116</v>
      </c>
      <c r="D1652" s="1" t="s">
        <v>147</v>
      </c>
      <c r="E1652" s="1" t="s">
        <v>39</v>
      </c>
      <c r="F1652" s="5">
        <v>1.1775</v>
      </c>
      <c r="G1652" s="5">
        <v>383.185945</v>
      </c>
      <c r="H1652" s="5">
        <v>0.2237</v>
      </c>
      <c r="I1652" s="5">
        <v>106.0</v>
      </c>
    </row>
    <row r="1653">
      <c r="A1653" s="6" t="s">
        <v>5010</v>
      </c>
      <c r="B1653" s="5">
        <v>6.0</v>
      </c>
      <c r="C1653" s="1" t="s">
        <v>116</v>
      </c>
      <c r="D1653" s="1" t="s">
        <v>147</v>
      </c>
      <c r="E1653" s="1" t="s">
        <v>17</v>
      </c>
      <c r="F1653" s="5">
        <v>0.0141</v>
      </c>
      <c r="G1653" s="5">
        <v>6.649438</v>
      </c>
      <c r="H1653" s="5">
        <v>0.0049</v>
      </c>
      <c r="I1653" s="5">
        <v>4.0</v>
      </c>
    </row>
    <row r="1654">
      <c r="A1654" s="6" t="s">
        <v>5010</v>
      </c>
      <c r="B1654" s="5">
        <v>6.0</v>
      </c>
      <c r="C1654" s="1" t="s">
        <v>116</v>
      </c>
      <c r="D1654" s="1" t="s">
        <v>147</v>
      </c>
      <c r="E1654" s="1" t="s">
        <v>21</v>
      </c>
      <c r="F1654" s="5">
        <v>0.0464</v>
      </c>
      <c r="G1654" s="5">
        <v>24.763261</v>
      </c>
      <c r="H1654" s="5">
        <v>0.0232</v>
      </c>
      <c r="I1654" s="5">
        <v>37.0</v>
      </c>
    </row>
    <row r="1655">
      <c r="A1655" s="6" t="s">
        <v>5010</v>
      </c>
      <c r="B1655" s="5">
        <v>6.0</v>
      </c>
      <c r="C1655" s="1" t="s">
        <v>116</v>
      </c>
      <c r="D1655" s="1" t="s">
        <v>42</v>
      </c>
      <c r="E1655" s="1" t="s">
        <v>17</v>
      </c>
      <c r="F1655" s="5">
        <v>1.2146</v>
      </c>
      <c r="G1655" s="5">
        <v>247.163292</v>
      </c>
      <c r="H1655" s="5">
        <v>0.4494</v>
      </c>
      <c r="I1655" s="5">
        <v>0.0</v>
      </c>
    </row>
    <row r="1656">
      <c r="A1656" s="6" t="s">
        <v>5010</v>
      </c>
      <c r="B1656" s="5">
        <v>6.0</v>
      </c>
      <c r="C1656" s="1" t="s">
        <v>116</v>
      </c>
      <c r="D1656" s="1" t="s">
        <v>158</v>
      </c>
      <c r="E1656" s="1" t="s">
        <v>17</v>
      </c>
      <c r="F1656" s="5">
        <v>0.2906</v>
      </c>
      <c r="G1656" s="5">
        <v>122.495486</v>
      </c>
      <c r="H1656" s="5">
        <v>0.1017</v>
      </c>
      <c r="I1656" s="5">
        <v>0.0</v>
      </c>
    </row>
    <row r="1657">
      <c r="A1657" s="6" t="s">
        <v>5010</v>
      </c>
      <c r="B1657" s="5">
        <v>6.0</v>
      </c>
      <c r="C1657" s="1" t="s">
        <v>116</v>
      </c>
      <c r="D1657" s="1" t="s">
        <v>158</v>
      </c>
      <c r="E1657" s="1" t="s">
        <v>21</v>
      </c>
      <c r="F1657" s="5">
        <v>0.1318</v>
      </c>
      <c r="G1657" s="5">
        <v>74.971474</v>
      </c>
      <c r="H1657" s="5">
        <v>0.0553</v>
      </c>
      <c r="I1657" s="5">
        <v>0.0</v>
      </c>
    </row>
    <row r="1658">
      <c r="A1658" s="6" t="s">
        <v>5010</v>
      </c>
      <c r="B1658" s="5">
        <v>7.0</v>
      </c>
      <c r="C1658" s="1" t="s">
        <v>12</v>
      </c>
      <c r="D1658" s="1" t="s">
        <v>13</v>
      </c>
      <c r="E1658" s="1" t="s">
        <v>14</v>
      </c>
      <c r="F1658" s="5">
        <v>7.9512</v>
      </c>
      <c r="G1658" s="5">
        <v>593.09146</v>
      </c>
      <c r="H1658" s="5">
        <v>1.6698</v>
      </c>
      <c r="I1658" s="5">
        <v>431.0</v>
      </c>
    </row>
    <row r="1659">
      <c r="A1659" s="6" t="s">
        <v>5010</v>
      </c>
      <c r="B1659" s="5">
        <v>7.0</v>
      </c>
      <c r="C1659" s="1" t="s">
        <v>12</v>
      </c>
      <c r="D1659" s="1" t="s">
        <v>13</v>
      </c>
      <c r="E1659" s="1" t="s">
        <v>17</v>
      </c>
      <c r="F1659" s="5">
        <v>38.0089</v>
      </c>
      <c r="G1659" s="5">
        <v>4003.448941</v>
      </c>
      <c r="H1659" s="5">
        <v>13.3033</v>
      </c>
      <c r="I1659" s="5">
        <v>654.0</v>
      </c>
    </row>
    <row r="1660">
      <c r="A1660" s="6" t="s">
        <v>5010</v>
      </c>
      <c r="B1660" s="5">
        <v>7.0</v>
      </c>
      <c r="C1660" s="1" t="s">
        <v>12</v>
      </c>
      <c r="D1660" s="1" t="s">
        <v>13</v>
      </c>
      <c r="E1660" s="1" t="s">
        <v>21</v>
      </c>
      <c r="F1660" s="5">
        <v>24.3086</v>
      </c>
      <c r="G1660" s="5">
        <v>3206.174313</v>
      </c>
      <c r="H1660" s="5">
        <v>12.1544</v>
      </c>
      <c r="I1660" s="5">
        <v>540.0</v>
      </c>
    </row>
    <row r="1661">
      <c r="A1661" s="6" t="s">
        <v>5010</v>
      </c>
      <c r="B1661" s="5">
        <v>7.0</v>
      </c>
      <c r="C1661" s="1" t="s">
        <v>12</v>
      </c>
      <c r="D1661" s="1" t="s">
        <v>29</v>
      </c>
      <c r="E1661" s="1" t="s">
        <v>14</v>
      </c>
      <c r="F1661" s="5">
        <v>1.267</v>
      </c>
      <c r="G1661" s="5">
        <v>121.739067</v>
      </c>
      <c r="H1661" s="5">
        <v>0.2534</v>
      </c>
      <c r="I1661" s="5">
        <v>81.0</v>
      </c>
    </row>
    <row r="1662">
      <c r="A1662" s="6" t="s">
        <v>5010</v>
      </c>
      <c r="B1662" s="5">
        <v>7.0</v>
      </c>
      <c r="C1662" s="1" t="s">
        <v>12</v>
      </c>
      <c r="D1662" s="1" t="s">
        <v>29</v>
      </c>
      <c r="E1662" s="1" t="s">
        <v>21</v>
      </c>
      <c r="F1662" s="5">
        <v>40.5318</v>
      </c>
      <c r="G1662" s="5">
        <v>7236.981536</v>
      </c>
      <c r="H1662" s="5">
        <v>16.2127</v>
      </c>
      <c r="I1662" s="5">
        <v>627.0</v>
      </c>
    </row>
    <row r="1663">
      <c r="A1663" s="6" t="s">
        <v>5010</v>
      </c>
      <c r="B1663" s="5">
        <v>7.0</v>
      </c>
      <c r="C1663" s="1" t="s">
        <v>12</v>
      </c>
      <c r="D1663" s="1" t="s">
        <v>48</v>
      </c>
      <c r="E1663" s="1" t="s">
        <v>49</v>
      </c>
      <c r="F1663" s="5">
        <v>0.0049</v>
      </c>
      <c r="G1663" s="5">
        <v>1.591611</v>
      </c>
      <c r="H1663" s="5">
        <v>0.0014</v>
      </c>
      <c r="I1663" s="5">
        <v>6.0</v>
      </c>
    </row>
    <row r="1664">
      <c r="A1664" s="6" t="s">
        <v>5010</v>
      </c>
      <c r="B1664" s="5">
        <v>7.0</v>
      </c>
      <c r="C1664" s="1" t="s">
        <v>12</v>
      </c>
      <c r="D1664" s="1" t="s">
        <v>48</v>
      </c>
      <c r="E1664" s="1" t="s">
        <v>21</v>
      </c>
      <c r="F1664" s="5">
        <v>2.5055</v>
      </c>
      <c r="G1664" s="5">
        <v>410.215547</v>
      </c>
      <c r="H1664" s="5">
        <v>1.0021</v>
      </c>
      <c r="I1664" s="5">
        <v>168.0</v>
      </c>
    </row>
    <row r="1665">
      <c r="A1665" s="6" t="s">
        <v>5010</v>
      </c>
      <c r="B1665" s="5">
        <v>7.0</v>
      </c>
      <c r="C1665" s="1" t="s">
        <v>12</v>
      </c>
      <c r="D1665" s="1" t="s">
        <v>38</v>
      </c>
      <c r="E1665" s="1" t="s">
        <v>39</v>
      </c>
      <c r="F1665" s="5">
        <v>2.336</v>
      </c>
      <c r="G1665" s="5">
        <v>263.524314</v>
      </c>
      <c r="H1665" s="5">
        <v>0.4205</v>
      </c>
      <c r="I1665" s="5">
        <v>176.0</v>
      </c>
    </row>
    <row r="1666">
      <c r="A1666" s="6" t="s">
        <v>5010</v>
      </c>
      <c r="B1666" s="5">
        <v>7.0</v>
      </c>
      <c r="C1666" s="1" t="s">
        <v>12</v>
      </c>
      <c r="D1666" s="1" t="s">
        <v>45</v>
      </c>
      <c r="E1666" s="1" t="s">
        <v>49</v>
      </c>
      <c r="F1666" s="5">
        <v>0.0605</v>
      </c>
      <c r="G1666" s="5">
        <v>3.309734</v>
      </c>
      <c r="H1666" s="5">
        <v>0.0157</v>
      </c>
      <c r="I1666" s="5">
        <v>6.0</v>
      </c>
    </row>
    <row r="1667">
      <c r="A1667" s="6" t="s">
        <v>5010</v>
      </c>
      <c r="B1667" s="5">
        <v>7.0</v>
      </c>
      <c r="C1667" s="1" t="s">
        <v>12</v>
      </c>
      <c r="D1667" s="1" t="s">
        <v>45</v>
      </c>
      <c r="E1667" s="1" t="s">
        <v>17</v>
      </c>
      <c r="F1667" s="5">
        <v>2.6689</v>
      </c>
      <c r="G1667" s="5">
        <v>170.500217</v>
      </c>
      <c r="H1667" s="5">
        <v>0.9608</v>
      </c>
      <c r="I1667" s="5">
        <v>157.0</v>
      </c>
    </row>
    <row r="1668">
      <c r="A1668" s="6" t="s">
        <v>5010</v>
      </c>
      <c r="B1668" s="5">
        <v>7.0</v>
      </c>
      <c r="C1668" s="1" t="s">
        <v>12</v>
      </c>
      <c r="D1668" s="1" t="s">
        <v>4127</v>
      </c>
      <c r="E1668" s="1" t="s">
        <v>17</v>
      </c>
      <c r="F1668" s="5">
        <v>1.5616</v>
      </c>
      <c r="G1668" s="5">
        <v>116.544716</v>
      </c>
      <c r="H1668" s="5">
        <v>0.5466</v>
      </c>
      <c r="I1668" s="5">
        <v>107.0</v>
      </c>
    </row>
    <row r="1669">
      <c r="A1669" s="6" t="s">
        <v>5010</v>
      </c>
      <c r="B1669" s="5">
        <v>7.0</v>
      </c>
      <c r="C1669" s="1" t="s">
        <v>12</v>
      </c>
      <c r="D1669" s="1" t="s">
        <v>42</v>
      </c>
      <c r="E1669" s="1" t="s">
        <v>17</v>
      </c>
      <c r="F1669" s="5">
        <v>0.6761</v>
      </c>
      <c r="G1669" s="5">
        <v>116.102321</v>
      </c>
      <c r="H1669" s="5">
        <v>0.2502</v>
      </c>
      <c r="I1669" s="5">
        <v>0.0</v>
      </c>
    </row>
    <row r="1670">
      <c r="A1670" s="6" t="s">
        <v>5010</v>
      </c>
      <c r="B1670" s="5">
        <v>7.0</v>
      </c>
      <c r="C1670" s="1" t="s">
        <v>12</v>
      </c>
      <c r="D1670" s="1" t="s">
        <v>56</v>
      </c>
      <c r="E1670" s="1" t="s">
        <v>21</v>
      </c>
      <c r="F1670" s="5">
        <v>0.4468</v>
      </c>
      <c r="G1670" s="5">
        <v>74.509653</v>
      </c>
      <c r="H1670" s="5">
        <v>0.1787</v>
      </c>
      <c r="I1670" s="5">
        <v>146.0</v>
      </c>
    </row>
    <row r="1671">
      <c r="A1671" s="6" t="s">
        <v>5010</v>
      </c>
      <c r="B1671" s="5">
        <v>7.0</v>
      </c>
      <c r="C1671" s="1" t="s">
        <v>12</v>
      </c>
      <c r="D1671" s="1" t="s">
        <v>3962</v>
      </c>
      <c r="E1671" s="1" t="s">
        <v>17</v>
      </c>
      <c r="F1671" s="5">
        <v>0.8097</v>
      </c>
      <c r="G1671" s="5">
        <v>70.919378</v>
      </c>
      <c r="H1671" s="5">
        <v>0.2833</v>
      </c>
      <c r="I1671" s="5">
        <v>114.0</v>
      </c>
    </row>
    <row r="1672">
      <c r="A1672" s="6" t="s">
        <v>5010</v>
      </c>
      <c r="B1672" s="5">
        <v>7.0</v>
      </c>
      <c r="C1672" s="1" t="s">
        <v>12</v>
      </c>
      <c r="D1672" s="1" t="s">
        <v>4842</v>
      </c>
      <c r="E1672" s="1" t="s">
        <v>17</v>
      </c>
      <c r="F1672" s="5">
        <v>0.6055</v>
      </c>
      <c r="G1672" s="5">
        <v>36.580792</v>
      </c>
      <c r="H1672" s="5">
        <v>0.2119</v>
      </c>
      <c r="I1672" s="5">
        <v>0.0</v>
      </c>
    </row>
    <row r="1673">
      <c r="A1673" s="6" t="s">
        <v>5010</v>
      </c>
      <c r="B1673" s="5">
        <v>7.0</v>
      </c>
      <c r="C1673" s="1" t="s">
        <v>68</v>
      </c>
      <c r="D1673" s="1" t="s">
        <v>13</v>
      </c>
      <c r="E1673" s="1" t="s">
        <v>14</v>
      </c>
      <c r="F1673" s="5">
        <v>21.6452</v>
      </c>
      <c r="G1673" s="5">
        <v>1619.21498</v>
      </c>
      <c r="H1673" s="5">
        <v>4.5455</v>
      </c>
      <c r="I1673" s="5">
        <v>4711.0</v>
      </c>
    </row>
    <row r="1674">
      <c r="A1674" s="6" t="s">
        <v>5010</v>
      </c>
      <c r="B1674" s="5">
        <v>7.0</v>
      </c>
      <c r="C1674" s="1" t="s">
        <v>68</v>
      </c>
      <c r="D1674" s="1" t="s">
        <v>13</v>
      </c>
      <c r="E1674" s="1" t="s">
        <v>17</v>
      </c>
      <c r="F1674" s="5">
        <v>59.8725</v>
      </c>
      <c r="G1674" s="5">
        <v>6284.66363</v>
      </c>
      <c r="H1674" s="5">
        <v>20.9554</v>
      </c>
      <c r="I1674" s="5">
        <v>9650.0</v>
      </c>
    </row>
    <row r="1675">
      <c r="A1675" s="6" t="s">
        <v>5010</v>
      </c>
      <c r="B1675" s="5">
        <v>7.0</v>
      </c>
      <c r="C1675" s="1" t="s">
        <v>68</v>
      </c>
      <c r="D1675" s="1" t="s">
        <v>13</v>
      </c>
      <c r="E1675" s="1" t="s">
        <v>21</v>
      </c>
      <c r="F1675" s="5">
        <v>1.7909</v>
      </c>
      <c r="G1675" s="5">
        <v>304.384897</v>
      </c>
      <c r="H1675" s="5">
        <v>0.8954</v>
      </c>
      <c r="I1675" s="5">
        <v>432.0</v>
      </c>
    </row>
    <row r="1676">
      <c r="A1676" s="6" t="s">
        <v>5010</v>
      </c>
      <c r="B1676" s="5">
        <v>7.0</v>
      </c>
      <c r="C1676" s="1" t="s">
        <v>68</v>
      </c>
      <c r="D1676" s="1" t="s">
        <v>13</v>
      </c>
      <c r="E1676" s="1" t="s">
        <v>25</v>
      </c>
      <c r="F1676" s="5">
        <v>0.2933</v>
      </c>
      <c r="G1676" s="5">
        <v>47.36375</v>
      </c>
      <c r="H1676" s="5">
        <v>0.2199</v>
      </c>
      <c r="I1676" s="5">
        <v>168.0</v>
      </c>
    </row>
    <row r="1677">
      <c r="A1677" s="6" t="s">
        <v>5010</v>
      </c>
      <c r="B1677" s="5">
        <v>7.0</v>
      </c>
      <c r="C1677" s="1" t="s">
        <v>68</v>
      </c>
      <c r="D1677" s="1" t="s">
        <v>29</v>
      </c>
      <c r="E1677" s="1" t="s">
        <v>14</v>
      </c>
      <c r="F1677" s="5">
        <v>0.486</v>
      </c>
      <c r="G1677" s="5">
        <v>65.735039</v>
      </c>
      <c r="H1677" s="5">
        <v>0.0972</v>
      </c>
      <c r="I1677" s="5">
        <v>83.0</v>
      </c>
    </row>
    <row r="1678">
      <c r="A1678" s="6" t="s">
        <v>5010</v>
      </c>
      <c r="B1678" s="5">
        <v>7.0</v>
      </c>
      <c r="C1678" s="1" t="s">
        <v>68</v>
      </c>
      <c r="D1678" s="1" t="s">
        <v>29</v>
      </c>
      <c r="E1678" s="1" t="s">
        <v>21</v>
      </c>
      <c r="F1678" s="5">
        <v>10.2943</v>
      </c>
      <c r="G1678" s="5">
        <v>1980.956217</v>
      </c>
      <c r="H1678" s="5">
        <v>4.1177</v>
      </c>
      <c r="I1678" s="5">
        <v>1693.0</v>
      </c>
    </row>
    <row r="1679">
      <c r="A1679" s="6" t="s">
        <v>5010</v>
      </c>
      <c r="B1679" s="5">
        <v>7.0</v>
      </c>
      <c r="C1679" s="1" t="s">
        <v>68</v>
      </c>
      <c r="D1679" s="1" t="s">
        <v>45</v>
      </c>
      <c r="E1679" s="1" t="s">
        <v>49</v>
      </c>
      <c r="F1679" s="5">
        <v>1.0439</v>
      </c>
      <c r="G1679" s="5">
        <v>59.966876</v>
      </c>
      <c r="H1679" s="5">
        <v>0.2715</v>
      </c>
      <c r="I1679" s="5">
        <v>133.0</v>
      </c>
    </row>
    <row r="1680">
      <c r="A1680" s="6" t="s">
        <v>5010</v>
      </c>
      <c r="B1680" s="5">
        <v>7.0</v>
      </c>
      <c r="C1680" s="1" t="s">
        <v>68</v>
      </c>
      <c r="D1680" s="1" t="s">
        <v>45</v>
      </c>
      <c r="E1680" s="1" t="s">
        <v>17</v>
      </c>
      <c r="F1680" s="5">
        <v>6.6272</v>
      </c>
      <c r="G1680" s="5">
        <v>438.452184</v>
      </c>
      <c r="H1680" s="5">
        <v>2.3858</v>
      </c>
      <c r="I1680" s="5">
        <v>1430.0</v>
      </c>
    </row>
    <row r="1681">
      <c r="A1681" s="6" t="s">
        <v>5010</v>
      </c>
      <c r="B1681" s="5">
        <v>7.0</v>
      </c>
      <c r="C1681" s="1" t="s">
        <v>68</v>
      </c>
      <c r="D1681" s="1" t="s">
        <v>38</v>
      </c>
      <c r="E1681" s="1" t="s">
        <v>39</v>
      </c>
      <c r="F1681" s="5">
        <v>3.7983</v>
      </c>
      <c r="G1681" s="5">
        <v>348.845767</v>
      </c>
      <c r="H1681" s="5">
        <v>0.6837</v>
      </c>
      <c r="I1681" s="5">
        <v>1365.0</v>
      </c>
    </row>
    <row r="1682">
      <c r="A1682" s="6" t="s">
        <v>5010</v>
      </c>
      <c r="B1682" s="5">
        <v>7.0</v>
      </c>
      <c r="C1682" s="1" t="s">
        <v>68</v>
      </c>
      <c r="D1682" s="1" t="s">
        <v>1851</v>
      </c>
      <c r="E1682" s="1" t="s">
        <v>17</v>
      </c>
      <c r="F1682" s="5">
        <v>2.667</v>
      </c>
      <c r="G1682" s="5">
        <v>157.555681</v>
      </c>
      <c r="H1682" s="5">
        <v>1.0267</v>
      </c>
      <c r="I1682" s="5">
        <v>780.0</v>
      </c>
    </row>
    <row r="1683">
      <c r="A1683" s="6" t="s">
        <v>5010</v>
      </c>
      <c r="B1683" s="5">
        <v>7.0</v>
      </c>
      <c r="C1683" s="1" t="s">
        <v>68</v>
      </c>
      <c r="D1683" s="1" t="s">
        <v>1851</v>
      </c>
      <c r="E1683" s="1" t="s">
        <v>21</v>
      </c>
      <c r="F1683" s="5">
        <v>0.3178</v>
      </c>
      <c r="G1683" s="5">
        <v>22.29946</v>
      </c>
      <c r="H1683" s="5">
        <v>0.1557</v>
      </c>
      <c r="I1683" s="5">
        <v>146.0</v>
      </c>
    </row>
    <row r="1684">
      <c r="A1684" s="6" t="s">
        <v>5010</v>
      </c>
      <c r="B1684" s="5">
        <v>7.0</v>
      </c>
      <c r="C1684" s="1" t="s">
        <v>68</v>
      </c>
      <c r="D1684" s="1" t="s">
        <v>42</v>
      </c>
      <c r="E1684" s="1" t="s">
        <v>17</v>
      </c>
      <c r="F1684" s="5">
        <v>0.7056</v>
      </c>
      <c r="G1684" s="5">
        <v>148.367583</v>
      </c>
      <c r="H1684" s="5">
        <v>0.2611</v>
      </c>
      <c r="I1684" s="5">
        <v>0.0</v>
      </c>
    </row>
    <row r="1685">
      <c r="A1685" s="6" t="s">
        <v>5010</v>
      </c>
      <c r="B1685" s="5">
        <v>7.0</v>
      </c>
      <c r="C1685" s="1" t="s">
        <v>68</v>
      </c>
      <c r="D1685" s="1" t="s">
        <v>3962</v>
      </c>
      <c r="E1685" s="1" t="s">
        <v>17</v>
      </c>
      <c r="F1685" s="5">
        <v>1.2556</v>
      </c>
      <c r="G1685" s="5">
        <v>115.030749</v>
      </c>
      <c r="H1685" s="5">
        <v>0.4395</v>
      </c>
      <c r="I1685" s="5">
        <v>554.0</v>
      </c>
    </row>
    <row r="1686">
      <c r="A1686" s="6" t="s">
        <v>5010</v>
      </c>
      <c r="B1686" s="5">
        <v>7.0</v>
      </c>
      <c r="C1686" s="1" t="s">
        <v>68</v>
      </c>
      <c r="D1686" s="1" t="s">
        <v>4127</v>
      </c>
      <c r="E1686" s="1" t="s">
        <v>17</v>
      </c>
      <c r="F1686" s="5">
        <v>1.0859</v>
      </c>
      <c r="G1686" s="5">
        <v>87.554178</v>
      </c>
      <c r="H1686" s="5">
        <v>0.3801</v>
      </c>
      <c r="I1686" s="5">
        <v>525.0</v>
      </c>
    </row>
    <row r="1687">
      <c r="A1687" s="6" t="s">
        <v>5010</v>
      </c>
      <c r="B1687" s="5">
        <v>7.0</v>
      </c>
      <c r="C1687" s="1" t="s">
        <v>68</v>
      </c>
      <c r="D1687" s="1" t="s">
        <v>48</v>
      </c>
      <c r="E1687" s="1" t="s">
        <v>49</v>
      </c>
      <c r="F1687" s="5">
        <v>7.0E-4</v>
      </c>
      <c r="G1687" s="5">
        <v>0.279082</v>
      </c>
      <c r="H1687" s="5">
        <v>2.0E-4</v>
      </c>
      <c r="I1687" s="5">
        <v>0.0</v>
      </c>
    </row>
    <row r="1688">
      <c r="A1688" s="6" t="s">
        <v>5010</v>
      </c>
      <c r="B1688" s="5">
        <v>7.0</v>
      </c>
      <c r="C1688" s="1" t="s">
        <v>68</v>
      </c>
      <c r="D1688" s="1" t="s">
        <v>48</v>
      </c>
      <c r="E1688" s="1" t="s">
        <v>72</v>
      </c>
      <c r="F1688" s="5">
        <v>0.0039</v>
      </c>
      <c r="G1688" s="5">
        <v>1.31538</v>
      </c>
      <c r="H1688" s="5">
        <v>0.0012</v>
      </c>
      <c r="I1688" s="5">
        <v>0.0</v>
      </c>
    </row>
    <row r="1689">
      <c r="A1689" s="6" t="s">
        <v>5010</v>
      </c>
      <c r="B1689" s="5">
        <v>7.0</v>
      </c>
      <c r="C1689" s="1" t="s">
        <v>68</v>
      </c>
      <c r="D1689" s="1" t="s">
        <v>48</v>
      </c>
      <c r="E1689" s="1" t="s">
        <v>21</v>
      </c>
      <c r="F1689" s="5">
        <v>0.5415</v>
      </c>
      <c r="G1689" s="5">
        <v>82.367585</v>
      </c>
      <c r="H1689" s="5">
        <v>0.2166</v>
      </c>
      <c r="I1689" s="5">
        <v>0.0</v>
      </c>
    </row>
    <row r="1690">
      <c r="A1690" s="6" t="s">
        <v>5010</v>
      </c>
      <c r="B1690" s="5">
        <v>7.0</v>
      </c>
      <c r="C1690" s="1" t="s">
        <v>68</v>
      </c>
      <c r="D1690" s="1" t="s">
        <v>32</v>
      </c>
      <c r="E1690" s="1" t="s">
        <v>14</v>
      </c>
      <c r="F1690" s="5">
        <v>1.2143</v>
      </c>
      <c r="G1690" s="5">
        <v>80.504517</v>
      </c>
      <c r="H1690" s="5">
        <v>0.2793</v>
      </c>
      <c r="I1690" s="5">
        <v>0.0</v>
      </c>
    </row>
    <row r="1691">
      <c r="A1691" s="6" t="s">
        <v>5010</v>
      </c>
      <c r="B1691" s="5">
        <v>7.0</v>
      </c>
      <c r="C1691" s="1" t="s">
        <v>68</v>
      </c>
      <c r="D1691" s="1" t="s">
        <v>32</v>
      </c>
      <c r="E1691" s="1" t="s">
        <v>21</v>
      </c>
      <c r="F1691" s="5">
        <v>7.0E-4</v>
      </c>
      <c r="G1691" s="5">
        <v>0.106023</v>
      </c>
      <c r="H1691" s="5">
        <v>3.0E-4</v>
      </c>
      <c r="I1691" s="5">
        <v>0.0</v>
      </c>
    </row>
    <row r="1692">
      <c r="A1692" s="6" t="s">
        <v>5010</v>
      </c>
      <c r="B1692" s="5">
        <v>7.0</v>
      </c>
      <c r="C1692" s="1" t="s">
        <v>116</v>
      </c>
      <c r="D1692" s="1" t="s">
        <v>13</v>
      </c>
      <c r="E1692" s="1" t="s">
        <v>14</v>
      </c>
      <c r="F1692" s="5">
        <v>40.0903</v>
      </c>
      <c r="G1692" s="5">
        <v>2873.741751</v>
      </c>
      <c r="H1692" s="5">
        <v>8.4189</v>
      </c>
      <c r="I1692" s="5">
        <v>7904.0</v>
      </c>
    </row>
    <row r="1693">
      <c r="A1693" s="6" t="s">
        <v>5010</v>
      </c>
      <c r="B1693" s="5">
        <v>7.0</v>
      </c>
      <c r="C1693" s="1" t="s">
        <v>116</v>
      </c>
      <c r="D1693" s="1" t="s">
        <v>13</v>
      </c>
      <c r="E1693" s="1" t="s">
        <v>17</v>
      </c>
      <c r="F1693" s="5">
        <v>154.4919</v>
      </c>
      <c r="G1693" s="5">
        <v>15221.22025</v>
      </c>
      <c r="H1693" s="5">
        <v>54.0723</v>
      </c>
      <c r="I1693" s="5">
        <v>18868.0</v>
      </c>
    </row>
    <row r="1694">
      <c r="A1694" s="6" t="s">
        <v>5010</v>
      </c>
      <c r="B1694" s="5">
        <v>7.0</v>
      </c>
      <c r="C1694" s="1" t="s">
        <v>116</v>
      </c>
      <c r="D1694" s="1" t="s">
        <v>13</v>
      </c>
      <c r="E1694" s="1" t="s">
        <v>21</v>
      </c>
      <c r="F1694" s="5">
        <v>8.9411</v>
      </c>
      <c r="G1694" s="5">
        <v>1254.763085</v>
      </c>
      <c r="H1694" s="5">
        <v>4.4704</v>
      </c>
      <c r="I1694" s="5">
        <v>724.0</v>
      </c>
    </row>
    <row r="1695">
      <c r="A1695" s="6" t="s">
        <v>5010</v>
      </c>
      <c r="B1695" s="5">
        <v>7.0</v>
      </c>
      <c r="C1695" s="1" t="s">
        <v>116</v>
      </c>
      <c r="D1695" s="1" t="s">
        <v>13</v>
      </c>
      <c r="E1695" s="1" t="s">
        <v>25</v>
      </c>
      <c r="F1695" s="5">
        <v>0.0173</v>
      </c>
      <c r="G1695" s="5">
        <v>3.582185</v>
      </c>
      <c r="H1695" s="5">
        <v>0.013</v>
      </c>
      <c r="I1695" s="5">
        <v>5.0</v>
      </c>
    </row>
    <row r="1696">
      <c r="A1696" s="6" t="s">
        <v>5010</v>
      </c>
      <c r="B1696" s="5">
        <v>7.0</v>
      </c>
      <c r="C1696" s="1" t="s">
        <v>116</v>
      </c>
      <c r="D1696" s="1" t="s">
        <v>29</v>
      </c>
      <c r="E1696" s="1" t="s">
        <v>14</v>
      </c>
      <c r="F1696" s="5">
        <v>1.0061</v>
      </c>
      <c r="G1696" s="5">
        <v>141.818135</v>
      </c>
      <c r="H1696" s="5">
        <v>0.2012</v>
      </c>
      <c r="I1696" s="5">
        <v>224.0</v>
      </c>
    </row>
    <row r="1697">
      <c r="A1697" s="6" t="s">
        <v>5010</v>
      </c>
      <c r="B1697" s="5">
        <v>7.0</v>
      </c>
      <c r="C1697" s="1" t="s">
        <v>116</v>
      </c>
      <c r="D1697" s="1" t="s">
        <v>29</v>
      </c>
      <c r="E1697" s="1" t="s">
        <v>21</v>
      </c>
      <c r="F1697" s="5">
        <v>40.7108</v>
      </c>
      <c r="G1697" s="5">
        <v>7831.706976</v>
      </c>
      <c r="H1697" s="5">
        <v>16.2843</v>
      </c>
      <c r="I1697" s="5">
        <v>3981.0</v>
      </c>
    </row>
    <row r="1698">
      <c r="A1698" s="6" t="s">
        <v>5010</v>
      </c>
      <c r="B1698" s="5">
        <v>7.0</v>
      </c>
      <c r="C1698" s="1" t="s">
        <v>116</v>
      </c>
      <c r="D1698" s="1" t="s">
        <v>45</v>
      </c>
      <c r="E1698" s="1" t="s">
        <v>49</v>
      </c>
      <c r="F1698" s="5">
        <v>2.8408</v>
      </c>
      <c r="G1698" s="5">
        <v>162.031473</v>
      </c>
      <c r="H1698" s="5">
        <v>0.7386</v>
      </c>
      <c r="I1698" s="5">
        <v>357.0</v>
      </c>
    </row>
    <row r="1699">
      <c r="A1699" s="6" t="s">
        <v>5010</v>
      </c>
      <c r="B1699" s="5">
        <v>7.0</v>
      </c>
      <c r="C1699" s="1" t="s">
        <v>116</v>
      </c>
      <c r="D1699" s="1" t="s">
        <v>45</v>
      </c>
      <c r="E1699" s="1" t="s">
        <v>17</v>
      </c>
      <c r="F1699" s="5">
        <v>23.9214</v>
      </c>
      <c r="G1699" s="5">
        <v>1649.091699</v>
      </c>
      <c r="H1699" s="5">
        <v>8.6118</v>
      </c>
      <c r="I1699" s="5">
        <v>1727.0</v>
      </c>
    </row>
    <row r="1700">
      <c r="A1700" s="6" t="s">
        <v>5010</v>
      </c>
      <c r="B1700" s="5">
        <v>7.0</v>
      </c>
      <c r="C1700" s="1" t="s">
        <v>116</v>
      </c>
      <c r="D1700" s="1" t="s">
        <v>3962</v>
      </c>
      <c r="E1700" s="1" t="s">
        <v>17</v>
      </c>
      <c r="F1700" s="5">
        <v>9.1713</v>
      </c>
      <c r="G1700" s="5">
        <v>848.269895</v>
      </c>
      <c r="H1700" s="5">
        <v>3.2099</v>
      </c>
      <c r="I1700" s="5">
        <v>3168.0</v>
      </c>
    </row>
    <row r="1701">
      <c r="A1701" s="6" t="s">
        <v>5010</v>
      </c>
      <c r="B1701" s="5">
        <v>7.0</v>
      </c>
      <c r="C1701" s="1" t="s">
        <v>116</v>
      </c>
      <c r="D1701" s="1" t="s">
        <v>48</v>
      </c>
      <c r="E1701" s="1" t="s">
        <v>49</v>
      </c>
      <c r="F1701" s="5">
        <v>0.0014</v>
      </c>
      <c r="G1701" s="5">
        <v>0.525873</v>
      </c>
      <c r="H1701" s="5">
        <v>4.0E-4</v>
      </c>
      <c r="I1701" s="5">
        <v>2.0</v>
      </c>
    </row>
    <row r="1702">
      <c r="A1702" s="6" t="s">
        <v>5010</v>
      </c>
      <c r="B1702" s="5">
        <v>7.0</v>
      </c>
      <c r="C1702" s="1" t="s">
        <v>116</v>
      </c>
      <c r="D1702" s="1" t="s">
        <v>48</v>
      </c>
      <c r="E1702" s="1" t="s">
        <v>72</v>
      </c>
      <c r="F1702" s="5">
        <v>0.0231</v>
      </c>
      <c r="G1702" s="5">
        <v>7.314819</v>
      </c>
      <c r="H1702" s="5">
        <v>0.007</v>
      </c>
      <c r="I1702" s="5">
        <v>29.0</v>
      </c>
    </row>
    <row r="1703">
      <c r="A1703" s="6" t="s">
        <v>5010</v>
      </c>
      <c r="B1703" s="5">
        <v>7.0</v>
      </c>
      <c r="C1703" s="1" t="s">
        <v>116</v>
      </c>
      <c r="D1703" s="1" t="s">
        <v>48</v>
      </c>
      <c r="E1703" s="1" t="s">
        <v>21</v>
      </c>
      <c r="F1703" s="5">
        <v>2.3618</v>
      </c>
      <c r="G1703" s="5">
        <v>597.382523</v>
      </c>
      <c r="H1703" s="5">
        <v>0.9447</v>
      </c>
      <c r="I1703" s="5">
        <v>406.0</v>
      </c>
    </row>
    <row r="1704">
      <c r="A1704" s="6" t="s">
        <v>5010</v>
      </c>
      <c r="B1704" s="5">
        <v>7.0</v>
      </c>
      <c r="C1704" s="1" t="s">
        <v>116</v>
      </c>
      <c r="D1704" s="1" t="s">
        <v>38</v>
      </c>
      <c r="E1704" s="1" t="s">
        <v>39</v>
      </c>
      <c r="F1704" s="5">
        <v>5.221</v>
      </c>
      <c r="G1704" s="5">
        <v>520.676349</v>
      </c>
      <c r="H1704" s="5">
        <v>0.9398</v>
      </c>
      <c r="I1704" s="5">
        <v>2169.0</v>
      </c>
    </row>
    <row r="1705">
      <c r="A1705" s="6" t="s">
        <v>5010</v>
      </c>
      <c r="B1705" s="5">
        <v>7.0</v>
      </c>
      <c r="C1705" s="1" t="s">
        <v>116</v>
      </c>
      <c r="D1705" s="1" t="s">
        <v>1851</v>
      </c>
      <c r="E1705" s="1" t="s">
        <v>17</v>
      </c>
      <c r="F1705" s="5">
        <v>5.7889</v>
      </c>
      <c r="G1705" s="5">
        <v>309.182473</v>
      </c>
      <c r="H1705" s="5">
        <v>2.2287</v>
      </c>
      <c r="I1705" s="5">
        <v>1453.0</v>
      </c>
    </row>
    <row r="1706">
      <c r="A1706" s="6" t="s">
        <v>5010</v>
      </c>
      <c r="B1706" s="5">
        <v>7.0</v>
      </c>
      <c r="C1706" s="1" t="s">
        <v>116</v>
      </c>
      <c r="D1706" s="1" t="s">
        <v>1851</v>
      </c>
      <c r="E1706" s="1" t="s">
        <v>21</v>
      </c>
      <c r="F1706" s="5">
        <v>0.4008</v>
      </c>
      <c r="G1706" s="5">
        <v>36.390825</v>
      </c>
      <c r="H1706" s="5">
        <v>0.1964</v>
      </c>
      <c r="I1706" s="5">
        <v>109.0</v>
      </c>
    </row>
    <row r="1707">
      <c r="A1707" s="6" t="s">
        <v>5010</v>
      </c>
      <c r="B1707" s="5">
        <v>7.0</v>
      </c>
      <c r="C1707" s="1" t="s">
        <v>116</v>
      </c>
      <c r="D1707" s="1" t="s">
        <v>147</v>
      </c>
      <c r="E1707" s="1" t="s">
        <v>39</v>
      </c>
      <c r="F1707" s="5">
        <v>0.9701</v>
      </c>
      <c r="G1707" s="5">
        <v>318.702764</v>
      </c>
      <c r="H1707" s="5">
        <v>0.1843</v>
      </c>
      <c r="I1707" s="5">
        <v>99.0</v>
      </c>
    </row>
    <row r="1708">
      <c r="A1708" s="6" t="s">
        <v>5010</v>
      </c>
      <c r="B1708" s="5">
        <v>7.0</v>
      </c>
      <c r="C1708" s="1" t="s">
        <v>116</v>
      </c>
      <c r="D1708" s="1" t="s">
        <v>147</v>
      </c>
      <c r="E1708" s="1" t="s">
        <v>17</v>
      </c>
      <c r="F1708" s="5">
        <v>0.0077</v>
      </c>
      <c r="G1708" s="5">
        <v>3.731573</v>
      </c>
      <c r="H1708" s="5">
        <v>0.0027</v>
      </c>
      <c r="I1708" s="5">
        <v>3.0</v>
      </c>
    </row>
    <row r="1709">
      <c r="A1709" s="6" t="s">
        <v>5010</v>
      </c>
      <c r="B1709" s="5">
        <v>7.0</v>
      </c>
      <c r="C1709" s="1" t="s">
        <v>116</v>
      </c>
      <c r="D1709" s="1" t="s">
        <v>147</v>
      </c>
      <c r="E1709" s="1" t="s">
        <v>21</v>
      </c>
      <c r="F1709" s="5">
        <v>0.0418</v>
      </c>
      <c r="G1709" s="5">
        <v>22.339708</v>
      </c>
      <c r="H1709" s="5">
        <v>0.021</v>
      </c>
      <c r="I1709" s="5">
        <v>36.0</v>
      </c>
    </row>
    <row r="1710">
      <c r="A1710" s="6" t="s">
        <v>5010</v>
      </c>
      <c r="B1710" s="5">
        <v>7.0</v>
      </c>
      <c r="C1710" s="1" t="s">
        <v>116</v>
      </c>
      <c r="D1710" s="1" t="s">
        <v>4842</v>
      </c>
      <c r="E1710" s="1" t="s">
        <v>17</v>
      </c>
      <c r="F1710" s="5">
        <v>3.8847</v>
      </c>
      <c r="G1710" s="5">
        <v>224.618831</v>
      </c>
      <c r="H1710" s="5">
        <v>1.3597</v>
      </c>
      <c r="I1710" s="5">
        <v>0.0</v>
      </c>
    </row>
    <row r="1711">
      <c r="A1711" s="6" t="s">
        <v>5010</v>
      </c>
      <c r="B1711" s="5">
        <v>7.0</v>
      </c>
      <c r="C1711" s="1" t="s">
        <v>116</v>
      </c>
      <c r="D1711" s="1" t="s">
        <v>4929</v>
      </c>
      <c r="E1711" s="1" t="s">
        <v>21</v>
      </c>
      <c r="F1711" s="5">
        <v>1.0334</v>
      </c>
      <c r="G1711" s="5">
        <v>198.984905</v>
      </c>
      <c r="H1711" s="5">
        <v>0.4133</v>
      </c>
      <c r="I1711" s="5">
        <v>0.0</v>
      </c>
    </row>
    <row r="1712">
      <c r="A1712" s="6" t="s">
        <v>5010</v>
      </c>
      <c r="B1712" s="5">
        <v>8.0</v>
      </c>
      <c r="C1712" s="1" t="s">
        <v>12</v>
      </c>
      <c r="D1712" s="1" t="s">
        <v>13</v>
      </c>
      <c r="E1712" s="1" t="s">
        <v>14</v>
      </c>
      <c r="F1712" s="5">
        <v>8.0893</v>
      </c>
      <c r="G1712" s="5">
        <v>594.588783</v>
      </c>
      <c r="H1712" s="5">
        <v>1.6988</v>
      </c>
      <c r="I1712" s="5">
        <v>408.0</v>
      </c>
    </row>
    <row r="1713">
      <c r="A1713" s="6" t="s">
        <v>5010</v>
      </c>
      <c r="B1713" s="5">
        <v>8.0</v>
      </c>
      <c r="C1713" s="1" t="s">
        <v>12</v>
      </c>
      <c r="D1713" s="1" t="s">
        <v>13</v>
      </c>
      <c r="E1713" s="1" t="s">
        <v>17</v>
      </c>
      <c r="F1713" s="5">
        <v>30.6216</v>
      </c>
      <c r="G1713" s="5">
        <v>3368.865598</v>
      </c>
      <c r="H1713" s="5">
        <v>10.7176</v>
      </c>
      <c r="I1713" s="5">
        <v>636.0</v>
      </c>
    </row>
    <row r="1714">
      <c r="A1714" s="6" t="s">
        <v>5010</v>
      </c>
      <c r="B1714" s="5">
        <v>8.0</v>
      </c>
      <c r="C1714" s="1" t="s">
        <v>12</v>
      </c>
      <c r="D1714" s="1" t="s">
        <v>13</v>
      </c>
      <c r="E1714" s="1" t="s">
        <v>21</v>
      </c>
      <c r="F1714" s="5">
        <v>26.0514</v>
      </c>
      <c r="G1714" s="5">
        <v>3372.173873</v>
      </c>
      <c r="H1714" s="5">
        <v>13.0236</v>
      </c>
      <c r="I1714" s="5">
        <v>490.0</v>
      </c>
    </row>
    <row r="1715">
      <c r="A1715" s="6" t="s">
        <v>5010</v>
      </c>
      <c r="B1715" s="5">
        <v>8.0</v>
      </c>
      <c r="C1715" s="1" t="s">
        <v>12</v>
      </c>
      <c r="D1715" s="1" t="s">
        <v>29</v>
      </c>
      <c r="E1715" s="1" t="s">
        <v>14</v>
      </c>
      <c r="F1715" s="5">
        <v>0.4655</v>
      </c>
      <c r="G1715" s="5">
        <v>39.605675</v>
      </c>
      <c r="H1715" s="5">
        <v>0.0932</v>
      </c>
      <c r="I1715" s="5">
        <v>65.0</v>
      </c>
    </row>
    <row r="1716">
      <c r="A1716" s="6" t="s">
        <v>5010</v>
      </c>
      <c r="B1716" s="5">
        <v>8.0</v>
      </c>
      <c r="C1716" s="1" t="s">
        <v>12</v>
      </c>
      <c r="D1716" s="1" t="s">
        <v>29</v>
      </c>
      <c r="E1716" s="1" t="s">
        <v>21</v>
      </c>
      <c r="F1716" s="5">
        <v>28.0768</v>
      </c>
      <c r="G1716" s="5">
        <v>5767.139737</v>
      </c>
      <c r="H1716" s="5">
        <v>11.2308</v>
      </c>
      <c r="I1716" s="5">
        <v>620.0</v>
      </c>
    </row>
    <row r="1717">
      <c r="A1717" s="6" t="s">
        <v>5010</v>
      </c>
      <c r="B1717" s="5">
        <v>8.0</v>
      </c>
      <c r="C1717" s="1" t="s">
        <v>12</v>
      </c>
      <c r="D1717" s="1" t="s">
        <v>48</v>
      </c>
      <c r="E1717" s="1" t="s">
        <v>49</v>
      </c>
      <c r="F1717" s="5">
        <v>0.0027</v>
      </c>
      <c r="G1717" s="5">
        <v>0.850839</v>
      </c>
      <c r="H1717" s="5">
        <v>7.0E-4</v>
      </c>
      <c r="I1717" s="5">
        <v>4.0</v>
      </c>
    </row>
    <row r="1718">
      <c r="A1718" s="6" t="s">
        <v>5010</v>
      </c>
      <c r="B1718" s="5">
        <v>8.0</v>
      </c>
      <c r="C1718" s="1" t="s">
        <v>12</v>
      </c>
      <c r="D1718" s="1" t="s">
        <v>48</v>
      </c>
      <c r="E1718" s="1" t="s">
        <v>21</v>
      </c>
      <c r="F1718" s="5">
        <v>2.3601</v>
      </c>
      <c r="G1718" s="5">
        <v>370.523807</v>
      </c>
      <c r="H1718" s="5">
        <v>0.944</v>
      </c>
      <c r="I1718" s="5">
        <v>168.0</v>
      </c>
    </row>
    <row r="1719">
      <c r="A1719" s="6" t="s">
        <v>5010</v>
      </c>
      <c r="B1719" s="5">
        <v>8.0</v>
      </c>
      <c r="C1719" s="1" t="s">
        <v>12</v>
      </c>
      <c r="D1719" s="1" t="s">
        <v>38</v>
      </c>
      <c r="E1719" s="1" t="s">
        <v>39</v>
      </c>
      <c r="F1719" s="5">
        <v>3.3197</v>
      </c>
      <c r="G1719" s="5">
        <v>345.179241</v>
      </c>
      <c r="H1719" s="5">
        <v>0.5976</v>
      </c>
      <c r="I1719" s="5">
        <v>166.0</v>
      </c>
    </row>
    <row r="1720">
      <c r="A1720" s="6" t="s">
        <v>5010</v>
      </c>
      <c r="B1720" s="5">
        <v>8.0</v>
      </c>
      <c r="C1720" s="1" t="s">
        <v>12</v>
      </c>
      <c r="D1720" s="1" t="s">
        <v>45</v>
      </c>
      <c r="E1720" s="1" t="s">
        <v>49</v>
      </c>
      <c r="F1720" s="5">
        <v>0.0414</v>
      </c>
      <c r="G1720" s="5">
        <v>2.198378</v>
      </c>
      <c r="H1720" s="5">
        <v>0.0107</v>
      </c>
      <c r="I1720" s="5">
        <v>4.0</v>
      </c>
    </row>
    <row r="1721">
      <c r="A1721" s="6" t="s">
        <v>5010</v>
      </c>
      <c r="B1721" s="5">
        <v>8.0</v>
      </c>
      <c r="C1721" s="1" t="s">
        <v>12</v>
      </c>
      <c r="D1721" s="1" t="s">
        <v>45</v>
      </c>
      <c r="E1721" s="1" t="s">
        <v>17</v>
      </c>
      <c r="F1721" s="5">
        <v>2.4137</v>
      </c>
      <c r="G1721" s="5">
        <v>161.854701</v>
      </c>
      <c r="H1721" s="5">
        <v>0.8689</v>
      </c>
      <c r="I1721" s="5">
        <v>156.0</v>
      </c>
    </row>
    <row r="1722">
      <c r="A1722" s="6" t="s">
        <v>5010</v>
      </c>
      <c r="B1722" s="5">
        <v>8.0</v>
      </c>
      <c r="C1722" s="1" t="s">
        <v>12</v>
      </c>
      <c r="D1722" s="1" t="s">
        <v>4955</v>
      </c>
      <c r="E1722" s="1" t="s">
        <v>49</v>
      </c>
      <c r="F1722" s="5">
        <v>2.399</v>
      </c>
      <c r="G1722" s="5">
        <v>145.440369</v>
      </c>
      <c r="H1722" s="5">
        <v>0.5997</v>
      </c>
      <c r="I1722" s="5">
        <v>0.0</v>
      </c>
    </row>
    <row r="1723">
      <c r="A1723" s="6" t="s">
        <v>5010</v>
      </c>
      <c r="B1723" s="5">
        <v>8.0</v>
      </c>
      <c r="C1723" s="1" t="s">
        <v>12</v>
      </c>
      <c r="D1723" s="1" t="s">
        <v>4842</v>
      </c>
      <c r="E1723" s="1" t="s">
        <v>17</v>
      </c>
      <c r="F1723" s="5">
        <v>2.0727</v>
      </c>
      <c r="G1723" s="5">
        <v>109.779905</v>
      </c>
      <c r="H1723" s="5">
        <v>0.7254</v>
      </c>
      <c r="I1723" s="5">
        <v>0.0</v>
      </c>
    </row>
    <row r="1724">
      <c r="A1724" s="6" t="s">
        <v>5010</v>
      </c>
      <c r="B1724" s="5">
        <v>8.0</v>
      </c>
      <c r="C1724" s="1" t="s">
        <v>12</v>
      </c>
      <c r="D1724" s="1" t="s">
        <v>4127</v>
      </c>
      <c r="E1724" s="1" t="s">
        <v>17</v>
      </c>
      <c r="F1724" s="5">
        <v>1.1654</v>
      </c>
      <c r="G1724" s="5">
        <v>91.105465</v>
      </c>
      <c r="H1724" s="5">
        <v>0.4078</v>
      </c>
      <c r="I1724" s="5">
        <v>85.0</v>
      </c>
    </row>
    <row r="1725">
      <c r="A1725" s="6" t="s">
        <v>5010</v>
      </c>
      <c r="B1725" s="5">
        <v>8.0</v>
      </c>
      <c r="C1725" s="1" t="s">
        <v>12</v>
      </c>
      <c r="D1725" s="1" t="s">
        <v>3962</v>
      </c>
      <c r="E1725" s="1" t="s">
        <v>17</v>
      </c>
      <c r="F1725" s="5">
        <v>0.9713</v>
      </c>
      <c r="G1725" s="5">
        <v>82.145393</v>
      </c>
      <c r="H1725" s="5">
        <v>0.34</v>
      </c>
      <c r="I1725" s="5">
        <v>115.0</v>
      </c>
    </row>
    <row r="1726">
      <c r="A1726" s="6" t="s">
        <v>5010</v>
      </c>
      <c r="B1726" s="5">
        <v>8.0</v>
      </c>
      <c r="C1726" s="1" t="s">
        <v>12</v>
      </c>
      <c r="D1726" s="1" t="s">
        <v>56</v>
      </c>
      <c r="E1726" s="1" t="s">
        <v>21</v>
      </c>
      <c r="F1726" s="5">
        <v>0.3917</v>
      </c>
      <c r="G1726" s="5">
        <v>67.406085</v>
      </c>
      <c r="H1726" s="5">
        <v>0.1567</v>
      </c>
      <c r="I1726" s="5">
        <v>147.0</v>
      </c>
    </row>
    <row r="1727">
      <c r="A1727" s="6" t="s">
        <v>5010</v>
      </c>
      <c r="B1727" s="5">
        <v>8.0</v>
      </c>
      <c r="C1727" s="1" t="s">
        <v>68</v>
      </c>
      <c r="D1727" s="1" t="s">
        <v>13</v>
      </c>
      <c r="E1727" s="1" t="s">
        <v>14</v>
      </c>
      <c r="F1727" s="5">
        <v>17.5685</v>
      </c>
      <c r="G1727" s="5">
        <v>1345.404076</v>
      </c>
      <c r="H1727" s="5">
        <v>3.6894</v>
      </c>
      <c r="I1727" s="5">
        <v>3957.0</v>
      </c>
    </row>
    <row r="1728">
      <c r="A1728" s="6" t="s">
        <v>5010</v>
      </c>
      <c r="B1728" s="5">
        <v>8.0</v>
      </c>
      <c r="C1728" s="1" t="s">
        <v>68</v>
      </c>
      <c r="D1728" s="1" t="s">
        <v>13</v>
      </c>
      <c r="E1728" s="1" t="s">
        <v>17</v>
      </c>
      <c r="F1728" s="5">
        <v>58.144</v>
      </c>
      <c r="G1728" s="5">
        <v>6175.532397</v>
      </c>
      <c r="H1728" s="5">
        <v>20.3505</v>
      </c>
      <c r="I1728" s="5">
        <v>9622.0</v>
      </c>
    </row>
    <row r="1729">
      <c r="A1729" s="6" t="s">
        <v>5010</v>
      </c>
      <c r="B1729" s="5">
        <v>8.0</v>
      </c>
      <c r="C1729" s="1" t="s">
        <v>68</v>
      </c>
      <c r="D1729" s="1" t="s">
        <v>13</v>
      </c>
      <c r="E1729" s="1" t="s">
        <v>21</v>
      </c>
      <c r="F1729" s="5">
        <v>2.6274</v>
      </c>
      <c r="G1729" s="5">
        <v>400.438319</v>
      </c>
      <c r="H1729" s="5">
        <v>1.3064</v>
      </c>
      <c r="I1729" s="5">
        <v>873.0</v>
      </c>
    </row>
    <row r="1730">
      <c r="A1730" s="6" t="s">
        <v>5010</v>
      </c>
      <c r="B1730" s="5">
        <v>8.0</v>
      </c>
      <c r="C1730" s="1" t="s">
        <v>68</v>
      </c>
      <c r="D1730" s="1" t="s">
        <v>13</v>
      </c>
      <c r="E1730" s="1" t="s">
        <v>25</v>
      </c>
      <c r="F1730" s="5">
        <v>0.2933</v>
      </c>
      <c r="G1730" s="5">
        <v>47.36375</v>
      </c>
      <c r="H1730" s="5">
        <v>0.2199</v>
      </c>
      <c r="I1730" s="5">
        <v>168.0</v>
      </c>
    </row>
    <row r="1731">
      <c r="A1731" s="6" t="s">
        <v>5010</v>
      </c>
      <c r="B1731" s="5">
        <v>8.0</v>
      </c>
      <c r="C1731" s="1" t="s">
        <v>68</v>
      </c>
      <c r="D1731" s="1" t="s">
        <v>29</v>
      </c>
      <c r="E1731" s="1" t="s">
        <v>14</v>
      </c>
      <c r="F1731" s="5">
        <v>0.648</v>
      </c>
      <c r="G1731" s="5">
        <v>79.544737</v>
      </c>
      <c r="H1731" s="5">
        <v>0.1296</v>
      </c>
      <c r="I1731" s="5">
        <v>163.0</v>
      </c>
    </row>
    <row r="1732">
      <c r="A1732" s="6" t="s">
        <v>5010</v>
      </c>
      <c r="B1732" s="5">
        <v>8.0</v>
      </c>
      <c r="C1732" s="1" t="s">
        <v>68</v>
      </c>
      <c r="D1732" s="1" t="s">
        <v>29</v>
      </c>
      <c r="E1732" s="1" t="s">
        <v>21</v>
      </c>
      <c r="F1732" s="5">
        <v>9.7258</v>
      </c>
      <c r="G1732" s="5">
        <v>1693.249683</v>
      </c>
      <c r="H1732" s="5">
        <v>3.8904</v>
      </c>
      <c r="I1732" s="5">
        <v>1743.0</v>
      </c>
    </row>
    <row r="1733">
      <c r="A1733" s="6" t="s">
        <v>5010</v>
      </c>
      <c r="B1733" s="5">
        <v>8.0</v>
      </c>
      <c r="C1733" s="1" t="s">
        <v>68</v>
      </c>
      <c r="D1733" s="1" t="s">
        <v>45</v>
      </c>
      <c r="E1733" s="1" t="s">
        <v>49</v>
      </c>
      <c r="F1733" s="5">
        <v>1.0464</v>
      </c>
      <c r="G1733" s="5">
        <v>61.849902</v>
      </c>
      <c r="H1733" s="5">
        <v>0.2721</v>
      </c>
      <c r="I1733" s="5">
        <v>200.0</v>
      </c>
    </row>
    <row r="1734">
      <c r="A1734" s="6" t="s">
        <v>5010</v>
      </c>
      <c r="B1734" s="5">
        <v>8.0</v>
      </c>
      <c r="C1734" s="1" t="s">
        <v>68</v>
      </c>
      <c r="D1734" s="1" t="s">
        <v>45</v>
      </c>
      <c r="E1734" s="1" t="s">
        <v>17</v>
      </c>
      <c r="F1734" s="5">
        <v>6.7551</v>
      </c>
      <c r="G1734" s="5">
        <v>479.086731</v>
      </c>
      <c r="H1734" s="5">
        <v>2.4318</v>
      </c>
      <c r="I1734" s="5">
        <v>1405.0</v>
      </c>
    </row>
    <row r="1735">
      <c r="A1735" s="6" t="s">
        <v>5010</v>
      </c>
      <c r="B1735" s="5">
        <v>8.0</v>
      </c>
      <c r="C1735" s="1" t="s">
        <v>68</v>
      </c>
      <c r="D1735" s="1" t="s">
        <v>38</v>
      </c>
      <c r="E1735" s="1" t="s">
        <v>39</v>
      </c>
      <c r="F1735" s="5">
        <v>4.0219</v>
      </c>
      <c r="G1735" s="5">
        <v>357.342625</v>
      </c>
      <c r="H1735" s="5">
        <v>0.7239</v>
      </c>
      <c r="I1735" s="5">
        <v>1354.0</v>
      </c>
    </row>
    <row r="1736">
      <c r="A1736" s="6" t="s">
        <v>5010</v>
      </c>
      <c r="B1736" s="5">
        <v>8.0</v>
      </c>
      <c r="C1736" s="1" t="s">
        <v>68</v>
      </c>
      <c r="D1736" s="1" t="s">
        <v>42</v>
      </c>
      <c r="E1736" s="1" t="s">
        <v>17</v>
      </c>
      <c r="F1736" s="5">
        <v>0.9334</v>
      </c>
      <c r="G1736" s="5">
        <v>200.051505</v>
      </c>
      <c r="H1736" s="5">
        <v>0.3454</v>
      </c>
      <c r="I1736" s="5">
        <v>0.0</v>
      </c>
    </row>
    <row r="1737">
      <c r="A1737" s="6" t="s">
        <v>5010</v>
      </c>
      <c r="B1737" s="5">
        <v>8.0</v>
      </c>
      <c r="C1737" s="1" t="s">
        <v>68</v>
      </c>
      <c r="D1737" s="1" t="s">
        <v>3962</v>
      </c>
      <c r="E1737" s="1" t="s">
        <v>17</v>
      </c>
      <c r="F1737" s="5">
        <v>1.9098</v>
      </c>
      <c r="G1737" s="5">
        <v>164.086365</v>
      </c>
      <c r="H1737" s="5">
        <v>0.6684</v>
      </c>
      <c r="I1737" s="5">
        <v>856.0</v>
      </c>
    </row>
    <row r="1738">
      <c r="A1738" s="6" t="s">
        <v>5010</v>
      </c>
      <c r="B1738" s="5">
        <v>8.0</v>
      </c>
      <c r="C1738" s="1" t="s">
        <v>68</v>
      </c>
      <c r="D1738" s="1" t="s">
        <v>48</v>
      </c>
      <c r="E1738" s="1" t="s">
        <v>49</v>
      </c>
      <c r="F1738" s="5">
        <v>0.0042</v>
      </c>
      <c r="G1738" s="5">
        <v>1.334542</v>
      </c>
      <c r="H1738" s="5">
        <v>0.0012</v>
      </c>
      <c r="I1738" s="5">
        <v>3.0</v>
      </c>
    </row>
    <row r="1739">
      <c r="A1739" s="6" t="s">
        <v>5010</v>
      </c>
      <c r="B1739" s="5">
        <v>8.0</v>
      </c>
      <c r="C1739" s="1" t="s">
        <v>68</v>
      </c>
      <c r="D1739" s="1" t="s">
        <v>48</v>
      </c>
      <c r="E1739" s="1" t="s">
        <v>72</v>
      </c>
      <c r="F1739" s="5">
        <v>0.0024</v>
      </c>
      <c r="G1739" s="5">
        <v>0.80237</v>
      </c>
      <c r="H1739" s="5">
        <v>7.0E-4</v>
      </c>
      <c r="I1739" s="5">
        <v>6.0</v>
      </c>
    </row>
    <row r="1740">
      <c r="A1740" s="6" t="s">
        <v>5010</v>
      </c>
      <c r="B1740" s="5">
        <v>8.0</v>
      </c>
      <c r="C1740" s="1" t="s">
        <v>68</v>
      </c>
      <c r="D1740" s="1" t="s">
        <v>48</v>
      </c>
      <c r="E1740" s="1" t="s">
        <v>21</v>
      </c>
      <c r="F1740" s="5">
        <v>0.6821</v>
      </c>
      <c r="G1740" s="5">
        <v>114.579603</v>
      </c>
      <c r="H1740" s="5">
        <v>0.2728</v>
      </c>
      <c r="I1740" s="5">
        <v>254.0</v>
      </c>
    </row>
    <row r="1741">
      <c r="A1741" s="6" t="s">
        <v>5010</v>
      </c>
      <c r="B1741" s="5">
        <v>8.0</v>
      </c>
      <c r="C1741" s="1" t="s">
        <v>68</v>
      </c>
      <c r="D1741" s="1" t="s">
        <v>1851</v>
      </c>
      <c r="E1741" s="1" t="s">
        <v>17</v>
      </c>
      <c r="F1741" s="5">
        <v>1.1354</v>
      </c>
      <c r="G1741" s="5">
        <v>81.085424</v>
      </c>
      <c r="H1741" s="5">
        <v>0.4371</v>
      </c>
      <c r="I1741" s="5">
        <v>676.0</v>
      </c>
    </row>
    <row r="1742">
      <c r="A1742" s="6" t="s">
        <v>5010</v>
      </c>
      <c r="B1742" s="5">
        <v>8.0</v>
      </c>
      <c r="C1742" s="1" t="s">
        <v>68</v>
      </c>
      <c r="D1742" s="1" t="s">
        <v>1851</v>
      </c>
      <c r="E1742" s="1" t="s">
        <v>21</v>
      </c>
      <c r="F1742" s="5">
        <v>0.1485</v>
      </c>
      <c r="G1742" s="5">
        <v>13.757581</v>
      </c>
      <c r="H1742" s="5">
        <v>0.0727</v>
      </c>
      <c r="I1742" s="5">
        <v>101.0</v>
      </c>
    </row>
    <row r="1743">
      <c r="A1743" s="6" t="s">
        <v>5010</v>
      </c>
      <c r="B1743" s="5">
        <v>8.0</v>
      </c>
      <c r="C1743" s="1" t="s">
        <v>68</v>
      </c>
      <c r="D1743" s="1" t="s">
        <v>2088</v>
      </c>
      <c r="E1743" s="1" t="s">
        <v>21</v>
      </c>
      <c r="F1743" s="5">
        <v>0.4802</v>
      </c>
      <c r="G1743" s="5">
        <v>56.659264</v>
      </c>
      <c r="H1743" s="5">
        <v>0.1921</v>
      </c>
      <c r="I1743" s="5">
        <v>0.0</v>
      </c>
    </row>
    <row r="1744">
      <c r="A1744" s="6" t="s">
        <v>5010</v>
      </c>
      <c r="B1744" s="5">
        <v>8.0</v>
      </c>
      <c r="C1744" s="1" t="s">
        <v>68</v>
      </c>
      <c r="D1744" s="1" t="s">
        <v>1830</v>
      </c>
      <c r="E1744" s="1" t="s">
        <v>72</v>
      </c>
      <c r="F1744" s="5">
        <v>0.5155</v>
      </c>
      <c r="G1744" s="5">
        <v>52.392999</v>
      </c>
      <c r="H1744" s="5">
        <v>0.165</v>
      </c>
      <c r="I1744" s="5">
        <v>424.0</v>
      </c>
    </row>
    <row r="1745">
      <c r="A1745" s="6" t="s">
        <v>5010</v>
      </c>
      <c r="B1745" s="5">
        <v>8.0</v>
      </c>
      <c r="C1745" s="1" t="s">
        <v>116</v>
      </c>
      <c r="D1745" s="1" t="s">
        <v>13</v>
      </c>
      <c r="E1745" s="1" t="s">
        <v>14</v>
      </c>
      <c r="F1745" s="5">
        <v>43.9292</v>
      </c>
      <c r="G1745" s="5">
        <v>3039.610091</v>
      </c>
      <c r="H1745" s="5">
        <v>9.2251</v>
      </c>
      <c r="I1745" s="5">
        <v>7021.0</v>
      </c>
    </row>
    <row r="1746">
      <c r="A1746" s="6" t="s">
        <v>5010</v>
      </c>
      <c r="B1746" s="5">
        <v>8.0</v>
      </c>
      <c r="C1746" s="1" t="s">
        <v>116</v>
      </c>
      <c r="D1746" s="1" t="s">
        <v>13</v>
      </c>
      <c r="E1746" s="1" t="s">
        <v>72</v>
      </c>
      <c r="F1746" s="5">
        <v>7.0E-4</v>
      </c>
      <c r="G1746" s="5">
        <v>0.046414</v>
      </c>
      <c r="H1746" s="5">
        <v>2.0E-4</v>
      </c>
      <c r="I1746" s="5">
        <v>1.0</v>
      </c>
    </row>
    <row r="1747">
      <c r="A1747" s="6" t="s">
        <v>5010</v>
      </c>
      <c r="B1747" s="5">
        <v>8.0</v>
      </c>
      <c r="C1747" s="1" t="s">
        <v>116</v>
      </c>
      <c r="D1747" s="1" t="s">
        <v>13</v>
      </c>
      <c r="E1747" s="1" t="s">
        <v>17</v>
      </c>
      <c r="F1747" s="5">
        <v>136.4948</v>
      </c>
      <c r="G1747" s="5">
        <v>13934.444727</v>
      </c>
      <c r="H1747" s="5">
        <v>47.7732</v>
      </c>
      <c r="I1747" s="5">
        <v>19290.0</v>
      </c>
    </row>
    <row r="1748">
      <c r="A1748" s="6" t="s">
        <v>5010</v>
      </c>
      <c r="B1748" s="5">
        <v>8.0</v>
      </c>
      <c r="C1748" s="1" t="s">
        <v>116</v>
      </c>
      <c r="D1748" s="1" t="s">
        <v>13</v>
      </c>
      <c r="E1748" s="1" t="s">
        <v>21</v>
      </c>
      <c r="F1748" s="5">
        <v>8.7719</v>
      </c>
      <c r="G1748" s="5">
        <v>1290.311691</v>
      </c>
      <c r="H1748" s="5">
        <v>4.363</v>
      </c>
      <c r="I1748" s="5">
        <v>2403.0</v>
      </c>
    </row>
    <row r="1749">
      <c r="A1749" s="6" t="s">
        <v>5010</v>
      </c>
      <c r="B1749" s="5">
        <v>8.0</v>
      </c>
      <c r="C1749" s="1" t="s">
        <v>116</v>
      </c>
      <c r="D1749" s="1" t="s">
        <v>13</v>
      </c>
      <c r="E1749" s="1" t="s">
        <v>25</v>
      </c>
      <c r="F1749" s="5">
        <v>0.0173</v>
      </c>
      <c r="G1749" s="5">
        <v>3.582185</v>
      </c>
      <c r="H1749" s="5">
        <v>0.013</v>
      </c>
      <c r="I1749" s="5">
        <v>5.0</v>
      </c>
    </row>
    <row r="1750">
      <c r="A1750" s="6" t="s">
        <v>5010</v>
      </c>
      <c r="B1750" s="5">
        <v>8.0</v>
      </c>
      <c r="C1750" s="1" t="s">
        <v>116</v>
      </c>
      <c r="D1750" s="1" t="s">
        <v>29</v>
      </c>
      <c r="E1750" s="1" t="s">
        <v>14</v>
      </c>
      <c r="F1750" s="5">
        <v>1.6219</v>
      </c>
      <c r="G1750" s="5">
        <v>225.965176</v>
      </c>
      <c r="H1750" s="5">
        <v>0.3244</v>
      </c>
      <c r="I1750" s="5">
        <v>262.0</v>
      </c>
    </row>
    <row r="1751">
      <c r="A1751" s="6" t="s">
        <v>5010</v>
      </c>
      <c r="B1751" s="5">
        <v>8.0</v>
      </c>
      <c r="C1751" s="1" t="s">
        <v>116</v>
      </c>
      <c r="D1751" s="1" t="s">
        <v>29</v>
      </c>
      <c r="E1751" s="1" t="s">
        <v>21</v>
      </c>
      <c r="F1751" s="5">
        <v>35.4248</v>
      </c>
      <c r="G1751" s="5">
        <v>7079.594405</v>
      </c>
      <c r="H1751" s="5">
        <v>14.1701</v>
      </c>
      <c r="I1751" s="5">
        <v>3846.0</v>
      </c>
    </row>
    <row r="1752">
      <c r="A1752" s="6" t="s">
        <v>5010</v>
      </c>
      <c r="B1752" s="5">
        <v>8.0</v>
      </c>
      <c r="C1752" s="1" t="s">
        <v>116</v>
      </c>
      <c r="D1752" s="1" t="s">
        <v>45</v>
      </c>
      <c r="E1752" s="1" t="s">
        <v>49</v>
      </c>
      <c r="F1752" s="5">
        <v>2.8089</v>
      </c>
      <c r="G1752" s="5">
        <v>160.881395</v>
      </c>
      <c r="H1752" s="5">
        <v>0.7303</v>
      </c>
      <c r="I1752" s="5">
        <v>350.0</v>
      </c>
    </row>
    <row r="1753">
      <c r="A1753" s="6" t="s">
        <v>5010</v>
      </c>
      <c r="B1753" s="5">
        <v>8.0</v>
      </c>
      <c r="C1753" s="1" t="s">
        <v>116</v>
      </c>
      <c r="D1753" s="1" t="s">
        <v>45</v>
      </c>
      <c r="E1753" s="1" t="s">
        <v>17</v>
      </c>
      <c r="F1753" s="5">
        <v>13.5756</v>
      </c>
      <c r="G1753" s="5">
        <v>1101.436074</v>
      </c>
      <c r="H1753" s="5">
        <v>4.8872</v>
      </c>
      <c r="I1753" s="5">
        <v>1795.0</v>
      </c>
    </row>
    <row r="1754">
      <c r="A1754" s="6" t="s">
        <v>5010</v>
      </c>
      <c r="B1754" s="5">
        <v>8.0</v>
      </c>
      <c r="C1754" s="1" t="s">
        <v>116</v>
      </c>
      <c r="D1754" s="1" t="s">
        <v>3962</v>
      </c>
      <c r="E1754" s="1" t="s">
        <v>17</v>
      </c>
      <c r="F1754" s="5">
        <v>12.3312</v>
      </c>
      <c r="G1754" s="5">
        <v>1072.241114</v>
      </c>
      <c r="H1754" s="5">
        <v>4.3159</v>
      </c>
      <c r="I1754" s="5">
        <v>3741.0</v>
      </c>
    </row>
    <row r="1755">
      <c r="A1755" s="6" t="s">
        <v>5010</v>
      </c>
      <c r="B1755" s="5">
        <v>8.0</v>
      </c>
      <c r="C1755" s="1" t="s">
        <v>116</v>
      </c>
      <c r="D1755" s="1" t="s">
        <v>48</v>
      </c>
      <c r="E1755" s="1" t="s">
        <v>49</v>
      </c>
      <c r="F1755" s="5">
        <v>0.0039</v>
      </c>
      <c r="G1755" s="5">
        <v>1.720908</v>
      </c>
      <c r="H1755" s="5">
        <v>0.0011</v>
      </c>
      <c r="I1755" s="5">
        <v>5.0</v>
      </c>
    </row>
    <row r="1756">
      <c r="A1756" s="6" t="s">
        <v>5010</v>
      </c>
      <c r="B1756" s="5">
        <v>8.0</v>
      </c>
      <c r="C1756" s="1" t="s">
        <v>116</v>
      </c>
      <c r="D1756" s="1" t="s">
        <v>48</v>
      </c>
      <c r="E1756" s="1" t="s">
        <v>72</v>
      </c>
      <c r="F1756" s="5">
        <v>0.0229</v>
      </c>
      <c r="G1756" s="5">
        <v>7.527529</v>
      </c>
      <c r="H1756" s="5">
        <v>0.0069</v>
      </c>
      <c r="I1756" s="5">
        <v>20.0</v>
      </c>
    </row>
    <row r="1757">
      <c r="A1757" s="6" t="s">
        <v>5010</v>
      </c>
      <c r="B1757" s="5">
        <v>8.0</v>
      </c>
      <c r="C1757" s="1" t="s">
        <v>116</v>
      </c>
      <c r="D1757" s="1" t="s">
        <v>48</v>
      </c>
      <c r="E1757" s="1" t="s">
        <v>21</v>
      </c>
      <c r="F1757" s="5">
        <v>1.9689</v>
      </c>
      <c r="G1757" s="5">
        <v>514.083471</v>
      </c>
      <c r="H1757" s="5">
        <v>0.7876</v>
      </c>
      <c r="I1757" s="5">
        <v>413.0</v>
      </c>
    </row>
    <row r="1758">
      <c r="A1758" s="6" t="s">
        <v>5010</v>
      </c>
      <c r="B1758" s="5">
        <v>8.0</v>
      </c>
      <c r="C1758" s="1" t="s">
        <v>116</v>
      </c>
      <c r="D1758" s="1" t="s">
        <v>38</v>
      </c>
      <c r="E1758" s="1" t="s">
        <v>39</v>
      </c>
      <c r="F1758" s="5">
        <v>5.577</v>
      </c>
      <c r="G1758" s="5">
        <v>506.792389</v>
      </c>
      <c r="H1758" s="5">
        <v>1.0039</v>
      </c>
      <c r="I1758" s="5">
        <v>2265.0</v>
      </c>
    </row>
    <row r="1759">
      <c r="A1759" s="6" t="s">
        <v>5010</v>
      </c>
      <c r="B1759" s="5">
        <v>8.0</v>
      </c>
      <c r="C1759" s="1" t="s">
        <v>116</v>
      </c>
      <c r="D1759" s="1" t="s">
        <v>147</v>
      </c>
      <c r="E1759" s="1" t="s">
        <v>39</v>
      </c>
      <c r="F1759" s="5">
        <v>1.0412</v>
      </c>
      <c r="G1759" s="5">
        <v>345.818365</v>
      </c>
      <c r="H1759" s="5">
        <v>0.1978</v>
      </c>
      <c r="I1759" s="5">
        <v>106.0</v>
      </c>
    </row>
    <row r="1760">
      <c r="A1760" s="6" t="s">
        <v>5010</v>
      </c>
      <c r="B1760" s="5">
        <v>8.0</v>
      </c>
      <c r="C1760" s="1" t="s">
        <v>116</v>
      </c>
      <c r="D1760" s="1" t="s">
        <v>147</v>
      </c>
      <c r="E1760" s="1" t="s">
        <v>17</v>
      </c>
      <c r="F1760" s="5">
        <v>0.0202</v>
      </c>
      <c r="G1760" s="5">
        <v>9.199635</v>
      </c>
      <c r="H1760" s="5">
        <v>0.0072</v>
      </c>
      <c r="I1760" s="5">
        <v>7.0</v>
      </c>
    </row>
    <row r="1761">
      <c r="A1761" s="6" t="s">
        <v>5010</v>
      </c>
      <c r="B1761" s="5">
        <v>8.0</v>
      </c>
      <c r="C1761" s="1" t="s">
        <v>116</v>
      </c>
      <c r="D1761" s="1" t="s">
        <v>147</v>
      </c>
      <c r="E1761" s="1" t="s">
        <v>21</v>
      </c>
      <c r="F1761" s="5">
        <v>0.0375</v>
      </c>
      <c r="G1761" s="5">
        <v>20.010375</v>
      </c>
      <c r="H1761" s="5">
        <v>0.0188</v>
      </c>
      <c r="I1761" s="5">
        <v>35.0</v>
      </c>
    </row>
    <row r="1762">
      <c r="A1762" s="6" t="s">
        <v>5010</v>
      </c>
      <c r="B1762" s="5">
        <v>8.0</v>
      </c>
      <c r="C1762" s="1" t="s">
        <v>116</v>
      </c>
      <c r="D1762" s="1" t="s">
        <v>4842</v>
      </c>
      <c r="E1762" s="1" t="s">
        <v>17</v>
      </c>
      <c r="F1762" s="5">
        <v>5.6062</v>
      </c>
      <c r="G1762" s="5">
        <v>313.649181</v>
      </c>
      <c r="H1762" s="5">
        <v>1.9622</v>
      </c>
      <c r="I1762" s="5">
        <v>131.0</v>
      </c>
    </row>
    <row r="1763">
      <c r="A1763" s="6" t="s">
        <v>5010</v>
      </c>
      <c r="B1763" s="5">
        <v>8.0</v>
      </c>
      <c r="C1763" s="1" t="s">
        <v>116</v>
      </c>
      <c r="D1763" s="1" t="s">
        <v>1851</v>
      </c>
      <c r="E1763" s="1" t="s">
        <v>17</v>
      </c>
      <c r="F1763" s="5">
        <v>3.0959</v>
      </c>
      <c r="G1763" s="5">
        <v>202.807384</v>
      </c>
      <c r="H1763" s="5">
        <v>1.1919</v>
      </c>
      <c r="I1763" s="5">
        <v>1758.0</v>
      </c>
    </row>
    <row r="1764">
      <c r="A1764" s="6" t="s">
        <v>5010</v>
      </c>
      <c r="B1764" s="5">
        <v>8.0</v>
      </c>
      <c r="C1764" s="1" t="s">
        <v>116</v>
      </c>
      <c r="D1764" s="1" t="s">
        <v>1851</v>
      </c>
      <c r="E1764" s="1" t="s">
        <v>21</v>
      </c>
      <c r="F1764" s="5">
        <v>0.3683</v>
      </c>
      <c r="G1764" s="5">
        <v>33.449024</v>
      </c>
      <c r="H1764" s="5">
        <v>0.1804</v>
      </c>
      <c r="I1764" s="5">
        <v>120.0</v>
      </c>
    </row>
    <row r="1765">
      <c r="A1765" s="6" t="s">
        <v>5010</v>
      </c>
      <c r="B1765" s="5">
        <v>8.0</v>
      </c>
      <c r="C1765" s="1" t="s">
        <v>116</v>
      </c>
      <c r="D1765" s="1" t="s">
        <v>165</v>
      </c>
      <c r="E1765" s="1" t="s">
        <v>39</v>
      </c>
      <c r="F1765" s="5">
        <v>0.3288</v>
      </c>
      <c r="G1765" s="5">
        <v>83.087602</v>
      </c>
      <c r="H1765" s="5">
        <v>0.0592</v>
      </c>
      <c r="I1765" s="5">
        <v>0.0</v>
      </c>
    </row>
    <row r="1766">
      <c r="A1766" s="6" t="s">
        <v>5010</v>
      </c>
      <c r="B1766" s="5">
        <v>8.0</v>
      </c>
      <c r="C1766" s="1" t="s">
        <v>116</v>
      </c>
      <c r="D1766" s="1" t="s">
        <v>165</v>
      </c>
      <c r="E1766" s="1" t="s">
        <v>17</v>
      </c>
      <c r="F1766" s="5">
        <v>0.3392</v>
      </c>
      <c r="G1766" s="5">
        <v>98.935482</v>
      </c>
      <c r="H1766" s="5">
        <v>0.1187</v>
      </c>
      <c r="I1766" s="5">
        <v>0.0</v>
      </c>
    </row>
    <row r="1767">
      <c r="A1767" s="6" t="s">
        <v>5010</v>
      </c>
      <c r="B1767" s="5">
        <v>9.0</v>
      </c>
      <c r="C1767" s="1" t="s">
        <v>12</v>
      </c>
      <c r="D1767" s="1" t="s">
        <v>29</v>
      </c>
      <c r="E1767" s="1" t="s">
        <v>14</v>
      </c>
      <c r="F1767" s="5">
        <v>0.2591</v>
      </c>
      <c r="G1767" s="5">
        <v>21.931859</v>
      </c>
      <c r="H1767" s="5">
        <v>0.0518</v>
      </c>
      <c r="I1767" s="5">
        <v>32.0</v>
      </c>
    </row>
    <row r="1768">
      <c r="A1768" s="6" t="s">
        <v>5010</v>
      </c>
      <c r="B1768" s="5">
        <v>9.0</v>
      </c>
      <c r="C1768" s="1" t="s">
        <v>12</v>
      </c>
      <c r="D1768" s="1" t="s">
        <v>29</v>
      </c>
      <c r="E1768" s="1" t="s">
        <v>21</v>
      </c>
      <c r="F1768" s="5">
        <v>38.9673</v>
      </c>
      <c r="G1768" s="5">
        <v>7477.973324</v>
      </c>
      <c r="H1768" s="5">
        <v>15.587</v>
      </c>
      <c r="I1768" s="5">
        <v>622.0</v>
      </c>
    </row>
    <row r="1769">
      <c r="A1769" s="6" t="s">
        <v>5010</v>
      </c>
      <c r="B1769" s="5">
        <v>9.0</v>
      </c>
      <c r="C1769" s="1" t="s">
        <v>12</v>
      </c>
      <c r="D1769" s="1" t="s">
        <v>13</v>
      </c>
      <c r="E1769" s="1" t="s">
        <v>14</v>
      </c>
      <c r="F1769" s="5">
        <v>4.4724</v>
      </c>
      <c r="G1769" s="5">
        <v>372.448738</v>
      </c>
      <c r="H1769" s="5">
        <v>0.9392</v>
      </c>
      <c r="I1769" s="5">
        <v>337.0</v>
      </c>
    </row>
    <row r="1770">
      <c r="A1770" s="6" t="s">
        <v>5010</v>
      </c>
      <c r="B1770" s="5">
        <v>9.0</v>
      </c>
      <c r="C1770" s="1" t="s">
        <v>12</v>
      </c>
      <c r="D1770" s="1" t="s">
        <v>13</v>
      </c>
      <c r="E1770" s="1" t="s">
        <v>17</v>
      </c>
      <c r="F1770" s="5">
        <v>36.8494</v>
      </c>
      <c r="G1770" s="5">
        <v>3683.346589</v>
      </c>
      <c r="H1770" s="5">
        <v>12.8973</v>
      </c>
      <c r="I1770" s="5">
        <v>561.0</v>
      </c>
    </row>
    <row r="1771">
      <c r="A1771" s="6" t="s">
        <v>5010</v>
      </c>
      <c r="B1771" s="5">
        <v>9.0</v>
      </c>
      <c r="C1771" s="1" t="s">
        <v>12</v>
      </c>
      <c r="D1771" s="1" t="s">
        <v>13</v>
      </c>
      <c r="E1771" s="1" t="s">
        <v>21</v>
      </c>
      <c r="F1771" s="5">
        <v>20.1116</v>
      </c>
      <c r="G1771" s="5">
        <v>2658.162426</v>
      </c>
      <c r="H1771" s="5">
        <v>10.0455</v>
      </c>
      <c r="I1771" s="5">
        <v>459.0</v>
      </c>
    </row>
    <row r="1772">
      <c r="A1772" s="6" t="s">
        <v>5010</v>
      </c>
      <c r="B1772" s="5">
        <v>9.0</v>
      </c>
      <c r="C1772" s="1" t="s">
        <v>12</v>
      </c>
      <c r="D1772" s="1" t="s">
        <v>48</v>
      </c>
      <c r="E1772" s="1" t="s">
        <v>49</v>
      </c>
      <c r="F1772" s="5">
        <v>0.0055</v>
      </c>
      <c r="G1772" s="5">
        <v>1.191653</v>
      </c>
      <c r="H1772" s="5">
        <v>0.0015</v>
      </c>
      <c r="I1772" s="5">
        <v>2.0</v>
      </c>
    </row>
    <row r="1773">
      <c r="A1773" s="6" t="s">
        <v>5010</v>
      </c>
      <c r="B1773" s="5">
        <v>9.0</v>
      </c>
      <c r="C1773" s="1" t="s">
        <v>12</v>
      </c>
      <c r="D1773" s="1" t="s">
        <v>48</v>
      </c>
      <c r="E1773" s="1" t="s">
        <v>21</v>
      </c>
      <c r="F1773" s="5">
        <v>3.7586</v>
      </c>
      <c r="G1773" s="5">
        <v>578.319131</v>
      </c>
      <c r="H1773" s="5">
        <v>1.5034</v>
      </c>
      <c r="I1773" s="5">
        <v>164.0</v>
      </c>
    </row>
    <row r="1774">
      <c r="A1774" s="6" t="s">
        <v>5010</v>
      </c>
      <c r="B1774" s="5">
        <v>9.0</v>
      </c>
      <c r="C1774" s="1" t="s">
        <v>12</v>
      </c>
      <c r="D1774" s="1" t="s">
        <v>38</v>
      </c>
      <c r="E1774" s="1" t="s">
        <v>39</v>
      </c>
      <c r="F1774" s="5">
        <v>2.8968</v>
      </c>
      <c r="G1774" s="5">
        <v>309.261377</v>
      </c>
      <c r="H1774" s="5">
        <v>0.5214</v>
      </c>
      <c r="I1774" s="5">
        <v>156.0</v>
      </c>
    </row>
    <row r="1775">
      <c r="A1775" s="6" t="s">
        <v>5010</v>
      </c>
      <c r="B1775" s="5">
        <v>9.0</v>
      </c>
      <c r="C1775" s="1" t="s">
        <v>12</v>
      </c>
      <c r="D1775" s="1" t="s">
        <v>45</v>
      </c>
      <c r="E1775" s="1" t="s">
        <v>49</v>
      </c>
      <c r="F1775" s="5">
        <v>0.0538</v>
      </c>
      <c r="G1775" s="5">
        <v>3.210473</v>
      </c>
      <c r="H1775" s="5">
        <v>0.014</v>
      </c>
      <c r="I1775" s="5">
        <v>4.0</v>
      </c>
    </row>
    <row r="1776">
      <c r="A1776" s="6" t="s">
        <v>5010</v>
      </c>
      <c r="B1776" s="5">
        <v>9.0</v>
      </c>
      <c r="C1776" s="1" t="s">
        <v>12</v>
      </c>
      <c r="D1776" s="1" t="s">
        <v>45</v>
      </c>
      <c r="E1776" s="1" t="s">
        <v>17</v>
      </c>
      <c r="F1776" s="5">
        <v>2.4313</v>
      </c>
      <c r="G1776" s="5">
        <v>168.272134</v>
      </c>
      <c r="H1776" s="5">
        <v>0.8753</v>
      </c>
      <c r="I1776" s="5">
        <v>159.0</v>
      </c>
    </row>
    <row r="1777">
      <c r="A1777" s="6" t="s">
        <v>5010</v>
      </c>
      <c r="B1777" s="5">
        <v>9.0</v>
      </c>
      <c r="C1777" s="1" t="s">
        <v>12</v>
      </c>
      <c r="D1777" s="1" t="s">
        <v>4127</v>
      </c>
      <c r="E1777" s="1" t="s">
        <v>17</v>
      </c>
      <c r="F1777" s="5">
        <v>0.9743</v>
      </c>
      <c r="G1777" s="5">
        <v>88.223206</v>
      </c>
      <c r="H1777" s="5">
        <v>0.341</v>
      </c>
      <c r="I1777" s="5">
        <v>81.0</v>
      </c>
    </row>
    <row r="1778">
      <c r="A1778" s="6" t="s">
        <v>5010</v>
      </c>
      <c r="B1778" s="5">
        <v>9.0</v>
      </c>
      <c r="C1778" s="1" t="s">
        <v>12</v>
      </c>
      <c r="D1778" s="1" t="s">
        <v>3962</v>
      </c>
      <c r="E1778" s="1" t="s">
        <v>17</v>
      </c>
      <c r="F1778" s="5">
        <v>0.8491</v>
      </c>
      <c r="G1778" s="5">
        <v>78.136528</v>
      </c>
      <c r="H1778" s="5">
        <v>0.2972</v>
      </c>
      <c r="I1778" s="5">
        <v>114.0</v>
      </c>
    </row>
    <row r="1779">
      <c r="A1779" s="6" t="s">
        <v>5010</v>
      </c>
      <c r="B1779" s="5">
        <v>9.0</v>
      </c>
      <c r="C1779" s="1" t="s">
        <v>12</v>
      </c>
      <c r="D1779" s="1" t="s">
        <v>4955</v>
      </c>
      <c r="E1779" s="1" t="s">
        <v>49</v>
      </c>
      <c r="F1779" s="5">
        <v>1.1431</v>
      </c>
      <c r="G1779" s="5">
        <v>75.358835</v>
      </c>
      <c r="H1779" s="5">
        <v>0.2858</v>
      </c>
      <c r="I1779" s="5">
        <v>0.0</v>
      </c>
    </row>
    <row r="1780">
      <c r="A1780" s="6" t="s">
        <v>5010</v>
      </c>
      <c r="B1780" s="5">
        <v>9.0</v>
      </c>
      <c r="C1780" s="1" t="s">
        <v>12</v>
      </c>
      <c r="D1780" s="1" t="s">
        <v>4842</v>
      </c>
      <c r="E1780" s="1" t="s">
        <v>17</v>
      </c>
      <c r="F1780" s="5">
        <v>1.0531</v>
      </c>
      <c r="G1780" s="5">
        <v>56.502914</v>
      </c>
      <c r="H1780" s="5">
        <v>0.3686</v>
      </c>
      <c r="I1780" s="5">
        <v>0.0</v>
      </c>
    </row>
    <row r="1781">
      <c r="A1781" s="6" t="s">
        <v>5010</v>
      </c>
      <c r="B1781" s="5">
        <v>9.0</v>
      </c>
      <c r="C1781" s="1" t="s">
        <v>12</v>
      </c>
      <c r="D1781" s="1" t="s">
        <v>42</v>
      </c>
      <c r="E1781" s="1" t="s">
        <v>17</v>
      </c>
      <c r="F1781" s="5">
        <v>0.2482</v>
      </c>
      <c r="G1781" s="5">
        <v>47.686528</v>
      </c>
      <c r="H1781" s="5">
        <v>0.0918</v>
      </c>
      <c r="I1781" s="5">
        <v>0.0</v>
      </c>
    </row>
    <row r="1782">
      <c r="A1782" s="6" t="s">
        <v>5010</v>
      </c>
      <c r="B1782" s="5">
        <v>9.0</v>
      </c>
      <c r="C1782" s="1" t="s">
        <v>68</v>
      </c>
      <c r="D1782" s="1" t="s">
        <v>13</v>
      </c>
      <c r="E1782" s="1" t="s">
        <v>14</v>
      </c>
      <c r="F1782" s="5">
        <v>13.612</v>
      </c>
      <c r="G1782" s="5">
        <v>1019.348168</v>
      </c>
      <c r="H1782" s="5">
        <v>2.8586</v>
      </c>
      <c r="I1782" s="5">
        <v>3207.0</v>
      </c>
    </row>
    <row r="1783">
      <c r="A1783" s="6" t="s">
        <v>5010</v>
      </c>
      <c r="B1783" s="5">
        <v>9.0</v>
      </c>
      <c r="C1783" s="1" t="s">
        <v>68</v>
      </c>
      <c r="D1783" s="1" t="s">
        <v>13</v>
      </c>
      <c r="E1783" s="1" t="s">
        <v>17</v>
      </c>
      <c r="F1783" s="5">
        <v>53.9114</v>
      </c>
      <c r="G1783" s="5">
        <v>5939.74968</v>
      </c>
      <c r="H1783" s="5">
        <v>18.869</v>
      </c>
      <c r="I1783" s="5">
        <v>8071.0</v>
      </c>
    </row>
    <row r="1784">
      <c r="A1784" s="6" t="s">
        <v>5010</v>
      </c>
      <c r="B1784" s="5">
        <v>9.0</v>
      </c>
      <c r="C1784" s="1" t="s">
        <v>68</v>
      </c>
      <c r="D1784" s="1" t="s">
        <v>13</v>
      </c>
      <c r="E1784" s="1" t="s">
        <v>21</v>
      </c>
      <c r="F1784" s="5">
        <v>6.1975</v>
      </c>
      <c r="G1784" s="5">
        <v>813.651829</v>
      </c>
      <c r="H1784" s="5">
        <v>3.0511</v>
      </c>
      <c r="I1784" s="5">
        <v>1798.0</v>
      </c>
    </row>
    <row r="1785">
      <c r="A1785" s="6" t="s">
        <v>5010</v>
      </c>
      <c r="B1785" s="5">
        <v>9.0</v>
      </c>
      <c r="C1785" s="1" t="s">
        <v>68</v>
      </c>
      <c r="D1785" s="1" t="s">
        <v>13</v>
      </c>
      <c r="E1785" s="1" t="s">
        <v>25</v>
      </c>
      <c r="F1785" s="5">
        <v>0.2838</v>
      </c>
      <c r="G1785" s="5">
        <v>45.835925</v>
      </c>
      <c r="H1785" s="5">
        <v>0.2128</v>
      </c>
      <c r="I1785" s="5">
        <v>168.0</v>
      </c>
    </row>
    <row r="1786">
      <c r="A1786" s="6" t="s">
        <v>5010</v>
      </c>
      <c r="B1786" s="5">
        <v>9.0</v>
      </c>
      <c r="C1786" s="1" t="s">
        <v>68</v>
      </c>
      <c r="D1786" s="1" t="s">
        <v>29</v>
      </c>
      <c r="E1786" s="1" t="s">
        <v>14</v>
      </c>
      <c r="F1786" s="5">
        <v>0.7031</v>
      </c>
      <c r="G1786" s="5">
        <v>83.168761</v>
      </c>
      <c r="H1786" s="5">
        <v>0.1406</v>
      </c>
      <c r="I1786" s="5">
        <v>202.0</v>
      </c>
    </row>
    <row r="1787">
      <c r="A1787" s="6" t="s">
        <v>5010</v>
      </c>
      <c r="B1787" s="5">
        <v>9.0</v>
      </c>
      <c r="C1787" s="1" t="s">
        <v>68</v>
      </c>
      <c r="D1787" s="1" t="s">
        <v>29</v>
      </c>
      <c r="E1787" s="1" t="s">
        <v>21</v>
      </c>
      <c r="F1787" s="5">
        <v>11.0032</v>
      </c>
      <c r="G1787" s="5">
        <v>2009.118857</v>
      </c>
      <c r="H1787" s="5">
        <v>4.4013</v>
      </c>
      <c r="I1787" s="5">
        <v>1621.0</v>
      </c>
    </row>
    <row r="1788">
      <c r="A1788" s="6" t="s">
        <v>5010</v>
      </c>
      <c r="B1788" s="5">
        <v>9.0</v>
      </c>
      <c r="C1788" s="1" t="s">
        <v>68</v>
      </c>
      <c r="D1788" s="1" t="s">
        <v>45</v>
      </c>
      <c r="E1788" s="1" t="s">
        <v>49</v>
      </c>
      <c r="F1788" s="5">
        <v>0.7827</v>
      </c>
      <c r="G1788" s="5">
        <v>48.973263</v>
      </c>
      <c r="H1788" s="5">
        <v>0.2035</v>
      </c>
      <c r="I1788" s="5">
        <v>191.0</v>
      </c>
    </row>
    <row r="1789">
      <c r="A1789" s="6" t="s">
        <v>5010</v>
      </c>
      <c r="B1789" s="5">
        <v>9.0</v>
      </c>
      <c r="C1789" s="1" t="s">
        <v>68</v>
      </c>
      <c r="D1789" s="1" t="s">
        <v>45</v>
      </c>
      <c r="E1789" s="1" t="s">
        <v>17</v>
      </c>
      <c r="F1789" s="5">
        <v>14.0677</v>
      </c>
      <c r="G1789" s="5">
        <v>770.718584</v>
      </c>
      <c r="H1789" s="5">
        <v>5.0643</v>
      </c>
      <c r="I1789" s="5">
        <v>1386.0</v>
      </c>
    </row>
    <row r="1790">
      <c r="A1790" s="6" t="s">
        <v>5010</v>
      </c>
      <c r="B1790" s="5">
        <v>9.0</v>
      </c>
      <c r="C1790" s="1" t="s">
        <v>68</v>
      </c>
      <c r="D1790" s="1" t="s">
        <v>38</v>
      </c>
      <c r="E1790" s="1" t="s">
        <v>39</v>
      </c>
      <c r="F1790" s="5">
        <v>3.8074</v>
      </c>
      <c r="G1790" s="5">
        <v>297.966205</v>
      </c>
      <c r="H1790" s="5">
        <v>0.6853</v>
      </c>
      <c r="I1790" s="5">
        <v>1396.0</v>
      </c>
    </row>
    <row r="1791">
      <c r="A1791" s="6" t="s">
        <v>5010</v>
      </c>
      <c r="B1791" s="5">
        <v>9.0</v>
      </c>
      <c r="C1791" s="1" t="s">
        <v>68</v>
      </c>
      <c r="D1791" s="1" t="s">
        <v>3962</v>
      </c>
      <c r="E1791" s="1" t="s">
        <v>17</v>
      </c>
      <c r="F1791" s="5">
        <v>1.9004</v>
      </c>
      <c r="G1791" s="5">
        <v>167.379323</v>
      </c>
      <c r="H1791" s="5">
        <v>0.6651</v>
      </c>
      <c r="I1791" s="5">
        <v>984.0</v>
      </c>
    </row>
    <row r="1792">
      <c r="A1792" s="6" t="s">
        <v>5010</v>
      </c>
      <c r="B1792" s="5">
        <v>9.0</v>
      </c>
      <c r="C1792" s="1" t="s">
        <v>68</v>
      </c>
      <c r="D1792" s="1" t="s">
        <v>4955</v>
      </c>
      <c r="E1792" s="1" t="s">
        <v>49</v>
      </c>
      <c r="F1792" s="5">
        <v>1.3414</v>
      </c>
      <c r="G1792" s="5">
        <v>127.422027</v>
      </c>
      <c r="H1792" s="5">
        <v>0.3354</v>
      </c>
      <c r="I1792" s="5">
        <v>825.0</v>
      </c>
    </row>
    <row r="1793">
      <c r="A1793" s="6" t="s">
        <v>5010</v>
      </c>
      <c r="B1793" s="5">
        <v>9.0</v>
      </c>
      <c r="C1793" s="1" t="s">
        <v>68</v>
      </c>
      <c r="D1793" s="1" t="s">
        <v>48</v>
      </c>
      <c r="E1793" s="1" t="s">
        <v>49</v>
      </c>
      <c r="F1793" s="5">
        <v>0.0044</v>
      </c>
      <c r="G1793" s="5">
        <v>1.132441</v>
      </c>
      <c r="H1793" s="5">
        <v>0.0012</v>
      </c>
      <c r="I1793" s="5">
        <v>1.0</v>
      </c>
    </row>
    <row r="1794">
      <c r="A1794" s="6" t="s">
        <v>5010</v>
      </c>
      <c r="B1794" s="5">
        <v>9.0</v>
      </c>
      <c r="C1794" s="1" t="s">
        <v>68</v>
      </c>
      <c r="D1794" s="1" t="s">
        <v>48</v>
      </c>
      <c r="E1794" s="1" t="s">
        <v>72</v>
      </c>
      <c r="F1794" s="5">
        <v>0.002</v>
      </c>
      <c r="G1794" s="5">
        <v>0.674333</v>
      </c>
      <c r="H1794" s="5">
        <v>6.0E-4</v>
      </c>
      <c r="I1794" s="5">
        <v>3.0</v>
      </c>
    </row>
    <row r="1795">
      <c r="A1795" s="6" t="s">
        <v>5010</v>
      </c>
      <c r="B1795" s="5">
        <v>9.0</v>
      </c>
      <c r="C1795" s="1" t="s">
        <v>68</v>
      </c>
      <c r="D1795" s="1" t="s">
        <v>48</v>
      </c>
      <c r="E1795" s="1" t="s">
        <v>21</v>
      </c>
      <c r="F1795" s="5">
        <v>0.6277</v>
      </c>
      <c r="G1795" s="5">
        <v>100.602947</v>
      </c>
      <c r="H1795" s="5">
        <v>0.2511</v>
      </c>
      <c r="I1795" s="5">
        <v>322.0</v>
      </c>
    </row>
    <row r="1796">
      <c r="A1796" s="6" t="s">
        <v>5010</v>
      </c>
      <c r="B1796" s="5">
        <v>9.0</v>
      </c>
      <c r="C1796" s="1" t="s">
        <v>68</v>
      </c>
      <c r="D1796" s="1" t="s">
        <v>42</v>
      </c>
      <c r="E1796" s="1" t="s">
        <v>17</v>
      </c>
      <c r="F1796" s="5">
        <v>0.4061</v>
      </c>
      <c r="G1796" s="5">
        <v>90.136534</v>
      </c>
      <c r="H1796" s="5">
        <v>0.1502</v>
      </c>
      <c r="I1796" s="5">
        <v>0.0</v>
      </c>
    </row>
    <row r="1797">
      <c r="A1797" s="6" t="s">
        <v>5010</v>
      </c>
      <c r="B1797" s="5">
        <v>9.0</v>
      </c>
      <c r="C1797" s="1" t="s">
        <v>68</v>
      </c>
      <c r="D1797" s="1" t="s">
        <v>1851</v>
      </c>
      <c r="E1797" s="1" t="s">
        <v>17</v>
      </c>
      <c r="F1797" s="5">
        <v>1.1157</v>
      </c>
      <c r="G1797" s="5">
        <v>72.697707</v>
      </c>
      <c r="H1797" s="5">
        <v>0.4295</v>
      </c>
      <c r="I1797" s="5">
        <v>487.0</v>
      </c>
    </row>
    <row r="1798">
      <c r="A1798" s="6" t="s">
        <v>5010</v>
      </c>
      <c r="B1798" s="5">
        <v>9.0</v>
      </c>
      <c r="C1798" s="1" t="s">
        <v>68</v>
      </c>
      <c r="D1798" s="1" t="s">
        <v>1851</v>
      </c>
      <c r="E1798" s="1" t="s">
        <v>21</v>
      </c>
      <c r="F1798" s="5">
        <v>0.1582</v>
      </c>
      <c r="G1798" s="5">
        <v>14.157008</v>
      </c>
      <c r="H1798" s="5">
        <v>0.0775</v>
      </c>
      <c r="I1798" s="5">
        <v>110.0</v>
      </c>
    </row>
    <row r="1799">
      <c r="A1799" s="6" t="s">
        <v>5010</v>
      </c>
      <c r="B1799" s="5">
        <v>9.0</v>
      </c>
      <c r="C1799" s="1" t="s">
        <v>68</v>
      </c>
      <c r="D1799" s="1" t="s">
        <v>1830</v>
      </c>
      <c r="E1799" s="1" t="s">
        <v>72</v>
      </c>
      <c r="F1799" s="5">
        <v>0.6077</v>
      </c>
      <c r="G1799" s="5">
        <v>63.000511</v>
      </c>
      <c r="H1799" s="5">
        <v>0.1945</v>
      </c>
      <c r="I1799" s="5">
        <v>426.0</v>
      </c>
    </row>
    <row r="1800">
      <c r="A1800" s="6" t="s">
        <v>5010</v>
      </c>
      <c r="B1800" s="5">
        <v>9.0</v>
      </c>
      <c r="C1800" s="1" t="s">
        <v>116</v>
      </c>
      <c r="D1800" s="1" t="s">
        <v>13</v>
      </c>
      <c r="E1800" s="1" t="s">
        <v>14</v>
      </c>
      <c r="F1800" s="5">
        <v>33.5808</v>
      </c>
      <c r="G1800" s="5">
        <v>2550.810119</v>
      </c>
      <c r="H1800" s="5">
        <v>7.052</v>
      </c>
      <c r="I1800" s="5">
        <v>5417.0</v>
      </c>
    </row>
    <row r="1801">
      <c r="A1801" s="6" t="s">
        <v>5010</v>
      </c>
      <c r="B1801" s="5">
        <v>9.0</v>
      </c>
      <c r="C1801" s="1" t="s">
        <v>116</v>
      </c>
      <c r="D1801" s="1" t="s">
        <v>13</v>
      </c>
      <c r="E1801" s="1" t="s">
        <v>17</v>
      </c>
      <c r="F1801" s="5">
        <v>101.4127</v>
      </c>
      <c r="G1801" s="5">
        <v>12097.78742</v>
      </c>
      <c r="H1801" s="5">
        <v>35.4944</v>
      </c>
      <c r="I1801" s="5">
        <v>16888.0</v>
      </c>
    </row>
    <row r="1802">
      <c r="A1802" s="6" t="s">
        <v>5010</v>
      </c>
      <c r="B1802" s="5">
        <v>9.0</v>
      </c>
      <c r="C1802" s="1" t="s">
        <v>116</v>
      </c>
      <c r="D1802" s="1" t="s">
        <v>13</v>
      </c>
      <c r="E1802" s="1" t="s">
        <v>21</v>
      </c>
      <c r="F1802" s="5">
        <v>20.624</v>
      </c>
      <c r="G1802" s="5">
        <v>2737.040323</v>
      </c>
      <c r="H1802" s="5">
        <v>10.1936</v>
      </c>
      <c r="I1802" s="5">
        <v>4012.0</v>
      </c>
    </row>
    <row r="1803">
      <c r="A1803" s="6" t="s">
        <v>5010</v>
      </c>
      <c r="B1803" s="5">
        <v>9.0</v>
      </c>
      <c r="C1803" s="1" t="s">
        <v>116</v>
      </c>
      <c r="D1803" s="1" t="s">
        <v>13</v>
      </c>
      <c r="E1803" s="1" t="s">
        <v>25</v>
      </c>
      <c r="F1803" s="5">
        <v>0.0168</v>
      </c>
      <c r="G1803" s="5">
        <v>3.46668</v>
      </c>
      <c r="H1803" s="5">
        <v>0.0126</v>
      </c>
      <c r="I1803" s="5">
        <v>5.0</v>
      </c>
    </row>
    <row r="1804">
      <c r="A1804" s="6" t="s">
        <v>5010</v>
      </c>
      <c r="B1804" s="5">
        <v>9.0</v>
      </c>
      <c r="C1804" s="1" t="s">
        <v>116</v>
      </c>
      <c r="D1804" s="1" t="s">
        <v>29</v>
      </c>
      <c r="E1804" s="1" t="s">
        <v>14</v>
      </c>
      <c r="F1804" s="5">
        <v>1.0856</v>
      </c>
      <c r="G1804" s="5">
        <v>141.04063</v>
      </c>
      <c r="H1804" s="5">
        <v>0.2171</v>
      </c>
      <c r="I1804" s="5">
        <v>251.0</v>
      </c>
    </row>
    <row r="1805">
      <c r="A1805" s="6" t="s">
        <v>5010</v>
      </c>
      <c r="B1805" s="5">
        <v>9.0</v>
      </c>
      <c r="C1805" s="1" t="s">
        <v>116</v>
      </c>
      <c r="D1805" s="1" t="s">
        <v>29</v>
      </c>
      <c r="E1805" s="1" t="s">
        <v>21</v>
      </c>
      <c r="F1805" s="5">
        <v>31.0267</v>
      </c>
      <c r="G1805" s="5">
        <v>6399.18243</v>
      </c>
      <c r="H1805" s="5">
        <v>12.4106</v>
      </c>
      <c r="I1805" s="5">
        <v>3549.0</v>
      </c>
    </row>
    <row r="1806">
      <c r="A1806" s="6" t="s">
        <v>5010</v>
      </c>
      <c r="B1806" s="5">
        <v>9.0</v>
      </c>
      <c r="C1806" s="1" t="s">
        <v>116</v>
      </c>
      <c r="D1806" s="1" t="s">
        <v>45</v>
      </c>
      <c r="E1806" s="1" t="s">
        <v>49</v>
      </c>
      <c r="F1806" s="5">
        <v>2.4692</v>
      </c>
      <c r="G1806" s="5">
        <v>153.160915</v>
      </c>
      <c r="H1806" s="5">
        <v>0.642</v>
      </c>
      <c r="I1806" s="5">
        <v>338.0</v>
      </c>
    </row>
    <row r="1807">
      <c r="A1807" s="6" t="s">
        <v>5010</v>
      </c>
      <c r="B1807" s="5">
        <v>9.0</v>
      </c>
      <c r="C1807" s="1" t="s">
        <v>116</v>
      </c>
      <c r="D1807" s="1" t="s">
        <v>45</v>
      </c>
      <c r="E1807" s="1" t="s">
        <v>17</v>
      </c>
      <c r="F1807" s="5">
        <v>26.1782</v>
      </c>
      <c r="G1807" s="5">
        <v>1815.597704</v>
      </c>
      <c r="H1807" s="5">
        <v>9.4241</v>
      </c>
      <c r="I1807" s="5">
        <v>1827.0</v>
      </c>
    </row>
    <row r="1808">
      <c r="A1808" s="6" t="s">
        <v>5010</v>
      </c>
      <c r="B1808" s="5">
        <v>9.0</v>
      </c>
      <c r="C1808" s="1" t="s">
        <v>116</v>
      </c>
      <c r="D1808" s="1" t="s">
        <v>3962</v>
      </c>
      <c r="E1808" s="1" t="s">
        <v>17</v>
      </c>
      <c r="F1808" s="5">
        <v>11.8075</v>
      </c>
      <c r="G1808" s="5">
        <v>1071.843543</v>
      </c>
      <c r="H1808" s="5">
        <v>4.1326</v>
      </c>
      <c r="I1808" s="5">
        <v>3759.0</v>
      </c>
    </row>
    <row r="1809">
      <c r="A1809" s="6" t="s">
        <v>5010</v>
      </c>
      <c r="B1809" s="5">
        <v>9.0</v>
      </c>
      <c r="C1809" s="1" t="s">
        <v>116</v>
      </c>
      <c r="D1809" s="1" t="s">
        <v>38</v>
      </c>
      <c r="E1809" s="1" t="s">
        <v>39</v>
      </c>
      <c r="F1809" s="5">
        <v>6.7738</v>
      </c>
      <c r="G1809" s="5">
        <v>517.055043</v>
      </c>
      <c r="H1809" s="5">
        <v>1.2192</v>
      </c>
      <c r="I1809" s="5">
        <v>2145.0</v>
      </c>
    </row>
    <row r="1810">
      <c r="A1810" s="6" t="s">
        <v>5010</v>
      </c>
      <c r="B1810" s="5">
        <v>9.0</v>
      </c>
      <c r="C1810" s="1" t="s">
        <v>116</v>
      </c>
      <c r="D1810" s="1" t="s">
        <v>48</v>
      </c>
      <c r="E1810" s="1" t="s">
        <v>49</v>
      </c>
      <c r="F1810" s="5">
        <v>0.0013</v>
      </c>
      <c r="G1810" s="5">
        <v>0.686201</v>
      </c>
      <c r="H1810" s="5">
        <v>4.0E-4</v>
      </c>
      <c r="I1810" s="5">
        <v>2.0</v>
      </c>
    </row>
    <row r="1811">
      <c r="A1811" s="6" t="s">
        <v>5010</v>
      </c>
      <c r="B1811" s="5">
        <v>9.0</v>
      </c>
      <c r="C1811" s="1" t="s">
        <v>116</v>
      </c>
      <c r="D1811" s="1" t="s">
        <v>48</v>
      </c>
      <c r="E1811" s="1" t="s">
        <v>72</v>
      </c>
      <c r="F1811" s="5">
        <v>0.0103</v>
      </c>
      <c r="G1811" s="5">
        <v>3.466083</v>
      </c>
      <c r="H1811" s="5">
        <v>0.0031</v>
      </c>
      <c r="I1811" s="5">
        <v>12.0</v>
      </c>
    </row>
    <row r="1812">
      <c r="A1812" s="6" t="s">
        <v>5010</v>
      </c>
      <c r="B1812" s="5">
        <v>9.0</v>
      </c>
      <c r="C1812" s="1" t="s">
        <v>116</v>
      </c>
      <c r="D1812" s="1" t="s">
        <v>48</v>
      </c>
      <c r="E1812" s="1" t="s">
        <v>21</v>
      </c>
      <c r="F1812" s="5">
        <v>1.7531</v>
      </c>
      <c r="G1812" s="5">
        <v>477.699541</v>
      </c>
      <c r="H1812" s="5">
        <v>0.7013</v>
      </c>
      <c r="I1812" s="5">
        <v>375.0</v>
      </c>
    </row>
    <row r="1813">
      <c r="A1813" s="6" t="s">
        <v>5010</v>
      </c>
      <c r="B1813" s="5">
        <v>9.0</v>
      </c>
      <c r="C1813" s="1" t="s">
        <v>116</v>
      </c>
      <c r="D1813" s="1" t="s">
        <v>147</v>
      </c>
      <c r="E1813" s="1" t="s">
        <v>39</v>
      </c>
      <c r="F1813" s="5">
        <v>1.1708</v>
      </c>
      <c r="G1813" s="5">
        <v>382.119876</v>
      </c>
      <c r="H1813" s="5">
        <v>0.2225</v>
      </c>
      <c r="I1813" s="5">
        <v>101.0</v>
      </c>
    </row>
    <row r="1814">
      <c r="A1814" s="6" t="s">
        <v>5010</v>
      </c>
      <c r="B1814" s="5">
        <v>9.0</v>
      </c>
      <c r="C1814" s="1" t="s">
        <v>116</v>
      </c>
      <c r="D1814" s="1" t="s">
        <v>147</v>
      </c>
      <c r="E1814" s="1" t="s">
        <v>17</v>
      </c>
      <c r="F1814" s="5">
        <v>0.0141</v>
      </c>
      <c r="G1814" s="5">
        <v>6.924144</v>
      </c>
      <c r="H1814" s="5">
        <v>0.005</v>
      </c>
      <c r="I1814" s="5">
        <v>6.0</v>
      </c>
    </row>
    <row r="1815">
      <c r="A1815" s="6" t="s">
        <v>5010</v>
      </c>
      <c r="B1815" s="5">
        <v>9.0</v>
      </c>
      <c r="C1815" s="1" t="s">
        <v>116</v>
      </c>
      <c r="D1815" s="1" t="s">
        <v>147</v>
      </c>
      <c r="E1815" s="1" t="s">
        <v>21</v>
      </c>
      <c r="F1815" s="5">
        <v>0.0381</v>
      </c>
      <c r="G1815" s="5">
        <v>20.303316</v>
      </c>
      <c r="H1815" s="5">
        <v>0.019</v>
      </c>
      <c r="I1815" s="5">
        <v>28.0</v>
      </c>
    </row>
    <row r="1816">
      <c r="A1816" s="6" t="s">
        <v>5010</v>
      </c>
      <c r="B1816" s="5">
        <v>9.0</v>
      </c>
      <c r="C1816" s="1" t="s">
        <v>116</v>
      </c>
      <c r="D1816" s="1" t="s">
        <v>1851</v>
      </c>
      <c r="E1816" s="1" t="s">
        <v>17</v>
      </c>
      <c r="F1816" s="5">
        <v>6.0589</v>
      </c>
      <c r="G1816" s="5">
        <v>357.791053</v>
      </c>
      <c r="H1816" s="5">
        <v>2.3326</v>
      </c>
      <c r="I1816" s="5">
        <v>1472.0</v>
      </c>
    </row>
    <row r="1817">
      <c r="A1817" s="6" t="s">
        <v>5010</v>
      </c>
      <c r="B1817" s="5">
        <v>9.0</v>
      </c>
      <c r="C1817" s="1" t="s">
        <v>116</v>
      </c>
      <c r="D1817" s="1" t="s">
        <v>1851</v>
      </c>
      <c r="E1817" s="1" t="s">
        <v>21</v>
      </c>
      <c r="F1817" s="5">
        <v>0.1679</v>
      </c>
      <c r="G1817" s="5">
        <v>19.158144</v>
      </c>
      <c r="H1817" s="5">
        <v>0.0823</v>
      </c>
      <c r="I1817" s="5">
        <v>78.0</v>
      </c>
    </row>
    <row r="1818">
      <c r="A1818" s="6" t="s">
        <v>5010</v>
      </c>
      <c r="B1818" s="5">
        <v>9.0</v>
      </c>
      <c r="C1818" s="1" t="s">
        <v>116</v>
      </c>
      <c r="D1818" s="1" t="s">
        <v>42</v>
      </c>
      <c r="E1818" s="1" t="s">
        <v>17</v>
      </c>
      <c r="F1818" s="5">
        <v>1.0606</v>
      </c>
      <c r="G1818" s="5">
        <v>220.256091</v>
      </c>
      <c r="H1818" s="5">
        <v>0.3924</v>
      </c>
      <c r="I1818" s="5">
        <v>0.0</v>
      </c>
    </row>
    <row r="1819">
      <c r="A1819" s="6" t="s">
        <v>5010</v>
      </c>
      <c r="B1819" s="5">
        <v>9.0</v>
      </c>
      <c r="C1819" s="1" t="s">
        <v>116</v>
      </c>
      <c r="D1819" s="1" t="s">
        <v>165</v>
      </c>
      <c r="E1819" s="1" t="s">
        <v>39</v>
      </c>
      <c r="F1819" s="5">
        <v>0.2399</v>
      </c>
      <c r="G1819" s="5">
        <v>62.670108</v>
      </c>
      <c r="H1819" s="5">
        <v>0.0432</v>
      </c>
      <c r="I1819" s="5">
        <v>0.0</v>
      </c>
    </row>
    <row r="1820">
      <c r="A1820" s="6" t="s">
        <v>5010</v>
      </c>
      <c r="B1820" s="5">
        <v>9.0</v>
      </c>
      <c r="C1820" s="1" t="s">
        <v>116</v>
      </c>
      <c r="D1820" s="1" t="s">
        <v>165</v>
      </c>
      <c r="E1820" s="1" t="s">
        <v>17</v>
      </c>
      <c r="F1820" s="5">
        <v>0.4427</v>
      </c>
      <c r="G1820" s="5">
        <v>128.904763</v>
      </c>
      <c r="H1820" s="5">
        <v>0.155</v>
      </c>
      <c r="I1820" s="5">
        <v>0.0</v>
      </c>
    </row>
    <row r="1821">
      <c r="A1821" s="6" t="s">
        <v>5010</v>
      </c>
      <c r="B1821" s="5">
        <v>10.0</v>
      </c>
      <c r="C1821" s="1" t="s">
        <v>12</v>
      </c>
      <c r="D1821" s="1" t="s">
        <v>13</v>
      </c>
      <c r="E1821" s="1" t="s">
        <v>14</v>
      </c>
      <c r="F1821" s="5">
        <v>8.1066</v>
      </c>
      <c r="G1821" s="5">
        <v>618.481777</v>
      </c>
      <c r="H1821" s="5">
        <v>1.7024</v>
      </c>
      <c r="I1821" s="5">
        <v>392.0</v>
      </c>
    </row>
    <row r="1822">
      <c r="A1822" s="6" t="s">
        <v>5010</v>
      </c>
      <c r="B1822" s="5">
        <v>10.0</v>
      </c>
      <c r="C1822" s="1" t="s">
        <v>12</v>
      </c>
      <c r="D1822" s="1" t="s">
        <v>13</v>
      </c>
      <c r="E1822" s="1" t="s">
        <v>17</v>
      </c>
      <c r="F1822" s="5">
        <v>65.06</v>
      </c>
      <c r="G1822" s="5">
        <v>5995.710542</v>
      </c>
      <c r="H1822" s="5">
        <v>22.771</v>
      </c>
      <c r="I1822" s="5">
        <v>624.0</v>
      </c>
    </row>
    <row r="1823">
      <c r="A1823" s="6" t="s">
        <v>5010</v>
      </c>
      <c r="B1823" s="5">
        <v>10.0</v>
      </c>
      <c r="C1823" s="1" t="s">
        <v>12</v>
      </c>
      <c r="D1823" s="1" t="s">
        <v>13</v>
      </c>
      <c r="E1823" s="1" t="s">
        <v>21</v>
      </c>
      <c r="F1823" s="5">
        <v>34.9698</v>
      </c>
      <c r="G1823" s="5">
        <v>4346.872331</v>
      </c>
      <c r="H1823" s="5">
        <v>17.4737</v>
      </c>
      <c r="I1823" s="5">
        <v>522.0</v>
      </c>
    </row>
    <row r="1824">
      <c r="A1824" s="6" t="s">
        <v>5010</v>
      </c>
      <c r="B1824" s="5">
        <v>10.0</v>
      </c>
      <c r="C1824" s="1" t="s">
        <v>12</v>
      </c>
      <c r="D1824" s="1" t="s">
        <v>29</v>
      </c>
      <c r="E1824" s="1" t="s">
        <v>14</v>
      </c>
      <c r="F1824" s="5">
        <v>0.1794</v>
      </c>
      <c r="G1824" s="5">
        <v>17.551945</v>
      </c>
      <c r="H1824" s="5">
        <v>0.0359</v>
      </c>
      <c r="I1824" s="5">
        <v>20.0</v>
      </c>
    </row>
    <row r="1825">
      <c r="A1825" s="6" t="s">
        <v>5010</v>
      </c>
      <c r="B1825" s="5">
        <v>10.0</v>
      </c>
      <c r="C1825" s="1" t="s">
        <v>12</v>
      </c>
      <c r="D1825" s="1" t="s">
        <v>29</v>
      </c>
      <c r="E1825" s="1" t="s">
        <v>21</v>
      </c>
      <c r="F1825" s="5">
        <v>33.0304</v>
      </c>
      <c r="G1825" s="5">
        <v>6797.677053</v>
      </c>
      <c r="H1825" s="5">
        <v>13.2122</v>
      </c>
      <c r="I1825" s="5">
        <v>629.0</v>
      </c>
    </row>
    <row r="1826">
      <c r="A1826" s="6" t="s">
        <v>5010</v>
      </c>
      <c r="B1826" s="5">
        <v>10.0</v>
      </c>
      <c r="C1826" s="1" t="s">
        <v>12</v>
      </c>
      <c r="D1826" s="1" t="s">
        <v>48</v>
      </c>
      <c r="E1826" s="1" t="s">
        <v>49</v>
      </c>
      <c r="F1826" s="5">
        <v>0.002</v>
      </c>
      <c r="G1826" s="5">
        <v>0.475945</v>
      </c>
      <c r="H1826" s="5">
        <v>5.0E-4</v>
      </c>
      <c r="I1826" s="5">
        <v>1.0</v>
      </c>
    </row>
    <row r="1827">
      <c r="A1827" s="6" t="s">
        <v>5010</v>
      </c>
      <c r="B1827" s="5">
        <v>10.0</v>
      </c>
      <c r="C1827" s="1" t="s">
        <v>12</v>
      </c>
      <c r="D1827" s="1" t="s">
        <v>48</v>
      </c>
      <c r="E1827" s="1" t="s">
        <v>21</v>
      </c>
      <c r="F1827" s="5">
        <v>2.8844</v>
      </c>
      <c r="G1827" s="5">
        <v>443.897371</v>
      </c>
      <c r="H1827" s="5">
        <v>1.1537</v>
      </c>
      <c r="I1827" s="5">
        <v>162.0</v>
      </c>
    </row>
    <row r="1828">
      <c r="A1828" s="6" t="s">
        <v>5010</v>
      </c>
      <c r="B1828" s="5">
        <v>10.0</v>
      </c>
      <c r="C1828" s="1" t="s">
        <v>12</v>
      </c>
      <c r="D1828" s="1" t="s">
        <v>38</v>
      </c>
      <c r="E1828" s="1" t="s">
        <v>39</v>
      </c>
      <c r="F1828" s="5">
        <v>2.3938</v>
      </c>
      <c r="G1828" s="5">
        <v>280.43919</v>
      </c>
      <c r="H1828" s="5">
        <v>0.4309</v>
      </c>
      <c r="I1828" s="5">
        <v>135.0</v>
      </c>
    </row>
    <row r="1829">
      <c r="A1829" s="6" t="s">
        <v>5010</v>
      </c>
      <c r="B1829" s="5">
        <v>10.0</v>
      </c>
      <c r="C1829" s="1" t="s">
        <v>12</v>
      </c>
      <c r="D1829" s="1" t="s">
        <v>45</v>
      </c>
      <c r="E1829" s="1" t="s">
        <v>49</v>
      </c>
      <c r="F1829" s="5">
        <v>0.0393</v>
      </c>
      <c r="G1829" s="5">
        <v>2.333112</v>
      </c>
      <c r="H1829" s="5">
        <v>0.0102</v>
      </c>
      <c r="I1829" s="5">
        <v>4.0</v>
      </c>
    </row>
    <row r="1830">
      <c r="A1830" s="6" t="s">
        <v>5010</v>
      </c>
      <c r="B1830" s="5">
        <v>10.0</v>
      </c>
      <c r="C1830" s="1" t="s">
        <v>12</v>
      </c>
      <c r="D1830" s="1" t="s">
        <v>45</v>
      </c>
      <c r="E1830" s="1" t="s">
        <v>17</v>
      </c>
      <c r="F1830" s="5">
        <v>2.3325</v>
      </c>
      <c r="G1830" s="5">
        <v>168.957275</v>
      </c>
      <c r="H1830" s="5">
        <v>0.8397</v>
      </c>
      <c r="I1830" s="5">
        <v>157.0</v>
      </c>
    </row>
    <row r="1831">
      <c r="A1831" s="6" t="s">
        <v>5010</v>
      </c>
      <c r="B1831" s="5">
        <v>10.0</v>
      </c>
      <c r="C1831" s="1" t="s">
        <v>12</v>
      </c>
      <c r="D1831" s="1" t="s">
        <v>3962</v>
      </c>
      <c r="E1831" s="1" t="s">
        <v>17</v>
      </c>
      <c r="F1831" s="5">
        <v>1.0964</v>
      </c>
      <c r="G1831" s="5">
        <v>99.10065</v>
      </c>
      <c r="H1831" s="5">
        <v>0.3838</v>
      </c>
      <c r="I1831" s="5">
        <v>113.0</v>
      </c>
    </row>
    <row r="1832">
      <c r="A1832" s="6" t="s">
        <v>5010</v>
      </c>
      <c r="B1832" s="5">
        <v>10.0</v>
      </c>
      <c r="C1832" s="1" t="s">
        <v>12</v>
      </c>
      <c r="D1832" s="1" t="s">
        <v>4127</v>
      </c>
      <c r="E1832" s="1" t="s">
        <v>17</v>
      </c>
      <c r="F1832" s="5">
        <v>0.7526</v>
      </c>
      <c r="G1832" s="5">
        <v>68.122721</v>
      </c>
      <c r="H1832" s="5">
        <v>0.2634</v>
      </c>
      <c r="I1832" s="5">
        <v>80.0</v>
      </c>
    </row>
    <row r="1833">
      <c r="A1833" s="6" t="s">
        <v>5010</v>
      </c>
      <c r="B1833" s="5">
        <v>10.0</v>
      </c>
      <c r="C1833" s="1" t="s">
        <v>12</v>
      </c>
      <c r="D1833" s="1" t="s">
        <v>4955</v>
      </c>
      <c r="E1833" s="1" t="s">
        <v>49</v>
      </c>
      <c r="F1833" s="5">
        <v>1.3633</v>
      </c>
      <c r="G1833" s="5">
        <v>66.180682</v>
      </c>
      <c r="H1833" s="5">
        <v>0.3408</v>
      </c>
      <c r="I1833" s="5">
        <v>67.0</v>
      </c>
    </row>
    <row r="1834">
      <c r="A1834" s="6" t="s">
        <v>5010</v>
      </c>
      <c r="B1834" s="5">
        <v>10.0</v>
      </c>
      <c r="C1834" s="1" t="s">
        <v>12</v>
      </c>
      <c r="D1834" s="1" t="s">
        <v>42</v>
      </c>
      <c r="E1834" s="1" t="s">
        <v>17</v>
      </c>
      <c r="F1834" s="5">
        <v>0.2825</v>
      </c>
      <c r="G1834" s="5">
        <v>51.100826</v>
      </c>
      <c r="H1834" s="5">
        <v>0.1046</v>
      </c>
      <c r="I1834" s="5">
        <v>0.0</v>
      </c>
    </row>
    <row r="1835">
      <c r="A1835" s="6" t="s">
        <v>5010</v>
      </c>
      <c r="B1835" s="5">
        <v>10.0</v>
      </c>
      <c r="C1835" s="1" t="s">
        <v>12</v>
      </c>
      <c r="D1835" s="1" t="s">
        <v>1851</v>
      </c>
      <c r="E1835" s="1" t="s">
        <v>17</v>
      </c>
      <c r="F1835" s="5">
        <v>0.4912</v>
      </c>
      <c r="G1835" s="5">
        <v>47.016439</v>
      </c>
      <c r="H1835" s="5">
        <v>0.1891</v>
      </c>
      <c r="I1835" s="5">
        <v>137.0</v>
      </c>
    </row>
    <row r="1836">
      <c r="A1836" s="6" t="s">
        <v>5010</v>
      </c>
      <c r="B1836" s="5">
        <v>10.0</v>
      </c>
      <c r="C1836" s="1" t="s">
        <v>68</v>
      </c>
      <c r="D1836" s="1" t="s">
        <v>13</v>
      </c>
      <c r="E1836" s="1" t="s">
        <v>14</v>
      </c>
      <c r="F1836" s="5">
        <v>14.0729</v>
      </c>
      <c r="G1836" s="5">
        <v>1104.70914</v>
      </c>
      <c r="H1836" s="5">
        <v>2.9553</v>
      </c>
      <c r="I1836" s="5">
        <v>2918.0</v>
      </c>
    </row>
    <row r="1837">
      <c r="A1837" s="6" t="s">
        <v>5010</v>
      </c>
      <c r="B1837" s="5">
        <v>10.0</v>
      </c>
      <c r="C1837" s="1" t="s">
        <v>68</v>
      </c>
      <c r="D1837" s="1" t="s">
        <v>13</v>
      </c>
      <c r="E1837" s="1" t="s">
        <v>17</v>
      </c>
      <c r="F1837" s="5">
        <v>53.1301</v>
      </c>
      <c r="G1837" s="5">
        <v>5945.933384</v>
      </c>
      <c r="H1837" s="5">
        <v>18.5955</v>
      </c>
      <c r="I1837" s="5">
        <v>8665.0</v>
      </c>
    </row>
    <row r="1838">
      <c r="A1838" s="6" t="s">
        <v>5010</v>
      </c>
      <c r="B1838" s="5">
        <v>10.0</v>
      </c>
      <c r="C1838" s="1" t="s">
        <v>68</v>
      </c>
      <c r="D1838" s="1" t="s">
        <v>13</v>
      </c>
      <c r="E1838" s="1" t="s">
        <v>21</v>
      </c>
      <c r="F1838" s="5">
        <v>8.8828</v>
      </c>
      <c r="G1838" s="5">
        <v>1161.74794</v>
      </c>
      <c r="H1838" s="5">
        <v>4.3691</v>
      </c>
      <c r="I1838" s="5">
        <v>2423.0</v>
      </c>
    </row>
    <row r="1839">
      <c r="A1839" s="6" t="s">
        <v>5010</v>
      </c>
      <c r="B1839" s="5">
        <v>10.0</v>
      </c>
      <c r="C1839" s="1" t="s">
        <v>68</v>
      </c>
      <c r="D1839" s="1" t="s">
        <v>13</v>
      </c>
      <c r="E1839" s="1" t="s">
        <v>25</v>
      </c>
      <c r="F1839" s="5">
        <v>0.2968</v>
      </c>
      <c r="G1839" s="5">
        <v>47.929871</v>
      </c>
      <c r="H1839" s="5">
        <v>0.2226</v>
      </c>
      <c r="I1839" s="5">
        <v>170.0</v>
      </c>
    </row>
    <row r="1840">
      <c r="A1840" s="6" t="s">
        <v>5010</v>
      </c>
      <c r="B1840" s="5">
        <v>10.0</v>
      </c>
      <c r="C1840" s="1" t="s">
        <v>68</v>
      </c>
      <c r="D1840" s="1" t="s">
        <v>29</v>
      </c>
      <c r="E1840" s="1" t="s">
        <v>14</v>
      </c>
      <c r="F1840" s="5">
        <v>0.6789</v>
      </c>
      <c r="G1840" s="5">
        <v>87.049257</v>
      </c>
      <c r="H1840" s="5">
        <v>0.1358</v>
      </c>
      <c r="I1840" s="5">
        <v>209.0</v>
      </c>
    </row>
    <row r="1841">
      <c r="A1841" s="6" t="s">
        <v>5010</v>
      </c>
      <c r="B1841" s="5">
        <v>10.0</v>
      </c>
      <c r="C1841" s="1" t="s">
        <v>68</v>
      </c>
      <c r="D1841" s="1" t="s">
        <v>29</v>
      </c>
      <c r="E1841" s="1" t="s">
        <v>21</v>
      </c>
      <c r="F1841" s="5">
        <v>12.4224</v>
      </c>
      <c r="G1841" s="5">
        <v>2134.394888</v>
      </c>
      <c r="H1841" s="5">
        <v>4.969</v>
      </c>
      <c r="I1841" s="5">
        <v>1809.0</v>
      </c>
    </row>
    <row r="1842">
      <c r="A1842" s="6" t="s">
        <v>5010</v>
      </c>
      <c r="B1842" s="5">
        <v>10.0</v>
      </c>
      <c r="C1842" s="1" t="s">
        <v>68</v>
      </c>
      <c r="D1842" s="1" t="s">
        <v>45</v>
      </c>
      <c r="E1842" s="1" t="s">
        <v>49</v>
      </c>
      <c r="F1842" s="5">
        <v>0.848</v>
      </c>
      <c r="G1842" s="5">
        <v>53.446204</v>
      </c>
      <c r="H1842" s="5">
        <v>0.2205</v>
      </c>
      <c r="I1842" s="5">
        <v>193.0</v>
      </c>
    </row>
    <row r="1843">
      <c r="A1843" s="6" t="s">
        <v>5010</v>
      </c>
      <c r="B1843" s="5">
        <v>10.0</v>
      </c>
      <c r="C1843" s="1" t="s">
        <v>68</v>
      </c>
      <c r="D1843" s="1" t="s">
        <v>45</v>
      </c>
      <c r="E1843" s="1" t="s">
        <v>17</v>
      </c>
      <c r="F1843" s="5">
        <v>10.3903</v>
      </c>
      <c r="G1843" s="5">
        <v>648.876279</v>
      </c>
      <c r="H1843" s="5">
        <v>3.7405</v>
      </c>
      <c r="I1843" s="5">
        <v>1361.0</v>
      </c>
    </row>
    <row r="1844">
      <c r="A1844" s="6" t="s">
        <v>5010</v>
      </c>
      <c r="B1844" s="5">
        <v>10.0</v>
      </c>
      <c r="C1844" s="1" t="s">
        <v>68</v>
      </c>
      <c r="D1844" s="1" t="s">
        <v>38</v>
      </c>
      <c r="E1844" s="1" t="s">
        <v>39</v>
      </c>
      <c r="F1844" s="5">
        <v>3.58</v>
      </c>
      <c r="G1844" s="5">
        <v>285.062911</v>
      </c>
      <c r="H1844" s="5">
        <v>0.6444</v>
      </c>
      <c r="I1844" s="5">
        <v>1455.0</v>
      </c>
    </row>
    <row r="1845">
      <c r="A1845" s="6" t="s">
        <v>5010</v>
      </c>
      <c r="B1845" s="5">
        <v>10.0</v>
      </c>
      <c r="C1845" s="1" t="s">
        <v>68</v>
      </c>
      <c r="D1845" s="1" t="s">
        <v>3962</v>
      </c>
      <c r="E1845" s="1" t="s">
        <v>17</v>
      </c>
      <c r="F1845" s="5">
        <v>2.4011</v>
      </c>
      <c r="G1845" s="5">
        <v>208.763393</v>
      </c>
      <c r="H1845" s="5">
        <v>0.8404</v>
      </c>
      <c r="I1845" s="5">
        <v>1064.0</v>
      </c>
    </row>
    <row r="1846">
      <c r="A1846" s="6" t="s">
        <v>5010</v>
      </c>
      <c r="B1846" s="5">
        <v>10.0</v>
      </c>
      <c r="C1846" s="1" t="s">
        <v>68</v>
      </c>
      <c r="D1846" s="1" t="s">
        <v>42</v>
      </c>
      <c r="E1846" s="1" t="s">
        <v>17</v>
      </c>
      <c r="F1846" s="5">
        <v>0.8176</v>
      </c>
      <c r="G1846" s="5">
        <v>160.901353</v>
      </c>
      <c r="H1846" s="5">
        <v>0.3026</v>
      </c>
      <c r="I1846" s="5">
        <v>0.0</v>
      </c>
    </row>
    <row r="1847">
      <c r="A1847" s="6" t="s">
        <v>5010</v>
      </c>
      <c r="B1847" s="5">
        <v>10.0</v>
      </c>
      <c r="C1847" s="1" t="s">
        <v>68</v>
      </c>
      <c r="D1847" s="1" t="s">
        <v>48</v>
      </c>
      <c r="E1847" s="1" t="s">
        <v>49</v>
      </c>
      <c r="F1847" s="5">
        <v>0.008</v>
      </c>
      <c r="G1847" s="5">
        <v>2.637589</v>
      </c>
      <c r="H1847" s="5">
        <v>0.0023</v>
      </c>
      <c r="I1847" s="5">
        <v>2.0</v>
      </c>
    </row>
    <row r="1848">
      <c r="A1848" s="6" t="s">
        <v>5010</v>
      </c>
      <c r="B1848" s="5">
        <v>10.0</v>
      </c>
      <c r="C1848" s="1" t="s">
        <v>68</v>
      </c>
      <c r="D1848" s="1" t="s">
        <v>48</v>
      </c>
      <c r="E1848" s="1" t="s">
        <v>72</v>
      </c>
      <c r="F1848" s="5">
        <v>0.002</v>
      </c>
      <c r="G1848" s="5">
        <v>0.673736</v>
      </c>
      <c r="H1848" s="5">
        <v>6.0E-4</v>
      </c>
      <c r="I1848" s="5">
        <v>3.0</v>
      </c>
    </row>
    <row r="1849">
      <c r="A1849" s="6" t="s">
        <v>5010</v>
      </c>
      <c r="B1849" s="5">
        <v>10.0</v>
      </c>
      <c r="C1849" s="1" t="s">
        <v>68</v>
      </c>
      <c r="D1849" s="1" t="s">
        <v>48</v>
      </c>
      <c r="E1849" s="1" t="s">
        <v>21</v>
      </c>
      <c r="F1849" s="5">
        <v>0.8336</v>
      </c>
      <c r="G1849" s="5">
        <v>142.366486</v>
      </c>
      <c r="H1849" s="5">
        <v>0.3335</v>
      </c>
      <c r="I1849" s="5">
        <v>312.0</v>
      </c>
    </row>
    <row r="1850">
      <c r="A1850" s="6" t="s">
        <v>5010</v>
      </c>
      <c r="B1850" s="5">
        <v>10.0</v>
      </c>
      <c r="C1850" s="1" t="s">
        <v>68</v>
      </c>
      <c r="D1850" s="1" t="s">
        <v>5366</v>
      </c>
      <c r="E1850" s="1" t="s">
        <v>17</v>
      </c>
      <c r="F1850" s="5">
        <v>0.9888</v>
      </c>
      <c r="G1850" s="5">
        <v>68.042955</v>
      </c>
      <c r="H1850" s="5">
        <v>0.356</v>
      </c>
      <c r="I1850" s="5">
        <v>341.0</v>
      </c>
    </row>
    <row r="1851">
      <c r="A1851" s="6" t="s">
        <v>5010</v>
      </c>
      <c r="B1851" s="5">
        <v>10.0</v>
      </c>
      <c r="C1851" s="1" t="s">
        <v>68</v>
      </c>
      <c r="D1851" s="1" t="s">
        <v>2104</v>
      </c>
      <c r="E1851" s="1" t="s">
        <v>17</v>
      </c>
      <c r="F1851" s="5">
        <v>1.3274</v>
      </c>
      <c r="G1851" s="5">
        <v>51.798101</v>
      </c>
      <c r="H1851" s="5">
        <v>0.4646</v>
      </c>
      <c r="I1851" s="5">
        <v>435.0</v>
      </c>
    </row>
    <row r="1852">
      <c r="A1852" s="6" t="s">
        <v>5010</v>
      </c>
      <c r="B1852" s="5">
        <v>10.0</v>
      </c>
      <c r="C1852" s="1" t="s">
        <v>68</v>
      </c>
      <c r="D1852" s="1" t="s">
        <v>1851</v>
      </c>
      <c r="E1852" s="1" t="s">
        <v>17</v>
      </c>
      <c r="F1852" s="5">
        <v>0.5887</v>
      </c>
      <c r="G1852" s="5">
        <v>38.340356</v>
      </c>
      <c r="H1852" s="5">
        <v>0.2266</v>
      </c>
      <c r="I1852" s="5">
        <v>441.0</v>
      </c>
    </row>
    <row r="1853">
      <c r="A1853" s="6" t="s">
        <v>5010</v>
      </c>
      <c r="B1853" s="5">
        <v>10.0</v>
      </c>
      <c r="C1853" s="1" t="s">
        <v>68</v>
      </c>
      <c r="D1853" s="1" t="s">
        <v>1851</v>
      </c>
      <c r="E1853" s="1" t="s">
        <v>21</v>
      </c>
      <c r="F1853" s="5">
        <v>0.1517</v>
      </c>
      <c r="G1853" s="5">
        <v>13.15267</v>
      </c>
      <c r="H1853" s="5">
        <v>0.0743</v>
      </c>
      <c r="I1853" s="5">
        <v>103.0</v>
      </c>
    </row>
    <row r="1854">
      <c r="A1854" s="6" t="s">
        <v>5010</v>
      </c>
      <c r="B1854" s="5">
        <v>10.0</v>
      </c>
      <c r="C1854" s="1" t="s">
        <v>116</v>
      </c>
      <c r="D1854" s="1" t="s">
        <v>13</v>
      </c>
      <c r="E1854" s="1" t="s">
        <v>14</v>
      </c>
      <c r="F1854" s="5">
        <v>41.8058</v>
      </c>
      <c r="G1854" s="5">
        <v>2955.440042</v>
      </c>
      <c r="H1854" s="5">
        <v>8.7792</v>
      </c>
      <c r="I1854" s="5">
        <v>4562.0</v>
      </c>
    </row>
    <row r="1855">
      <c r="A1855" s="6" t="s">
        <v>5010</v>
      </c>
      <c r="B1855" s="5">
        <v>10.0</v>
      </c>
      <c r="C1855" s="1" t="s">
        <v>116</v>
      </c>
      <c r="D1855" s="1" t="s">
        <v>13</v>
      </c>
      <c r="E1855" s="1" t="s">
        <v>17</v>
      </c>
      <c r="F1855" s="5">
        <v>195.5282</v>
      </c>
      <c r="G1855" s="5">
        <v>18673.789433</v>
      </c>
      <c r="H1855" s="5">
        <v>68.435</v>
      </c>
      <c r="I1855" s="5">
        <v>18126.0</v>
      </c>
    </row>
    <row r="1856">
      <c r="A1856" s="6" t="s">
        <v>5010</v>
      </c>
      <c r="B1856" s="5">
        <v>10.0</v>
      </c>
      <c r="C1856" s="1" t="s">
        <v>116</v>
      </c>
      <c r="D1856" s="1" t="s">
        <v>13</v>
      </c>
      <c r="E1856" s="1" t="s">
        <v>21</v>
      </c>
      <c r="F1856" s="5">
        <v>23.9821</v>
      </c>
      <c r="G1856" s="5">
        <v>3245.029801</v>
      </c>
      <c r="H1856" s="5">
        <v>11.8374</v>
      </c>
      <c r="I1856" s="5">
        <v>4735.0</v>
      </c>
    </row>
    <row r="1857">
      <c r="A1857" s="6" t="s">
        <v>5010</v>
      </c>
      <c r="B1857" s="5">
        <v>10.0</v>
      </c>
      <c r="C1857" s="1" t="s">
        <v>116</v>
      </c>
      <c r="D1857" s="1" t="s">
        <v>13</v>
      </c>
      <c r="E1857" s="1" t="s">
        <v>25</v>
      </c>
      <c r="F1857" s="5">
        <v>0.0249</v>
      </c>
      <c r="G1857" s="5">
        <v>5.149395</v>
      </c>
      <c r="H1857" s="5">
        <v>0.0187</v>
      </c>
      <c r="I1857" s="5">
        <v>6.0</v>
      </c>
    </row>
    <row r="1858">
      <c r="A1858" s="6" t="s">
        <v>5010</v>
      </c>
      <c r="B1858" s="5">
        <v>10.0</v>
      </c>
      <c r="C1858" s="1" t="s">
        <v>116</v>
      </c>
      <c r="D1858" s="1" t="s">
        <v>29</v>
      </c>
      <c r="E1858" s="1" t="s">
        <v>14</v>
      </c>
      <c r="F1858" s="5">
        <v>1.2179</v>
      </c>
      <c r="G1858" s="5">
        <v>171.423595</v>
      </c>
      <c r="H1858" s="5">
        <v>0.2436</v>
      </c>
      <c r="I1858" s="5">
        <v>317.0</v>
      </c>
    </row>
    <row r="1859">
      <c r="A1859" s="6" t="s">
        <v>5010</v>
      </c>
      <c r="B1859" s="5">
        <v>10.0</v>
      </c>
      <c r="C1859" s="1" t="s">
        <v>116</v>
      </c>
      <c r="D1859" s="1" t="s">
        <v>29</v>
      </c>
      <c r="E1859" s="1" t="s">
        <v>21</v>
      </c>
      <c r="F1859" s="5">
        <v>51.3505</v>
      </c>
      <c r="G1859" s="5">
        <v>9478.159229</v>
      </c>
      <c r="H1859" s="5">
        <v>20.5402</v>
      </c>
      <c r="I1859" s="5">
        <v>3575.0</v>
      </c>
    </row>
    <row r="1860">
      <c r="A1860" s="6" t="s">
        <v>5010</v>
      </c>
      <c r="B1860" s="5">
        <v>10.0</v>
      </c>
      <c r="C1860" s="1" t="s">
        <v>116</v>
      </c>
      <c r="D1860" s="1" t="s">
        <v>45</v>
      </c>
      <c r="E1860" s="1" t="s">
        <v>49</v>
      </c>
      <c r="F1860" s="5">
        <v>2.7495</v>
      </c>
      <c r="G1860" s="5">
        <v>170.628453</v>
      </c>
      <c r="H1860" s="5">
        <v>0.7149</v>
      </c>
      <c r="I1860" s="5">
        <v>340.0</v>
      </c>
    </row>
    <row r="1861">
      <c r="A1861" s="6" t="s">
        <v>5010</v>
      </c>
      <c r="B1861" s="5">
        <v>10.0</v>
      </c>
      <c r="C1861" s="1" t="s">
        <v>116</v>
      </c>
      <c r="D1861" s="1" t="s">
        <v>45</v>
      </c>
      <c r="E1861" s="1" t="s">
        <v>17</v>
      </c>
      <c r="F1861" s="5">
        <v>16.1191</v>
      </c>
      <c r="G1861" s="5">
        <v>1233.112563</v>
      </c>
      <c r="H1861" s="5">
        <v>5.8029</v>
      </c>
      <c r="I1861" s="5">
        <v>1747.0</v>
      </c>
    </row>
    <row r="1862">
      <c r="A1862" s="6" t="s">
        <v>5010</v>
      </c>
      <c r="B1862" s="5">
        <v>10.0</v>
      </c>
      <c r="C1862" s="1" t="s">
        <v>116</v>
      </c>
      <c r="D1862" s="1" t="s">
        <v>3962</v>
      </c>
      <c r="E1862" s="1" t="s">
        <v>17</v>
      </c>
      <c r="F1862" s="5">
        <v>14.5781</v>
      </c>
      <c r="G1862" s="5">
        <v>1298.676268</v>
      </c>
      <c r="H1862" s="5">
        <v>5.1024</v>
      </c>
      <c r="I1862" s="5">
        <v>3925.0</v>
      </c>
    </row>
    <row r="1863">
      <c r="A1863" s="6" t="s">
        <v>5010</v>
      </c>
      <c r="B1863" s="5">
        <v>10.0</v>
      </c>
      <c r="C1863" s="1" t="s">
        <v>116</v>
      </c>
      <c r="D1863" s="1" t="s">
        <v>48</v>
      </c>
      <c r="E1863" s="1" t="s">
        <v>49</v>
      </c>
      <c r="F1863" s="5">
        <v>0.0198</v>
      </c>
      <c r="G1863" s="5">
        <v>3.019777</v>
      </c>
      <c r="H1863" s="5">
        <v>0.0056</v>
      </c>
      <c r="I1863" s="5">
        <v>2.0</v>
      </c>
    </row>
    <row r="1864">
      <c r="A1864" s="6" t="s">
        <v>5010</v>
      </c>
      <c r="B1864" s="5">
        <v>10.0</v>
      </c>
      <c r="C1864" s="1" t="s">
        <v>116</v>
      </c>
      <c r="D1864" s="1" t="s">
        <v>48</v>
      </c>
      <c r="E1864" s="1" t="s">
        <v>72</v>
      </c>
      <c r="F1864" s="5">
        <v>0.017</v>
      </c>
      <c r="G1864" s="5">
        <v>5.180294</v>
      </c>
      <c r="H1864" s="5">
        <v>0.0051</v>
      </c>
      <c r="I1864" s="5">
        <v>13.0</v>
      </c>
    </row>
    <row r="1865">
      <c r="A1865" s="6" t="s">
        <v>5010</v>
      </c>
      <c r="B1865" s="5">
        <v>10.0</v>
      </c>
      <c r="C1865" s="1" t="s">
        <v>116</v>
      </c>
      <c r="D1865" s="1" t="s">
        <v>48</v>
      </c>
      <c r="E1865" s="1" t="s">
        <v>21</v>
      </c>
      <c r="F1865" s="5">
        <v>2.9449</v>
      </c>
      <c r="G1865" s="5">
        <v>724.666235</v>
      </c>
      <c r="H1865" s="5">
        <v>1.1779</v>
      </c>
      <c r="I1865" s="5">
        <v>459.0</v>
      </c>
    </row>
    <row r="1866">
      <c r="A1866" s="6" t="s">
        <v>5010</v>
      </c>
      <c r="B1866" s="5">
        <v>10.0</v>
      </c>
      <c r="C1866" s="1" t="s">
        <v>116</v>
      </c>
      <c r="D1866" s="1" t="s">
        <v>38</v>
      </c>
      <c r="E1866" s="1" t="s">
        <v>39</v>
      </c>
      <c r="F1866" s="5">
        <v>5.805</v>
      </c>
      <c r="G1866" s="5">
        <v>475.925125</v>
      </c>
      <c r="H1866" s="5">
        <v>1.0449</v>
      </c>
      <c r="I1866" s="5">
        <v>1957.0</v>
      </c>
    </row>
    <row r="1867">
      <c r="A1867" s="6" t="s">
        <v>5010</v>
      </c>
      <c r="B1867" s="5">
        <v>10.0</v>
      </c>
      <c r="C1867" s="1" t="s">
        <v>116</v>
      </c>
      <c r="D1867" s="1" t="s">
        <v>147</v>
      </c>
      <c r="E1867" s="1" t="s">
        <v>39</v>
      </c>
      <c r="F1867" s="5">
        <v>1.0774</v>
      </c>
      <c r="G1867" s="5">
        <v>357.692522</v>
      </c>
      <c r="H1867" s="5">
        <v>0.2046</v>
      </c>
      <c r="I1867" s="5">
        <v>103.0</v>
      </c>
    </row>
    <row r="1868">
      <c r="A1868" s="6" t="s">
        <v>5010</v>
      </c>
      <c r="B1868" s="5">
        <v>10.0</v>
      </c>
      <c r="C1868" s="1" t="s">
        <v>116</v>
      </c>
      <c r="D1868" s="1" t="s">
        <v>147</v>
      </c>
      <c r="E1868" s="1" t="s">
        <v>17</v>
      </c>
      <c r="F1868" s="5">
        <v>0.0145</v>
      </c>
      <c r="G1868" s="5">
        <v>6.70971</v>
      </c>
      <c r="H1868" s="5">
        <v>0.0052</v>
      </c>
      <c r="I1868" s="5">
        <v>5.0</v>
      </c>
    </row>
    <row r="1869">
      <c r="A1869" s="6" t="s">
        <v>5010</v>
      </c>
      <c r="B1869" s="5">
        <v>10.0</v>
      </c>
      <c r="C1869" s="1" t="s">
        <v>116</v>
      </c>
      <c r="D1869" s="1" t="s">
        <v>147</v>
      </c>
      <c r="E1869" s="1" t="s">
        <v>21</v>
      </c>
      <c r="F1869" s="5">
        <v>0.0522</v>
      </c>
      <c r="G1869" s="5">
        <v>27.388981</v>
      </c>
      <c r="H1869" s="5">
        <v>0.0261</v>
      </c>
      <c r="I1869" s="5">
        <v>39.0</v>
      </c>
    </row>
    <row r="1870">
      <c r="A1870" s="6" t="s">
        <v>5010</v>
      </c>
      <c r="B1870" s="5">
        <v>10.0</v>
      </c>
      <c r="C1870" s="1" t="s">
        <v>116</v>
      </c>
      <c r="D1870" s="1" t="s">
        <v>1851</v>
      </c>
      <c r="E1870" s="1" t="s">
        <v>17</v>
      </c>
      <c r="F1870" s="5">
        <v>4.2663</v>
      </c>
      <c r="G1870" s="5">
        <v>271.082675</v>
      </c>
      <c r="H1870" s="5">
        <v>1.6425</v>
      </c>
      <c r="I1870" s="5">
        <v>1321.0</v>
      </c>
    </row>
    <row r="1871">
      <c r="A1871" s="6" t="s">
        <v>5010</v>
      </c>
      <c r="B1871" s="5">
        <v>10.0</v>
      </c>
      <c r="C1871" s="1" t="s">
        <v>116</v>
      </c>
      <c r="D1871" s="1" t="s">
        <v>1851</v>
      </c>
      <c r="E1871" s="1" t="s">
        <v>21</v>
      </c>
      <c r="F1871" s="5">
        <v>0.1046</v>
      </c>
      <c r="G1871" s="5">
        <v>13.200875</v>
      </c>
      <c r="H1871" s="5">
        <v>0.0513</v>
      </c>
      <c r="I1871" s="5">
        <v>69.0</v>
      </c>
    </row>
    <row r="1872">
      <c r="A1872" s="6" t="s">
        <v>5010</v>
      </c>
      <c r="B1872" s="5">
        <v>10.0</v>
      </c>
      <c r="C1872" s="1" t="s">
        <v>116</v>
      </c>
      <c r="D1872" s="1" t="s">
        <v>42</v>
      </c>
      <c r="E1872" s="1" t="s">
        <v>17</v>
      </c>
      <c r="F1872" s="5">
        <v>1.2193</v>
      </c>
      <c r="G1872" s="5">
        <v>243.123197</v>
      </c>
      <c r="H1872" s="5">
        <v>0.4511</v>
      </c>
      <c r="I1872" s="5">
        <v>0.0</v>
      </c>
    </row>
    <row r="1873">
      <c r="A1873" s="6" t="s">
        <v>5010</v>
      </c>
      <c r="B1873" s="5">
        <v>10.0</v>
      </c>
      <c r="C1873" s="1" t="s">
        <v>116</v>
      </c>
      <c r="D1873" s="1" t="s">
        <v>165</v>
      </c>
      <c r="E1873" s="1" t="s">
        <v>39</v>
      </c>
      <c r="F1873" s="5">
        <v>0.2158</v>
      </c>
      <c r="G1873" s="5">
        <v>60.715272</v>
      </c>
      <c r="H1873" s="5">
        <v>0.0389</v>
      </c>
      <c r="I1873" s="5">
        <v>0.0</v>
      </c>
    </row>
    <row r="1874">
      <c r="A1874" s="6" t="s">
        <v>5010</v>
      </c>
      <c r="B1874" s="5">
        <v>10.0</v>
      </c>
      <c r="C1874" s="1" t="s">
        <v>116</v>
      </c>
      <c r="D1874" s="1" t="s">
        <v>165</v>
      </c>
      <c r="E1874" s="1" t="s">
        <v>17</v>
      </c>
      <c r="F1874" s="5">
        <v>0.4922</v>
      </c>
      <c r="G1874" s="5">
        <v>143.892056</v>
      </c>
      <c r="H1874" s="5">
        <v>0.1722</v>
      </c>
      <c r="I1874" s="5">
        <v>0.0</v>
      </c>
    </row>
    <row r="1875">
      <c r="A1875" s="6" t="s">
        <v>5010</v>
      </c>
      <c r="B1875" s="5">
        <v>11.0</v>
      </c>
      <c r="C1875" s="1" t="s">
        <v>12</v>
      </c>
      <c r="D1875" s="1" t="s">
        <v>29</v>
      </c>
      <c r="E1875" s="1" t="s">
        <v>14</v>
      </c>
      <c r="F1875" s="5">
        <v>0.1601</v>
      </c>
      <c r="G1875" s="5">
        <v>16.871048</v>
      </c>
      <c r="H1875" s="5">
        <v>0.032</v>
      </c>
      <c r="I1875" s="5">
        <v>15.0</v>
      </c>
    </row>
    <row r="1876">
      <c r="A1876" s="6" t="s">
        <v>5010</v>
      </c>
      <c r="B1876" s="5">
        <v>11.0</v>
      </c>
      <c r="C1876" s="1" t="s">
        <v>12</v>
      </c>
      <c r="D1876" s="1" t="s">
        <v>29</v>
      </c>
      <c r="E1876" s="1" t="s">
        <v>21</v>
      </c>
      <c r="F1876" s="5">
        <v>52.8388</v>
      </c>
      <c r="G1876" s="5">
        <v>9408.441847</v>
      </c>
      <c r="H1876" s="5">
        <v>21.1356</v>
      </c>
      <c r="I1876" s="5">
        <v>641.0</v>
      </c>
    </row>
    <row r="1877">
      <c r="A1877" s="6" t="s">
        <v>5010</v>
      </c>
      <c r="B1877" s="5">
        <v>11.0</v>
      </c>
      <c r="C1877" s="1" t="s">
        <v>12</v>
      </c>
      <c r="D1877" s="1" t="s">
        <v>13</v>
      </c>
      <c r="E1877" s="1" t="s">
        <v>14</v>
      </c>
      <c r="F1877" s="5">
        <v>6.0646</v>
      </c>
      <c r="G1877" s="5">
        <v>496.745959</v>
      </c>
      <c r="H1877" s="5">
        <v>1.2735</v>
      </c>
      <c r="I1877" s="5">
        <v>408.0</v>
      </c>
    </row>
    <row r="1878">
      <c r="A1878" s="6" t="s">
        <v>5010</v>
      </c>
      <c r="B1878" s="5">
        <v>11.0</v>
      </c>
      <c r="C1878" s="1" t="s">
        <v>12</v>
      </c>
      <c r="D1878" s="1" t="s">
        <v>13</v>
      </c>
      <c r="E1878" s="1" t="s">
        <v>17</v>
      </c>
      <c r="F1878" s="5">
        <v>49.6322</v>
      </c>
      <c r="G1878" s="5">
        <v>4540.566278</v>
      </c>
      <c r="H1878" s="5">
        <v>17.3713</v>
      </c>
      <c r="I1878" s="5">
        <v>623.0</v>
      </c>
    </row>
    <row r="1879">
      <c r="A1879" s="6" t="s">
        <v>5010</v>
      </c>
      <c r="B1879" s="5">
        <v>11.0</v>
      </c>
      <c r="C1879" s="1" t="s">
        <v>12</v>
      </c>
      <c r="D1879" s="1" t="s">
        <v>13</v>
      </c>
      <c r="E1879" s="1" t="s">
        <v>21</v>
      </c>
      <c r="F1879" s="5">
        <v>27.4366</v>
      </c>
      <c r="G1879" s="5">
        <v>3393.635887</v>
      </c>
      <c r="H1879" s="5">
        <v>13.7086</v>
      </c>
      <c r="I1879" s="5">
        <v>530.0</v>
      </c>
    </row>
    <row r="1880">
      <c r="A1880" s="6" t="s">
        <v>5010</v>
      </c>
      <c r="B1880" s="5">
        <v>11.0</v>
      </c>
      <c r="C1880" s="1" t="s">
        <v>12</v>
      </c>
      <c r="D1880" s="1" t="s">
        <v>48</v>
      </c>
      <c r="E1880" s="1" t="s">
        <v>49</v>
      </c>
      <c r="F1880" s="5">
        <v>0.0027</v>
      </c>
      <c r="G1880" s="5">
        <v>0.748993</v>
      </c>
      <c r="H1880" s="5">
        <v>7.0E-4</v>
      </c>
      <c r="I1880" s="5">
        <v>3.0</v>
      </c>
    </row>
    <row r="1881">
      <c r="A1881" s="6" t="s">
        <v>5010</v>
      </c>
      <c r="B1881" s="5">
        <v>11.0</v>
      </c>
      <c r="C1881" s="1" t="s">
        <v>12</v>
      </c>
      <c r="D1881" s="1" t="s">
        <v>48</v>
      </c>
      <c r="E1881" s="1" t="s">
        <v>21</v>
      </c>
      <c r="F1881" s="5">
        <v>1.9312</v>
      </c>
      <c r="G1881" s="5">
        <v>324.043187</v>
      </c>
      <c r="H1881" s="5">
        <v>0.7725</v>
      </c>
      <c r="I1881" s="5">
        <v>163.0</v>
      </c>
    </row>
    <row r="1882">
      <c r="A1882" s="6" t="s">
        <v>5010</v>
      </c>
      <c r="B1882" s="5">
        <v>11.0</v>
      </c>
      <c r="C1882" s="1" t="s">
        <v>12</v>
      </c>
      <c r="D1882" s="1" t="s">
        <v>38</v>
      </c>
      <c r="E1882" s="1" t="s">
        <v>39</v>
      </c>
      <c r="F1882" s="5">
        <v>2.2651</v>
      </c>
      <c r="G1882" s="5">
        <v>272.690067</v>
      </c>
      <c r="H1882" s="5">
        <v>0.4077</v>
      </c>
      <c r="I1882" s="5">
        <v>134.0</v>
      </c>
    </row>
    <row r="1883">
      <c r="A1883" s="6" t="s">
        <v>5010</v>
      </c>
      <c r="B1883" s="5">
        <v>11.0</v>
      </c>
      <c r="C1883" s="1" t="s">
        <v>12</v>
      </c>
      <c r="D1883" s="1" t="s">
        <v>45</v>
      </c>
      <c r="E1883" s="1" t="s">
        <v>49</v>
      </c>
      <c r="F1883" s="5">
        <v>0.0347</v>
      </c>
      <c r="G1883" s="5">
        <v>2.105549</v>
      </c>
      <c r="H1883" s="5">
        <v>0.009</v>
      </c>
      <c r="I1883" s="5">
        <v>5.0</v>
      </c>
    </row>
    <row r="1884">
      <c r="A1884" s="6" t="s">
        <v>5010</v>
      </c>
      <c r="B1884" s="5">
        <v>11.0</v>
      </c>
      <c r="C1884" s="1" t="s">
        <v>12</v>
      </c>
      <c r="D1884" s="1" t="s">
        <v>45</v>
      </c>
      <c r="E1884" s="1" t="s">
        <v>17</v>
      </c>
      <c r="F1884" s="5">
        <v>1.9806</v>
      </c>
      <c r="G1884" s="5">
        <v>150.151548</v>
      </c>
      <c r="H1884" s="5">
        <v>0.713</v>
      </c>
      <c r="I1884" s="5">
        <v>158.0</v>
      </c>
    </row>
    <row r="1885">
      <c r="A1885" s="6" t="s">
        <v>5010</v>
      </c>
      <c r="B1885" s="5">
        <v>11.0</v>
      </c>
      <c r="C1885" s="1" t="s">
        <v>12</v>
      </c>
      <c r="D1885" s="1" t="s">
        <v>3962</v>
      </c>
      <c r="E1885" s="1" t="s">
        <v>17</v>
      </c>
      <c r="F1885" s="5">
        <v>1.1889</v>
      </c>
      <c r="G1885" s="5">
        <v>106.11928</v>
      </c>
      <c r="H1885" s="5">
        <v>0.4161</v>
      </c>
      <c r="I1885" s="5">
        <v>114.0</v>
      </c>
    </row>
    <row r="1886">
      <c r="A1886" s="6" t="s">
        <v>5010</v>
      </c>
      <c r="B1886" s="5">
        <v>11.0</v>
      </c>
      <c r="C1886" s="1" t="s">
        <v>12</v>
      </c>
      <c r="D1886" s="1" t="s">
        <v>4127</v>
      </c>
      <c r="E1886" s="1" t="s">
        <v>17</v>
      </c>
      <c r="F1886" s="5">
        <v>1.0639</v>
      </c>
      <c r="G1886" s="5">
        <v>88.332611</v>
      </c>
      <c r="H1886" s="5">
        <v>0.3724</v>
      </c>
      <c r="I1886" s="5">
        <v>76.0</v>
      </c>
    </row>
    <row r="1887">
      <c r="A1887" s="6" t="s">
        <v>5010</v>
      </c>
      <c r="B1887" s="5">
        <v>11.0</v>
      </c>
      <c r="C1887" s="1" t="s">
        <v>12</v>
      </c>
      <c r="D1887" s="1" t="s">
        <v>42</v>
      </c>
      <c r="E1887" s="1" t="s">
        <v>17</v>
      </c>
      <c r="F1887" s="5">
        <v>0.3897</v>
      </c>
      <c r="G1887" s="5">
        <v>64.83573</v>
      </c>
      <c r="H1887" s="5">
        <v>0.1442</v>
      </c>
      <c r="I1887" s="5">
        <v>22.0</v>
      </c>
    </row>
    <row r="1888">
      <c r="A1888" s="6" t="s">
        <v>5010</v>
      </c>
      <c r="B1888" s="5">
        <v>11.0</v>
      </c>
      <c r="C1888" s="1" t="s">
        <v>12</v>
      </c>
      <c r="D1888" s="1" t="s">
        <v>1851</v>
      </c>
      <c r="E1888" s="1" t="s">
        <v>17</v>
      </c>
      <c r="F1888" s="5">
        <v>0.5391</v>
      </c>
      <c r="G1888" s="5">
        <v>49.349484</v>
      </c>
      <c r="H1888" s="5">
        <v>0.2075</v>
      </c>
      <c r="I1888" s="5">
        <v>139.0</v>
      </c>
    </row>
    <row r="1889">
      <c r="A1889" s="6" t="s">
        <v>5010</v>
      </c>
      <c r="B1889" s="5">
        <v>11.0</v>
      </c>
      <c r="C1889" s="1" t="s">
        <v>12</v>
      </c>
      <c r="D1889" s="1" t="s">
        <v>4955</v>
      </c>
      <c r="E1889" s="1" t="s">
        <v>49</v>
      </c>
      <c r="F1889" s="5">
        <v>1.3555</v>
      </c>
      <c r="G1889" s="5">
        <v>43.21783</v>
      </c>
      <c r="H1889" s="5">
        <v>0.3389</v>
      </c>
      <c r="I1889" s="5">
        <v>0.0</v>
      </c>
    </row>
    <row r="1890">
      <c r="A1890" s="6" t="s">
        <v>5010</v>
      </c>
      <c r="B1890" s="5">
        <v>11.0</v>
      </c>
      <c r="C1890" s="1" t="s">
        <v>68</v>
      </c>
      <c r="D1890" s="1" t="s">
        <v>13</v>
      </c>
      <c r="E1890" s="1" t="s">
        <v>14</v>
      </c>
      <c r="F1890" s="5">
        <v>15.3058</v>
      </c>
      <c r="G1890" s="5">
        <v>1228.08464</v>
      </c>
      <c r="H1890" s="5">
        <v>3.2142</v>
      </c>
      <c r="I1890" s="5">
        <v>2865.0</v>
      </c>
    </row>
    <row r="1891">
      <c r="A1891" s="6" t="s">
        <v>5010</v>
      </c>
      <c r="B1891" s="5">
        <v>11.0</v>
      </c>
      <c r="C1891" s="1" t="s">
        <v>68</v>
      </c>
      <c r="D1891" s="1" t="s">
        <v>13</v>
      </c>
      <c r="E1891" s="1" t="s">
        <v>17</v>
      </c>
      <c r="F1891" s="5">
        <v>33.4998</v>
      </c>
      <c r="G1891" s="5">
        <v>4286.652432</v>
      </c>
      <c r="H1891" s="5">
        <v>11.7249</v>
      </c>
      <c r="I1891" s="5">
        <v>8472.0</v>
      </c>
    </row>
    <row r="1892">
      <c r="A1892" s="6" t="s">
        <v>5010</v>
      </c>
      <c r="B1892" s="5">
        <v>11.0</v>
      </c>
      <c r="C1892" s="1" t="s">
        <v>68</v>
      </c>
      <c r="D1892" s="1" t="s">
        <v>13</v>
      </c>
      <c r="E1892" s="1" t="s">
        <v>21</v>
      </c>
      <c r="F1892" s="5">
        <v>8.0</v>
      </c>
      <c r="G1892" s="5">
        <v>1120.362013</v>
      </c>
      <c r="H1892" s="5">
        <v>3.94</v>
      </c>
      <c r="I1892" s="5">
        <v>3215.0</v>
      </c>
    </row>
    <row r="1893">
      <c r="A1893" s="6" t="s">
        <v>5010</v>
      </c>
      <c r="B1893" s="5">
        <v>11.0</v>
      </c>
      <c r="C1893" s="1" t="s">
        <v>68</v>
      </c>
      <c r="D1893" s="1" t="s">
        <v>29</v>
      </c>
      <c r="E1893" s="1" t="s">
        <v>14</v>
      </c>
      <c r="F1893" s="5">
        <v>0.7257</v>
      </c>
      <c r="G1893" s="5">
        <v>88.458725</v>
      </c>
      <c r="H1893" s="5">
        <v>0.1451</v>
      </c>
      <c r="I1893" s="5">
        <v>211.0</v>
      </c>
    </row>
    <row r="1894">
      <c r="A1894" s="6" t="s">
        <v>5010</v>
      </c>
      <c r="B1894" s="5">
        <v>11.0</v>
      </c>
      <c r="C1894" s="1" t="s">
        <v>68</v>
      </c>
      <c r="D1894" s="1" t="s">
        <v>29</v>
      </c>
      <c r="E1894" s="1" t="s">
        <v>21</v>
      </c>
      <c r="F1894" s="5">
        <v>16.7315</v>
      </c>
      <c r="G1894" s="5">
        <v>2785.755125</v>
      </c>
      <c r="H1894" s="5">
        <v>6.6926</v>
      </c>
      <c r="I1894" s="5">
        <v>2672.0</v>
      </c>
    </row>
    <row r="1895">
      <c r="A1895" s="6" t="s">
        <v>5010</v>
      </c>
      <c r="B1895" s="5">
        <v>11.0</v>
      </c>
      <c r="C1895" s="1" t="s">
        <v>68</v>
      </c>
      <c r="D1895" s="1" t="s">
        <v>45</v>
      </c>
      <c r="E1895" s="1" t="s">
        <v>49</v>
      </c>
      <c r="F1895" s="5">
        <v>0.9453</v>
      </c>
      <c r="G1895" s="5">
        <v>61.275691</v>
      </c>
      <c r="H1895" s="5">
        <v>0.2457</v>
      </c>
      <c r="I1895" s="5">
        <v>143.0</v>
      </c>
    </row>
    <row r="1896">
      <c r="A1896" s="6" t="s">
        <v>5010</v>
      </c>
      <c r="B1896" s="5">
        <v>11.0</v>
      </c>
      <c r="C1896" s="1" t="s">
        <v>68</v>
      </c>
      <c r="D1896" s="1" t="s">
        <v>45</v>
      </c>
      <c r="E1896" s="1" t="s">
        <v>17</v>
      </c>
      <c r="F1896" s="5">
        <v>10.4442</v>
      </c>
      <c r="G1896" s="5">
        <v>688.064093</v>
      </c>
      <c r="H1896" s="5">
        <v>3.76</v>
      </c>
      <c r="I1896" s="5">
        <v>1374.0</v>
      </c>
    </row>
    <row r="1897">
      <c r="A1897" s="6" t="s">
        <v>5010</v>
      </c>
      <c r="B1897" s="5">
        <v>11.0</v>
      </c>
      <c r="C1897" s="1" t="s">
        <v>68</v>
      </c>
      <c r="D1897" s="1" t="s">
        <v>3962</v>
      </c>
      <c r="E1897" s="1" t="s">
        <v>17</v>
      </c>
      <c r="F1897" s="5">
        <v>2.7107</v>
      </c>
      <c r="G1897" s="5">
        <v>224.938493</v>
      </c>
      <c r="H1897" s="5">
        <v>0.9488</v>
      </c>
      <c r="I1897" s="5">
        <v>820.0</v>
      </c>
    </row>
    <row r="1898">
      <c r="A1898" s="6" t="s">
        <v>5010</v>
      </c>
      <c r="B1898" s="5">
        <v>11.0</v>
      </c>
      <c r="C1898" s="1" t="s">
        <v>68</v>
      </c>
      <c r="D1898" s="1" t="s">
        <v>38</v>
      </c>
      <c r="E1898" s="1" t="s">
        <v>39</v>
      </c>
      <c r="F1898" s="5">
        <v>2.4806</v>
      </c>
      <c r="G1898" s="5">
        <v>168.139456</v>
      </c>
      <c r="H1898" s="5">
        <v>0.4465</v>
      </c>
      <c r="I1898" s="5">
        <v>1008.0</v>
      </c>
    </row>
    <row r="1899">
      <c r="A1899" s="6" t="s">
        <v>5010</v>
      </c>
      <c r="B1899" s="5">
        <v>11.0</v>
      </c>
      <c r="C1899" s="1" t="s">
        <v>68</v>
      </c>
      <c r="D1899" s="1" t="s">
        <v>42</v>
      </c>
      <c r="E1899" s="1" t="s">
        <v>17</v>
      </c>
      <c r="F1899" s="5">
        <v>0.6578</v>
      </c>
      <c r="G1899" s="5">
        <v>138.358881</v>
      </c>
      <c r="H1899" s="5">
        <v>0.2433</v>
      </c>
      <c r="I1899" s="5">
        <v>0.0</v>
      </c>
    </row>
    <row r="1900">
      <c r="A1900" s="6" t="s">
        <v>5010</v>
      </c>
      <c r="B1900" s="5">
        <v>11.0</v>
      </c>
      <c r="C1900" s="1" t="s">
        <v>68</v>
      </c>
      <c r="D1900" s="1" t="s">
        <v>48</v>
      </c>
      <c r="E1900" s="1" t="s">
        <v>49</v>
      </c>
      <c r="F1900" s="5">
        <v>0.0014</v>
      </c>
      <c r="G1900" s="5">
        <v>0.849911</v>
      </c>
      <c r="H1900" s="5">
        <v>4.0E-4</v>
      </c>
      <c r="I1900" s="5">
        <v>2.0</v>
      </c>
    </row>
    <row r="1901">
      <c r="A1901" s="6" t="s">
        <v>5010</v>
      </c>
      <c r="B1901" s="5">
        <v>11.0</v>
      </c>
      <c r="C1901" s="1" t="s">
        <v>68</v>
      </c>
      <c r="D1901" s="1" t="s">
        <v>48</v>
      </c>
      <c r="E1901" s="1" t="s">
        <v>72</v>
      </c>
      <c r="F1901" s="5">
        <v>7.0E-4</v>
      </c>
      <c r="G1901" s="5">
        <v>0.229419</v>
      </c>
      <c r="H1901" s="5">
        <v>2.0E-4</v>
      </c>
      <c r="I1901" s="5">
        <v>1.0</v>
      </c>
    </row>
    <row r="1902">
      <c r="A1902" s="6" t="s">
        <v>5010</v>
      </c>
      <c r="B1902" s="5">
        <v>11.0</v>
      </c>
      <c r="C1902" s="1" t="s">
        <v>68</v>
      </c>
      <c r="D1902" s="1" t="s">
        <v>48</v>
      </c>
      <c r="E1902" s="1" t="s">
        <v>21</v>
      </c>
      <c r="F1902" s="5">
        <v>0.434</v>
      </c>
      <c r="G1902" s="5">
        <v>106.645087</v>
      </c>
      <c r="H1902" s="5">
        <v>0.1736</v>
      </c>
      <c r="I1902" s="5">
        <v>174.0</v>
      </c>
    </row>
    <row r="1903">
      <c r="A1903" s="6" t="s">
        <v>5010</v>
      </c>
      <c r="B1903" s="5">
        <v>11.0</v>
      </c>
      <c r="C1903" s="1" t="s">
        <v>68</v>
      </c>
      <c r="D1903" s="1" t="s">
        <v>5366</v>
      </c>
      <c r="E1903" s="1" t="s">
        <v>17</v>
      </c>
      <c r="F1903" s="5">
        <v>1.3532</v>
      </c>
      <c r="G1903" s="5">
        <v>95.727793</v>
      </c>
      <c r="H1903" s="5">
        <v>0.4872</v>
      </c>
      <c r="I1903" s="5">
        <v>382.0</v>
      </c>
    </row>
    <row r="1904">
      <c r="A1904" s="6" t="s">
        <v>5010</v>
      </c>
      <c r="B1904" s="5">
        <v>11.0</v>
      </c>
      <c r="C1904" s="1" t="s">
        <v>68</v>
      </c>
      <c r="D1904" s="1" t="s">
        <v>4955</v>
      </c>
      <c r="E1904" s="1" t="s">
        <v>49</v>
      </c>
      <c r="F1904" s="5">
        <v>1.0662</v>
      </c>
      <c r="G1904" s="5">
        <v>94.908582</v>
      </c>
      <c r="H1904" s="5">
        <v>0.2666</v>
      </c>
      <c r="I1904" s="5">
        <v>624.0</v>
      </c>
    </row>
    <row r="1905">
      <c r="A1905" s="6" t="s">
        <v>5010</v>
      </c>
      <c r="B1905" s="5">
        <v>11.0</v>
      </c>
      <c r="C1905" s="1" t="s">
        <v>68</v>
      </c>
      <c r="D1905" s="1" t="s">
        <v>2104</v>
      </c>
      <c r="E1905" s="1" t="s">
        <v>17</v>
      </c>
      <c r="F1905" s="5">
        <v>1.5963</v>
      </c>
      <c r="G1905" s="5">
        <v>91.942844</v>
      </c>
      <c r="H1905" s="5">
        <v>0.5587</v>
      </c>
      <c r="I1905" s="5">
        <v>782.0</v>
      </c>
    </row>
    <row r="1906">
      <c r="A1906" s="6" t="s">
        <v>5010</v>
      </c>
      <c r="B1906" s="5">
        <v>11.0</v>
      </c>
      <c r="C1906" s="1" t="s">
        <v>116</v>
      </c>
      <c r="D1906" s="1" t="s">
        <v>13</v>
      </c>
      <c r="E1906" s="1" t="s">
        <v>14</v>
      </c>
      <c r="F1906" s="5">
        <v>32.9255</v>
      </c>
      <c r="G1906" s="5">
        <v>2573.47519</v>
      </c>
      <c r="H1906" s="5">
        <v>6.9144</v>
      </c>
      <c r="I1906" s="5">
        <v>4883.0</v>
      </c>
    </row>
    <row r="1907">
      <c r="A1907" s="6" t="s">
        <v>5010</v>
      </c>
      <c r="B1907" s="5">
        <v>11.0</v>
      </c>
      <c r="C1907" s="1" t="s">
        <v>116</v>
      </c>
      <c r="D1907" s="1" t="s">
        <v>13</v>
      </c>
      <c r="E1907" s="1" t="s">
        <v>17</v>
      </c>
      <c r="F1907" s="5">
        <v>109.5556</v>
      </c>
      <c r="G1907" s="5">
        <v>12847.27447</v>
      </c>
      <c r="H1907" s="5">
        <v>38.3445</v>
      </c>
      <c r="I1907" s="5">
        <v>17478.0</v>
      </c>
    </row>
    <row r="1908">
      <c r="A1908" s="6" t="s">
        <v>5010</v>
      </c>
      <c r="B1908" s="5">
        <v>11.0</v>
      </c>
      <c r="C1908" s="1" t="s">
        <v>116</v>
      </c>
      <c r="D1908" s="1" t="s">
        <v>13</v>
      </c>
      <c r="E1908" s="1" t="s">
        <v>21</v>
      </c>
      <c r="F1908" s="5">
        <v>25.0768</v>
      </c>
      <c r="G1908" s="5">
        <v>3373.018281</v>
      </c>
      <c r="H1908" s="5">
        <v>12.3856</v>
      </c>
      <c r="I1908" s="5">
        <v>5795.0</v>
      </c>
    </row>
    <row r="1909">
      <c r="A1909" s="6" t="s">
        <v>5010</v>
      </c>
      <c r="B1909" s="5">
        <v>11.0</v>
      </c>
      <c r="C1909" s="1" t="s">
        <v>116</v>
      </c>
      <c r="D1909" s="1" t="s">
        <v>13</v>
      </c>
      <c r="E1909" s="1" t="s">
        <v>25</v>
      </c>
      <c r="F1909" s="5">
        <v>0.0241</v>
      </c>
      <c r="G1909" s="5">
        <v>4.983299</v>
      </c>
      <c r="H1909" s="5">
        <v>0.018</v>
      </c>
      <c r="I1909" s="5">
        <v>6.0</v>
      </c>
    </row>
    <row r="1910">
      <c r="A1910" s="6" t="s">
        <v>5010</v>
      </c>
      <c r="B1910" s="5">
        <v>11.0</v>
      </c>
      <c r="C1910" s="1" t="s">
        <v>116</v>
      </c>
      <c r="D1910" s="1" t="s">
        <v>29</v>
      </c>
      <c r="E1910" s="1" t="s">
        <v>14</v>
      </c>
      <c r="F1910" s="5">
        <v>1.3379</v>
      </c>
      <c r="G1910" s="5">
        <v>183.446344</v>
      </c>
      <c r="H1910" s="5">
        <v>0.2675</v>
      </c>
      <c r="I1910" s="5">
        <v>343.0</v>
      </c>
    </row>
    <row r="1911">
      <c r="A1911" s="6" t="s">
        <v>5010</v>
      </c>
      <c r="B1911" s="5">
        <v>11.0</v>
      </c>
      <c r="C1911" s="1" t="s">
        <v>116</v>
      </c>
      <c r="D1911" s="1" t="s">
        <v>29</v>
      </c>
      <c r="E1911" s="1" t="s">
        <v>21</v>
      </c>
      <c r="F1911" s="5">
        <v>66.8762</v>
      </c>
      <c r="G1911" s="5">
        <v>11510.50218</v>
      </c>
      <c r="H1911" s="5">
        <v>26.7505</v>
      </c>
      <c r="I1911" s="5">
        <v>8509.0</v>
      </c>
    </row>
    <row r="1912">
      <c r="A1912" s="6" t="s">
        <v>5010</v>
      </c>
      <c r="B1912" s="5">
        <v>11.0</v>
      </c>
      <c r="C1912" s="1" t="s">
        <v>116</v>
      </c>
      <c r="D1912" s="1" t="s">
        <v>45</v>
      </c>
      <c r="E1912" s="1" t="s">
        <v>49</v>
      </c>
      <c r="F1912" s="5">
        <v>2.8355</v>
      </c>
      <c r="G1912" s="5">
        <v>186.037718</v>
      </c>
      <c r="H1912" s="5">
        <v>0.7373</v>
      </c>
      <c r="I1912" s="5">
        <v>357.0</v>
      </c>
    </row>
    <row r="1913">
      <c r="A1913" s="6" t="s">
        <v>5010</v>
      </c>
      <c r="B1913" s="5">
        <v>11.0</v>
      </c>
      <c r="C1913" s="1" t="s">
        <v>116</v>
      </c>
      <c r="D1913" s="1" t="s">
        <v>45</v>
      </c>
      <c r="E1913" s="1" t="s">
        <v>17</v>
      </c>
      <c r="F1913" s="5">
        <v>21.2083</v>
      </c>
      <c r="G1913" s="5">
        <v>1613.689563</v>
      </c>
      <c r="H1913" s="5">
        <v>7.6349</v>
      </c>
      <c r="I1913" s="5">
        <v>1850.0</v>
      </c>
    </row>
    <row r="1914">
      <c r="A1914" s="6" t="s">
        <v>5010</v>
      </c>
      <c r="B1914" s="5">
        <v>11.0</v>
      </c>
      <c r="C1914" s="1" t="s">
        <v>116</v>
      </c>
      <c r="D1914" s="1" t="s">
        <v>3962</v>
      </c>
      <c r="E1914" s="1" t="s">
        <v>17</v>
      </c>
      <c r="F1914" s="5">
        <v>16.0135</v>
      </c>
      <c r="G1914" s="5">
        <v>1377.68061</v>
      </c>
      <c r="H1914" s="5">
        <v>5.6047</v>
      </c>
      <c r="I1914" s="5">
        <v>4305.0</v>
      </c>
    </row>
    <row r="1915">
      <c r="A1915" s="6" t="s">
        <v>5010</v>
      </c>
      <c r="B1915" s="5">
        <v>11.0</v>
      </c>
      <c r="C1915" s="1" t="s">
        <v>116</v>
      </c>
      <c r="D1915" s="1" t="s">
        <v>48</v>
      </c>
      <c r="E1915" s="1" t="s">
        <v>49</v>
      </c>
      <c r="F1915" s="5">
        <v>0.006</v>
      </c>
      <c r="G1915" s="5">
        <v>1.13821</v>
      </c>
      <c r="H1915" s="5">
        <v>0.0017</v>
      </c>
      <c r="I1915" s="5">
        <v>2.0</v>
      </c>
    </row>
    <row r="1916">
      <c r="A1916" s="6" t="s">
        <v>5010</v>
      </c>
      <c r="B1916" s="5">
        <v>11.0</v>
      </c>
      <c r="C1916" s="1" t="s">
        <v>116</v>
      </c>
      <c r="D1916" s="1" t="s">
        <v>48</v>
      </c>
      <c r="E1916" s="1" t="s">
        <v>72</v>
      </c>
      <c r="F1916" s="5">
        <v>0.0133</v>
      </c>
      <c r="G1916" s="5">
        <v>3.815782</v>
      </c>
      <c r="H1916" s="5">
        <v>0.004</v>
      </c>
      <c r="I1916" s="5">
        <v>18.0</v>
      </c>
    </row>
    <row r="1917">
      <c r="A1917" s="6" t="s">
        <v>5010</v>
      </c>
      <c r="B1917" s="5">
        <v>11.0</v>
      </c>
      <c r="C1917" s="1" t="s">
        <v>116</v>
      </c>
      <c r="D1917" s="1" t="s">
        <v>48</v>
      </c>
      <c r="E1917" s="1" t="s">
        <v>21</v>
      </c>
      <c r="F1917" s="5">
        <v>2.6168</v>
      </c>
      <c r="G1917" s="5">
        <v>672.520492</v>
      </c>
      <c r="H1917" s="5">
        <v>1.0467</v>
      </c>
      <c r="I1917" s="5">
        <v>564.0</v>
      </c>
    </row>
    <row r="1918">
      <c r="A1918" s="6" t="s">
        <v>5010</v>
      </c>
      <c r="B1918" s="5">
        <v>11.0</v>
      </c>
      <c r="C1918" s="1" t="s">
        <v>116</v>
      </c>
      <c r="D1918" s="1" t="s">
        <v>147</v>
      </c>
      <c r="E1918" s="1" t="s">
        <v>39</v>
      </c>
      <c r="F1918" s="5">
        <v>1.2792</v>
      </c>
      <c r="G1918" s="5">
        <v>430.258213</v>
      </c>
      <c r="H1918" s="5">
        <v>0.2431</v>
      </c>
      <c r="I1918" s="5">
        <v>102.0</v>
      </c>
    </row>
    <row r="1919">
      <c r="A1919" s="6" t="s">
        <v>5010</v>
      </c>
      <c r="B1919" s="5">
        <v>11.0</v>
      </c>
      <c r="C1919" s="1" t="s">
        <v>116</v>
      </c>
      <c r="D1919" s="1" t="s">
        <v>147</v>
      </c>
      <c r="E1919" s="1" t="s">
        <v>17</v>
      </c>
      <c r="F1919" s="5">
        <v>0.0166</v>
      </c>
      <c r="G1919" s="5">
        <v>7.83141</v>
      </c>
      <c r="H1919" s="5">
        <v>0.0058</v>
      </c>
      <c r="I1919" s="5">
        <v>6.0</v>
      </c>
    </row>
    <row r="1920">
      <c r="A1920" s="6" t="s">
        <v>5010</v>
      </c>
      <c r="B1920" s="5">
        <v>11.0</v>
      </c>
      <c r="C1920" s="1" t="s">
        <v>116</v>
      </c>
      <c r="D1920" s="1" t="s">
        <v>147</v>
      </c>
      <c r="E1920" s="1" t="s">
        <v>21</v>
      </c>
      <c r="F1920" s="5">
        <v>0.0546</v>
      </c>
      <c r="G1920" s="5">
        <v>29.143439</v>
      </c>
      <c r="H1920" s="5">
        <v>0.0273</v>
      </c>
      <c r="I1920" s="5">
        <v>42.0</v>
      </c>
    </row>
    <row r="1921">
      <c r="A1921" s="6" t="s">
        <v>5010</v>
      </c>
      <c r="B1921" s="5">
        <v>11.0</v>
      </c>
      <c r="C1921" s="1" t="s">
        <v>116</v>
      </c>
      <c r="D1921" s="1" t="s">
        <v>38</v>
      </c>
      <c r="E1921" s="1" t="s">
        <v>39</v>
      </c>
      <c r="F1921" s="5">
        <v>6.0726</v>
      </c>
      <c r="G1921" s="5">
        <v>460.246591</v>
      </c>
      <c r="H1921" s="5">
        <v>1.0931</v>
      </c>
      <c r="I1921" s="5">
        <v>2059.0</v>
      </c>
    </row>
    <row r="1922">
      <c r="A1922" s="6" t="s">
        <v>5010</v>
      </c>
      <c r="B1922" s="5">
        <v>11.0</v>
      </c>
      <c r="C1922" s="1" t="s">
        <v>116</v>
      </c>
      <c r="D1922" s="1" t="s">
        <v>165</v>
      </c>
      <c r="E1922" s="1" t="s">
        <v>39</v>
      </c>
      <c r="F1922" s="5">
        <v>0.2316</v>
      </c>
      <c r="G1922" s="5">
        <v>68.187833</v>
      </c>
      <c r="H1922" s="5">
        <v>0.0416</v>
      </c>
      <c r="I1922" s="5">
        <v>0.0</v>
      </c>
    </row>
    <row r="1923">
      <c r="A1923" s="6" t="s">
        <v>5010</v>
      </c>
      <c r="B1923" s="5">
        <v>11.0</v>
      </c>
      <c r="C1923" s="1" t="s">
        <v>116</v>
      </c>
      <c r="D1923" s="1" t="s">
        <v>165</v>
      </c>
      <c r="E1923" s="1" t="s">
        <v>17</v>
      </c>
      <c r="F1923" s="5">
        <v>0.4989</v>
      </c>
      <c r="G1923" s="5">
        <v>148.325346</v>
      </c>
      <c r="H1923" s="5">
        <v>0.1746</v>
      </c>
      <c r="I1923" s="5">
        <v>0.0</v>
      </c>
    </row>
    <row r="1924">
      <c r="A1924" s="6" t="s">
        <v>5010</v>
      </c>
      <c r="B1924" s="5">
        <v>11.0</v>
      </c>
      <c r="C1924" s="1" t="s">
        <v>116</v>
      </c>
      <c r="D1924" s="1" t="s">
        <v>42</v>
      </c>
      <c r="E1924" s="1" t="s">
        <v>17</v>
      </c>
      <c r="F1924" s="5">
        <v>0.9886</v>
      </c>
      <c r="G1924" s="5">
        <v>209.659188</v>
      </c>
      <c r="H1924" s="5">
        <v>0.3658</v>
      </c>
      <c r="I1924" s="5">
        <v>0.0</v>
      </c>
    </row>
    <row r="1925">
      <c r="A1925" s="6" t="s">
        <v>5010</v>
      </c>
      <c r="B1925" s="5">
        <v>11.0</v>
      </c>
      <c r="C1925" s="1" t="s">
        <v>116</v>
      </c>
      <c r="D1925" s="1" t="s">
        <v>1851</v>
      </c>
      <c r="E1925" s="1" t="s">
        <v>17</v>
      </c>
      <c r="F1925" s="5">
        <v>2.2503</v>
      </c>
      <c r="G1925" s="5">
        <v>177.459237</v>
      </c>
      <c r="H1925" s="5">
        <v>0.8664</v>
      </c>
      <c r="I1925" s="5">
        <v>1080.0</v>
      </c>
    </row>
    <row r="1926">
      <c r="A1926" s="6" t="s">
        <v>5010</v>
      </c>
      <c r="B1926" s="5">
        <v>11.0</v>
      </c>
      <c r="C1926" s="1" t="s">
        <v>116</v>
      </c>
      <c r="D1926" s="1" t="s">
        <v>1851</v>
      </c>
      <c r="E1926" s="1" t="s">
        <v>21</v>
      </c>
      <c r="F1926" s="5">
        <v>0.1152</v>
      </c>
      <c r="G1926" s="5">
        <v>16.475533</v>
      </c>
      <c r="H1926" s="5">
        <v>0.0564</v>
      </c>
      <c r="I1926" s="5">
        <v>74.0</v>
      </c>
    </row>
    <row r="1927">
      <c r="A1927" s="6" t="s">
        <v>5010</v>
      </c>
      <c r="B1927" s="5">
        <v>12.0</v>
      </c>
      <c r="C1927" s="1" t="s">
        <v>12</v>
      </c>
      <c r="D1927" s="1" t="s">
        <v>29</v>
      </c>
      <c r="E1927" s="1" t="s">
        <v>14</v>
      </c>
      <c r="F1927" s="5">
        <v>0.0972</v>
      </c>
      <c r="G1927" s="5">
        <v>12.649938</v>
      </c>
      <c r="H1927" s="5">
        <v>0.0194</v>
      </c>
      <c r="I1927" s="5">
        <v>14.0</v>
      </c>
    </row>
    <row r="1928">
      <c r="A1928" s="6" t="s">
        <v>5010</v>
      </c>
      <c r="B1928" s="5">
        <v>12.0</v>
      </c>
      <c r="C1928" s="1" t="s">
        <v>12</v>
      </c>
      <c r="D1928" s="1" t="s">
        <v>29</v>
      </c>
      <c r="E1928" s="1" t="s">
        <v>21</v>
      </c>
      <c r="F1928" s="5">
        <v>41.7076</v>
      </c>
      <c r="G1928" s="5">
        <v>7988.045344</v>
      </c>
      <c r="H1928" s="5">
        <v>16.6831</v>
      </c>
      <c r="I1928" s="5">
        <v>615.0</v>
      </c>
    </row>
    <row r="1929">
      <c r="A1929" s="6" t="s">
        <v>5010</v>
      </c>
      <c r="B1929" s="5">
        <v>12.0</v>
      </c>
      <c r="C1929" s="1" t="s">
        <v>12</v>
      </c>
      <c r="D1929" s="1" t="s">
        <v>13</v>
      </c>
      <c r="E1929" s="1" t="s">
        <v>14</v>
      </c>
      <c r="F1929" s="5">
        <v>5.7783</v>
      </c>
      <c r="G1929" s="5">
        <v>479.591585</v>
      </c>
      <c r="H1929" s="5">
        <v>1.2135</v>
      </c>
      <c r="I1929" s="5">
        <v>389.0</v>
      </c>
    </row>
    <row r="1930">
      <c r="A1930" s="6" t="s">
        <v>5010</v>
      </c>
      <c r="B1930" s="5">
        <v>12.0</v>
      </c>
      <c r="C1930" s="1" t="s">
        <v>12</v>
      </c>
      <c r="D1930" s="1" t="s">
        <v>13</v>
      </c>
      <c r="E1930" s="1" t="s">
        <v>17</v>
      </c>
      <c r="F1930" s="5">
        <v>26.398</v>
      </c>
      <c r="G1930" s="5">
        <v>3098.274716</v>
      </c>
      <c r="H1930" s="5">
        <v>9.2393</v>
      </c>
      <c r="I1930" s="5">
        <v>596.0</v>
      </c>
    </row>
    <row r="1931">
      <c r="A1931" s="6" t="s">
        <v>5010</v>
      </c>
      <c r="B1931" s="5">
        <v>12.0</v>
      </c>
      <c r="C1931" s="1" t="s">
        <v>12</v>
      </c>
      <c r="D1931" s="1" t="s">
        <v>13</v>
      </c>
      <c r="E1931" s="1" t="s">
        <v>21</v>
      </c>
      <c r="F1931" s="5">
        <v>30.0701</v>
      </c>
      <c r="G1931" s="5">
        <v>3720.114364</v>
      </c>
      <c r="H1931" s="5">
        <v>15.0265</v>
      </c>
      <c r="I1931" s="5">
        <v>501.0</v>
      </c>
    </row>
    <row r="1932">
      <c r="A1932" s="6" t="s">
        <v>5010</v>
      </c>
      <c r="B1932" s="5">
        <v>12.0</v>
      </c>
      <c r="C1932" s="1" t="s">
        <v>12</v>
      </c>
      <c r="D1932" s="1" t="s">
        <v>38</v>
      </c>
      <c r="E1932" s="1" t="s">
        <v>39</v>
      </c>
      <c r="F1932" s="5">
        <v>2.4055</v>
      </c>
      <c r="G1932" s="5">
        <v>288.650467</v>
      </c>
      <c r="H1932" s="5">
        <v>0.433</v>
      </c>
      <c r="I1932" s="5">
        <v>119.0</v>
      </c>
    </row>
    <row r="1933">
      <c r="A1933" s="6" t="s">
        <v>5010</v>
      </c>
      <c r="B1933" s="5">
        <v>12.0</v>
      </c>
      <c r="C1933" s="1" t="s">
        <v>12</v>
      </c>
      <c r="D1933" s="1" t="s">
        <v>48</v>
      </c>
      <c r="E1933" s="1" t="s">
        <v>21</v>
      </c>
      <c r="F1933" s="5">
        <v>1.4713</v>
      </c>
      <c r="G1933" s="5">
        <v>268.38488</v>
      </c>
      <c r="H1933" s="5">
        <v>0.5885</v>
      </c>
      <c r="I1933" s="5">
        <v>113.0</v>
      </c>
    </row>
    <row r="1934">
      <c r="A1934" s="6" t="s">
        <v>5010</v>
      </c>
      <c r="B1934" s="5">
        <v>12.0</v>
      </c>
      <c r="C1934" s="1" t="s">
        <v>12</v>
      </c>
      <c r="D1934" s="1" t="s">
        <v>45</v>
      </c>
      <c r="E1934" s="1" t="s">
        <v>49</v>
      </c>
      <c r="F1934" s="5">
        <v>0.0355</v>
      </c>
      <c r="G1934" s="5">
        <v>2.076109</v>
      </c>
      <c r="H1934" s="5">
        <v>0.0092</v>
      </c>
      <c r="I1934" s="5">
        <v>5.0</v>
      </c>
    </row>
    <row r="1935">
      <c r="A1935" s="6" t="s">
        <v>5010</v>
      </c>
      <c r="B1935" s="5">
        <v>12.0</v>
      </c>
      <c r="C1935" s="1" t="s">
        <v>12</v>
      </c>
      <c r="D1935" s="1" t="s">
        <v>45</v>
      </c>
      <c r="E1935" s="1" t="s">
        <v>17</v>
      </c>
      <c r="F1935" s="5">
        <v>2.4147</v>
      </c>
      <c r="G1935" s="5">
        <v>179.241611</v>
      </c>
      <c r="H1935" s="5">
        <v>0.8693</v>
      </c>
      <c r="I1935" s="5">
        <v>151.0</v>
      </c>
    </row>
    <row r="1936">
      <c r="A1936" s="6" t="s">
        <v>5010</v>
      </c>
      <c r="B1936" s="5">
        <v>12.0</v>
      </c>
      <c r="C1936" s="1" t="s">
        <v>12</v>
      </c>
      <c r="D1936" s="1" t="s">
        <v>3962</v>
      </c>
      <c r="E1936" s="1" t="s">
        <v>17</v>
      </c>
      <c r="F1936" s="5">
        <v>1.1106</v>
      </c>
      <c r="G1936" s="5">
        <v>98.254187</v>
      </c>
      <c r="H1936" s="5">
        <v>0.3886</v>
      </c>
      <c r="I1936" s="5">
        <v>109.0</v>
      </c>
    </row>
    <row r="1937">
      <c r="A1937" s="6" t="s">
        <v>5010</v>
      </c>
      <c r="B1937" s="5">
        <v>12.0</v>
      </c>
      <c r="C1937" s="1" t="s">
        <v>12</v>
      </c>
      <c r="D1937" s="1" t="s">
        <v>4127</v>
      </c>
      <c r="E1937" s="1" t="s">
        <v>17</v>
      </c>
      <c r="F1937" s="5">
        <v>0.9899</v>
      </c>
      <c r="G1937" s="5">
        <v>81.820759</v>
      </c>
      <c r="H1937" s="5">
        <v>0.3464</v>
      </c>
      <c r="I1937" s="5">
        <v>69.0</v>
      </c>
    </row>
    <row r="1938">
      <c r="A1938" s="6" t="s">
        <v>5010</v>
      </c>
      <c r="B1938" s="5">
        <v>12.0</v>
      </c>
      <c r="C1938" s="1" t="s">
        <v>12</v>
      </c>
      <c r="D1938" s="1" t="s">
        <v>42</v>
      </c>
      <c r="E1938" s="1" t="s">
        <v>17</v>
      </c>
      <c r="F1938" s="5">
        <v>0.3144</v>
      </c>
      <c r="G1938" s="5">
        <v>53.44269</v>
      </c>
      <c r="H1938" s="5">
        <v>0.1163</v>
      </c>
      <c r="I1938" s="5">
        <v>0.0</v>
      </c>
    </row>
    <row r="1939">
      <c r="A1939" s="6" t="s">
        <v>5010</v>
      </c>
      <c r="B1939" s="5">
        <v>12.0</v>
      </c>
      <c r="C1939" s="1" t="s">
        <v>12</v>
      </c>
      <c r="D1939" s="1" t="s">
        <v>1851</v>
      </c>
      <c r="E1939" s="1" t="s">
        <v>17</v>
      </c>
      <c r="F1939" s="5">
        <v>0.4026</v>
      </c>
      <c r="G1939" s="5">
        <v>44.385878</v>
      </c>
      <c r="H1939" s="5">
        <v>0.155</v>
      </c>
      <c r="I1939" s="5">
        <v>131.0</v>
      </c>
    </row>
    <row r="1940">
      <c r="A1940" s="6" t="s">
        <v>5010</v>
      </c>
      <c r="B1940" s="5">
        <v>12.0</v>
      </c>
      <c r="C1940" s="1" t="s">
        <v>12</v>
      </c>
      <c r="D1940" s="1" t="s">
        <v>5590</v>
      </c>
      <c r="E1940" s="1" t="s">
        <v>39</v>
      </c>
      <c r="F1940" s="5">
        <v>0.5818</v>
      </c>
      <c r="G1940" s="5">
        <v>34.264124</v>
      </c>
      <c r="H1940" s="5">
        <v>0.0698</v>
      </c>
      <c r="I1940" s="5">
        <v>75.0</v>
      </c>
    </row>
    <row r="1941">
      <c r="A1941" s="6" t="s">
        <v>5010</v>
      </c>
      <c r="B1941" s="5">
        <v>12.0</v>
      </c>
      <c r="C1941" s="1" t="s">
        <v>68</v>
      </c>
      <c r="D1941" s="1" t="s">
        <v>13</v>
      </c>
      <c r="E1941" s="1" t="s">
        <v>14</v>
      </c>
      <c r="F1941" s="5">
        <v>14.0254</v>
      </c>
      <c r="G1941" s="5">
        <v>1104.694685</v>
      </c>
      <c r="H1941" s="5">
        <v>2.9453</v>
      </c>
      <c r="I1941" s="5">
        <v>2688.0</v>
      </c>
    </row>
    <row r="1942">
      <c r="A1942" s="6" t="s">
        <v>5010</v>
      </c>
      <c r="B1942" s="5">
        <v>12.0</v>
      </c>
      <c r="C1942" s="1" t="s">
        <v>68</v>
      </c>
      <c r="D1942" s="1" t="s">
        <v>13</v>
      </c>
      <c r="E1942" s="1" t="s">
        <v>17</v>
      </c>
      <c r="F1942" s="5">
        <v>41.9372</v>
      </c>
      <c r="G1942" s="5">
        <v>5315.236504</v>
      </c>
      <c r="H1942" s="5">
        <v>14.678</v>
      </c>
      <c r="I1942" s="5">
        <v>7912.0</v>
      </c>
    </row>
    <row r="1943">
      <c r="A1943" s="6" t="s">
        <v>5010</v>
      </c>
      <c r="B1943" s="5">
        <v>12.0</v>
      </c>
      <c r="C1943" s="1" t="s">
        <v>68</v>
      </c>
      <c r="D1943" s="1" t="s">
        <v>13</v>
      </c>
      <c r="E1943" s="1" t="s">
        <v>21</v>
      </c>
      <c r="F1943" s="5">
        <v>8.8174</v>
      </c>
      <c r="G1943" s="5">
        <v>1180.550683</v>
      </c>
      <c r="H1943" s="5">
        <v>4.336</v>
      </c>
      <c r="I1943" s="5">
        <v>3076.0</v>
      </c>
    </row>
    <row r="1944">
      <c r="A1944" s="6" t="s">
        <v>5010</v>
      </c>
      <c r="B1944" s="5">
        <v>12.0</v>
      </c>
      <c r="C1944" s="1" t="s">
        <v>68</v>
      </c>
      <c r="D1944" s="1" t="s">
        <v>29</v>
      </c>
      <c r="E1944" s="1" t="s">
        <v>14</v>
      </c>
      <c r="F1944" s="5">
        <v>0.5592</v>
      </c>
      <c r="G1944" s="5">
        <v>70.359689</v>
      </c>
      <c r="H1944" s="5">
        <v>0.1119</v>
      </c>
      <c r="I1944" s="5">
        <v>229.0</v>
      </c>
    </row>
    <row r="1945">
      <c r="A1945" s="6" t="s">
        <v>5010</v>
      </c>
      <c r="B1945" s="5">
        <v>12.0</v>
      </c>
      <c r="C1945" s="1" t="s">
        <v>68</v>
      </c>
      <c r="D1945" s="1" t="s">
        <v>29</v>
      </c>
      <c r="E1945" s="1" t="s">
        <v>21</v>
      </c>
      <c r="F1945" s="5">
        <v>13.1007</v>
      </c>
      <c r="G1945" s="5">
        <v>2332.304375</v>
      </c>
      <c r="H1945" s="5">
        <v>5.2404</v>
      </c>
      <c r="I1945" s="5">
        <v>2389.0</v>
      </c>
    </row>
    <row r="1946">
      <c r="A1946" s="6" t="s">
        <v>5010</v>
      </c>
      <c r="B1946" s="5">
        <v>12.0</v>
      </c>
      <c r="C1946" s="1" t="s">
        <v>68</v>
      </c>
      <c r="D1946" s="1" t="s">
        <v>45</v>
      </c>
      <c r="E1946" s="1" t="s">
        <v>49</v>
      </c>
      <c r="F1946" s="5">
        <v>1.1649</v>
      </c>
      <c r="G1946" s="5">
        <v>74.095638</v>
      </c>
      <c r="H1946" s="5">
        <v>0.3029</v>
      </c>
      <c r="I1946" s="5">
        <v>120.0</v>
      </c>
    </row>
    <row r="1947">
      <c r="A1947" s="6" t="s">
        <v>5010</v>
      </c>
      <c r="B1947" s="5">
        <v>12.0</v>
      </c>
      <c r="C1947" s="1" t="s">
        <v>68</v>
      </c>
      <c r="D1947" s="1" t="s">
        <v>45</v>
      </c>
      <c r="E1947" s="1" t="s">
        <v>17</v>
      </c>
      <c r="F1947" s="5">
        <v>9.7878</v>
      </c>
      <c r="G1947" s="5">
        <v>674.819854</v>
      </c>
      <c r="H1947" s="5">
        <v>3.5236</v>
      </c>
      <c r="I1947" s="5">
        <v>1357.0</v>
      </c>
    </row>
    <row r="1948">
      <c r="A1948" s="6" t="s">
        <v>5010</v>
      </c>
      <c r="B1948" s="5">
        <v>12.0</v>
      </c>
      <c r="C1948" s="1" t="s">
        <v>68</v>
      </c>
      <c r="D1948" s="1" t="s">
        <v>2104</v>
      </c>
      <c r="E1948" s="1" t="s">
        <v>17</v>
      </c>
      <c r="F1948" s="5">
        <v>4.9301</v>
      </c>
      <c r="G1948" s="5">
        <v>253.993082</v>
      </c>
      <c r="H1948" s="5">
        <v>1.7255</v>
      </c>
      <c r="I1948" s="5">
        <v>686.0</v>
      </c>
    </row>
    <row r="1949">
      <c r="A1949" s="6" t="s">
        <v>5010</v>
      </c>
      <c r="B1949" s="5">
        <v>12.0</v>
      </c>
      <c r="C1949" s="1" t="s">
        <v>68</v>
      </c>
      <c r="D1949" s="1" t="s">
        <v>3962</v>
      </c>
      <c r="E1949" s="1" t="s">
        <v>17</v>
      </c>
      <c r="F1949" s="5">
        <v>2.3783</v>
      </c>
      <c r="G1949" s="5">
        <v>211.175607</v>
      </c>
      <c r="H1949" s="5">
        <v>0.8324</v>
      </c>
      <c r="I1949" s="5">
        <v>1073.0</v>
      </c>
    </row>
    <row r="1950">
      <c r="A1950" s="6" t="s">
        <v>5010</v>
      </c>
      <c r="B1950" s="5">
        <v>12.0</v>
      </c>
      <c r="C1950" s="1" t="s">
        <v>68</v>
      </c>
      <c r="D1950" s="1" t="s">
        <v>42</v>
      </c>
      <c r="E1950" s="1" t="s">
        <v>17</v>
      </c>
      <c r="F1950" s="5">
        <v>0.6349</v>
      </c>
      <c r="G1950" s="5">
        <v>140.682445</v>
      </c>
      <c r="H1950" s="5">
        <v>0.2349</v>
      </c>
      <c r="I1950" s="5">
        <v>0.0</v>
      </c>
    </row>
    <row r="1951">
      <c r="A1951" s="6" t="s">
        <v>5010</v>
      </c>
      <c r="B1951" s="5">
        <v>12.0</v>
      </c>
      <c r="C1951" s="1" t="s">
        <v>68</v>
      </c>
      <c r="D1951" s="1" t="s">
        <v>38</v>
      </c>
      <c r="E1951" s="1" t="s">
        <v>39</v>
      </c>
      <c r="F1951" s="5">
        <v>1.9166</v>
      </c>
      <c r="G1951" s="5">
        <v>127.604833</v>
      </c>
      <c r="H1951" s="5">
        <v>0.3449</v>
      </c>
      <c r="I1951" s="5">
        <v>946.0</v>
      </c>
    </row>
    <row r="1952">
      <c r="A1952" s="6" t="s">
        <v>5010</v>
      </c>
      <c r="B1952" s="5">
        <v>12.0</v>
      </c>
      <c r="C1952" s="1" t="s">
        <v>68</v>
      </c>
      <c r="D1952" s="1" t="s">
        <v>48</v>
      </c>
      <c r="E1952" s="1" t="s">
        <v>21</v>
      </c>
      <c r="F1952" s="5">
        <v>0.4561</v>
      </c>
      <c r="G1952" s="5">
        <v>100.668722</v>
      </c>
      <c r="H1952" s="5">
        <v>0.1824</v>
      </c>
      <c r="I1952" s="5">
        <v>244.0</v>
      </c>
    </row>
    <row r="1953">
      <c r="A1953" s="6" t="s">
        <v>5010</v>
      </c>
      <c r="B1953" s="5">
        <v>12.0</v>
      </c>
      <c r="C1953" s="1" t="s">
        <v>68</v>
      </c>
      <c r="D1953" s="1" t="s">
        <v>4955</v>
      </c>
      <c r="E1953" s="1" t="s">
        <v>49</v>
      </c>
      <c r="F1953" s="5">
        <v>0.9816</v>
      </c>
      <c r="G1953" s="5">
        <v>92.915289</v>
      </c>
      <c r="H1953" s="5">
        <v>0.2454</v>
      </c>
      <c r="I1953" s="5">
        <v>547.0</v>
      </c>
    </row>
    <row r="1954">
      <c r="A1954" s="6" t="s">
        <v>5010</v>
      </c>
      <c r="B1954" s="5">
        <v>12.0</v>
      </c>
      <c r="C1954" s="1" t="s">
        <v>68</v>
      </c>
      <c r="D1954" s="1" t="s">
        <v>4929</v>
      </c>
      <c r="E1954" s="1" t="s">
        <v>21</v>
      </c>
      <c r="F1954" s="5">
        <v>0.1945</v>
      </c>
      <c r="G1954" s="5">
        <v>41.641205</v>
      </c>
      <c r="H1954" s="5">
        <v>0.0778</v>
      </c>
      <c r="I1954" s="5">
        <v>0.0</v>
      </c>
    </row>
    <row r="1955">
      <c r="A1955" s="6" t="s">
        <v>5010</v>
      </c>
      <c r="B1955" s="5">
        <v>12.0</v>
      </c>
      <c r="C1955" s="1" t="s">
        <v>116</v>
      </c>
      <c r="D1955" s="1" t="s">
        <v>13</v>
      </c>
      <c r="E1955" s="1" t="s">
        <v>14</v>
      </c>
      <c r="F1955" s="5">
        <v>27.5368</v>
      </c>
      <c r="G1955" s="5">
        <v>2257.732329</v>
      </c>
      <c r="H1955" s="5">
        <v>5.7828</v>
      </c>
      <c r="I1955" s="5">
        <v>4364.0</v>
      </c>
    </row>
    <row r="1956">
      <c r="A1956" s="6" t="s">
        <v>5010</v>
      </c>
      <c r="B1956" s="5">
        <v>12.0</v>
      </c>
      <c r="C1956" s="1" t="s">
        <v>116</v>
      </c>
      <c r="D1956" s="1" t="s">
        <v>13</v>
      </c>
      <c r="E1956" s="1" t="s">
        <v>17</v>
      </c>
      <c r="F1956" s="5">
        <v>124.5474</v>
      </c>
      <c r="G1956" s="5">
        <v>14747.014971</v>
      </c>
      <c r="H1956" s="5">
        <v>43.5916</v>
      </c>
      <c r="I1956" s="5">
        <v>16029.0</v>
      </c>
    </row>
    <row r="1957">
      <c r="A1957" s="6" t="s">
        <v>5010</v>
      </c>
      <c r="B1957" s="5">
        <v>12.0</v>
      </c>
      <c r="C1957" s="1" t="s">
        <v>116</v>
      </c>
      <c r="D1957" s="1" t="s">
        <v>13</v>
      </c>
      <c r="E1957" s="1" t="s">
        <v>21</v>
      </c>
      <c r="F1957" s="5">
        <v>22.1265</v>
      </c>
      <c r="G1957" s="5">
        <v>2942.582832</v>
      </c>
      <c r="H1957" s="5">
        <v>10.9131</v>
      </c>
      <c r="I1957" s="5">
        <v>6072.0</v>
      </c>
    </row>
    <row r="1958">
      <c r="A1958" s="6" t="s">
        <v>5010</v>
      </c>
      <c r="B1958" s="5">
        <v>12.0</v>
      </c>
      <c r="C1958" s="1" t="s">
        <v>116</v>
      </c>
      <c r="D1958" s="1" t="s">
        <v>13</v>
      </c>
      <c r="E1958" s="1" t="s">
        <v>25</v>
      </c>
      <c r="F1958" s="5">
        <v>0.0249</v>
      </c>
      <c r="G1958" s="5">
        <v>5.149395</v>
      </c>
      <c r="H1958" s="5">
        <v>0.0187</v>
      </c>
      <c r="I1958" s="5">
        <v>6.0</v>
      </c>
    </row>
    <row r="1959">
      <c r="A1959" s="6" t="s">
        <v>5010</v>
      </c>
      <c r="B1959" s="5">
        <v>12.0</v>
      </c>
      <c r="C1959" s="1" t="s">
        <v>116</v>
      </c>
      <c r="D1959" s="1" t="s">
        <v>29</v>
      </c>
      <c r="E1959" s="1" t="s">
        <v>14</v>
      </c>
      <c r="F1959" s="5">
        <v>1.3947</v>
      </c>
      <c r="G1959" s="5">
        <v>182.294011</v>
      </c>
      <c r="H1959" s="5">
        <v>0.2789</v>
      </c>
      <c r="I1959" s="5">
        <v>295.0</v>
      </c>
    </row>
    <row r="1960">
      <c r="A1960" s="6" t="s">
        <v>5010</v>
      </c>
      <c r="B1960" s="5">
        <v>12.0</v>
      </c>
      <c r="C1960" s="1" t="s">
        <v>116</v>
      </c>
      <c r="D1960" s="1" t="s">
        <v>29</v>
      </c>
      <c r="E1960" s="1" t="s">
        <v>21</v>
      </c>
      <c r="F1960" s="5">
        <v>50.754</v>
      </c>
      <c r="G1960" s="5">
        <v>9074.154704</v>
      </c>
      <c r="H1960" s="5">
        <v>20.3016</v>
      </c>
      <c r="I1960" s="5">
        <v>8459.0</v>
      </c>
    </row>
    <row r="1961">
      <c r="A1961" s="6" t="s">
        <v>5010</v>
      </c>
      <c r="B1961" s="5">
        <v>12.0</v>
      </c>
      <c r="C1961" s="1" t="s">
        <v>116</v>
      </c>
      <c r="D1961" s="1" t="s">
        <v>45</v>
      </c>
      <c r="E1961" s="1" t="s">
        <v>49</v>
      </c>
      <c r="F1961" s="5">
        <v>3.4787</v>
      </c>
      <c r="G1961" s="5">
        <v>220.706441</v>
      </c>
      <c r="H1961" s="5">
        <v>0.9045</v>
      </c>
      <c r="I1961" s="5">
        <v>354.0</v>
      </c>
    </row>
    <row r="1962">
      <c r="A1962" s="6" t="s">
        <v>5010</v>
      </c>
      <c r="B1962" s="5">
        <v>12.0</v>
      </c>
      <c r="C1962" s="1" t="s">
        <v>116</v>
      </c>
      <c r="D1962" s="1" t="s">
        <v>45</v>
      </c>
      <c r="E1962" s="1" t="s">
        <v>17</v>
      </c>
      <c r="F1962" s="5">
        <v>24.7325</v>
      </c>
      <c r="G1962" s="5">
        <v>1815.368418</v>
      </c>
      <c r="H1962" s="5">
        <v>8.9037</v>
      </c>
      <c r="I1962" s="5">
        <v>1841.0</v>
      </c>
    </row>
    <row r="1963">
      <c r="A1963" s="6" t="s">
        <v>5010</v>
      </c>
      <c r="B1963" s="5">
        <v>12.0</v>
      </c>
      <c r="C1963" s="1" t="s">
        <v>116</v>
      </c>
      <c r="D1963" s="1" t="s">
        <v>3962</v>
      </c>
      <c r="E1963" s="1" t="s">
        <v>17</v>
      </c>
      <c r="F1963" s="5">
        <v>13.8492</v>
      </c>
      <c r="G1963" s="5">
        <v>1260.041579</v>
      </c>
      <c r="H1963" s="5">
        <v>4.8472</v>
      </c>
      <c r="I1963" s="5">
        <v>3776.0</v>
      </c>
    </row>
    <row r="1964">
      <c r="A1964" s="6" t="s">
        <v>5010</v>
      </c>
      <c r="B1964" s="5">
        <v>12.0</v>
      </c>
      <c r="C1964" s="1" t="s">
        <v>116</v>
      </c>
      <c r="D1964" s="1" t="s">
        <v>48</v>
      </c>
      <c r="E1964" s="1" t="s">
        <v>72</v>
      </c>
      <c r="F1964" s="5">
        <v>0.0155</v>
      </c>
      <c r="G1964" s="5">
        <v>4.619411</v>
      </c>
      <c r="H1964" s="5">
        <v>0.0046</v>
      </c>
      <c r="I1964" s="5">
        <v>14.0</v>
      </c>
    </row>
    <row r="1965">
      <c r="A1965" s="6" t="s">
        <v>5010</v>
      </c>
      <c r="B1965" s="5">
        <v>12.0</v>
      </c>
      <c r="C1965" s="1" t="s">
        <v>116</v>
      </c>
      <c r="D1965" s="1" t="s">
        <v>48</v>
      </c>
      <c r="E1965" s="1" t="s">
        <v>21</v>
      </c>
      <c r="F1965" s="5">
        <v>3.6888</v>
      </c>
      <c r="G1965" s="5">
        <v>790.268994</v>
      </c>
      <c r="H1965" s="5">
        <v>1.4754</v>
      </c>
      <c r="I1965" s="5">
        <v>1083.0</v>
      </c>
    </row>
    <row r="1966">
      <c r="A1966" s="6" t="s">
        <v>5010</v>
      </c>
      <c r="B1966" s="5">
        <v>12.0</v>
      </c>
      <c r="C1966" s="1" t="s">
        <v>116</v>
      </c>
      <c r="D1966" s="1" t="s">
        <v>147</v>
      </c>
      <c r="E1966" s="1" t="s">
        <v>39</v>
      </c>
      <c r="F1966" s="5">
        <v>1.3492</v>
      </c>
      <c r="G1966" s="5">
        <v>434.616644</v>
      </c>
      <c r="H1966" s="5">
        <v>0.2563</v>
      </c>
      <c r="I1966" s="5">
        <v>108.0</v>
      </c>
    </row>
    <row r="1967">
      <c r="A1967" s="6" t="s">
        <v>5010</v>
      </c>
      <c r="B1967" s="5">
        <v>12.0</v>
      </c>
      <c r="C1967" s="1" t="s">
        <v>116</v>
      </c>
      <c r="D1967" s="1" t="s">
        <v>147</v>
      </c>
      <c r="E1967" s="1" t="s">
        <v>17</v>
      </c>
      <c r="F1967" s="5">
        <v>0.013</v>
      </c>
      <c r="G1967" s="5">
        <v>6.659516</v>
      </c>
      <c r="H1967" s="5">
        <v>0.0045</v>
      </c>
      <c r="I1967" s="5">
        <v>4.0</v>
      </c>
    </row>
    <row r="1968">
      <c r="A1968" s="6" t="s">
        <v>5010</v>
      </c>
      <c r="B1968" s="5">
        <v>12.0</v>
      </c>
      <c r="C1968" s="1" t="s">
        <v>116</v>
      </c>
      <c r="D1968" s="1" t="s">
        <v>147</v>
      </c>
      <c r="E1968" s="1" t="s">
        <v>21</v>
      </c>
      <c r="F1968" s="5">
        <v>0.0574</v>
      </c>
      <c r="G1968" s="5">
        <v>30.069205</v>
      </c>
      <c r="H1968" s="5">
        <v>0.0287</v>
      </c>
      <c r="I1968" s="5">
        <v>43.0</v>
      </c>
    </row>
    <row r="1969">
      <c r="A1969" s="6" t="s">
        <v>5010</v>
      </c>
      <c r="B1969" s="5">
        <v>12.0</v>
      </c>
      <c r="C1969" s="1" t="s">
        <v>116</v>
      </c>
      <c r="D1969" s="1" t="s">
        <v>38</v>
      </c>
      <c r="E1969" s="1" t="s">
        <v>39</v>
      </c>
      <c r="F1969" s="5">
        <v>5.3833</v>
      </c>
      <c r="G1969" s="5">
        <v>408.107014</v>
      </c>
      <c r="H1969" s="5">
        <v>0.969</v>
      </c>
      <c r="I1969" s="5">
        <v>1679.0</v>
      </c>
    </row>
    <row r="1970">
      <c r="A1970" s="6" t="s">
        <v>5010</v>
      </c>
      <c r="B1970" s="5">
        <v>12.0</v>
      </c>
      <c r="C1970" s="1" t="s">
        <v>116</v>
      </c>
      <c r="D1970" s="1" t="s">
        <v>2104</v>
      </c>
      <c r="E1970" s="1" t="s">
        <v>17</v>
      </c>
      <c r="F1970" s="5">
        <v>7.3405</v>
      </c>
      <c r="G1970" s="5">
        <v>308.903722</v>
      </c>
      <c r="H1970" s="5">
        <v>2.5692</v>
      </c>
      <c r="I1970" s="5">
        <v>840.0</v>
      </c>
    </row>
    <row r="1971">
      <c r="A1971" s="6" t="s">
        <v>5010</v>
      </c>
      <c r="B1971" s="5">
        <v>12.0</v>
      </c>
      <c r="C1971" s="1" t="s">
        <v>116</v>
      </c>
      <c r="D1971" s="1" t="s">
        <v>42</v>
      </c>
      <c r="E1971" s="1" t="s">
        <v>17</v>
      </c>
      <c r="F1971" s="5">
        <v>1.2131</v>
      </c>
      <c r="G1971" s="5">
        <v>257.234189</v>
      </c>
      <c r="H1971" s="5">
        <v>0.4488</v>
      </c>
      <c r="I1971" s="5">
        <v>0.0</v>
      </c>
    </row>
    <row r="1972">
      <c r="A1972" s="6" t="s">
        <v>5010</v>
      </c>
      <c r="B1972" s="5">
        <v>12.0</v>
      </c>
      <c r="C1972" s="1" t="s">
        <v>116</v>
      </c>
      <c r="D1972" s="1" t="s">
        <v>165</v>
      </c>
      <c r="E1972" s="1" t="s">
        <v>39</v>
      </c>
      <c r="F1972" s="5">
        <v>0.2321</v>
      </c>
      <c r="G1972" s="5">
        <v>71.738722</v>
      </c>
      <c r="H1972" s="5">
        <v>0.0418</v>
      </c>
      <c r="I1972" s="5">
        <v>0.0</v>
      </c>
    </row>
    <row r="1973">
      <c r="A1973" s="6" t="s">
        <v>5010</v>
      </c>
      <c r="B1973" s="5">
        <v>12.0</v>
      </c>
      <c r="C1973" s="1" t="s">
        <v>116</v>
      </c>
      <c r="D1973" s="1" t="s">
        <v>165</v>
      </c>
      <c r="E1973" s="1" t="s">
        <v>17</v>
      </c>
      <c r="F1973" s="5">
        <v>0.4155</v>
      </c>
      <c r="G1973" s="5">
        <v>138.916582</v>
      </c>
      <c r="H1973" s="5">
        <v>0.1454</v>
      </c>
      <c r="I1973" s="5">
        <v>0.0</v>
      </c>
    </row>
    <row r="1974">
      <c r="A1974" s="6" t="s">
        <v>5010</v>
      </c>
      <c r="B1974" s="5">
        <v>1.0</v>
      </c>
      <c r="C1974" s="1" t="s">
        <v>12</v>
      </c>
      <c r="D1974" s="1" t="s">
        <v>13</v>
      </c>
      <c r="E1974" s="1" t="s">
        <v>2230</v>
      </c>
      <c r="F1974" s="5">
        <v>10.0537</v>
      </c>
      <c r="G1974" s="5">
        <v>732.9798</v>
      </c>
      <c r="H1974" s="5">
        <v>2.0107</v>
      </c>
      <c r="I1974" s="5">
        <v>411.0</v>
      </c>
    </row>
    <row r="1975">
      <c r="A1975" s="6" t="s">
        <v>5010</v>
      </c>
      <c r="B1975" s="5">
        <v>1.0</v>
      </c>
      <c r="C1975" s="1" t="s">
        <v>68</v>
      </c>
      <c r="D1975" s="1" t="s">
        <v>13</v>
      </c>
      <c r="E1975" s="1" t="s">
        <v>2230</v>
      </c>
      <c r="F1975" s="5">
        <v>6.1788</v>
      </c>
      <c r="G1975" s="5">
        <v>460.2065</v>
      </c>
      <c r="H1975" s="5">
        <v>1.2358</v>
      </c>
      <c r="I1975" s="5">
        <v>1101.0</v>
      </c>
    </row>
    <row r="1976">
      <c r="A1976" s="6" t="s">
        <v>5010</v>
      </c>
      <c r="B1976" s="5">
        <v>1.0</v>
      </c>
      <c r="C1976" s="1" t="s">
        <v>116</v>
      </c>
      <c r="D1976" s="1" t="s">
        <v>13</v>
      </c>
      <c r="E1976" s="1" t="s">
        <v>2230</v>
      </c>
      <c r="F1976" s="5">
        <v>17.2088</v>
      </c>
      <c r="G1976" s="5">
        <v>1310.1595</v>
      </c>
      <c r="H1976" s="5">
        <v>3.4417</v>
      </c>
      <c r="I1976" s="5">
        <v>1929.0</v>
      </c>
    </row>
    <row r="1977">
      <c r="A1977" s="6" t="s">
        <v>5010</v>
      </c>
      <c r="B1977" s="5">
        <v>2.0</v>
      </c>
      <c r="C1977" s="1" t="s">
        <v>12</v>
      </c>
      <c r="D1977" s="1" t="s">
        <v>13</v>
      </c>
      <c r="E1977" s="1" t="s">
        <v>2230</v>
      </c>
      <c r="F1977" s="5">
        <v>9.7913</v>
      </c>
      <c r="G1977" s="5">
        <v>666.1454</v>
      </c>
      <c r="H1977" s="5">
        <v>1.9584</v>
      </c>
      <c r="I1977" s="5">
        <v>392.0</v>
      </c>
    </row>
    <row r="1978">
      <c r="A1978" s="6" t="s">
        <v>5010</v>
      </c>
      <c r="B1978" s="5">
        <v>2.0</v>
      </c>
      <c r="C1978" s="1" t="s">
        <v>68</v>
      </c>
      <c r="D1978" s="1" t="s">
        <v>13</v>
      </c>
      <c r="E1978" s="1" t="s">
        <v>2230</v>
      </c>
      <c r="F1978" s="5">
        <v>4.6616</v>
      </c>
      <c r="G1978" s="5">
        <v>367.6882</v>
      </c>
      <c r="H1978" s="5">
        <v>0.9324</v>
      </c>
      <c r="I1978" s="5">
        <v>843.0</v>
      </c>
    </row>
    <row r="1979">
      <c r="A1979" s="6" t="s">
        <v>5010</v>
      </c>
      <c r="B1979" s="5">
        <v>2.0</v>
      </c>
      <c r="C1979" s="1" t="s">
        <v>116</v>
      </c>
      <c r="D1979" s="1" t="s">
        <v>13</v>
      </c>
      <c r="E1979" s="1" t="s">
        <v>2230</v>
      </c>
      <c r="F1979" s="5">
        <v>12.1234</v>
      </c>
      <c r="G1979" s="5">
        <v>992.1755</v>
      </c>
      <c r="H1979" s="5">
        <v>2.4246</v>
      </c>
      <c r="I1979" s="5">
        <v>1624.0</v>
      </c>
    </row>
    <row r="1980">
      <c r="A1980" s="6" t="s">
        <v>5010</v>
      </c>
      <c r="B1980" s="5">
        <v>3.0</v>
      </c>
      <c r="C1980" s="1" t="s">
        <v>12</v>
      </c>
      <c r="D1980" s="1" t="s">
        <v>13</v>
      </c>
      <c r="E1980" s="1" t="s">
        <v>2230</v>
      </c>
      <c r="F1980" s="5">
        <v>16.2433</v>
      </c>
      <c r="G1980" s="5">
        <v>1111.4856</v>
      </c>
      <c r="H1980" s="5">
        <v>3.2486</v>
      </c>
      <c r="I1980" s="5">
        <v>339.0</v>
      </c>
    </row>
    <row r="1981">
      <c r="A1981" s="6" t="s">
        <v>5010</v>
      </c>
      <c r="B1981" s="5">
        <v>3.0</v>
      </c>
      <c r="C1981" s="1" t="s">
        <v>68</v>
      </c>
      <c r="D1981" s="1" t="s">
        <v>13</v>
      </c>
      <c r="E1981" s="1" t="s">
        <v>2230</v>
      </c>
      <c r="F1981" s="5">
        <v>3.9952</v>
      </c>
      <c r="G1981" s="5">
        <v>333.6765</v>
      </c>
      <c r="H1981" s="5">
        <v>0.7989</v>
      </c>
      <c r="I1981" s="5">
        <v>791.0</v>
      </c>
    </row>
    <row r="1982">
      <c r="A1982" s="6" t="s">
        <v>5010</v>
      </c>
      <c r="B1982" s="5">
        <v>3.0</v>
      </c>
      <c r="C1982" s="1" t="s">
        <v>116</v>
      </c>
      <c r="D1982" s="1" t="s">
        <v>13</v>
      </c>
      <c r="E1982" s="1" t="s">
        <v>2230</v>
      </c>
      <c r="F1982" s="5">
        <v>18.5283</v>
      </c>
      <c r="G1982" s="5">
        <v>1307.2</v>
      </c>
      <c r="H1982" s="5">
        <v>3.7056</v>
      </c>
      <c r="I1982" s="5">
        <v>1466.0</v>
      </c>
    </row>
    <row r="1983">
      <c r="A1983" s="6" t="s">
        <v>5010</v>
      </c>
      <c r="B1983" s="5">
        <v>4.0</v>
      </c>
      <c r="C1983" s="1" t="s">
        <v>12</v>
      </c>
      <c r="D1983" s="1" t="s">
        <v>13</v>
      </c>
      <c r="E1983" s="1" t="s">
        <v>2230</v>
      </c>
      <c r="F1983" s="5">
        <v>7.3805</v>
      </c>
      <c r="G1983" s="5">
        <v>577.6599</v>
      </c>
      <c r="H1983" s="5">
        <v>1.4761</v>
      </c>
      <c r="I1983" s="5">
        <v>310.0</v>
      </c>
    </row>
    <row r="1984">
      <c r="A1984" s="6" t="s">
        <v>5010</v>
      </c>
      <c r="B1984" s="5">
        <v>4.0</v>
      </c>
      <c r="C1984" s="1" t="s">
        <v>68</v>
      </c>
      <c r="D1984" s="1" t="s">
        <v>13</v>
      </c>
      <c r="E1984" s="1" t="s">
        <v>2230</v>
      </c>
      <c r="F1984" s="5">
        <v>4.2591</v>
      </c>
      <c r="G1984" s="5">
        <v>348.504</v>
      </c>
      <c r="H1984" s="5">
        <v>0.8519</v>
      </c>
      <c r="I1984" s="5">
        <v>778.0</v>
      </c>
    </row>
    <row r="1985">
      <c r="A1985" s="6" t="s">
        <v>5010</v>
      </c>
      <c r="B1985" s="5">
        <v>4.0</v>
      </c>
      <c r="C1985" s="1" t="s">
        <v>116</v>
      </c>
      <c r="D1985" s="1" t="s">
        <v>13</v>
      </c>
      <c r="E1985" s="1" t="s">
        <v>2230</v>
      </c>
      <c r="F1985" s="5">
        <v>28.0066</v>
      </c>
      <c r="G1985" s="5">
        <v>1561.4301</v>
      </c>
      <c r="H1985" s="5">
        <v>5.6012</v>
      </c>
      <c r="I1985" s="5">
        <v>1607.0</v>
      </c>
    </row>
    <row r="1986">
      <c r="A1986" s="6" t="s">
        <v>5010</v>
      </c>
      <c r="B1986" s="5">
        <v>5.0</v>
      </c>
      <c r="C1986" s="1" t="s">
        <v>12</v>
      </c>
      <c r="D1986" s="1" t="s">
        <v>13</v>
      </c>
      <c r="E1986" s="1" t="s">
        <v>2230</v>
      </c>
      <c r="F1986" s="5">
        <v>6.8373</v>
      </c>
      <c r="G1986" s="5">
        <v>551.1929</v>
      </c>
      <c r="H1986" s="5">
        <v>1.3675</v>
      </c>
      <c r="I1986" s="5">
        <v>312.0</v>
      </c>
    </row>
    <row r="1987">
      <c r="A1987" s="6" t="s">
        <v>5010</v>
      </c>
      <c r="B1987" s="5">
        <v>5.0</v>
      </c>
      <c r="C1987" s="1" t="s">
        <v>68</v>
      </c>
      <c r="D1987" s="1" t="s">
        <v>13</v>
      </c>
      <c r="E1987" s="1" t="s">
        <v>2230</v>
      </c>
      <c r="F1987" s="5">
        <v>5.7555</v>
      </c>
      <c r="G1987" s="5">
        <v>467.6434</v>
      </c>
      <c r="H1987" s="5">
        <v>1.151</v>
      </c>
      <c r="I1987" s="5">
        <v>820.0</v>
      </c>
    </row>
    <row r="1988">
      <c r="A1988" s="6" t="s">
        <v>5010</v>
      </c>
      <c r="B1988" s="5">
        <v>5.0</v>
      </c>
      <c r="C1988" s="1" t="s">
        <v>116</v>
      </c>
      <c r="D1988" s="1" t="s">
        <v>13</v>
      </c>
      <c r="E1988" s="1" t="s">
        <v>2230</v>
      </c>
      <c r="F1988" s="5">
        <v>14.3789</v>
      </c>
      <c r="G1988" s="5">
        <v>1050.2044</v>
      </c>
      <c r="H1988" s="5">
        <v>2.8758</v>
      </c>
      <c r="I1988" s="5">
        <v>1236.0</v>
      </c>
    </row>
    <row r="1989">
      <c r="A1989" s="6" t="s">
        <v>5010</v>
      </c>
      <c r="B1989" s="5">
        <v>6.0</v>
      </c>
      <c r="C1989" s="1" t="s">
        <v>12</v>
      </c>
      <c r="D1989" s="1" t="s">
        <v>13</v>
      </c>
      <c r="E1989" s="1" t="s">
        <v>2230</v>
      </c>
      <c r="F1989" s="5">
        <v>5.748</v>
      </c>
      <c r="G1989" s="5">
        <v>460.8189</v>
      </c>
      <c r="H1989" s="5">
        <v>1.1496</v>
      </c>
      <c r="I1989" s="5">
        <v>315.0</v>
      </c>
    </row>
    <row r="1990">
      <c r="A1990" s="6" t="s">
        <v>5010</v>
      </c>
      <c r="B1990" s="5">
        <v>6.0</v>
      </c>
      <c r="C1990" s="1" t="s">
        <v>68</v>
      </c>
      <c r="D1990" s="1" t="s">
        <v>13</v>
      </c>
      <c r="E1990" s="1" t="s">
        <v>2230</v>
      </c>
      <c r="F1990" s="5">
        <v>5.8024</v>
      </c>
      <c r="G1990" s="5">
        <v>436.7045</v>
      </c>
      <c r="H1990" s="5">
        <v>1.1605</v>
      </c>
      <c r="I1990" s="5">
        <v>846.0</v>
      </c>
    </row>
    <row r="1991">
      <c r="A1991" s="6" t="s">
        <v>5010</v>
      </c>
      <c r="B1991" s="5">
        <v>6.0</v>
      </c>
      <c r="C1991" s="1" t="s">
        <v>116</v>
      </c>
      <c r="D1991" s="1" t="s">
        <v>13</v>
      </c>
      <c r="E1991" s="1" t="s">
        <v>2230</v>
      </c>
      <c r="F1991" s="5">
        <v>13.5144</v>
      </c>
      <c r="G1991" s="5">
        <v>1010.165</v>
      </c>
      <c r="H1991" s="5">
        <v>2.7029</v>
      </c>
      <c r="I1991" s="5">
        <v>1255.0</v>
      </c>
    </row>
    <row r="1992">
      <c r="A1992" s="6" t="s">
        <v>5010</v>
      </c>
      <c r="B1992" s="5">
        <v>7.0</v>
      </c>
      <c r="C1992" s="1" t="s">
        <v>12</v>
      </c>
      <c r="D1992" s="1" t="s">
        <v>13</v>
      </c>
      <c r="E1992" s="1" t="s">
        <v>2230</v>
      </c>
      <c r="F1992" s="5">
        <v>5.6314</v>
      </c>
      <c r="G1992" s="5">
        <v>432.3733</v>
      </c>
      <c r="H1992" s="5">
        <v>1.1262</v>
      </c>
      <c r="I1992" s="5">
        <v>301.0</v>
      </c>
    </row>
    <row r="1993">
      <c r="A1993" s="6" t="s">
        <v>5010</v>
      </c>
      <c r="B1993" s="5">
        <v>7.0</v>
      </c>
      <c r="C1993" s="1" t="s">
        <v>68</v>
      </c>
      <c r="D1993" s="1" t="s">
        <v>13</v>
      </c>
      <c r="E1993" s="1" t="s">
        <v>2230</v>
      </c>
      <c r="F1993" s="5">
        <v>3.7074</v>
      </c>
      <c r="G1993" s="5">
        <v>311.9152</v>
      </c>
      <c r="H1993" s="5">
        <v>0.7414</v>
      </c>
      <c r="I1993" s="5">
        <v>589.0</v>
      </c>
    </row>
    <row r="1994">
      <c r="A1994" s="6" t="s">
        <v>5010</v>
      </c>
      <c r="B1994" s="5">
        <v>7.0</v>
      </c>
      <c r="C1994" s="1" t="s">
        <v>116</v>
      </c>
      <c r="D1994" s="1" t="s">
        <v>13</v>
      </c>
      <c r="E1994" s="1" t="s">
        <v>2230</v>
      </c>
      <c r="F1994" s="5">
        <v>11.8435</v>
      </c>
      <c r="G1994" s="5">
        <v>894.3061</v>
      </c>
      <c r="H1994" s="5">
        <v>2.3686</v>
      </c>
      <c r="I1994" s="5">
        <v>1201.0</v>
      </c>
    </row>
    <row r="1995">
      <c r="A1995" s="6" t="s">
        <v>5010</v>
      </c>
      <c r="B1995" s="5">
        <v>8.0</v>
      </c>
      <c r="C1995" s="1" t="s">
        <v>12</v>
      </c>
      <c r="D1995" s="1" t="s">
        <v>13</v>
      </c>
      <c r="E1995" s="1" t="s">
        <v>2230</v>
      </c>
      <c r="F1995" s="5">
        <v>4.9947</v>
      </c>
      <c r="G1995" s="5">
        <v>350.6479</v>
      </c>
      <c r="H1995" s="5">
        <v>0.9989</v>
      </c>
      <c r="I1995" s="5">
        <v>295.0</v>
      </c>
    </row>
    <row r="1996">
      <c r="A1996" s="6" t="s">
        <v>5010</v>
      </c>
      <c r="B1996" s="5">
        <v>8.0</v>
      </c>
      <c r="C1996" s="1" t="s">
        <v>68</v>
      </c>
      <c r="D1996" s="1" t="s">
        <v>13</v>
      </c>
      <c r="E1996" s="1" t="s">
        <v>2230</v>
      </c>
      <c r="F1996" s="5">
        <v>3.7602</v>
      </c>
      <c r="G1996" s="5">
        <v>312.313</v>
      </c>
      <c r="H1996" s="5">
        <v>0.7519</v>
      </c>
      <c r="I1996" s="5">
        <v>813.0</v>
      </c>
    </row>
    <row r="1997">
      <c r="A1997" s="6" t="s">
        <v>5010</v>
      </c>
      <c r="B1997" s="5">
        <v>8.0</v>
      </c>
      <c r="C1997" s="1" t="s">
        <v>116</v>
      </c>
      <c r="D1997" s="1" t="s">
        <v>13</v>
      </c>
      <c r="E1997" s="1" t="s">
        <v>2230</v>
      </c>
      <c r="F1997" s="5">
        <v>9.841</v>
      </c>
      <c r="G1997" s="5">
        <v>794.332</v>
      </c>
      <c r="H1997" s="5">
        <v>1.9682</v>
      </c>
      <c r="I1997" s="5">
        <v>1201.0</v>
      </c>
    </row>
    <row r="1998">
      <c r="A1998" s="6" t="s">
        <v>5010</v>
      </c>
      <c r="B1998" s="5">
        <v>9.0</v>
      </c>
      <c r="C1998" s="1" t="s">
        <v>12</v>
      </c>
      <c r="D1998" s="1" t="s">
        <v>13</v>
      </c>
      <c r="E1998" s="1" t="s">
        <v>2230</v>
      </c>
      <c r="F1998" s="5">
        <v>2.8004</v>
      </c>
      <c r="G1998" s="5">
        <v>175.3501</v>
      </c>
      <c r="H1998" s="5">
        <v>0.5601</v>
      </c>
      <c r="I1998" s="5">
        <v>154.0</v>
      </c>
    </row>
    <row r="1999">
      <c r="A1999" s="6" t="s">
        <v>5010</v>
      </c>
      <c r="B1999" s="5">
        <v>9.0</v>
      </c>
      <c r="C1999" s="1" t="s">
        <v>68</v>
      </c>
      <c r="D1999" s="1" t="s">
        <v>13</v>
      </c>
      <c r="E1999" s="1" t="s">
        <v>2230</v>
      </c>
      <c r="F1999" s="5">
        <v>1.9585</v>
      </c>
      <c r="G1999" s="5">
        <v>150.9338</v>
      </c>
      <c r="H1999" s="5">
        <v>0.3917</v>
      </c>
      <c r="I1999" s="5">
        <v>311.0</v>
      </c>
    </row>
    <row r="2000">
      <c r="A2000" s="6" t="s">
        <v>5010</v>
      </c>
      <c r="B2000" s="5">
        <v>9.0</v>
      </c>
      <c r="C2000" s="1" t="s">
        <v>116</v>
      </c>
      <c r="D2000" s="1" t="s">
        <v>13</v>
      </c>
      <c r="E2000" s="1" t="s">
        <v>2230</v>
      </c>
      <c r="F2000" s="5">
        <v>7.5783</v>
      </c>
      <c r="G2000" s="5">
        <v>633.9507</v>
      </c>
      <c r="H2000" s="5">
        <v>1.5157</v>
      </c>
      <c r="I2000" s="5">
        <v>1050.0</v>
      </c>
    </row>
    <row r="2001">
      <c r="A2001" s="6" t="s">
        <v>5010</v>
      </c>
      <c r="B2001" s="5">
        <v>10.0</v>
      </c>
      <c r="C2001" s="1" t="s">
        <v>12</v>
      </c>
      <c r="D2001" s="1" t="s">
        <v>13</v>
      </c>
      <c r="E2001" s="1" t="s">
        <v>2230</v>
      </c>
      <c r="F2001" s="5">
        <v>0.5806</v>
      </c>
      <c r="G2001" s="5">
        <v>42.9389</v>
      </c>
      <c r="H2001" s="5">
        <v>0.1161</v>
      </c>
      <c r="I2001" s="5">
        <v>46.0</v>
      </c>
    </row>
    <row r="2002">
      <c r="A2002" s="6" t="s">
        <v>5010</v>
      </c>
      <c r="B2002" s="5">
        <v>10.0</v>
      </c>
      <c r="C2002" s="1" t="s">
        <v>68</v>
      </c>
      <c r="D2002" s="1" t="s">
        <v>13</v>
      </c>
      <c r="E2002" s="1" t="s">
        <v>2230</v>
      </c>
      <c r="F2002" s="5">
        <v>1.4261</v>
      </c>
      <c r="G2002" s="5">
        <v>96.6346</v>
      </c>
      <c r="H2002" s="5">
        <v>0.2852</v>
      </c>
      <c r="I2002" s="5">
        <v>404.0</v>
      </c>
    </row>
    <row r="2003">
      <c r="A2003" s="6" t="s">
        <v>5010</v>
      </c>
      <c r="B2003" s="5">
        <v>10.0</v>
      </c>
      <c r="C2003" s="1" t="s">
        <v>116</v>
      </c>
      <c r="D2003" s="1" t="s">
        <v>13</v>
      </c>
      <c r="E2003" s="1" t="s">
        <v>2230</v>
      </c>
      <c r="F2003" s="5">
        <v>5.1253</v>
      </c>
      <c r="G2003" s="5">
        <v>461.7895</v>
      </c>
      <c r="H2003" s="5">
        <v>1.0252</v>
      </c>
      <c r="I2003" s="5">
        <v>858.0</v>
      </c>
    </row>
    <row r="2004">
      <c r="A2004" s="6" t="s">
        <v>5010</v>
      </c>
      <c r="B2004" s="5">
        <v>11.0</v>
      </c>
      <c r="C2004" s="1" t="s">
        <v>12</v>
      </c>
      <c r="D2004" s="1" t="s">
        <v>13</v>
      </c>
      <c r="E2004" s="1" t="s">
        <v>2230</v>
      </c>
      <c r="F2004" s="5">
        <v>0.5273</v>
      </c>
      <c r="G2004" s="5">
        <v>37.7528</v>
      </c>
      <c r="H2004" s="5">
        <v>0.1054</v>
      </c>
      <c r="I2004" s="5">
        <v>36.0</v>
      </c>
    </row>
    <row r="2005">
      <c r="A2005" s="6" t="s">
        <v>5010</v>
      </c>
      <c r="B2005" s="5">
        <v>11.0</v>
      </c>
      <c r="C2005" s="1" t="s">
        <v>68</v>
      </c>
      <c r="D2005" s="1" t="s">
        <v>13</v>
      </c>
      <c r="E2005" s="1" t="s">
        <v>2230</v>
      </c>
      <c r="F2005" s="5">
        <v>1.174</v>
      </c>
      <c r="G2005" s="5">
        <v>97.2256</v>
      </c>
      <c r="H2005" s="5">
        <v>0.2348</v>
      </c>
      <c r="I2005" s="5">
        <v>187.0</v>
      </c>
    </row>
    <row r="2006">
      <c r="A2006" s="6" t="s">
        <v>5010</v>
      </c>
      <c r="B2006" s="5">
        <v>11.0</v>
      </c>
      <c r="C2006" s="1" t="s">
        <v>116</v>
      </c>
      <c r="D2006" s="1" t="s">
        <v>13</v>
      </c>
      <c r="E2006" s="1" t="s">
        <v>2230</v>
      </c>
      <c r="F2006" s="5">
        <v>4.2365</v>
      </c>
      <c r="G2006" s="5">
        <v>353.291</v>
      </c>
      <c r="H2006" s="5">
        <v>0.8473</v>
      </c>
      <c r="I2006" s="5">
        <v>778.0</v>
      </c>
    </row>
    <row r="2007">
      <c r="A2007" s="6" t="s">
        <v>5010</v>
      </c>
      <c r="B2007" s="5">
        <v>12.0</v>
      </c>
      <c r="C2007" s="1" t="s">
        <v>12</v>
      </c>
      <c r="D2007" s="1" t="s">
        <v>13</v>
      </c>
      <c r="E2007" s="1" t="s">
        <v>2230</v>
      </c>
      <c r="F2007" s="5">
        <v>0.1749</v>
      </c>
      <c r="G2007" s="5">
        <v>14.3406</v>
      </c>
      <c r="H2007" s="5">
        <v>0.035</v>
      </c>
      <c r="I2007" s="5">
        <v>22.0</v>
      </c>
    </row>
    <row r="2008">
      <c r="A2008" s="6" t="s">
        <v>5010</v>
      </c>
      <c r="B2008" s="5">
        <v>12.0</v>
      </c>
      <c r="C2008" s="1" t="s">
        <v>68</v>
      </c>
      <c r="D2008" s="1" t="s">
        <v>13</v>
      </c>
      <c r="E2008" s="1" t="s">
        <v>2230</v>
      </c>
      <c r="F2008" s="5">
        <v>2.0995</v>
      </c>
      <c r="G2008" s="5">
        <v>123.6008</v>
      </c>
      <c r="H2008" s="5">
        <v>0.42</v>
      </c>
      <c r="I2008" s="5">
        <v>200.0</v>
      </c>
    </row>
    <row r="2009">
      <c r="A2009" s="6" t="s">
        <v>5010</v>
      </c>
      <c r="B2009" s="5">
        <v>12.0</v>
      </c>
      <c r="C2009" s="1" t="s">
        <v>116</v>
      </c>
      <c r="D2009" s="1" t="s">
        <v>13</v>
      </c>
      <c r="E2009" s="1" t="s">
        <v>2230</v>
      </c>
      <c r="F2009" s="5">
        <v>2.5092</v>
      </c>
      <c r="G2009" s="5">
        <v>223.1901</v>
      </c>
      <c r="H2009" s="5">
        <v>0.5018</v>
      </c>
      <c r="I2009" s="5">
        <v>514.0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  <col customWidth="1" min="2" max="2" width="14.75"/>
    <col customWidth="1" min="3" max="3" width="11.88"/>
    <col customWidth="1" min="7" max="7" width="22.5"/>
    <col customWidth="1" min="8" max="8" width="14.13"/>
    <col customWidth="1" min="9" max="9" width="14.0"/>
    <col customWidth="1" min="10" max="10" width="14.88"/>
    <col customWidth="1" min="11" max="11" width="1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7.5"/>
    <col customWidth="1" min="3" max="3" width="106.5"/>
    <col customWidth="1" min="4" max="4" width="92.63"/>
  </cols>
  <sheetData>
    <row r="1">
      <c r="A1" s="14" t="s">
        <v>5946</v>
      </c>
      <c r="B1" s="14" t="s">
        <v>5947</v>
      </c>
      <c r="C1" s="14" t="s">
        <v>5948</v>
      </c>
      <c r="D1" s="14" t="s">
        <v>5949</v>
      </c>
    </row>
    <row r="2">
      <c r="A2" s="1" t="s">
        <v>5950</v>
      </c>
      <c r="B2" s="5" t="s">
        <v>5951</v>
      </c>
      <c r="C2" s="1" t="s">
        <v>5952</v>
      </c>
      <c r="D2" s="1" t="s">
        <v>5953</v>
      </c>
    </row>
    <row r="3">
      <c r="A3" s="1" t="s">
        <v>5954</v>
      </c>
      <c r="B3" s="5">
        <v>2020.0</v>
      </c>
      <c r="C3" s="1" t="s">
        <v>5955</v>
      </c>
      <c r="D3" s="1" t="s">
        <v>5956</v>
      </c>
    </row>
    <row r="4">
      <c r="A4" s="1" t="s">
        <v>5957</v>
      </c>
      <c r="B4" s="1" t="s">
        <v>5958</v>
      </c>
      <c r="C4" s="1" t="s">
        <v>5959</v>
      </c>
      <c r="D4" s="1" t="s">
        <v>5960</v>
      </c>
    </row>
    <row r="5">
      <c r="A5" s="1" t="s">
        <v>5961</v>
      </c>
      <c r="B5" s="1" t="s">
        <v>5962</v>
      </c>
      <c r="C5" s="1" t="s">
        <v>5963</v>
      </c>
      <c r="D5" s="1" t="s">
        <v>5964</v>
      </c>
    </row>
    <row r="6">
      <c r="A6" s="1" t="s">
        <v>5961</v>
      </c>
      <c r="B6" s="1" t="s">
        <v>5965</v>
      </c>
      <c r="C6" s="1" t="s">
        <v>5966</v>
      </c>
      <c r="D6" s="1" t="s">
        <v>5967</v>
      </c>
    </row>
    <row r="7">
      <c r="A7" s="1" t="s">
        <v>5968</v>
      </c>
      <c r="B7" s="1" t="s">
        <v>5969</v>
      </c>
      <c r="C7" s="1" t="s">
        <v>5970</v>
      </c>
      <c r="D7" s="1" t="s">
        <v>5971</v>
      </c>
    </row>
    <row r="8">
      <c r="A8" s="1" t="s">
        <v>5972</v>
      </c>
      <c r="B8" s="5" t="s">
        <v>5973</v>
      </c>
      <c r="C8" s="1" t="s">
        <v>5974</v>
      </c>
      <c r="D8" s="1" t="s">
        <v>5975</v>
      </c>
    </row>
    <row r="9">
      <c r="A9" s="1" t="s">
        <v>5961</v>
      </c>
      <c r="B9" s="1" t="s">
        <v>5976</v>
      </c>
      <c r="C9" s="1" t="s">
        <v>5977</v>
      </c>
      <c r="D9" s="1" t="s">
        <v>5964</v>
      </c>
    </row>
    <row r="10">
      <c r="A10" s="1" t="s">
        <v>5961</v>
      </c>
      <c r="B10" s="1" t="s">
        <v>5978</v>
      </c>
      <c r="C10" s="1" t="s">
        <v>5979</v>
      </c>
      <c r="D10" s="1" t="s">
        <v>5980</v>
      </c>
    </row>
    <row r="11">
      <c r="A11" s="1" t="s">
        <v>5981</v>
      </c>
      <c r="B11" s="1" t="s">
        <v>5982</v>
      </c>
      <c r="C11" s="1" t="s">
        <v>5983</v>
      </c>
      <c r="D11" s="1" t="s">
        <v>5984</v>
      </c>
    </row>
    <row r="12">
      <c r="A12" s="1" t="s">
        <v>5985</v>
      </c>
      <c r="B12" s="5">
        <v>2021.0</v>
      </c>
      <c r="C12" s="1" t="s">
        <v>5986</v>
      </c>
      <c r="D12" s="1" t="s">
        <v>5987</v>
      </c>
    </row>
    <row r="13">
      <c r="A13" s="1" t="s">
        <v>5961</v>
      </c>
      <c r="B13" s="1" t="s">
        <v>5988</v>
      </c>
      <c r="C13" s="1" t="s">
        <v>5977</v>
      </c>
      <c r="D13" s="1" t="s">
        <v>5964</v>
      </c>
    </row>
    <row r="14">
      <c r="A14" s="1" t="s">
        <v>5961</v>
      </c>
      <c r="B14" s="1" t="s">
        <v>5989</v>
      </c>
      <c r="C14" s="1" t="s">
        <v>5990</v>
      </c>
      <c r="D14" s="1" t="s">
        <v>5991</v>
      </c>
    </row>
    <row r="15">
      <c r="A15" s="1" t="s">
        <v>5992</v>
      </c>
      <c r="B15" s="1" t="s">
        <v>5993</v>
      </c>
      <c r="C15" s="1" t="s">
        <v>5994</v>
      </c>
      <c r="D15" s="1" t="s">
        <v>5995</v>
      </c>
    </row>
    <row r="16">
      <c r="A16" s="1" t="s">
        <v>5985</v>
      </c>
      <c r="B16" s="5">
        <v>2022.0</v>
      </c>
      <c r="C16" s="1" t="s">
        <v>5996</v>
      </c>
      <c r="D16" s="1" t="s">
        <v>5997</v>
      </c>
    </row>
    <row r="17">
      <c r="A17" s="1" t="s">
        <v>5998</v>
      </c>
      <c r="B17" s="1" t="s">
        <v>5999</v>
      </c>
      <c r="C17" s="1" t="s">
        <v>6000</v>
      </c>
      <c r="D17" s="1" t="s">
        <v>6001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4" max="4" width="78.5"/>
  </cols>
  <sheetData>
    <row r="1">
      <c r="A1" s="14" t="s">
        <v>6002</v>
      </c>
      <c r="B1" s="14" t="s">
        <v>13</v>
      </c>
      <c r="C1" s="14" t="s">
        <v>6003</v>
      </c>
    </row>
    <row r="2">
      <c r="A2" s="1" t="s">
        <v>6004</v>
      </c>
      <c r="B2" s="7">
        <f>'Сводная таблица База данных'!C15</f>
        <v>522684.0611</v>
      </c>
      <c r="C2" s="7">
        <f>'Сводная таблица База данных'!I15</f>
        <v>792958.3002</v>
      </c>
    </row>
    <row r="3">
      <c r="A3" s="1" t="s">
        <v>6005</v>
      </c>
      <c r="B3" s="7">
        <f>'Сводная таблица База данных'!D15</f>
        <v>500728.4138</v>
      </c>
      <c r="C3" s="7">
        <f>'Сводная таблица База данных'!J15</f>
        <v>824990.9825</v>
      </c>
    </row>
    <row r="4">
      <c r="A4" s="1" t="s">
        <v>6006</v>
      </c>
      <c r="B4" s="15">
        <f t="shared" ref="B4:C4" si="1">B3/B2-1</f>
        <v>-0.04200558014</v>
      </c>
      <c r="C4" s="15">
        <f t="shared" si="1"/>
        <v>0.04039642733</v>
      </c>
    </row>
    <row r="5">
      <c r="A5" s="1" t="s">
        <v>6007</v>
      </c>
      <c r="B5" s="7">
        <f>SUM('Сводная таблица База данных'!C12:C14)</f>
        <v>135235.6013</v>
      </c>
      <c r="C5" s="7">
        <f>SUM('Сводная таблица База данных'!I12:I14)</f>
        <v>214912.0081</v>
      </c>
    </row>
    <row r="6">
      <c r="A6" s="1" t="s">
        <v>6008</v>
      </c>
      <c r="B6" s="7">
        <f>SUM('Сводная таблица База данных'!D12:D14)</f>
        <v>114267.2981</v>
      </c>
      <c r="C6" s="7">
        <f>SUM('Сводная таблица База данных'!J12:J14)</f>
        <v>201234.0491</v>
      </c>
    </row>
    <row r="7">
      <c r="A7" s="1" t="s">
        <v>6009</v>
      </c>
      <c r="B7" s="15">
        <f t="shared" ref="B7:C7" si="2">B6/B5-1</f>
        <v>-0.1550501716</v>
      </c>
      <c r="C7" s="15">
        <f t="shared" si="2"/>
        <v>-0.0636444613</v>
      </c>
    </row>
    <row r="8">
      <c r="A8" s="1" t="s">
        <v>6010</v>
      </c>
      <c r="B8" s="7">
        <f>'Сводная таблица База данных'!C14</f>
        <v>43809.5425</v>
      </c>
      <c r="C8" s="7">
        <f>'Сводная таблица База данных'!I14</f>
        <v>68524.72125</v>
      </c>
    </row>
    <row r="9">
      <c r="A9" s="1" t="s">
        <v>6011</v>
      </c>
      <c r="B9" s="7">
        <f>'Сводная таблица База данных'!D14</f>
        <v>35212.07356</v>
      </c>
      <c r="C9" s="7">
        <f>'Сводная таблица База данных'!J14</f>
        <v>63387.24944</v>
      </c>
    </row>
    <row r="10">
      <c r="A10" s="1" t="s">
        <v>6012</v>
      </c>
      <c r="B10" s="15">
        <f t="shared" ref="B10:C10" si="3">B9/B8-1</f>
        <v>-0.1962464898</v>
      </c>
      <c r="C10" s="15">
        <f t="shared" si="3"/>
        <v>-0.07497253128</v>
      </c>
    </row>
    <row r="12">
      <c r="A12" s="1"/>
      <c r="D12" s="16" t="s">
        <v>6013</v>
      </c>
    </row>
    <row r="23">
      <c r="D23" s="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8" max="8" width="23.0"/>
    <col customWidth="1" min="11" max="11" width="22.63"/>
    <col customWidth="1" min="14" max="14" width="21.5"/>
    <col customWidth="1" min="17" max="17" width="17.13"/>
    <col customWidth="1" min="18" max="18" width="20.88"/>
    <col customWidth="1" min="19" max="19" width="16.88"/>
    <col customWidth="1" min="20" max="20" width="20.88"/>
    <col customWidth="1" min="21" max="21" width="17.38"/>
    <col customWidth="1" min="22" max="22" width="20.88"/>
  </cols>
  <sheetData>
    <row r="1"/>
    <row r="2"/>
    <row r="3"/>
    <row r="4" ht="22.5" customHeight="1">
      <c r="P4" s="17" t="s">
        <v>6257</v>
      </c>
      <c r="Q4" s="17" t="s">
        <v>6258</v>
      </c>
      <c r="R4" s="17" t="s">
        <v>6259</v>
      </c>
      <c r="S4" s="17" t="s">
        <v>6260</v>
      </c>
      <c r="T4" s="17" t="s">
        <v>6261</v>
      </c>
      <c r="U4" s="17" t="s">
        <v>6262</v>
      </c>
      <c r="V4" s="17" t="s">
        <v>6263</v>
      </c>
    </row>
    <row r="5" ht="22.5" customHeight="1">
      <c r="P5" s="18">
        <v>1.0</v>
      </c>
      <c r="Q5" s="18" t="str">
        <f t="shared" ref="Q5:R5" si="1">G2</f>
        <v>Green</v>
      </c>
      <c r="R5" s="19">
        <f t="shared" si="1"/>
        <v>118318.6492</v>
      </c>
      <c r="S5" s="18" t="str">
        <f t="shared" ref="S5:T5" si="2">J2</f>
        <v>Green</v>
      </c>
      <c r="T5" s="19">
        <f t="shared" si="2"/>
        <v>110107.7805</v>
      </c>
      <c r="U5" s="18" t="str">
        <f t="shared" ref="U5:V5" si="3">M2</f>
        <v>Green</v>
      </c>
      <c r="V5" s="19">
        <f t="shared" si="3"/>
        <v>272301.9842</v>
      </c>
    </row>
    <row r="6" ht="22.5" customHeight="1">
      <c r="P6" s="18">
        <v>2.0</v>
      </c>
      <c r="Q6" s="18" t="str">
        <f t="shared" ref="Q6:R6" si="4">G3</f>
        <v>Blue</v>
      </c>
      <c r="R6" s="19">
        <f t="shared" si="4"/>
        <v>87186.43214</v>
      </c>
      <c r="S6" s="18" t="str">
        <f t="shared" ref="S6:T6" si="5">J3</f>
        <v>Blue</v>
      </c>
      <c r="T6" s="19">
        <f t="shared" si="5"/>
        <v>28378.20883</v>
      </c>
      <c r="U6" s="18" t="str">
        <f t="shared" ref="U6:V6" si="6">M3</f>
        <v>Blue</v>
      </c>
      <c r="V6" s="19">
        <f t="shared" si="6"/>
        <v>105801.8612</v>
      </c>
    </row>
    <row r="7" ht="22.5" customHeight="1">
      <c r="P7" s="18">
        <v>3.0</v>
      </c>
      <c r="Q7" s="18" t="str">
        <f t="shared" ref="Q7:R7" si="7">G4</f>
        <v>Orange</v>
      </c>
      <c r="R7" s="19">
        <f t="shared" si="7"/>
        <v>4990.221138</v>
      </c>
      <c r="S7" s="18" t="str">
        <f t="shared" ref="S7:T7" si="8">J4</f>
        <v>Yellow</v>
      </c>
      <c r="T7" s="19">
        <f t="shared" si="8"/>
        <v>7788.643905</v>
      </c>
      <c r="U7" s="18" t="str">
        <f t="shared" ref="U7:V7" si="9">M4</f>
        <v>Yellow</v>
      </c>
      <c r="V7" s="19">
        <f t="shared" si="9"/>
        <v>21230.25877</v>
      </c>
    </row>
    <row r="8" ht="22.5" customHeight="1">
      <c r="P8" s="18">
        <v>4.0</v>
      </c>
      <c r="Q8" s="18" t="str">
        <f t="shared" ref="Q8:R8" si="10">G5</f>
        <v>White</v>
      </c>
      <c r="R8" s="19">
        <f t="shared" si="10"/>
        <v>3412.670835</v>
      </c>
      <c r="S8" s="18" t="str">
        <f t="shared" ref="S8:T8" si="11">J5</f>
        <v>White</v>
      </c>
      <c r="T8" s="19">
        <f t="shared" si="11"/>
        <v>4424.63211</v>
      </c>
      <c r="U8" s="18" t="str">
        <f t="shared" ref="U8:V8" si="12">M5</f>
        <v>Pearl</v>
      </c>
      <c r="V8" s="19">
        <f t="shared" si="12"/>
        <v>10974.99297</v>
      </c>
    </row>
    <row r="9" ht="22.5" customHeight="1">
      <c r="P9" s="18">
        <v>5.0</v>
      </c>
      <c r="Q9" s="18" t="str">
        <f t="shared" ref="Q9:R9" si="13">G6</f>
        <v>Yellow</v>
      </c>
      <c r="R9" s="19">
        <f t="shared" si="13"/>
        <v>2041.489811</v>
      </c>
      <c r="S9" s="18" t="str">
        <f t="shared" ref="S9:T9" si="14">J6</f>
        <v>Orange</v>
      </c>
      <c r="T9" s="19">
        <f t="shared" si="14"/>
        <v>1750.111846</v>
      </c>
      <c r="U9" s="18" t="str">
        <f t="shared" ref="U9:V9" si="15">M6</f>
        <v>Orange</v>
      </c>
      <c r="V9" s="19">
        <f t="shared" si="15"/>
        <v>8740.288336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5"/>
  <tableParts count="1"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5.5"/>
  </cols>
  <sheetData>
    <row r="1">
      <c r="C1" s="1" t="s">
        <v>6372</v>
      </c>
    </row>
    <row r="2">
      <c r="C2" s="15">
        <f t="shared" ref="C2:C15" si="1">B2/$B$16</f>
        <v>0.2949477871</v>
      </c>
    </row>
    <row r="3">
      <c r="C3" s="15">
        <f t="shared" si="1"/>
        <v>0.001605727835</v>
      </c>
    </row>
    <row r="4">
      <c r="C4" s="15">
        <f t="shared" si="1"/>
        <v>0.004141191281</v>
      </c>
    </row>
    <row r="5">
      <c r="C5" s="15">
        <f t="shared" si="1"/>
        <v>0.5651812301</v>
      </c>
    </row>
    <row r="6">
      <c r="C6" s="15">
        <f t="shared" si="1"/>
        <v>0.000565597141</v>
      </c>
    </row>
    <row r="7">
      <c r="C7" s="15">
        <f t="shared" si="1"/>
        <v>0.0009781904798</v>
      </c>
    </row>
    <row r="8">
      <c r="C8" s="15">
        <f t="shared" si="1"/>
        <v>0.02446235825</v>
      </c>
    </row>
    <row r="9">
      <c r="C9" s="15">
        <f t="shared" si="1"/>
        <v>0.03119545498</v>
      </c>
    </row>
    <row r="10">
      <c r="C10" s="15">
        <f t="shared" si="1"/>
        <v>0.0063815463</v>
      </c>
    </row>
    <row r="11">
      <c r="C11" s="15">
        <f t="shared" si="1"/>
        <v>0.001529979617</v>
      </c>
    </row>
    <row r="12">
      <c r="C12" s="15">
        <f t="shared" si="1"/>
        <v>0.0108643734</v>
      </c>
    </row>
    <row r="13">
      <c r="C13" s="15">
        <f t="shared" si="1"/>
        <v>0.0008780317382</v>
      </c>
    </row>
    <row r="14">
      <c r="C14" s="15">
        <f t="shared" si="1"/>
        <v>0.002287687918</v>
      </c>
    </row>
    <row r="15">
      <c r="C15" s="15">
        <f t="shared" si="1"/>
        <v>0.05498084381</v>
      </c>
    </row>
    <row r="16">
      <c r="C16" s="15">
        <f>SUM(C2:C15)</f>
        <v>1</v>
      </c>
    </row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6" max="6" width="22.63"/>
    <col customWidth="1" min="7" max="7" width="16.13"/>
    <col customWidth="1" min="8" max="8" width="17.25"/>
    <col customWidth="1" min="9" max="9" width="18.25"/>
    <col customWidth="1" min="10" max="10" width="16.75"/>
    <col customWidth="1" min="11" max="11" width="17.75"/>
    <col customWidth="1" min="12" max="12" width="16.13"/>
    <col customWidth="1" min="13" max="13" width="17.25"/>
    <col customWidth="1" min="14" max="14" width="18.25"/>
    <col customWidth="1" min="15" max="15" width="16.75"/>
    <col customWidth="1" min="16" max="16" width="17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20" ht="22.5" customHeight="1">
      <c r="F20" s="22" t="s">
        <v>1</v>
      </c>
      <c r="G20" s="22" t="s">
        <v>6529</v>
      </c>
      <c r="H20" s="22" t="s">
        <v>6530</v>
      </c>
      <c r="I20" s="22" t="s">
        <v>6531</v>
      </c>
      <c r="J20" s="22" t="s">
        <v>6533</v>
      </c>
      <c r="K20" s="22" t="s">
        <v>6535</v>
      </c>
      <c r="L20" s="22" t="s">
        <v>6536</v>
      </c>
      <c r="M20" s="22" t="s">
        <v>6537</v>
      </c>
      <c r="N20" s="22" t="s">
        <v>6540</v>
      </c>
      <c r="O20" s="22" t="s">
        <v>6541</v>
      </c>
      <c r="P20" s="22" t="s">
        <v>6542</v>
      </c>
    </row>
    <row r="21" ht="22.5" customHeight="1">
      <c r="F21" s="20">
        <v>1.0</v>
      </c>
      <c r="G21" s="23">
        <f t="shared" ref="G21:G32" si="1">G4/B3</f>
        <v>0.3059773586</v>
      </c>
      <c r="H21" s="23">
        <f t="shared" ref="H21:H32" si="2">H4/B3</f>
        <v>0.5368316045</v>
      </c>
      <c r="I21" s="23">
        <f t="shared" ref="I21:I32" si="3">I4/B3</f>
        <v>0</v>
      </c>
      <c r="J21" s="23">
        <f t="shared" ref="J21:J32" si="4">0</f>
        <v>0</v>
      </c>
      <c r="K21" s="23">
        <f t="shared" ref="K21:K32" si="5">J4/B3</f>
        <v>0.07826801967</v>
      </c>
      <c r="L21" s="23">
        <f t="shared" ref="L21:L32" si="6">L4/C3</f>
        <v>0.350710314</v>
      </c>
      <c r="M21" s="23">
        <f t="shared" ref="M21:M32" si="7">M4/C3</f>
        <v>0.5610043786</v>
      </c>
      <c r="N21" s="23">
        <f t="shared" ref="N21:N32" si="8">N4/C3</f>
        <v>0.009225037627</v>
      </c>
      <c r="O21" s="23">
        <f t="shared" ref="O21:O32" si="9">O4/C3</f>
        <v>0</v>
      </c>
      <c r="P21" s="23">
        <f t="shared" ref="P21:P32" si="10">P4/C3</f>
        <v>0.0471489282</v>
      </c>
    </row>
    <row r="22" ht="22.5" customHeight="1">
      <c r="F22" s="20">
        <v>2.0</v>
      </c>
      <c r="G22" s="23">
        <f t="shared" si="1"/>
        <v>0.233721368</v>
      </c>
      <c r="H22" s="23">
        <f t="shared" si="2"/>
        <v>0.6067775545</v>
      </c>
      <c r="I22" s="23">
        <f t="shared" si="3"/>
        <v>0</v>
      </c>
      <c r="J22" s="23">
        <f t="shared" si="4"/>
        <v>0</v>
      </c>
      <c r="K22" s="23">
        <f t="shared" si="5"/>
        <v>0.07500754856</v>
      </c>
      <c r="L22" s="23">
        <f t="shared" si="6"/>
        <v>0.2654008138</v>
      </c>
      <c r="M22" s="23">
        <f t="shared" si="7"/>
        <v>0.5810412067</v>
      </c>
      <c r="N22" s="23">
        <f t="shared" si="8"/>
        <v>0.03195186905</v>
      </c>
      <c r="O22" s="23">
        <f t="shared" si="9"/>
        <v>0.01735715929</v>
      </c>
      <c r="P22" s="23">
        <f t="shared" si="10"/>
        <v>0.07552105299</v>
      </c>
    </row>
    <row r="23" ht="22.5" customHeight="1">
      <c r="F23" s="20">
        <v>3.0</v>
      </c>
      <c r="G23" s="23">
        <f t="shared" si="1"/>
        <v>0.2901719864</v>
      </c>
      <c r="H23" s="23">
        <f t="shared" si="2"/>
        <v>0.56058232</v>
      </c>
      <c r="I23" s="23">
        <f t="shared" si="3"/>
        <v>0</v>
      </c>
      <c r="J23" s="23">
        <f t="shared" si="4"/>
        <v>0</v>
      </c>
      <c r="K23" s="23">
        <f t="shared" si="5"/>
        <v>0.07360020939</v>
      </c>
      <c r="L23" s="23">
        <f t="shared" si="6"/>
        <v>0.3585203269</v>
      </c>
      <c r="M23" s="23">
        <f t="shared" si="7"/>
        <v>0.5064188888</v>
      </c>
      <c r="N23" s="23">
        <f t="shared" si="8"/>
        <v>0.02701227007</v>
      </c>
      <c r="O23" s="23">
        <f t="shared" si="9"/>
        <v>0.02473016023</v>
      </c>
      <c r="P23" s="23">
        <f t="shared" si="10"/>
        <v>0.05753881047</v>
      </c>
    </row>
    <row r="24" ht="22.5" customHeight="1">
      <c r="F24" s="20">
        <v>4.0</v>
      </c>
      <c r="G24" s="23">
        <f t="shared" si="1"/>
        <v>0.2033767205</v>
      </c>
      <c r="H24" s="23">
        <f t="shared" si="2"/>
        <v>0.6417951313</v>
      </c>
      <c r="I24" s="23">
        <f t="shared" si="3"/>
        <v>0</v>
      </c>
      <c r="J24" s="23">
        <f t="shared" si="4"/>
        <v>0</v>
      </c>
      <c r="K24" s="23">
        <f t="shared" si="5"/>
        <v>0.09821605565</v>
      </c>
      <c r="L24" s="23">
        <f t="shared" si="6"/>
        <v>0.279016369</v>
      </c>
      <c r="M24" s="23">
        <f t="shared" si="7"/>
        <v>0.5476782331</v>
      </c>
      <c r="N24" s="23">
        <f t="shared" si="8"/>
        <v>0.0341217721</v>
      </c>
      <c r="O24" s="23">
        <f t="shared" si="9"/>
        <v>0.02966932005</v>
      </c>
      <c r="P24" s="23">
        <f t="shared" si="10"/>
        <v>0.06327636163</v>
      </c>
    </row>
    <row r="25" ht="22.5" customHeight="1">
      <c r="F25" s="20">
        <v>5.0</v>
      </c>
      <c r="G25" s="23">
        <f t="shared" si="1"/>
        <v>0.311342767</v>
      </c>
      <c r="H25" s="23">
        <f t="shared" si="2"/>
        <v>0.4488089382</v>
      </c>
      <c r="I25" s="23">
        <f t="shared" si="3"/>
        <v>0</v>
      </c>
      <c r="J25" s="23">
        <f t="shared" si="4"/>
        <v>0</v>
      </c>
      <c r="K25" s="23">
        <f t="shared" si="5"/>
        <v>0.06353881711</v>
      </c>
      <c r="L25" s="23">
        <f t="shared" si="6"/>
        <v>0.2483820856</v>
      </c>
      <c r="M25" s="23">
        <f t="shared" si="7"/>
        <v>0.5799485637</v>
      </c>
      <c r="N25" s="23">
        <f t="shared" si="8"/>
        <v>0.03897829665</v>
      </c>
      <c r="O25" s="23">
        <f t="shared" si="9"/>
        <v>0.03403113386</v>
      </c>
      <c r="P25" s="23">
        <f t="shared" si="10"/>
        <v>0.06083760746</v>
      </c>
    </row>
    <row r="26" ht="22.5" customHeight="1">
      <c r="F26" s="20">
        <v>6.0</v>
      </c>
      <c r="G26" s="23">
        <f t="shared" si="1"/>
        <v>0.2276294534</v>
      </c>
      <c r="H26" s="23">
        <f t="shared" si="2"/>
        <v>0.5195815299</v>
      </c>
      <c r="I26" s="23">
        <f t="shared" si="3"/>
        <v>0</v>
      </c>
      <c r="J26" s="23">
        <f t="shared" si="4"/>
        <v>0</v>
      </c>
      <c r="K26" s="23">
        <f t="shared" si="5"/>
        <v>0.05901949805</v>
      </c>
      <c r="L26" s="23">
        <f t="shared" si="6"/>
        <v>0.2725042595</v>
      </c>
      <c r="M26" s="23">
        <f t="shared" si="7"/>
        <v>0.5845214172</v>
      </c>
      <c r="N26" s="23">
        <f t="shared" si="8"/>
        <v>0.02532843838</v>
      </c>
      <c r="O26" s="23">
        <f t="shared" si="9"/>
        <v>0.03392087181</v>
      </c>
      <c r="P26" s="23">
        <f t="shared" si="10"/>
        <v>0.04434546271</v>
      </c>
    </row>
    <row r="27" ht="22.5" customHeight="1">
      <c r="F27" s="20">
        <v>7.0</v>
      </c>
      <c r="G27" s="23">
        <f t="shared" si="1"/>
        <v>0.2841779784</v>
      </c>
      <c r="H27" s="23">
        <f t="shared" si="2"/>
        <v>0.4810446095</v>
      </c>
      <c r="I27" s="23">
        <f t="shared" si="3"/>
        <v>0</v>
      </c>
      <c r="J27" s="23">
        <f t="shared" si="4"/>
        <v>0</v>
      </c>
      <c r="K27" s="23">
        <f t="shared" si="5"/>
        <v>0.073137846</v>
      </c>
      <c r="L27" s="23">
        <f t="shared" si="6"/>
        <v>0.2777429283</v>
      </c>
      <c r="M27" s="23">
        <f t="shared" si="7"/>
        <v>0.5843027417</v>
      </c>
      <c r="N27" s="23">
        <f t="shared" si="8"/>
        <v>0.02118551827</v>
      </c>
      <c r="O27" s="23">
        <f t="shared" si="9"/>
        <v>0.03008296471</v>
      </c>
      <c r="P27" s="23">
        <f t="shared" si="10"/>
        <v>0.05848323474</v>
      </c>
    </row>
    <row r="28" ht="22.5" customHeight="1">
      <c r="F28" s="20">
        <v>8.0</v>
      </c>
      <c r="G28" s="23">
        <f t="shared" si="1"/>
        <v>0.2471762091</v>
      </c>
      <c r="H28" s="23">
        <f t="shared" si="2"/>
        <v>0.5822145797</v>
      </c>
      <c r="I28" s="23">
        <f t="shared" si="3"/>
        <v>0</v>
      </c>
      <c r="J28" s="23">
        <f t="shared" si="4"/>
        <v>0</v>
      </c>
      <c r="K28" s="23">
        <f t="shared" si="5"/>
        <v>0.049738703</v>
      </c>
      <c r="L28" s="23">
        <f t="shared" si="6"/>
        <v>0.2757907897</v>
      </c>
      <c r="M28" s="23">
        <f t="shared" si="7"/>
        <v>0.5930915467</v>
      </c>
      <c r="N28" s="23">
        <f t="shared" si="8"/>
        <v>0.02002649846</v>
      </c>
      <c r="O28" s="23">
        <f t="shared" si="9"/>
        <v>0.0417699386</v>
      </c>
      <c r="P28" s="23">
        <f t="shared" si="10"/>
        <v>0.04290724966</v>
      </c>
    </row>
    <row r="29" ht="22.5" customHeight="1">
      <c r="F29" s="20">
        <v>9.0</v>
      </c>
      <c r="G29" s="23">
        <f t="shared" si="1"/>
        <v>0.2597486794</v>
      </c>
      <c r="H29" s="23">
        <f t="shared" si="2"/>
        <v>0.5830418072</v>
      </c>
      <c r="I29" s="23">
        <f t="shared" si="3"/>
        <v>0</v>
      </c>
      <c r="J29" s="23">
        <f t="shared" si="4"/>
        <v>0</v>
      </c>
      <c r="K29" s="23">
        <f t="shared" si="5"/>
        <v>0.08713636998</v>
      </c>
      <c r="L29" s="23">
        <f t="shared" si="6"/>
        <v>0.2524084544</v>
      </c>
      <c r="M29" s="23">
        <f t="shared" si="7"/>
        <v>0.5851428651</v>
      </c>
      <c r="N29" s="23">
        <f t="shared" si="8"/>
        <v>0.01884231371</v>
      </c>
      <c r="O29" s="23">
        <f t="shared" si="9"/>
        <v>0.0422776464</v>
      </c>
      <c r="P29" s="23">
        <f t="shared" si="10"/>
        <v>0.07161418123</v>
      </c>
    </row>
    <row r="30" ht="22.5" customHeight="1">
      <c r="F30" s="20">
        <v>10.0</v>
      </c>
      <c r="G30" s="23">
        <f t="shared" si="1"/>
        <v>0.3254204318</v>
      </c>
      <c r="H30" s="23">
        <f t="shared" si="2"/>
        <v>0.5712505984</v>
      </c>
      <c r="I30" s="23">
        <f t="shared" si="3"/>
        <v>0</v>
      </c>
      <c r="J30" s="23">
        <f t="shared" si="4"/>
        <v>0</v>
      </c>
      <c r="K30" s="23">
        <f t="shared" si="5"/>
        <v>0.03929119231</v>
      </c>
      <c r="L30" s="23">
        <f t="shared" si="6"/>
        <v>0.2680563513</v>
      </c>
      <c r="M30" s="23">
        <f t="shared" si="7"/>
        <v>0.6198966029</v>
      </c>
      <c r="N30" s="23">
        <f t="shared" si="8"/>
        <v>0.02049463215</v>
      </c>
      <c r="O30" s="23">
        <f t="shared" si="9"/>
        <v>0.03672848424</v>
      </c>
      <c r="P30" s="23">
        <f t="shared" si="10"/>
        <v>0.03487424576</v>
      </c>
    </row>
    <row r="31" ht="22.5" customHeight="1">
      <c r="F31" s="20">
        <v>11.0</v>
      </c>
      <c r="G31" s="23">
        <f t="shared" si="1"/>
        <v>0.3180303776</v>
      </c>
      <c r="H31" s="23">
        <f t="shared" si="2"/>
        <v>0.5634844351</v>
      </c>
      <c r="I31" s="23">
        <f t="shared" si="3"/>
        <v>0.005480823905</v>
      </c>
      <c r="J31" s="23">
        <f t="shared" si="4"/>
        <v>0</v>
      </c>
      <c r="K31" s="23">
        <f t="shared" si="5"/>
        <v>0.07149991613</v>
      </c>
      <c r="L31" s="23">
        <f t="shared" si="6"/>
        <v>0.3598878634</v>
      </c>
      <c r="M31" s="23">
        <f t="shared" si="7"/>
        <v>0.5071443809</v>
      </c>
      <c r="N31" s="23">
        <f t="shared" si="8"/>
        <v>0.02102705505</v>
      </c>
      <c r="O31" s="23">
        <f t="shared" si="9"/>
        <v>0.04307462207</v>
      </c>
      <c r="P31" s="23">
        <f t="shared" si="10"/>
        <v>0.05045368829</v>
      </c>
    </row>
    <row r="32" ht="22.5" customHeight="1">
      <c r="F32" s="20">
        <v>12.0</v>
      </c>
      <c r="G32" s="23">
        <f t="shared" si="1"/>
        <v>0.2937592345</v>
      </c>
      <c r="H32" s="23">
        <f t="shared" si="2"/>
        <v>0.6131301562</v>
      </c>
      <c r="I32" s="23">
        <f t="shared" si="3"/>
        <v>0.006795035313</v>
      </c>
      <c r="J32" s="23">
        <f t="shared" si="4"/>
        <v>0</v>
      </c>
      <c r="K32" s="23">
        <f t="shared" si="5"/>
        <v>0.05279966278</v>
      </c>
      <c r="L32" s="23">
        <f t="shared" si="6"/>
        <v>0.2892509833</v>
      </c>
      <c r="M32" s="23">
        <f t="shared" si="7"/>
        <v>0.5638799124</v>
      </c>
      <c r="N32" s="23">
        <f t="shared" si="8"/>
        <v>0.02519089558</v>
      </c>
      <c r="O32" s="23">
        <f t="shared" si="9"/>
        <v>0.04016553361</v>
      </c>
      <c r="P32" s="23">
        <f t="shared" si="10"/>
        <v>0.05786732948</v>
      </c>
    </row>
  </sheetData>
  <dataValidations>
    <dataValidation type="custom" allowBlank="1" showDropDown="1" sqref="G21:P32">
      <formula1>AND(ISNUMBER(G21),(NOT(OR(NOT(ISERROR(DATEVALUE(G21))), AND(ISNUMBER(G21), LEFT(CELL("format", G21))="D")))))</formula1>
    </dataValidation>
  </dataValidations>
  <drawing r:id="rId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8" max="9" width="19.63"/>
    <col customWidth="1" min="10" max="11" width="17.0"/>
  </cols>
  <sheetData>
    <row r="1"/>
    <row r="2"/>
    <row r="3" ht="22.5" customHeight="1">
      <c r="G3" s="17" t="s">
        <v>2</v>
      </c>
      <c r="H3" s="17" t="s">
        <v>6515</v>
      </c>
      <c r="I3" s="17" t="s">
        <v>6516</v>
      </c>
      <c r="J3" s="17" t="s">
        <v>6517</v>
      </c>
      <c r="K3" s="17" t="s">
        <v>6518</v>
      </c>
    </row>
    <row r="4" ht="22.5" customHeight="1">
      <c r="G4" s="20" t="s">
        <v>12</v>
      </c>
      <c r="H4" s="21">
        <f t="shared" ref="H4:I4" si="1">C3/B3-1</f>
        <v>0.06267031767</v>
      </c>
      <c r="I4" s="21">
        <f t="shared" si="1"/>
        <v>0.01973285224</v>
      </c>
      <c r="J4" s="21">
        <f t="shared" ref="J4:K4" si="2">C3/C$6</f>
        <v>0.2727569695</v>
      </c>
      <c r="K4" s="21">
        <f t="shared" si="2"/>
        <v>0.2673396747</v>
      </c>
    </row>
    <row r="5" ht="22.5" customHeight="1">
      <c r="G5" s="20" t="s">
        <v>68</v>
      </c>
      <c r="H5" s="21">
        <f t="shared" ref="H5:I5" si="3">C4/B4-1</f>
        <v>-0.1082165966</v>
      </c>
      <c r="I5" s="21">
        <f t="shared" si="3"/>
        <v>-0.01732753851</v>
      </c>
      <c r="J5" s="21">
        <f t="shared" ref="J5:K5" si="4">C4/C$6</f>
        <v>0.205848286</v>
      </c>
      <c r="K5" s="21">
        <f t="shared" si="4"/>
        <v>0.1944272747</v>
      </c>
    </row>
    <row r="6" ht="22.5" customHeight="1">
      <c r="G6" s="20" t="s">
        <v>116</v>
      </c>
      <c r="H6" s="21">
        <f t="shared" ref="H6:I6" si="5">C5/B5-1</f>
        <v>0.1540528518</v>
      </c>
      <c r="I6" s="21">
        <f t="shared" si="5"/>
        <v>0.07399575631</v>
      </c>
      <c r="J6" s="21">
        <f t="shared" ref="J6:K6" si="6">C5/C$6</f>
        <v>0.5213947445</v>
      </c>
      <c r="K6" s="21">
        <f t="shared" si="6"/>
        <v>0.5382330507</v>
      </c>
    </row>
  </sheetData>
  <dataValidations>
    <dataValidation type="custom" allowBlank="1" showDropDown="1" sqref="H4:K6">
      <formula1>AND(ISNUMBER(H4),(NOT(OR(NOT(ISERROR(DATEVALUE(H4))), AND(ISNUMBER(H4), LEFT(CELL("format", H4))="D")))))</formula1>
    </dataValidation>
  </dataValidations>
  <drawing r:id="rId2"/>
  <tableParts count="1"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1.38"/>
    <col customWidth="1" min="4" max="4" width="19.75"/>
    <col customWidth="1" min="5" max="5" width="20.38"/>
    <col customWidth="1" min="6" max="6" width="19.75"/>
    <col customWidth="1" min="7" max="7" width="20.75"/>
    <col customWidth="1" min="8" max="8" width="19.38"/>
    <col customWidth="1" min="9" max="9" width="20.63"/>
    <col customWidth="1" min="12" max="12" width="21.75"/>
    <col customWidth="1" min="13" max="13" width="21.5"/>
    <col customWidth="1" min="14" max="14" width="19.25"/>
    <col customWidth="1" min="15" max="15" width="21.25"/>
    <col customWidth="1" min="16" max="16" width="19.25"/>
    <col customWidth="1" min="17" max="17" width="21.75"/>
    <col customWidth="1" min="18" max="18" width="18.88"/>
    <col customWidth="1" min="19" max="19" width="20.13"/>
  </cols>
  <sheetData>
    <row r="1">
      <c r="A1" s="7"/>
      <c r="B1" s="7" t="s">
        <v>2</v>
      </c>
      <c r="C1" s="7" t="s">
        <v>6647</v>
      </c>
      <c r="D1" s="7"/>
      <c r="E1" s="7"/>
      <c r="F1" s="7"/>
      <c r="G1" s="7"/>
      <c r="H1" s="7"/>
      <c r="I1" s="7"/>
    </row>
    <row r="2">
      <c r="A2" s="7"/>
      <c r="B2" s="7" t="s">
        <v>12</v>
      </c>
      <c r="C2" s="7"/>
      <c r="D2" s="7" t="s">
        <v>68</v>
      </c>
      <c r="E2" s="7"/>
      <c r="F2" s="7" t="s">
        <v>116</v>
      </c>
      <c r="G2" s="7"/>
      <c r="H2" s="7" t="s">
        <v>201</v>
      </c>
      <c r="I2" s="7"/>
    </row>
    <row r="3">
      <c r="A3" s="7" t="s">
        <v>1</v>
      </c>
      <c r="B3" s="7" t="s">
        <v>6649</v>
      </c>
      <c r="C3" s="7" t="s">
        <v>199</v>
      </c>
      <c r="D3" s="7" t="s">
        <v>6649</v>
      </c>
      <c r="E3" s="7" t="s">
        <v>199</v>
      </c>
      <c r="F3" s="7" t="s">
        <v>6649</v>
      </c>
      <c r="G3" s="7" t="s">
        <v>199</v>
      </c>
      <c r="H3" s="7" t="s">
        <v>6649</v>
      </c>
      <c r="I3" s="7" t="s">
        <v>199</v>
      </c>
    </row>
    <row r="4">
      <c r="A4" s="7">
        <v>1.0</v>
      </c>
      <c r="B4" s="7">
        <v>58.2443</v>
      </c>
      <c r="C4" s="7">
        <v>758.0</v>
      </c>
      <c r="D4" s="7">
        <v>57.6908</v>
      </c>
      <c r="E4" s="7">
        <v>9322.0</v>
      </c>
      <c r="F4" s="7">
        <v>159.5171</v>
      </c>
      <c r="G4" s="7">
        <v>17397.0</v>
      </c>
      <c r="H4" s="7">
        <v>275.4522</v>
      </c>
      <c r="I4" s="7">
        <v>27477.0</v>
      </c>
    </row>
    <row r="5">
      <c r="A5" s="7">
        <v>2.0</v>
      </c>
      <c r="B5" s="7">
        <v>47.1109</v>
      </c>
      <c r="C5" s="7">
        <v>744.0</v>
      </c>
      <c r="D5" s="7">
        <v>54.6811</v>
      </c>
      <c r="E5" s="7">
        <v>8884.0</v>
      </c>
      <c r="F5" s="7">
        <v>129.5281</v>
      </c>
      <c r="G5" s="7">
        <v>16535.0</v>
      </c>
      <c r="H5" s="7">
        <v>231.3201</v>
      </c>
      <c r="I5" s="7">
        <v>26163.0</v>
      </c>
    </row>
    <row r="6">
      <c r="A6" s="7">
        <v>3.0</v>
      </c>
      <c r="B6" s="7">
        <v>73.7461</v>
      </c>
      <c r="C6" s="7">
        <v>710.0</v>
      </c>
      <c r="D6" s="7">
        <v>62.9831</v>
      </c>
      <c r="E6" s="7">
        <v>9221.0</v>
      </c>
      <c r="F6" s="7">
        <v>159.762</v>
      </c>
      <c r="G6" s="7">
        <v>17796.0</v>
      </c>
      <c r="H6" s="7">
        <v>296.4912</v>
      </c>
      <c r="I6" s="7">
        <v>27727.0</v>
      </c>
    </row>
    <row r="7">
      <c r="A7" s="7">
        <v>4.0</v>
      </c>
      <c r="B7" s="7">
        <v>54.2457</v>
      </c>
      <c r="C7" s="7">
        <v>679.0</v>
      </c>
      <c r="D7" s="7">
        <v>61.0993</v>
      </c>
      <c r="E7" s="7">
        <v>8855.0</v>
      </c>
      <c r="F7" s="7">
        <v>150.4402</v>
      </c>
      <c r="G7" s="7">
        <v>17610.0</v>
      </c>
      <c r="H7" s="7">
        <v>265.78520000000003</v>
      </c>
      <c r="I7" s="7">
        <v>27144.0</v>
      </c>
    </row>
    <row r="8">
      <c r="A8" s="7">
        <v>5.0</v>
      </c>
      <c r="B8" s="7">
        <v>42.728</v>
      </c>
      <c r="C8" s="7">
        <v>677.0</v>
      </c>
      <c r="D8" s="7">
        <v>62.5334</v>
      </c>
      <c r="E8" s="7">
        <v>8839.0</v>
      </c>
      <c r="F8" s="7">
        <v>139.1166</v>
      </c>
      <c r="G8" s="7">
        <v>18024.0</v>
      </c>
      <c r="H8" s="7">
        <v>244.37800000000001</v>
      </c>
      <c r="I8" s="7">
        <v>27540.0</v>
      </c>
    </row>
    <row r="9">
      <c r="A9" s="7">
        <v>6.0</v>
      </c>
      <c r="B9" s="7">
        <v>56.8652</v>
      </c>
      <c r="C9" s="7">
        <v>681.0</v>
      </c>
      <c r="D9" s="7">
        <v>49.5326</v>
      </c>
      <c r="E9" s="7">
        <v>9047.0</v>
      </c>
      <c r="F9" s="7">
        <v>107.7345</v>
      </c>
      <c r="G9" s="7">
        <v>17303.0</v>
      </c>
      <c r="H9" s="7">
        <v>214.1323</v>
      </c>
      <c r="I9" s="7">
        <v>27031.0</v>
      </c>
    </row>
    <row r="10">
      <c r="A10" s="7">
        <v>7.0</v>
      </c>
      <c r="B10" s="7">
        <v>38.0089</v>
      </c>
      <c r="C10" s="7">
        <v>654.0</v>
      </c>
      <c r="D10" s="7">
        <v>59.8725</v>
      </c>
      <c r="E10" s="7">
        <v>9650.0</v>
      </c>
      <c r="F10" s="7">
        <v>154.4919</v>
      </c>
      <c r="G10" s="7">
        <v>18868.0</v>
      </c>
      <c r="H10" s="7">
        <v>252.37329999999997</v>
      </c>
      <c r="I10" s="7">
        <v>29172.0</v>
      </c>
    </row>
    <row r="11">
      <c r="A11" s="7">
        <v>8.0</v>
      </c>
      <c r="B11" s="7">
        <v>30.6216</v>
      </c>
      <c r="C11" s="7">
        <v>636.0</v>
      </c>
      <c r="D11" s="7">
        <v>58.144</v>
      </c>
      <c r="E11" s="7">
        <v>9622.0</v>
      </c>
      <c r="F11" s="7">
        <v>136.4948</v>
      </c>
      <c r="G11" s="7">
        <v>19290.0</v>
      </c>
      <c r="H11" s="7">
        <v>225.2604</v>
      </c>
      <c r="I11" s="7">
        <v>29548.0</v>
      </c>
    </row>
    <row r="12">
      <c r="A12" s="7">
        <v>9.0</v>
      </c>
      <c r="B12" s="7">
        <v>36.8494</v>
      </c>
      <c r="C12" s="7">
        <v>561.0</v>
      </c>
      <c r="D12" s="7">
        <v>53.9114</v>
      </c>
      <c r="E12" s="7">
        <v>8071.0</v>
      </c>
      <c r="F12" s="7">
        <v>101.4127</v>
      </c>
      <c r="G12" s="7">
        <v>16888.0</v>
      </c>
      <c r="H12" s="7">
        <v>192.1735</v>
      </c>
      <c r="I12" s="7">
        <v>25520.0</v>
      </c>
    </row>
    <row r="13">
      <c r="A13" s="7">
        <v>10.0</v>
      </c>
      <c r="B13" s="7">
        <v>65.06</v>
      </c>
      <c r="C13" s="7">
        <v>624.0</v>
      </c>
      <c r="D13" s="7">
        <v>53.1301</v>
      </c>
      <c r="E13" s="7">
        <v>8665.0</v>
      </c>
      <c r="F13" s="7">
        <v>195.5282</v>
      </c>
      <c r="G13" s="7">
        <v>18126.0</v>
      </c>
      <c r="H13" s="7">
        <v>313.7183</v>
      </c>
      <c r="I13" s="7">
        <v>27415.0</v>
      </c>
    </row>
    <row r="14">
      <c r="A14" s="7">
        <v>11.0</v>
      </c>
      <c r="B14" s="7">
        <v>49.6322</v>
      </c>
      <c r="C14" s="7">
        <v>623.0</v>
      </c>
      <c r="D14" s="7">
        <v>33.4998</v>
      </c>
      <c r="E14" s="7">
        <v>8472.0</v>
      </c>
      <c r="F14" s="7">
        <v>109.5556</v>
      </c>
      <c r="G14" s="7">
        <v>17478.0</v>
      </c>
      <c r="H14" s="7">
        <v>192.6876</v>
      </c>
      <c r="I14" s="7">
        <v>26573.0</v>
      </c>
    </row>
    <row r="15">
      <c r="A15" s="7">
        <v>12.0</v>
      </c>
      <c r="B15" s="7">
        <v>26.398</v>
      </c>
      <c r="C15" s="7">
        <v>596.0</v>
      </c>
      <c r="D15" s="7">
        <v>41.9372</v>
      </c>
      <c r="E15" s="7">
        <v>7912.0</v>
      </c>
      <c r="F15" s="7">
        <v>124.5474</v>
      </c>
      <c r="G15" s="7">
        <v>16029.0</v>
      </c>
      <c r="H15" s="7">
        <v>192.8826</v>
      </c>
      <c r="I15" s="7">
        <v>24537.0</v>
      </c>
    </row>
    <row r="16">
      <c r="A16" s="7" t="s">
        <v>201</v>
      </c>
      <c r="B16" s="7">
        <v>579.5103</v>
      </c>
      <c r="C16" s="7">
        <v>7943.0</v>
      </c>
      <c r="D16" s="7">
        <v>649.0153</v>
      </c>
      <c r="E16" s="7">
        <v>106560.0</v>
      </c>
      <c r="F16" s="7">
        <v>1668.1290999999999</v>
      </c>
      <c r="G16" s="7">
        <v>211344.0</v>
      </c>
      <c r="H16" s="7">
        <v>2896.6547</v>
      </c>
      <c r="I16" s="7">
        <v>325847.0</v>
      </c>
    </row>
    <row r="20" ht="22.5" customHeight="1">
      <c r="A20" s="17" t="s">
        <v>1</v>
      </c>
      <c r="B20" s="17" t="s">
        <v>6650</v>
      </c>
      <c r="C20" s="17" t="s">
        <v>6651</v>
      </c>
      <c r="D20" s="17" t="s">
        <v>6652</v>
      </c>
      <c r="E20" s="17" t="s">
        <v>6653</v>
      </c>
      <c r="F20" s="17" t="s">
        <v>6654</v>
      </c>
      <c r="G20" s="17" t="s">
        <v>6655</v>
      </c>
    </row>
    <row r="21" ht="22.5" customHeight="1">
      <c r="A21" s="20">
        <v>1.0</v>
      </c>
      <c r="B21" s="24">
        <f t="shared" ref="B21:B32" si="1">B4*1000/C4</f>
        <v>76.83944591</v>
      </c>
      <c r="C21" s="24">
        <f t="shared" ref="C21:C32" si="2">F4*1000/G4</f>
        <v>9.169230327</v>
      </c>
      <c r="D21" s="24">
        <f t="shared" ref="D21:D32" si="3">D4*1000/E4</f>
        <v>6.188671959</v>
      </c>
      <c r="E21" s="24">
        <f t="shared" ref="E21:E32" si="4">L4*1000/M4</f>
        <v>61.71524725</v>
      </c>
      <c r="F21" s="24">
        <f t="shared" ref="F21:F32" si="5">P4*1000/Q4</f>
        <v>13.24852629</v>
      </c>
      <c r="G21" s="24">
        <f t="shared" ref="G21:G32" si="6">N4*1000/O4</f>
        <v>6.003849001</v>
      </c>
    </row>
    <row r="22" ht="22.5" customHeight="1">
      <c r="A22" s="20">
        <v>2.0</v>
      </c>
      <c r="B22" s="24">
        <f t="shared" si="1"/>
        <v>63.32110215</v>
      </c>
      <c r="C22" s="24">
        <f t="shared" si="2"/>
        <v>7.833571213</v>
      </c>
      <c r="D22" s="24">
        <f t="shared" si="3"/>
        <v>6.155009005</v>
      </c>
      <c r="E22" s="24">
        <f t="shared" si="4"/>
        <v>51.65677233</v>
      </c>
      <c r="F22" s="24">
        <f t="shared" si="5"/>
        <v>7.395345345</v>
      </c>
      <c r="G22" s="24">
        <f t="shared" si="6"/>
        <v>7.057865685</v>
      </c>
    </row>
    <row r="23" ht="22.5" customHeight="1">
      <c r="A23" s="20">
        <v>3.0</v>
      </c>
      <c r="B23" s="24">
        <f t="shared" si="1"/>
        <v>103.8677465</v>
      </c>
      <c r="C23" s="24">
        <f t="shared" si="2"/>
        <v>8.977410654</v>
      </c>
      <c r="D23" s="24">
        <f t="shared" si="3"/>
        <v>6.830398005</v>
      </c>
      <c r="E23" s="24">
        <f t="shared" si="4"/>
        <v>66.97333333</v>
      </c>
      <c r="F23" s="24">
        <f t="shared" si="5"/>
        <v>14.70899302</v>
      </c>
      <c r="G23" s="24">
        <f t="shared" si="6"/>
        <v>6.716155419</v>
      </c>
    </row>
    <row r="24" ht="22.5" customHeight="1">
      <c r="A24" s="20">
        <v>4.0</v>
      </c>
      <c r="B24" s="24">
        <f t="shared" si="1"/>
        <v>79.89057437</v>
      </c>
      <c r="C24" s="24">
        <f t="shared" si="2"/>
        <v>8.542884725</v>
      </c>
      <c r="D24" s="24">
        <f t="shared" si="3"/>
        <v>6.899977414</v>
      </c>
      <c r="E24" s="24">
        <f t="shared" si="4"/>
        <v>46.02890995</v>
      </c>
      <c r="F24" s="24">
        <f t="shared" si="5"/>
        <v>9.19648455</v>
      </c>
      <c r="G24" s="24">
        <f t="shared" si="6"/>
        <v>7.45375626</v>
      </c>
    </row>
    <row r="25" ht="22.5" customHeight="1">
      <c r="A25" s="20">
        <v>5.0</v>
      </c>
      <c r="B25" s="24">
        <f t="shared" si="1"/>
        <v>63.11373708</v>
      </c>
      <c r="C25" s="24">
        <f t="shared" si="2"/>
        <v>7.718408788</v>
      </c>
      <c r="D25" s="24">
        <f t="shared" si="3"/>
        <v>7.074714334</v>
      </c>
      <c r="E25" s="24">
        <f t="shared" si="4"/>
        <v>52.66841294</v>
      </c>
      <c r="F25" s="24">
        <f t="shared" si="5"/>
        <v>7.577684522</v>
      </c>
      <c r="G25" s="24">
        <f t="shared" si="6"/>
        <v>5.91173097</v>
      </c>
    </row>
    <row r="26" ht="22.5" customHeight="1">
      <c r="A26" s="20">
        <v>6.0</v>
      </c>
      <c r="B26" s="24">
        <f t="shared" si="1"/>
        <v>83.50249633</v>
      </c>
      <c r="C26" s="24">
        <f t="shared" si="2"/>
        <v>6.226348032</v>
      </c>
      <c r="D26" s="24">
        <f t="shared" si="3"/>
        <v>5.475030397</v>
      </c>
      <c r="E26" s="24">
        <f t="shared" si="4"/>
        <v>42.81194969</v>
      </c>
      <c r="F26" s="24">
        <f t="shared" si="5"/>
        <v>7.107244284</v>
      </c>
      <c r="G26" s="24">
        <f t="shared" si="6"/>
        <v>5.840139211</v>
      </c>
    </row>
    <row r="27" ht="22.5" customHeight="1">
      <c r="A27" s="20">
        <v>7.0</v>
      </c>
      <c r="B27" s="24">
        <f t="shared" si="1"/>
        <v>58.1175841</v>
      </c>
      <c r="C27" s="24">
        <f t="shared" si="2"/>
        <v>8.188037948</v>
      </c>
      <c r="D27" s="24">
        <f t="shared" si="3"/>
        <v>6.204404145</v>
      </c>
      <c r="E27" s="24">
        <f t="shared" si="4"/>
        <v>64.64401914</v>
      </c>
      <c r="F27" s="24">
        <f t="shared" si="5"/>
        <v>10.22627481</v>
      </c>
      <c r="G27" s="24">
        <f t="shared" si="6"/>
        <v>6.080507974</v>
      </c>
    </row>
    <row r="28" ht="22.5" customHeight="1">
      <c r="A28" s="20">
        <v>8.0</v>
      </c>
      <c r="B28" s="24">
        <f t="shared" si="1"/>
        <v>48.14716981</v>
      </c>
      <c r="C28" s="24">
        <f t="shared" si="2"/>
        <v>7.075935718</v>
      </c>
      <c r="D28" s="24">
        <f t="shared" si="3"/>
        <v>6.042818541</v>
      </c>
      <c r="E28" s="24">
        <f t="shared" si="4"/>
        <v>45.28516129</v>
      </c>
      <c r="F28" s="24">
        <f t="shared" si="5"/>
        <v>9.210816433</v>
      </c>
      <c r="G28" s="24">
        <f t="shared" si="6"/>
        <v>5.579919679</v>
      </c>
    </row>
    <row r="29" ht="22.5" customHeight="1">
      <c r="A29" s="20">
        <v>9.0</v>
      </c>
      <c r="B29" s="24">
        <f t="shared" si="1"/>
        <v>65.68520499</v>
      </c>
      <c r="C29" s="24">
        <f t="shared" si="2"/>
        <v>6.005015396</v>
      </c>
      <c r="D29" s="24">
        <f t="shared" si="3"/>
        <v>6.679643167</v>
      </c>
      <c r="E29" s="24">
        <f t="shared" si="4"/>
        <v>62.64839228</v>
      </c>
      <c r="F29" s="24">
        <f t="shared" si="5"/>
        <v>8.742378135</v>
      </c>
      <c r="G29" s="24">
        <f t="shared" si="6"/>
        <v>6.787908698</v>
      </c>
    </row>
    <row r="30" ht="22.5" customHeight="1">
      <c r="A30" s="20">
        <v>10.0</v>
      </c>
      <c r="B30" s="24">
        <f t="shared" si="1"/>
        <v>104.2628205</v>
      </c>
      <c r="C30" s="24">
        <f t="shared" si="2"/>
        <v>10.7871676</v>
      </c>
      <c r="D30" s="24">
        <f t="shared" si="3"/>
        <v>6.131575303</v>
      </c>
      <c r="E30" s="24">
        <f t="shared" si="4"/>
        <v>52.51255962</v>
      </c>
      <c r="F30" s="24">
        <f t="shared" si="5"/>
        <v>14.36377622</v>
      </c>
      <c r="G30" s="24">
        <f t="shared" si="6"/>
        <v>6.866998342</v>
      </c>
    </row>
    <row r="31" ht="22.5" customHeight="1">
      <c r="A31" s="20">
        <v>11.0</v>
      </c>
      <c r="B31" s="24">
        <f t="shared" si="1"/>
        <v>79.66645265</v>
      </c>
      <c r="C31" s="24">
        <f t="shared" si="2"/>
        <v>6.268200023</v>
      </c>
      <c r="D31" s="24">
        <f t="shared" si="3"/>
        <v>3.95417847</v>
      </c>
      <c r="E31" s="24">
        <f t="shared" si="4"/>
        <v>82.43182527</v>
      </c>
      <c r="F31" s="24">
        <f t="shared" si="5"/>
        <v>7.859466447</v>
      </c>
      <c r="G31" s="24">
        <f t="shared" si="6"/>
        <v>6.261788922</v>
      </c>
    </row>
    <row r="32" ht="22.5" customHeight="1">
      <c r="A32" s="20">
        <v>12.0</v>
      </c>
      <c r="B32" s="24">
        <f t="shared" si="1"/>
        <v>44.29194631</v>
      </c>
      <c r="C32" s="24">
        <f t="shared" si="2"/>
        <v>7.770129141</v>
      </c>
      <c r="D32" s="24">
        <f t="shared" si="3"/>
        <v>5.300455005</v>
      </c>
      <c r="E32" s="24">
        <f t="shared" si="4"/>
        <v>67.81723577</v>
      </c>
      <c r="F32" s="24">
        <f t="shared" si="5"/>
        <v>6</v>
      </c>
      <c r="G32" s="24">
        <f t="shared" si="6"/>
        <v>5.483758895</v>
      </c>
    </row>
  </sheetData>
  <dataValidations>
    <dataValidation type="custom" allowBlank="1" showDropDown="1" sqref="B21:G32">
      <formula1>AND(ISNUMBER(B21),(NOT(OR(NOT(ISERROR(DATEVALUE(B21))), AND(ISNUMBER(B21), LEFT(CELL("format", B21))="D")))))</formula1>
    </dataValidation>
  </dataValidations>
  <drawing r:id="rId2"/>
  <tableParts count="1"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1.5"/>
    <col customWidth="1" min="6" max="6" width="20.5"/>
    <col customWidth="1" min="7" max="7" width="21.75"/>
  </cols>
  <sheetData>
    <row r="1">
      <c r="A1" s="7" t="s">
        <v>1</v>
      </c>
      <c r="B1" s="7" t="s">
        <v>6649</v>
      </c>
      <c r="C1" s="7" t="s">
        <v>5820</v>
      </c>
    </row>
    <row r="2">
      <c r="A2" s="7">
        <v>1.0</v>
      </c>
      <c r="B2" s="7">
        <v>58.2443</v>
      </c>
      <c r="C2" s="7">
        <v>5622.580442</v>
      </c>
    </row>
    <row r="3">
      <c r="A3" s="7">
        <v>2.0</v>
      </c>
      <c r="B3" s="7">
        <v>47.1109</v>
      </c>
      <c r="C3" s="7">
        <v>4702.004113</v>
      </c>
    </row>
    <row r="4">
      <c r="A4" s="7">
        <v>3.0</v>
      </c>
      <c r="B4" s="7">
        <v>73.7461</v>
      </c>
      <c r="C4" s="7">
        <v>7356.761192</v>
      </c>
    </row>
    <row r="5">
      <c r="A5" s="7">
        <v>4.0</v>
      </c>
      <c r="B5" s="7">
        <v>54.2457</v>
      </c>
      <c r="C5" s="7">
        <v>5684.181431</v>
      </c>
    </row>
    <row r="6">
      <c r="A6" s="7">
        <v>5.0</v>
      </c>
      <c r="B6" s="7">
        <v>42.728</v>
      </c>
      <c r="C6" s="7">
        <v>4568.309267</v>
      </c>
    </row>
    <row r="7">
      <c r="A7" s="7">
        <v>6.0</v>
      </c>
      <c r="B7" s="7">
        <v>56.8652</v>
      </c>
      <c r="C7" s="7">
        <v>5681.495903</v>
      </c>
    </row>
    <row r="8">
      <c r="A8" s="7">
        <v>7.0</v>
      </c>
      <c r="B8" s="7">
        <v>38.0089</v>
      </c>
      <c r="C8" s="7">
        <v>4003.448941</v>
      </c>
    </row>
    <row r="9">
      <c r="A9" s="7">
        <v>8.0</v>
      </c>
      <c r="B9" s="7">
        <v>30.6216</v>
      </c>
      <c r="C9" s="7">
        <v>3368.865598</v>
      </c>
    </row>
    <row r="10">
      <c r="A10" s="7">
        <v>9.0</v>
      </c>
      <c r="B10" s="7">
        <v>36.8494</v>
      </c>
      <c r="C10" s="7">
        <v>3683.346589</v>
      </c>
    </row>
    <row r="11">
      <c r="A11" s="7">
        <v>10.0</v>
      </c>
      <c r="B11" s="7">
        <v>65.06</v>
      </c>
      <c r="C11" s="7">
        <v>5995.710542</v>
      </c>
    </row>
    <row r="12">
      <c r="A12" s="7">
        <v>11.0</v>
      </c>
      <c r="B12" s="7">
        <v>49.6322</v>
      </c>
      <c r="C12" s="7">
        <v>4540.566278</v>
      </c>
    </row>
    <row r="13">
      <c r="A13" s="7">
        <v>12.0</v>
      </c>
      <c r="B13" s="7">
        <v>26.398</v>
      </c>
      <c r="C13" s="7">
        <v>3098.274716</v>
      </c>
    </row>
    <row r="14">
      <c r="A14" s="7" t="s">
        <v>201</v>
      </c>
      <c r="B14" s="7">
        <v>579.5103</v>
      </c>
      <c r="C14" s="7">
        <v>58305.545012</v>
      </c>
    </row>
    <row r="18" ht="22.5" customHeight="1">
      <c r="A18" s="17" t="s">
        <v>1</v>
      </c>
      <c r="B18" s="17" t="s">
        <v>6656</v>
      </c>
      <c r="C18" s="17" t="s">
        <v>6657</v>
      </c>
    </row>
    <row r="19" ht="22.5" customHeight="1">
      <c r="A19" s="20">
        <v>1.0</v>
      </c>
      <c r="B19" s="24">
        <f t="shared" ref="B19:B30" si="1">C2/B2</f>
        <v>96.53443242</v>
      </c>
      <c r="C19" s="24">
        <f t="shared" ref="C19:C30" si="2">G2/F2</f>
        <v>169.4142766</v>
      </c>
    </row>
    <row r="20" ht="22.5" customHeight="1">
      <c r="A20" s="20">
        <v>2.0</v>
      </c>
      <c r="B20" s="24">
        <f t="shared" si="1"/>
        <v>99.80713833</v>
      </c>
      <c r="C20" s="24">
        <f t="shared" si="2"/>
        <v>166.3229096</v>
      </c>
    </row>
    <row r="21" ht="22.5" customHeight="1">
      <c r="A21" s="20">
        <v>3.0</v>
      </c>
      <c r="B21" s="24">
        <f t="shared" si="1"/>
        <v>99.75796947</v>
      </c>
      <c r="C21" s="24">
        <f t="shared" si="2"/>
        <v>199.5463161</v>
      </c>
    </row>
    <row r="22" ht="22.5" customHeight="1">
      <c r="A22" s="20">
        <v>4.0</v>
      </c>
      <c r="B22" s="24">
        <f t="shared" si="1"/>
        <v>104.7858435</v>
      </c>
      <c r="C22" s="24">
        <f t="shared" si="2"/>
        <v>216.3731645</v>
      </c>
    </row>
    <row r="23" ht="22.5" customHeight="1">
      <c r="A23" s="20">
        <v>5.0</v>
      </c>
      <c r="B23" s="24">
        <f t="shared" si="1"/>
        <v>106.9160566</v>
      </c>
      <c r="C23" s="24">
        <f t="shared" si="2"/>
        <v>199.7973973</v>
      </c>
    </row>
    <row r="24" ht="22.5" customHeight="1">
      <c r="A24" s="20">
        <v>6.0</v>
      </c>
      <c r="B24" s="24">
        <f t="shared" si="1"/>
        <v>99.91164901</v>
      </c>
      <c r="C24" s="24">
        <f t="shared" si="2"/>
        <v>206.0366674</v>
      </c>
    </row>
    <row r="25" ht="22.5" customHeight="1">
      <c r="A25" s="20">
        <v>7.0</v>
      </c>
      <c r="B25" s="24">
        <f t="shared" si="1"/>
        <v>105.3292503</v>
      </c>
      <c r="C25" s="24">
        <f t="shared" si="2"/>
        <v>178.5507068</v>
      </c>
    </row>
    <row r="26" ht="22.5" customHeight="1">
      <c r="A26" s="20">
        <v>8.0</v>
      </c>
      <c r="B26" s="24">
        <f t="shared" si="1"/>
        <v>110.0159886</v>
      </c>
      <c r="C26" s="24">
        <f t="shared" si="2"/>
        <v>205.4058773</v>
      </c>
    </row>
    <row r="27" ht="22.5" customHeight="1">
      <c r="A27" s="20">
        <v>9.0</v>
      </c>
      <c r="B27" s="24">
        <f t="shared" si="1"/>
        <v>99.95675883</v>
      </c>
      <c r="C27" s="24">
        <f t="shared" si="2"/>
        <v>191.9038097</v>
      </c>
    </row>
    <row r="28" ht="22.5" customHeight="1">
      <c r="A28" s="20">
        <v>10.0</v>
      </c>
      <c r="B28" s="24">
        <f t="shared" si="1"/>
        <v>92.15663298</v>
      </c>
      <c r="C28" s="24">
        <f t="shared" si="2"/>
        <v>205.8006277</v>
      </c>
    </row>
    <row r="29" ht="22.5" customHeight="1">
      <c r="A29" s="20">
        <v>11.0</v>
      </c>
      <c r="B29" s="24">
        <f t="shared" si="1"/>
        <v>91.48428395</v>
      </c>
      <c r="C29" s="24">
        <f t="shared" si="2"/>
        <v>178.0593399</v>
      </c>
    </row>
    <row r="30" ht="22.5" customHeight="1">
      <c r="A30" s="20">
        <v>12.0</v>
      </c>
      <c r="B30" s="24">
        <f t="shared" si="1"/>
        <v>117.3677823</v>
      </c>
      <c r="C30" s="24">
        <f t="shared" si="2"/>
        <v>191.5249342</v>
      </c>
    </row>
  </sheetData>
  <dataValidations>
    <dataValidation type="custom" allowBlank="1" showDropDown="1" sqref="B19:C30">
      <formula1>AND(ISNUMBER(B19),(NOT(OR(NOT(ISERROR(DATEVALUE(B19))), AND(ISNUMBER(B19), LEFT(CELL("format", B19))="D")))))</formula1>
    </dataValidation>
  </dataValidations>
  <drawing r:id="rId2"/>
  <tableParts count="1"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</cols>
  <sheetData>
    <row r="1">
      <c r="A1" s="14" t="s">
        <v>6658</v>
      </c>
    </row>
    <row r="2">
      <c r="A2" s="16" t="s">
        <v>6659</v>
      </c>
    </row>
    <row r="3">
      <c r="A3" s="14" t="s">
        <v>6660</v>
      </c>
    </row>
    <row r="4">
      <c r="A4" s="16" t="s">
        <v>6661</v>
      </c>
    </row>
    <row r="5">
      <c r="A5" s="14" t="s">
        <v>6662</v>
      </c>
    </row>
    <row r="6">
      <c r="A6" s="16" t="s">
        <v>6663</v>
      </c>
    </row>
    <row r="7">
      <c r="A7" s="14" t="s">
        <v>6664</v>
      </c>
    </row>
    <row r="8">
      <c r="A8" s="16" t="s">
        <v>6665</v>
      </c>
    </row>
    <row r="9">
      <c r="A9" s="14" t="s">
        <v>6666</v>
      </c>
    </row>
    <row r="10">
      <c r="A10" s="16" t="s">
        <v>6667</v>
      </c>
    </row>
    <row r="11">
      <c r="A11" s="14" t="s">
        <v>6668</v>
      </c>
    </row>
    <row r="12">
      <c r="A12" s="16" t="s">
        <v>6669</v>
      </c>
    </row>
    <row r="13">
      <c r="A13" s="14" t="s">
        <v>6670</v>
      </c>
    </row>
    <row r="14">
      <c r="A14" s="16" t="s">
        <v>6671</v>
      </c>
    </row>
  </sheetData>
  <drawing r:id="rId1"/>
</worksheet>
</file>